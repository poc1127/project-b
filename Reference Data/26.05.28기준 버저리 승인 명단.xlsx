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frica4ff-my.sharepoint.com/personal/qorwh701_africaff_org/Documents/바탕 화면/"/>
    </mc:Choice>
  </mc:AlternateContent>
  <xr:revisionPtr revIDLastSave="1" documentId="8_{641A1A77-82B2-4BCF-8E60-0C8D470DDF7B}" xr6:coauthVersionLast="47" xr6:coauthVersionMax="47" xr10:uidLastSave="{AF5F6A83-635B-4E38-9645-93118F09CE04}"/>
  <bookViews>
    <workbookView xWindow="-108" yWindow="-108" windowWidth="23256" windowHeight="12456" xr2:uid="{64E2AA22-68A5-412D-B581-31702738CC6A}"/>
  </bookViews>
  <sheets>
    <sheet name="edited 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Y371" i="1" l="1"/>
  <c r="Y370" i="1"/>
  <c r="Z369" i="1"/>
  <c r="Y369" i="1"/>
  <c r="Y367" i="1"/>
  <c r="Y363" i="1"/>
  <c r="Y362" i="1"/>
  <c r="Y361" i="1"/>
  <c r="Y360" i="1"/>
  <c r="Y359" i="1"/>
  <c r="Y358" i="1"/>
  <c r="Y357" i="1"/>
  <c r="Y356" i="1"/>
  <c r="Y355" i="1"/>
  <c r="Z354" i="1"/>
  <c r="Y354" i="1"/>
  <c r="Z353" i="1"/>
  <c r="Y353" i="1"/>
  <c r="Y352" i="1"/>
  <c r="Y351" i="1"/>
  <c r="Y350" i="1"/>
  <c r="Y349" i="1"/>
  <c r="Y348" i="1"/>
  <c r="Y347" i="1"/>
  <c r="Y346" i="1"/>
  <c r="Y345" i="1"/>
  <c r="Y344" i="1"/>
  <c r="Y343" i="1"/>
  <c r="Y341" i="1"/>
  <c r="Y340" i="1"/>
  <c r="Y339" i="1"/>
  <c r="Y338" i="1"/>
  <c r="Y337" i="1"/>
  <c r="Y336" i="1"/>
  <c r="Y335" i="1"/>
  <c r="Y334" i="1"/>
  <c r="Y333" i="1"/>
  <c r="Y332" i="1"/>
  <c r="Y331" i="1"/>
  <c r="Y330" i="1"/>
  <c r="Y329" i="1"/>
  <c r="Y328" i="1"/>
  <c r="Y327" i="1"/>
  <c r="Y326" i="1"/>
  <c r="Y325" i="1"/>
  <c r="Y324" i="1"/>
  <c r="Y323" i="1"/>
  <c r="Y322" i="1"/>
  <c r="Y321" i="1"/>
  <c r="Y320" i="1"/>
  <c r="Y319" i="1"/>
  <c r="Y318" i="1"/>
  <c r="Y317" i="1"/>
  <c r="Y316" i="1"/>
  <c r="Z315" i="1"/>
  <c r="Y315" i="1"/>
  <c r="Y313" i="1"/>
  <c r="Y312" i="1"/>
  <c r="Y311" i="1"/>
  <c r="Y310" i="1"/>
  <c r="Y309" i="1"/>
  <c r="Y308" i="1"/>
  <c r="Y307" i="1"/>
  <c r="Y306" i="1"/>
  <c r="Y305" i="1"/>
  <c r="Y304" i="1"/>
  <c r="Y303" i="1"/>
  <c r="Y302" i="1"/>
  <c r="Y301" i="1"/>
  <c r="Y300" i="1"/>
  <c r="Y299" i="1"/>
  <c r="Y298" i="1"/>
  <c r="Y297" i="1"/>
  <c r="Y296" i="1"/>
  <c r="Y295" i="1"/>
  <c r="Y294" i="1"/>
  <c r="Y293" i="1"/>
  <c r="Y292" i="1"/>
  <c r="Y291" i="1"/>
  <c r="Y289" i="1"/>
  <c r="Z288" i="1"/>
  <c r="Y288" i="1"/>
  <c r="Y287" i="1"/>
  <c r="Y286" i="1"/>
  <c r="Z285" i="1"/>
  <c r="Y285" i="1"/>
  <c r="Y284" i="1"/>
  <c r="Y283" i="1"/>
  <c r="Y282" i="1"/>
  <c r="Y281" i="1"/>
  <c r="Y280" i="1"/>
  <c r="Y279" i="1"/>
  <c r="Y278" i="1"/>
  <c r="Y277" i="1"/>
  <c r="Y276" i="1"/>
  <c r="Y275" i="1"/>
  <c r="Y274" i="1"/>
  <c r="Y273" i="1"/>
  <c r="Y272" i="1"/>
  <c r="Y271" i="1"/>
  <c r="Y270" i="1"/>
  <c r="Y269" i="1"/>
  <c r="Y268" i="1"/>
  <c r="Y267" i="1"/>
  <c r="Y266" i="1"/>
  <c r="Y265" i="1"/>
  <c r="Y264" i="1"/>
  <c r="Y263" i="1"/>
  <c r="Y262" i="1"/>
  <c r="Y261" i="1"/>
  <c r="Y260" i="1"/>
  <c r="Y259" i="1"/>
  <c r="Y258" i="1"/>
  <c r="Y257" i="1"/>
  <c r="Y256" i="1"/>
  <c r="Y255" i="1"/>
  <c r="Y254" i="1"/>
  <c r="Y253" i="1"/>
  <c r="Z252" i="1"/>
  <c r="Y252" i="1"/>
  <c r="Y251" i="1"/>
  <c r="Z250" i="1"/>
  <c r="Y250" i="1"/>
  <c r="Y249" i="1"/>
  <c r="Y248" i="1"/>
  <c r="Y247" i="1"/>
  <c r="Y246" i="1"/>
  <c r="Y245" i="1"/>
  <c r="Y244" i="1"/>
  <c r="Y243" i="1"/>
  <c r="Y242" i="1"/>
  <c r="Z241" i="1"/>
  <c r="Y241" i="1"/>
  <c r="Y240" i="1"/>
  <c r="Y239" i="1"/>
  <c r="Y238" i="1"/>
  <c r="Y237" i="1"/>
  <c r="Y236" i="1"/>
  <c r="Y235" i="1"/>
  <c r="Y234" i="1"/>
  <c r="Y233" i="1"/>
  <c r="Y232" i="1"/>
  <c r="Y231" i="1"/>
  <c r="Y230" i="1"/>
  <c r="Y229" i="1"/>
  <c r="Z228"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Z170"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19" i="1"/>
  <c r="Y118" i="1"/>
  <c r="Y117" i="1"/>
  <c r="Y116" i="1"/>
  <c r="Y115" i="1"/>
  <c r="Y114" i="1"/>
  <c r="Y113" i="1"/>
  <c r="Y112" i="1"/>
  <c r="Z111" i="1"/>
  <c r="Y111" i="1"/>
  <c r="Y110" i="1"/>
  <c r="Y109" i="1"/>
  <c r="Y108" i="1"/>
  <c r="Y107" i="1"/>
  <c r="Y106" i="1"/>
  <c r="Z105" i="1"/>
  <c r="Y105" i="1"/>
  <c r="Y104" i="1"/>
  <c r="Y103" i="1"/>
  <c r="Y102" i="1"/>
  <c r="Y101" i="1"/>
  <c r="Y100" i="1"/>
  <c r="Y99" i="1"/>
  <c r="Y98" i="1"/>
  <c r="Z97" i="1"/>
  <c r="Y97" i="1"/>
  <c r="Y96" i="1"/>
  <c r="Y95" i="1"/>
  <c r="Y94" i="1"/>
  <c r="Y93" i="1"/>
  <c r="Y92" i="1"/>
  <c r="Y91" i="1"/>
  <c r="Y90" i="1"/>
  <c r="Y89" i="1"/>
  <c r="Y88" i="1"/>
  <c r="Y87" i="1"/>
  <c r="Y86" i="1"/>
  <c r="Y85" i="1"/>
  <c r="Y84" i="1"/>
  <c r="Y83" i="1"/>
  <c r="Y82" i="1"/>
  <c r="Z81" i="1"/>
  <c r="Y81" i="1"/>
  <c r="Z80" i="1"/>
  <c r="Y80" i="1"/>
  <c r="Z79" i="1"/>
  <c r="Y79" i="1"/>
  <c r="Y78" i="1"/>
  <c r="Y77" i="1"/>
  <c r="Y74" i="1"/>
  <c r="Y73" i="1"/>
  <c r="Y72" i="1"/>
  <c r="Y71" i="1"/>
  <c r="Z70"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Z28" i="1"/>
  <c r="Y28" i="1"/>
  <c r="Y27" i="1"/>
  <c r="Y26" i="1"/>
  <c r="Z25" i="1"/>
  <c r="Y25" i="1"/>
  <c r="Y24" i="1"/>
  <c r="Y23" i="1"/>
  <c r="Z22" i="1"/>
  <c r="Y22" i="1"/>
  <c r="Z21" i="1"/>
  <c r="Y21" i="1"/>
  <c r="Y20" i="1"/>
  <c r="Z19" i="1"/>
  <c r="Y19" i="1"/>
  <c r="Y18" i="1"/>
  <c r="Y16" i="1"/>
  <c r="Y15" i="1"/>
  <c r="Y14" i="1"/>
  <c r="Y13" i="1"/>
  <c r="Y12" i="1"/>
  <c r="Y10" i="1"/>
  <c r="Y9" i="1"/>
  <c r="Y8" i="1"/>
  <c r="Y7" i="1"/>
  <c r="Y6" i="1"/>
  <c r="Z5" i="1"/>
  <c r="Y5" i="1"/>
  <c r="Y4" i="1"/>
  <c r="Y3" i="1"/>
  <c r="Y1" i="1"/>
</calcChain>
</file>

<file path=xl/sharedStrings.xml><?xml version="1.0" encoding="utf-8"?>
<sst xmlns="http://schemas.openxmlformats.org/spreadsheetml/2006/main" count="7501" uniqueCount="3567">
  <si>
    <t>Atefa</t>
  </si>
  <si>
    <t>Hosseini</t>
  </si>
  <si>
    <t>+8201021541947</t>
  </si>
  <si>
    <t>Ati.h1375@gmail.com</t>
  </si>
  <si>
    <t>Female</t>
  </si>
  <si>
    <t xml:space="preserve">New member </t>
  </si>
  <si>
    <t>Afghanistan</t>
  </si>
  <si>
    <t>Junior (doctor/dentist who graduated within the last 5 years)</t>
  </si>
  <si>
    <t xml:space="preserve">Dentist </t>
  </si>
  <si>
    <t>No</t>
  </si>
  <si>
    <t>Yes (not paid)</t>
  </si>
  <si>
    <t>As I am a student, covering the registration cost is difficult for me; however, I am genuinely motivated and very eager to participate in the Congress.</t>
  </si>
  <si>
    <t>1000$</t>
  </si>
  <si>
    <t>As a student, my contribution will be limited; however, I am willing to contribute as much as I am able.</t>
  </si>
  <si>
    <t>As a student, I face financial limitations that make it difficult for me to cover the costs of attending the Congress. Additionally, as a young woman from a country like Afghanistan, I currently have no source of income while pursuing my studies. However, participating in this Congress is extremely important for my personal, academic, and professional development. I am highly motivated to attend, learn, and actively contribute to the Congress and the ICMDA Movement. Financial support would enable me to participate and benefit fully from this valuable opportunity.</t>
  </si>
  <si>
    <t>Offer</t>
  </si>
  <si>
    <t>ACCEPTED</t>
  </si>
  <si>
    <t>Male</t>
  </si>
  <si>
    <t>Fieldworker</t>
  </si>
  <si>
    <t>Algeria</t>
  </si>
  <si>
    <t>Medical/Dental Student</t>
  </si>
  <si>
    <t>666</t>
  </si>
  <si>
    <t>3000</t>
  </si>
  <si>
    <t>0</t>
  </si>
  <si>
    <t>Marinela</t>
  </si>
  <si>
    <t>Gjata</t>
  </si>
  <si>
    <t>00393274370732</t>
  </si>
  <si>
    <t>Training Track Facilitator</t>
  </si>
  <si>
    <t>Italy</t>
  </si>
  <si>
    <t>Albania</t>
  </si>
  <si>
    <t>5-May</t>
  </si>
  <si>
    <t>6-May</t>
  </si>
  <si>
    <t xml:space="preserve">ALLACHE </t>
  </si>
  <si>
    <t>Dyhia</t>
  </si>
  <si>
    <t>+213554886461</t>
  </si>
  <si>
    <t>dy.allache@gmail.com</t>
  </si>
  <si>
    <t>There is no CMF in Algeria, I recently came in contact with ICMDA, and I am in contact with the MENAGroup ; I've been participating in some training tracks. I hope to start a CMF in Algeria.</t>
  </si>
  <si>
    <t xml:space="preserve">General practitioner </t>
  </si>
  <si>
    <t>There no, not yet</t>
  </si>
  <si>
    <t>775$</t>
  </si>
  <si>
    <t>1500$</t>
  </si>
  <si>
    <t>I started working as a general practitioner not too long ago and the salary of a junior doctor in Algeria, when converted to USD, is not a lot. These factors put together make it very difficult for me to be able to completerly fund my World Congress attendance. However, I would very much like to be part of the World Congress, see the work of ICMDA up close and represent Algeria.</t>
  </si>
  <si>
    <t>National Leader</t>
  </si>
  <si>
    <t>No offer yet</t>
  </si>
  <si>
    <t>Samuel</t>
  </si>
  <si>
    <t>Fabiano</t>
  </si>
  <si>
    <t>samfabio@gmail.com</t>
  </si>
  <si>
    <t>National CMDA Leader</t>
  </si>
  <si>
    <t>Angola</t>
  </si>
  <si>
    <t xml:space="preserve">Senior (doctor/dentist who graduated more than 5 years ago)  </t>
  </si>
  <si>
    <t>Missionary general surgeon; PAACS faculty and assistant program director General surgery residency at CEML Hospital in Lubango, Angola</t>
  </si>
  <si>
    <t xml:space="preserve">Leader of a group establishing ICMDA in Angola </t>
  </si>
  <si>
    <t>895 usd</t>
  </si>
  <si>
    <t>3000usd</t>
  </si>
  <si>
    <t>1000usd</t>
  </si>
  <si>
    <t>As a missionary doctor in Angola, I would like to see the ministry of ICMDA grow in the near future.  I believe that the Christian medical professionals in Angola could benefit from having a strong presence of the ministry in this country. Having an opportunity to connect with others and learn from their experiences would be very helpful in helping us to move forward with this ministry.</t>
  </si>
  <si>
    <t>RS/AEO Recommendation</t>
  </si>
  <si>
    <t>Piedoso</t>
  </si>
  <si>
    <t>Chissambo</t>
  </si>
  <si>
    <t>244932000000</t>
  </si>
  <si>
    <t>chissambo1986@gmail.com</t>
  </si>
  <si>
    <t>Colaborador</t>
  </si>
  <si>
    <t>Medico</t>
  </si>
  <si>
    <t>831.00</t>
  </si>
  <si>
    <t>3.000.00</t>
  </si>
  <si>
    <t>500USD</t>
  </si>
  <si>
    <t>Eu devo receber o apoio financeiro, porque primeiro não condições suficientes para sustentar a viagem de ida e volta, e por outro lado tenho interesse em participar do congresso para aprender e poder transmitir os conhecimentos adquiridos para as outras pessoa no meu país.</t>
  </si>
  <si>
    <t>Phuong</t>
  </si>
  <si>
    <t>Tran Anh</t>
  </si>
  <si>
    <t>+84 81 802 1195</t>
  </si>
  <si>
    <t>anhphuongtran211@gmail.com</t>
  </si>
  <si>
    <t>Member of a national CMDA</t>
  </si>
  <si>
    <t>Vice Director - Spring Hospice Center</t>
  </si>
  <si>
    <t>Palliative care</t>
  </si>
  <si>
    <t>$875</t>
  </si>
  <si>
    <t>500</t>
  </si>
  <si>
    <t>100</t>
  </si>
  <si>
    <t>I am seeking financial support to attend the ICMDA World Congress as it offers an important opportunity for professional development relevant to my current work in Vietnam. I currently work at Spring Hospice Center which provides free palliative and end-of-life care for patients with terminal cancer, other chronic illnesses, and pediatric patients. Financial support would enable my participation in the congress and allow me to gain relevant medical and ethical perspectives that can be applied in clinical practice and shared within local professional networks, thereby contributing to improved compassionate and holistic care for vulnerable patient populations.</t>
  </si>
  <si>
    <t>Sandro</t>
  </si>
  <si>
    <t>Balarezo</t>
  </si>
  <si>
    <t>54 9 381 5433053</t>
  </si>
  <si>
    <t>sandro.balarezo@unc.edu.ar</t>
  </si>
  <si>
    <t>Argentina</t>
  </si>
  <si>
    <t>medico especialista en alergia e inmunologia</t>
  </si>
  <si>
    <t>Lider Nacional en Argentina</t>
  </si>
  <si>
    <t>814.00 (dolares americanos)</t>
  </si>
  <si>
    <t>4000</t>
  </si>
  <si>
    <t>no tendria los recursos pero creo que por fe el señor me podra proveer</t>
  </si>
  <si>
    <t>Estoy  trabajando hace unos años en ICMDA para reflotar  y activar en argentina estamos como una asociacion que recien esta comenzando principalmnete en cordoba somos pocos integrantes pero confiamos en el señor que vamos a ir creciendo, ademas hace 2 años soy facilitador del curso de sydehan para habla hispana se que el señor tiene grandes cosas para su reino y para ICMDA</t>
  </si>
  <si>
    <t>Kristina</t>
  </si>
  <si>
    <t>Alikhanyan</t>
  </si>
  <si>
    <t>004917628705443</t>
  </si>
  <si>
    <t>drkristina777@gmail.com</t>
  </si>
  <si>
    <t>Germany</t>
  </si>
  <si>
    <t>Armenia</t>
  </si>
  <si>
    <t>researcher</t>
  </si>
  <si>
    <t>senior scientist</t>
  </si>
  <si>
    <t>Fieldworker, RR for Caucasus</t>
  </si>
  <si>
    <t>Yes</t>
  </si>
  <si>
    <t>For ICMDA world congress in Tanzania I got bursary which covered registration fee</t>
  </si>
  <si>
    <t>437</t>
  </si>
  <si>
    <t>1200-1300 USD</t>
  </si>
  <si>
    <t>1300</t>
  </si>
  <si>
    <t>1000USD</t>
  </si>
  <si>
    <t>I am the only person working in my family.</t>
  </si>
  <si>
    <t>Elen</t>
  </si>
  <si>
    <t>Nazarian</t>
  </si>
  <si>
    <t>+79688140454</t>
  </si>
  <si>
    <t>helennazaryan1@gmail.com</t>
  </si>
  <si>
    <t>I am the part of Cristian medics team in Moscow</t>
  </si>
  <si>
    <t>Russian Federation</t>
  </si>
  <si>
    <t>General dentist</t>
  </si>
  <si>
    <t>I am the part of Cristian medics team of Moscow, participating in meetings of our group</t>
  </si>
  <si>
    <t>757</t>
  </si>
  <si>
    <t>2500</t>
  </si>
  <si>
    <t>1500</t>
  </si>
  <si>
    <t xml:space="preserve">Hello. My name is Helen, and I am a dentist. I have always strived for excellence in my studies, both in school and university, and I graduated with outstanding grades. I come from a large family, consisting of my parents and three siblings, and I feel a responsibility to support them financially.
I am eager to attend this congress to gain valuable knowledge, share my experiences, and meet interesting people from around the world. It is crucial for me to be present, not only to learn but also to connect with other doctors. The idea of being part of a community of Christian doctors, especially as a junior dentist, holds great significance for me. I want to witness and feel this unity firsthand.
Thank you.
</t>
  </si>
  <si>
    <t>fieldworker</t>
  </si>
  <si>
    <t>Christin Suborna</t>
  </si>
  <si>
    <t>Murmu</t>
  </si>
  <si>
    <t>+8801789896909</t>
  </si>
  <si>
    <t>murmuchristin@gmail.com</t>
  </si>
  <si>
    <t xml:space="preserve">Facilitator of leadership training </t>
  </si>
  <si>
    <t>Bangladesh</t>
  </si>
  <si>
    <t xml:space="preserve">Medical officer </t>
  </si>
  <si>
    <t xml:space="preserve">I work as a volunteer and facilitate South Asian leadership training </t>
  </si>
  <si>
    <t>$605</t>
  </si>
  <si>
    <t>Over $500</t>
  </si>
  <si>
    <t>$100</t>
  </si>
  <si>
    <t>So that I can influence my country \ community to know more about who Christ was. Leading a life of influence.  This exposure to this conference will help me more.</t>
  </si>
  <si>
    <t>Trainer</t>
  </si>
  <si>
    <t xml:space="preserve">Stela Noyomi </t>
  </si>
  <si>
    <t xml:space="preserve">Biswas </t>
  </si>
  <si>
    <t>+8801812013781</t>
  </si>
  <si>
    <t xml:space="preserve">Medical Student </t>
  </si>
  <si>
    <t>Alina</t>
  </si>
  <si>
    <t>Kurdun</t>
  </si>
  <si>
    <t>+375(29)130-63-15</t>
  </si>
  <si>
    <t>kurdunap@gmail.com</t>
  </si>
  <si>
    <t>Belarus</t>
  </si>
  <si>
    <t>Ophthalmologist, “6th city children clinical polyclinic”</t>
  </si>
  <si>
    <t>Active member</t>
  </si>
  <si>
    <t>605$</t>
  </si>
  <si>
    <t>1500-2000</t>
  </si>
  <si>
    <t>At the moment of my life, I don't have the financial ability to cover the full registration. But I would really like to get to the congress. This bursary will allow me to attend the ICMDA World Congress and will give me and Belarussian CMF a chance to get a lot of relevant and useful information, which can then be applied and developed in our country. It is important to be the light and salt for the colleagues and patients, so that they can find support in God and share in His way. I think, to help people we have to act properly with a certain knowledge and wisdom. In my view, this congress can equip me with effective tools to accomplish the goal that I have: helping patients not only physically but also directing them towards the One who can heal their soul and spirit.</t>
  </si>
  <si>
    <t>Violet</t>
  </si>
  <si>
    <t>Maretskaya</t>
  </si>
  <si>
    <t>+375336013979</t>
  </si>
  <si>
    <t>maretskaya.veta@gmail.com</t>
  </si>
  <si>
    <t>Cosmetic surgeon, private medical center</t>
  </si>
  <si>
    <t>Leadership team member of Belarusian CMF</t>
  </si>
  <si>
    <t>I received a scholarship for the IPGDFM program for 2024-2025 (two grants: for the first and second years of study). Thank you so much! It was an incredibly blessed time!</t>
  </si>
  <si>
    <t>649$</t>
  </si>
  <si>
    <t>2000-2500</t>
  </si>
  <si>
    <t>500-700</t>
  </si>
  <si>
    <t>700</t>
  </si>
  <si>
    <t>I am a medical doctor from Belarus. I minister in my local home church and provide health care to patients for free whenever possible. I participate in various Christian events (camps, conferences) as a medical worker and advise on various healthcare requests in our CMF Belarus messenger chat. Recently, our CMF Belarus team held a conference, in which I participated as a host and handled some organisational matters. We plan to continue this work (preparing medical workers for work and ministry) through conferences, seminars, and regular meetings. I would like to share inspiration and tools from the upcoming conference in South Korea with our medical Christian community in Belarus. I am currently a student in the IPGDFM program from CMC Vellore (India) and ICMDA. I am also working part-time in a private clinic. Family medicine isn't practiced in our country, so I pray and think about where God might use me as a family doctor. I've heard a lot about the revival in South Korea and have always dreamed of visiting the country. Perhaps that's where I'll receive God's answer. I also really want to meet doctors and ministers from other countries, worship God together, and attend seminars on medicine and faith. This is what I live for.</t>
  </si>
  <si>
    <t>Iryna</t>
  </si>
  <si>
    <t>Hushcha</t>
  </si>
  <si>
    <t>+447926530718</t>
  </si>
  <si>
    <t>hushchairyna@gmail.com</t>
  </si>
  <si>
    <t>United Kingdom</t>
  </si>
  <si>
    <t>PhD candidate, University of Lancashire</t>
  </si>
  <si>
    <t>AR Belarus, Communications Representative for Eurasia</t>
  </si>
  <si>
    <t>Bursary for ICMDA World Congress in Tanzania</t>
  </si>
  <si>
    <t>$699</t>
  </si>
  <si>
    <t>$2500</t>
  </si>
  <si>
    <t>I believe attending the ICMDA World Congress in South Korea will strengthen me both spiritually and emotionally. For the past five years, I have been serving in medical ministry, which has brought me great joy and comfort.
I was blessed to attend the previous World Congress in Arusha, which deeply inspired me to grow in both my faith and ministry. Since then, my desire to strengthen my home country’s Christian Medical Fellowship has grown tremendously. By God’s grace, we are now preparing to hold a national conference after six years of silence.
I am truly excited to be part of the upcoming discussions, and the example of the many leaders I have met through the Congress and other ICMDA events has greatly helped me develop the skills needed for ministry. I am very much looking forward to attending the Congress in Jeju - to reunite with friends, build new connections, find renewed motivation to serve, and participate in the inspiring workshops and plenary sessions, which have never failed to bless me in the past.
Unfortunately, I am unable to afford the registration fees, as I am pursuing a partially funded PhD and continue to face challenges in finding additional work opportunities as an international medical graduate in the UK.
I sincerely hope the Committee will kindly consider my application.</t>
  </si>
  <si>
    <t>Lidia</t>
  </si>
  <si>
    <t>Lupu</t>
  </si>
  <si>
    <t>0032497124377</t>
  </si>
  <si>
    <t>lidia.madalina1@gmail.com</t>
  </si>
  <si>
    <t>Belgium</t>
  </si>
  <si>
    <t>I graduated 4 months ago ( junior doctor) considered a student in y homecountry</t>
  </si>
  <si>
    <t>Radiology Resident</t>
  </si>
  <si>
    <t>I am one of the four people that plans and organises our national mouvement BELCMDA. I am in charge of more specifically of writing ( social media, anouncements, motivational message)and and planing our meetings.</t>
  </si>
  <si>
    <t>I received a bursary that amounted for 300 € for the European Congress that took place in Berlin, 2024</t>
  </si>
  <si>
    <t>Yes (and paid)</t>
  </si>
  <si>
    <t>523 $</t>
  </si>
  <si>
    <t>Aproximativey 2138,73 $ travel cost, no visa required</t>
  </si>
  <si>
    <t>2138.73</t>
  </si>
  <si>
    <t>Around 2000 $</t>
  </si>
  <si>
    <t xml:space="preserve">I am the eldest daughter of a familly of 10 children. My parents, first generation romanian immigrants, moved to Belgium in 2013. The incomes of my familly are very modest as my father is a school bus driver and my mother in a nurse that only managed to start working here 3 years ago. By the grace of God, I managed to finish medical school 4 months ago by working part time and aid from the Belgian gouvernement. As I started my radiology residency, I had to move to a different city and to start living on my own which has been a challenge as a freshly out of school doctor. I am very eager to participate in the conference, but the travel fees and the overall cost of my participation are more important than I can currentlly afford. </t>
  </si>
  <si>
    <t xml:space="preserve">Fegniti Mahuton Marielle </t>
  </si>
  <si>
    <t xml:space="preserve">Adononsi </t>
  </si>
  <si>
    <t>+ 221 774298133</t>
  </si>
  <si>
    <t>mariellehy@gmail.com</t>
  </si>
  <si>
    <t>Senegal</t>
  </si>
  <si>
    <t>Benin</t>
  </si>
  <si>
    <t xml:space="preserve">Student </t>
  </si>
  <si>
    <t xml:space="preserve">Student leader in my national organization </t>
  </si>
  <si>
    <t xml:space="preserve">For the world congress in Tanzania, 2023 </t>
  </si>
  <si>
    <t>631</t>
  </si>
  <si>
    <t>2520</t>
  </si>
  <si>
    <t>1000</t>
  </si>
  <si>
    <t xml:space="preserve">As a student, I have no income. I’m currently in Senegal away from my family and that’s where I served in the national CMDA. 
On my personal funds, I manage to save 1000 dollars because I will be very encouraged and I will learn a lot from the world congress. </t>
  </si>
  <si>
    <t>BUDHA MANI</t>
  </si>
  <si>
    <t>DUNGANA</t>
  </si>
  <si>
    <t xml:space="preserve">0097577712917 </t>
  </si>
  <si>
    <t>benjiruth1968@gmail.com</t>
  </si>
  <si>
    <t>Bhutan</t>
  </si>
  <si>
    <t>Head Nurse</t>
  </si>
  <si>
    <t>1-May</t>
  </si>
  <si>
    <t>12-May</t>
  </si>
  <si>
    <t>Sandra Marcela</t>
  </si>
  <si>
    <t xml:space="preserve">Zeballos Ampuero </t>
  </si>
  <si>
    <t>+59172182102</t>
  </si>
  <si>
    <t>marce.zeb@gmail.com</t>
  </si>
  <si>
    <t>Bolivia</t>
  </si>
  <si>
    <t xml:space="preserve">Médico epidemiología, Hospital Japonés </t>
  </si>
  <si>
    <t>Board of the national movement</t>
  </si>
  <si>
    <t>649</t>
  </si>
  <si>
    <t>I have never been to a world congress, so I would like to be able to be part of it as a fieldworker.</t>
  </si>
  <si>
    <t>Member</t>
  </si>
  <si>
    <t>Carmen Sofia</t>
  </si>
  <si>
    <t>Duran Ruiz</t>
  </si>
  <si>
    <t>+59177935333</t>
  </si>
  <si>
    <t>dra.carmenduranruiz@gmail.com</t>
  </si>
  <si>
    <t>Dental surgeon - Cochabamba</t>
  </si>
  <si>
    <t>missionary among the ethnic groups of Bolivia</t>
  </si>
  <si>
    <t>714 $us</t>
  </si>
  <si>
    <t>$us2400 USD</t>
  </si>
  <si>
    <t>$us 200</t>
  </si>
  <si>
    <t>I have been a bivocational missionary for over 20 years ans currently  I do not have a sufficient finalcial resources</t>
  </si>
  <si>
    <t xml:space="preserve">Daniel </t>
  </si>
  <si>
    <t xml:space="preserve">Lucas Frias </t>
  </si>
  <si>
    <t>+59177370471</t>
  </si>
  <si>
    <t>dlucasfrias@gmail.com</t>
  </si>
  <si>
    <t>member</t>
  </si>
  <si>
    <t xml:space="preserve">Hospital Villa primero de Mayo </t>
  </si>
  <si>
    <t xml:space="preserve">Volunter </t>
  </si>
  <si>
    <t>583</t>
  </si>
  <si>
    <t xml:space="preserve">2000 </t>
  </si>
  <si>
    <t>800</t>
  </si>
  <si>
    <t>I want to learn more about the organization and receive spiritual nourishment for my life as a Christian doctor</t>
  </si>
  <si>
    <t>Bathusis</t>
  </si>
  <si>
    <t>Kabelo Phetogo</t>
  </si>
  <si>
    <t>26774962222</t>
  </si>
  <si>
    <t>bathusip@gmail.com</t>
  </si>
  <si>
    <t>Botswana</t>
  </si>
  <si>
    <t>Medical officer</t>
  </si>
  <si>
    <t>Chair person</t>
  </si>
  <si>
    <t>650 usd</t>
  </si>
  <si>
    <t>2000</t>
  </si>
  <si>
    <t>I will otherwise be happy to support myself fully to go enjoy and be imparted, encouraged and revived together with other brethrens from the world around, but im a junior doctor who just commited himself to expensive further studies abroad with entrance exams that have been quite taxing.</t>
  </si>
  <si>
    <t>Patience</t>
  </si>
  <si>
    <t>Bonthuteng</t>
  </si>
  <si>
    <t>26777127443</t>
  </si>
  <si>
    <t>pbonthuteng@gmail.com</t>
  </si>
  <si>
    <t xml:space="preserve">Unemployed junior doctor </t>
  </si>
  <si>
    <t xml:space="preserve">Junior doctor </t>
  </si>
  <si>
    <t xml:space="preserve">Leader </t>
  </si>
  <si>
    <t xml:space="preserve">Not yet registered </t>
  </si>
  <si>
    <t>755</t>
  </si>
  <si>
    <t>Never been out of the country before</t>
  </si>
  <si>
    <t xml:space="preserve">1/4 of the total amount </t>
  </si>
  <si>
    <t>am humbly requesting financial support from the Christian Medical Fellowship because I am currently facing financial constraints that make it difficult for me to fully participate in and benefit from this fellowship opportunity. I view this support not simply as assistance, but as an investment in a future healthcare professional who is committed to serving God and the community faithfully.</t>
  </si>
  <si>
    <t>Talitha</t>
  </si>
  <si>
    <t>Formagio Telles</t>
  </si>
  <si>
    <t>+5544999970033</t>
  </si>
  <si>
    <t>tformagiotelles@hotmail.com</t>
  </si>
  <si>
    <t>Brazil</t>
  </si>
  <si>
    <t>Family Doctor and I work at Centro Universitário Integrado of Campo Mourão</t>
  </si>
  <si>
    <t>Leader of a local group in my city and in RR of South America.</t>
  </si>
  <si>
    <t>I was awarded a bursury to attend the world congress in India.</t>
  </si>
  <si>
    <t>U$ 814,00</t>
  </si>
  <si>
    <t>U$ 1600,00</t>
  </si>
  <si>
    <t>1600</t>
  </si>
  <si>
    <t>Airfare costs are very high for us in Brazil. Any possibility of bursury to help with registration would be very helpful.</t>
  </si>
  <si>
    <t>Jenniffer Laura</t>
  </si>
  <si>
    <t>daltro monteiro da silva loures</t>
  </si>
  <si>
    <t>+5531997343342</t>
  </si>
  <si>
    <t>jldms1@gmail.com</t>
  </si>
  <si>
    <t>CBHO Centro Belorizontino de Oftalmologia- Ophtalmologist</t>
  </si>
  <si>
    <t>ICMDA fieldworker Brazil Colombia and Venezuela</t>
  </si>
  <si>
    <t>814 dollar</t>
  </si>
  <si>
    <t>3700</t>
  </si>
  <si>
    <t>2900</t>
  </si>
  <si>
    <t xml:space="preserve">I am going with my husband. I will need financial support because of the cost of air plane. Our participation is very important to South America, we will be better prepared to help others after the congress. </t>
  </si>
  <si>
    <t>Artur</t>
  </si>
  <si>
    <t>Ventura</t>
  </si>
  <si>
    <t>5585992849946</t>
  </si>
  <si>
    <t>arturventura009@gmail.com</t>
  </si>
  <si>
    <t>Medical Student</t>
  </si>
  <si>
    <t xml:space="preserve">Student Working Group Coordinator (Médicos de Cristo - CMF Brazil), Sydenham Leadership Training Facilitator, Bioethics Training Facilitator, Confident Christianity Training Facilitator </t>
  </si>
  <si>
    <t>$407</t>
  </si>
  <si>
    <t>$2,150.00</t>
  </si>
  <si>
    <t>2150</t>
  </si>
  <si>
    <t>$1,000.00</t>
  </si>
  <si>
    <t>Thank you for the opportunity to express why I believe I should receive financial support. First, I believe that one of the main reasons is because I understand that the World Congress in Jeju, in 2026, is something that is aligned with the Lord's will for my life.
Since I started engaging in the activities of the national association to which I belong (Médicos de Cristo - CMF Brazil), I have been able to understand more deeply what it really means to be a Christian doctor. I understood that healthcare and the way of life as a follower of Jesus are not mutually exclusive paths, but, on the contrary, complement and strengthen each other.
Right at the beginning of this engagement, I had the blessed opportunity to meet people whom the Lord placed in my path and to participate in activities and events promoted by Médicos de Cristo, such as the 2023 Student Camp and the 2024 MDC National Congress (IV ICMDA Congress for Portuguese-speaking countries). Since then, I have been able to actively engage in the service developed by MDC and ICMDA.
I have been blessed to take courses offered in my native language (Portuguese) and to serve as a facilitator both virtually (Sydenham, Bioethics, and Confident Christianity) and in person (Confident Christianity and Saline Process). I have also been blessed to serve Spanish-speaking brothers and sisters in the Spanish cohort of the Sydenham training. Every opportunity to serve the body of Christ globally and to participate in what God is accomplishing through ICMDA fills me with deep joy and a sense of purpose.
For this reason, I desire to actively participate in the World Congress in Jeju in 2026. This event is especially significant to me because the story of the introduction of Christianity to the Korean peninsula, through the American missionary Dr. Horace Allen and Chejungwon Hospital, profoundly marked my faith journey during medical school. Korea is a clear example of how medicine can be an instrument used by the Lord to open doors in the mission field.
For all these reasons, I have been planning to attend the congress in South Korea since at least 2024. However, due to my financial situation as a medical student and the distance between my country and the event location, the costs are high, making my participation difficult without financial support. While I pray for the decisions to be made and for the upcoming World Congress, I sincerely thank you for the opportunity to participate in this application process. In Christ, Artur.</t>
  </si>
  <si>
    <t>633</t>
  </si>
  <si>
    <t>DAYANE GONÇALVES</t>
  </si>
  <si>
    <t>DA SILVA</t>
  </si>
  <si>
    <t>31991225648</t>
  </si>
  <si>
    <t>dayanew17@gmail.com</t>
  </si>
  <si>
    <t>Líder grupo local MDC BH</t>
  </si>
  <si>
    <t>Psicóloga hospital, Hospital Evangélico Belo Horizonte</t>
  </si>
  <si>
    <t>Representante de missões MDC grupo local BH</t>
  </si>
  <si>
    <t>3,749,58</t>
  </si>
  <si>
    <t>3749.58</t>
  </si>
  <si>
    <t>1.874,79</t>
  </si>
  <si>
    <t>1874.79</t>
  </si>
  <si>
    <t>Dear Evaluation Committee, I am writing to request financial support to participate in the ICMDA Jeju 2026 congress. Besides being a dream of mine to visit Korea, it will be a unique experience full of learning and knowledge, contributing to my professional and spiritual growth. It will allow me to receive instruction on how to be an instrument of the Lord through my profession, and also provide networking opportunities with other healthcare professionals from around the world. This is what motivates me to participate in the congress. As a missions representative for the local MDC BH group, my participation in the congress will allow me to share the knowledge and experiences gained, so that we can put ideas into practice to glorify the Lord through our profession and reach vulnerable people who are suffering, bringing peace, love, and the word of God. I have registered for the congress, but have not yet made the payment. The congress involves significant travel, accommodation, and registration costs, and unfortunately, at the moment, I do not have sufficient financial resources to cover these costs. I have already started organizing my finances to raise as much money as possible to cover expenses. Attending this conference is a great dream, but without financial support, unfortunately it will be difficult to participate.
Thank you immensely in advance,
Sincerely,
Dayane Gonçalves da Silva</t>
  </si>
  <si>
    <t>Jean Augusto</t>
  </si>
  <si>
    <t>De Carvalho Silva de Souza</t>
  </si>
  <si>
    <t>5511941176128</t>
  </si>
  <si>
    <t>jeansaugusto@hotmail.com</t>
  </si>
  <si>
    <t xml:space="preserve">Medicine family doctor in São Paulo, Brasil </t>
  </si>
  <si>
    <t xml:space="preserve">Saline and Confident facilitator </t>
  </si>
  <si>
    <t>814$</t>
  </si>
  <si>
    <t>2800$</t>
  </si>
  <si>
    <t>360$</t>
  </si>
  <si>
    <t>I am a member of the MDC in Brazil, I am part of the local leadership in São Paulo, I am a facilitator of Saline and Confident. I would like to participate for the first time in an ICMDA world congress.</t>
  </si>
  <si>
    <t>jose gabriel</t>
  </si>
  <si>
    <t>palma pereira</t>
  </si>
  <si>
    <t>+5959918877</t>
  </si>
  <si>
    <t>palmapereirajosegabriel@gmail.com</t>
  </si>
  <si>
    <t>Paraguay</t>
  </si>
  <si>
    <t xml:space="preserve">I don't work </t>
  </si>
  <si>
    <t xml:space="preserve">I am the leader of medical students at ICMDA in Paraguay. </t>
  </si>
  <si>
    <t xml:space="preserve">I have never received any awards, and I would like some help with airline tickets. I don't have any money. </t>
  </si>
  <si>
    <t>588</t>
  </si>
  <si>
    <t xml:space="preserve">Approximately $3,000  </t>
  </si>
  <si>
    <t xml:space="preserve">I don't have any money, I don't work, I can't afford to go.  </t>
  </si>
  <si>
    <t xml:space="preserve">
Dear ICMDA Organizing Committee,
My name is José Gabriel Palma Pereira. I am a 5th-year medical student and an actively engaged missionary, currently working to implement the ICMDA (International Christian Medical and Dental Association) here in Paraguay.
It is with great joy that we follow the global movement of ICMDA, and we dream of seeing this network strengthened in our country as well. I would like to humbly request a full registration waiver for the upcoming World Congress in Jeju – 2026.
Our desire to participate is sincere and deeply committed; however, we are currently facing significant financial limitations, both personally and within the context of our mission. At this moment, we are unable to cover the costs of registration or airfare.
We are convinced that this opportunity will be transformative for the growth of ICMDA in Paraguay and for our personal and professional journey as Christian healthcare workers. We believe that God can use this gathering to expand our vision and mission throughout South America.
For this reason, I have been actively working on implementing the vision and values of ICMDA in Paraguay, encouraging connection among Christian students and healthcare professionals so they can support each other and serve together with integrity in their local contexts. This is a process we are building step by step, through prayer, partnerships, and local initiatives. I truly believe God is opening doors for something greater.
If it is possible to receive any additional financial assistance (such as a travel scholarship) or to be included in any support program, we would be deeply grateful. We are confident that God will reward each of you for your generosity and Kingdom-hearted service.
We would be glad to provide more information about the work we are doing here in Paraguay and the fruit we are already witnessing in these early stages of ICMDA implementation.
Thank you very much for considering our request.
With gratitude and hope,
José Gabriel Palma Pereira
Medical Student
📞 +595 994 377638
📧 palreirajosegabriel@gmail.com
Ciudad del Este – Paraguay</t>
  </si>
  <si>
    <t>José</t>
  </si>
  <si>
    <t>Vanzin</t>
  </si>
  <si>
    <t>+5541997804995</t>
  </si>
  <si>
    <t>j.hvanzin@gmail.com</t>
  </si>
  <si>
    <t>Primary Health Care Unit</t>
  </si>
  <si>
    <t>I serve as the Missions Coordinator of a local Christian Medical Doctors group affiliated with the ICMDA, based in a major capital city in Brazil. In this role, I help organize and support mission activities, outreach initiatives, and local engagement among Christian physicians. I am also involved in the national Christian Medical Doctors student working group, where I assist in the organization and coordination of a nationwide student camp involving participants from across Brazil.</t>
  </si>
  <si>
    <t>$755</t>
  </si>
  <si>
    <t>$2000</t>
  </si>
  <si>
    <t>$500</t>
  </si>
  <si>
    <t>As a recently graduated medical doctor, having completed my degree approximately six months ago, I am at the very beginning of my professional career. I completed my medical training at a private medical school and had to finance my education in order to be able to complete my studies, which resulted in a significant student debt. At this stage, my financial resources are limited, and receiving financial support would make it possible for me to participate fully in this opportunity, which I believe will greatly contribute to my professional, personal, and ministry development.</t>
  </si>
  <si>
    <t>Flávia</t>
  </si>
  <si>
    <t>Fonseca</t>
  </si>
  <si>
    <t>+55 31 975661121</t>
  </si>
  <si>
    <t>flaviafig.f@gmail.com</t>
  </si>
  <si>
    <t>Second-year paediatric resident at Santa Casa de Misericordia de Belo Horizonte (Santa Casa - BH)</t>
  </si>
  <si>
    <t>Training Track Cluster Coordinator for Sydenham Foundations - For Latin America (including Portuguese-speaking Africa)</t>
  </si>
  <si>
    <t>I had the privilege of receiving a bursary to attend the Sydenham Training in person in London in 2019, which included £800 and a waiver of the conference fee.</t>
  </si>
  <si>
    <t>USD 755 (Middle-income country/Junior/Pre+Main)</t>
  </si>
  <si>
    <t>-	From Belo Horizonte-MG (Brazil) to Seoul: Approximately USD 2,000 (Qatar Airways/Emirates - Economy Class - Round Trip). -	From Seoul to Jeju: Approximately USD 70 (Korean Air/Asiana Airlines/Jeju Air - Economy Class - Round Trip) -	K-ETA fee: USD 7. -	Estimated total: USD 2,077</t>
  </si>
  <si>
    <t>2077</t>
  </si>
  <si>
    <t>I managed to pay the USD 755 registration fee (equivalent to 4,000 Brazilian reais) thanks to God's providence, and I will be saving to raise more. I believe I can contribute USD 1,000 (equivalent to 5,400 Brazilian reais).</t>
  </si>
  <si>
    <t>1755</t>
  </si>
  <si>
    <t>I’m currently in my second year of paediatric residency. Our workload is 60 hours per week, and I receive 3,300 Brazilian reais per month (equivalent to USD 615). Due to my heavy weekly workload, I have difficulty taking on extra shifts outside of residency, which makes it harder to raise additional funds.</t>
  </si>
  <si>
    <t>Davi</t>
  </si>
  <si>
    <t xml:space="preserve">Silva </t>
  </si>
  <si>
    <t>55 031 987770507</t>
  </si>
  <si>
    <t>araujoccbh@gmail.com</t>
  </si>
  <si>
    <t>clinic</t>
  </si>
  <si>
    <t xml:space="preserve">National coordinator of bioethics training </t>
  </si>
  <si>
    <t>$325</t>
  </si>
  <si>
    <t>$1326,25</t>
  </si>
  <si>
    <t>1326.25</t>
  </si>
  <si>
    <t>$537,85</t>
  </si>
  <si>
    <t>537.85</t>
  </si>
  <si>
    <t>I would be truly grateful to receive this scholarship, especially as I will be getting married on June 20, 2026. As a newlywed, this support would make participation more accessible and manageable.</t>
  </si>
  <si>
    <t xml:space="preserve">Retired </t>
  </si>
  <si>
    <t>$0</t>
  </si>
  <si>
    <t xml:space="preserve">SIDBEWENDIN ABDOUL AZIZ NAZER </t>
  </si>
  <si>
    <t xml:space="preserve">TAPSOBA </t>
  </si>
  <si>
    <t>00226 70887048</t>
  </si>
  <si>
    <t>aziztapsoba28@gmail.com</t>
  </si>
  <si>
    <t>Burkina</t>
  </si>
  <si>
    <t>Doctor</t>
  </si>
  <si>
    <t>54</t>
  </si>
  <si>
    <t>Hello
I think that i should be financially supported because i was a the beginning of my country médical association  and the responsible ask bursary for me</t>
  </si>
  <si>
    <t xml:space="preserve">Nongwendé Perside </t>
  </si>
  <si>
    <t xml:space="preserve">YABRE </t>
  </si>
  <si>
    <t>+226 72717473</t>
  </si>
  <si>
    <t>persideyabre@gmail.com</t>
  </si>
  <si>
    <t>Burkina Faso</t>
  </si>
  <si>
    <t xml:space="preserve">Docteur en spécialisation à Ouagadougou </t>
  </si>
  <si>
    <t xml:space="preserve">Responsable des étudiants </t>
  </si>
  <si>
    <t>464</t>
  </si>
  <si>
    <t xml:space="preserve">Je viens d'obtenir mon diplôme de docteur en médecine et je suis entrain de débuter la formation pour la spécialisation donc n'ayant pas de revenus conséquents pour me prendre en charge totalement pour le congrès </t>
  </si>
  <si>
    <t>Hamado</t>
  </si>
  <si>
    <t xml:space="preserve">Sawadogo </t>
  </si>
  <si>
    <t>'+22670822507</t>
  </si>
  <si>
    <t>hamadodavidsawadogo@gmail.com</t>
  </si>
  <si>
    <t xml:space="preserve">Family Physician </t>
  </si>
  <si>
    <t xml:space="preserve">Vice President of my national movement, fieldworker of ICMDA, Trainings Tract Cluster Coordinator... </t>
  </si>
  <si>
    <t xml:space="preserve">In 2018, 2023 in India and Tanzania for the ICMDA World Congress </t>
  </si>
  <si>
    <t>755 USD</t>
  </si>
  <si>
    <t>3827</t>
  </si>
  <si>
    <t xml:space="preserve">1000 USD </t>
  </si>
  <si>
    <t xml:space="preserve">1. As ICMDA Fieldworker and Training Track Cluster Coordinator, my aim with this congres is to be equipped in order to equip our national movement and our ICMDA Africa Francophone region regional members.  I think through this conference, I will have some new knowledge, experiences, skills which will help me to equip our members.
2. To contribute to the success of the ICMDA World Congress 
</t>
  </si>
  <si>
    <t>Zinéwendé Patoensamba</t>
  </si>
  <si>
    <t>OUBDA OUEDRAOGO</t>
  </si>
  <si>
    <t>0022675750705</t>
  </si>
  <si>
    <t>sissi83fr@yahoo.fr</t>
  </si>
  <si>
    <t>Radiologist</t>
  </si>
  <si>
    <t>755 $</t>
  </si>
  <si>
    <t>2250 $</t>
  </si>
  <si>
    <t>1000 $</t>
  </si>
  <si>
    <t>Currently working as a radiologist at the Schiphra Protestant Hospital, my desire is to share my faith and reflect the person of Christ through true love and all its virtues, especially in my country troubled by terrorism.
This congress represents a unique opportunity for me to exchange ideas with experts and share experiences and learning with other Christian doctors.
This scholarship would be valuable in broadening my horizons, strengthening and encouraging me, and above all, allowing me to become more aware of the role the Lord entrusts me as a Christian physician. Please  kindly accept, my highest regards.</t>
  </si>
  <si>
    <t>831$</t>
  </si>
  <si>
    <t>$200</t>
  </si>
  <si>
    <t>OSEE</t>
  </si>
  <si>
    <t>NKENGURUTSE</t>
  </si>
  <si>
    <t>+25779074611</t>
  </si>
  <si>
    <t>oseenkengurutse@gmail.com</t>
  </si>
  <si>
    <t>Burundi</t>
  </si>
  <si>
    <t>Jubilee Allianz General Insurance Burundi</t>
  </si>
  <si>
    <t>ICMDA Fieldworker and Legal Representative of Burundi CMDA</t>
  </si>
  <si>
    <t>The last world Congress in ARUSHA</t>
  </si>
  <si>
    <t>200</t>
  </si>
  <si>
    <t>Because finances would be an obstacle to participation in this congress.</t>
  </si>
  <si>
    <t>NIYONKURU</t>
  </si>
  <si>
    <t>Yves</t>
  </si>
  <si>
    <t>+25779707862</t>
  </si>
  <si>
    <t>yveniyonkuru@gmail.com</t>
  </si>
  <si>
    <t>Docteur, staff</t>
  </si>
  <si>
    <t>Board member, trésorier du mouvement national</t>
  </si>
  <si>
    <t>2023, in World Congress at Arusha</t>
  </si>
  <si>
    <t>327</t>
  </si>
  <si>
    <t>2000$</t>
  </si>
  <si>
    <t>50$</t>
  </si>
  <si>
    <t>Je suis dans l’incapacité absolue de me payer les frais nécessaires. Chaque mois, moi et ma femme elle-même médecin touchons environ 200$. Nous ne parvenons pas à nois procurer tous les besoins de base en famille ce qui limite même nos ambitions de profiter les ensegneiments et la communion avec les autres au delà de notre pays.</t>
  </si>
  <si>
    <t xml:space="preserve">Christian </t>
  </si>
  <si>
    <t>Irakoze</t>
  </si>
  <si>
    <t>+25771131071</t>
  </si>
  <si>
    <t>ichris255@gmail.com</t>
  </si>
  <si>
    <t>Country Program Manager at Life In Abundance Burundi</t>
  </si>
  <si>
    <t>Member and President, Advisory Committee</t>
  </si>
  <si>
    <t>I benefitted a bursary for my participation to the ICMDA World Congress in Arusha</t>
  </si>
  <si>
    <t>333</t>
  </si>
  <si>
    <t>USD 2040</t>
  </si>
  <si>
    <t>2040</t>
  </si>
  <si>
    <t xml:space="preserve">Benefitting a bursary would lighten the financial burden for my participation at the world congress. Although I'm in the senior Doctors category, my revenue is so low that it's hard to cover the expenses and also be able to save. Not having a bursary would hinder my efforts to gather the total budget for the conference though I see that I may soon be able to get the funds for ticket and visa. </t>
  </si>
  <si>
    <t>Tania</t>
  </si>
  <si>
    <t>Gahama Ineza</t>
  </si>
  <si>
    <t>+25761250019</t>
  </si>
  <si>
    <t>gahamatania@gmail.com</t>
  </si>
  <si>
    <t>Medical doctor</t>
  </si>
  <si>
    <t>Secretary of the Burundi CMDA</t>
  </si>
  <si>
    <t>Bursary for attendance of the 2023 ICMDA World Congress in Arusha</t>
  </si>
  <si>
    <t>328</t>
  </si>
  <si>
    <t>$250</t>
  </si>
  <si>
    <t>Living and working in low invome country while raising toddlers brings chaenges in attending international conferences due to financial limitations. However, we firmly beleive that it is very impirtant for our local orgaisation to participate to be strenthen by the global community, to learn and to metwork.</t>
  </si>
  <si>
    <t>HERVE TISTOU</t>
  </si>
  <si>
    <t>HITIMANA</t>
  </si>
  <si>
    <t>00257 79 156 643</t>
  </si>
  <si>
    <t>h.tistou@gmail.com</t>
  </si>
  <si>
    <t>Volunteer as Founder &amp; Executive Director at www.IMIF.ong</t>
  </si>
  <si>
    <t>ACTIF MEMBER</t>
  </si>
  <si>
    <t>2022 ARUSHA ICMDA CONGRESS</t>
  </si>
  <si>
    <t>324</t>
  </si>
  <si>
    <t xml:space="preserve">Since my involvement in ICMDA activities at both national and regional levels, I have learned a lot and experienced personal and spiritual transformation. It has helped clarify my vision, which led me to start a local, volunteer-based faith-based organization (FBO) in my country to serve the underserved.
Participating in the 2026 ICMDA World Congress in Jeju would be a great encouragement and a source of empowerment. It would equip me with valuable knowledge and insight to share with my team and community.
I have been volunteering with IMIF (Initiatives in Medical Intervention Fellowship) since I graduated in medicine. While this has brought much fulfillment, it has also affected my financial situation. I therefore kindly request financial support to attend this congress, and I am praying for the opportunity to be part of this life-changing gathering.
</t>
  </si>
  <si>
    <t>BELYSE</t>
  </si>
  <si>
    <t>MUPFASONI</t>
  </si>
  <si>
    <t>+25779618038</t>
  </si>
  <si>
    <t>mupfasonib1@gmail.com</t>
  </si>
  <si>
    <t>Medical coordinator in national blood transfusion center</t>
  </si>
  <si>
    <t>325</t>
  </si>
  <si>
    <t>because financially, I would not be able to cover all the costs related to the conference</t>
  </si>
  <si>
    <t xml:space="preserve">NUON </t>
  </si>
  <si>
    <t>BORA</t>
  </si>
  <si>
    <t>+85598447607</t>
  </si>
  <si>
    <t>Boranuon0427@gmail.com</t>
  </si>
  <si>
    <t>Cambodia</t>
  </si>
  <si>
    <t xml:space="preserve">KHMER SOVIET FRIENDSHIP HOSPITAL </t>
  </si>
  <si>
    <t xml:space="preserve">Member </t>
  </si>
  <si>
    <t>355</t>
  </si>
  <si>
    <t>600$</t>
  </si>
  <si>
    <t>150$</t>
  </si>
  <si>
    <t xml:space="preserve">Because I am trainee student </t>
  </si>
  <si>
    <t>Socheata</t>
  </si>
  <si>
    <t>Sokun</t>
  </si>
  <si>
    <t>+855888070172</t>
  </si>
  <si>
    <t>socheatasokun08@gmail.com</t>
  </si>
  <si>
    <t>Student</t>
  </si>
  <si>
    <t>Young Leader</t>
  </si>
  <si>
    <t>343</t>
  </si>
  <si>
    <t>$450</t>
  </si>
  <si>
    <t>As a young leader in CCMF, I am deeply inspired by seeing medical professionals from around the world seek to grow in faith and rely on God. Having attended several ICMDA gatherings, I have experienced how these events deepen my spiritual life and ignite my passion to serve. As a medical student in Cambodia with no income, the cost of attending the Jeju ICMDA World Congress is beyond my means. Receiving financial support would make it possible for me to attend this transformative conference and rekindle my faith, like a coal glowing in God’s presence.</t>
  </si>
  <si>
    <t>CHHORM</t>
  </si>
  <si>
    <t xml:space="preserve">Sovanroza </t>
  </si>
  <si>
    <t>85577984463</t>
  </si>
  <si>
    <t>thomasroza66@gmail.com</t>
  </si>
  <si>
    <t>350</t>
  </si>
  <si>
    <t xml:space="preserve">500 </t>
  </si>
  <si>
    <t xml:space="preserve">By God’s grace, I grew up in Christian school and got accepted that Jesus Christ is my savior there. However when I got into medical school, the situation changed completely by the surrounding environment. I noticed that my faith is not strong enough like we are alone. Thank you Lord that guided me to join Cambodia Christian medical fellowship (CCMF). We have one purpose to grow spiritually as we fulfill our roles in the medical field. Bi-weekly meetings and missions bring us close together to serve and praise the Lord. By warm and encouraging from our beloved Seniors and juniors keep pushing me to serve as a key volunteer in the praise team to serve wholeheartedly to our Lord. In 2024, I got a chance as a young leader to join the second ICMDA SEA young leader meeting in Malaysia. It looked like an open door  to see and be touched by what we can do as a community to serve and praise the Lord. I do believe that in the 18th ICMDA world congress, God will guide me and introduce me to see his work within nations around the world. </t>
  </si>
  <si>
    <t xml:space="preserve">ROM </t>
  </si>
  <si>
    <t>LORK</t>
  </si>
  <si>
    <t>(+855)969953636</t>
  </si>
  <si>
    <t>soklork.rom@gmail.com</t>
  </si>
  <si>
    <t xml:space="preserve">Calmette hospital </t>
  </si>
  <si>
    <t xml:space="preserve">Young leaders </t>
  </si>
  <si>
    <t>356</t>
  </si>
  <si>
    <t>$700</t>
  </si>
  <si>
    <t>$150</t>
  </si>
  <si>
    <t xml:space="preserve">Because I'm a student </t>
  </si>
  <si>
    <t xml:space="preserve">Huon </t>
  </si>
  <si>
    <t xml:space="preserve">Sam Ath </t>
  </si>
  <si>
    <t>85569420000</t>
  </si>
  <si>
    <t>drsam0701@gmail.com</t>
  </si>
  <si>
    <t xml:space="preserve">Skun Clinic </t>
  </si>
  <si>
    <t xml:space="preserve">leader </t>
  </si>
  <si>
    <t xml:space="preserve">2022,i got approved  Bursary to Tanzania Congress , but I cancel bursary because I could not go because family matters. </t>
  </si>
  <si>
    <t>by flight I think around 600USD, And Visa is 40USD</t>
  </si>
  <si>
    <t>640</t>
  </si>
  <si>
    <t>I could contribute 400USD</t>
  </si>
  <si>
    <t xml:space="preserve">because I never get bursary before to join world congress, and I am a national leader in Cambodia, And this year we also register as official in ICMDA in Jeju </t>
  </si>
  <si>
    <t xml:space="preserve">KEOMONEY </t>
  </si>
  <si>
    <t xml:space="preserve">TOUCH </t>
  </si>
  <si>
    <t>+85593261679</t>
  </si>
  <si>
    <t>keomonyclever@gmail.com</t>
  </si>
  <si>
    <t xml:space="preserve">Key Volunteer </t>
  </si>
  <si>
    <t>349</t>
  </si>
  <si>
    <t>300</t>
  </si>
  <si>
    <t>I'd like to ask for financial support because I do not have enough money to pay for the full cost for attending the ICMDA world congress. As I'm a student, my financial resources are limited, but I'm really passionate about learning and growing through ICMDA. Attending this congress will surely be able to help me grow in faith, leadership skill and also medical knowledge, so I can share and serve others with compassion and in a better way in the future.</t>
  </si>
  <si>
    <t>319</t>
  </si>
  <si>
    <t>100$</t>
  </si>
  <si>
    <t>330</t>
  </si>
  <si>
    <t>200 USD</t>
  </si>
  <si>
    <t>$ 1000</t>
  </si>
  <si>
    <t>300$</t>
  </si>
  <si>
    <t>2000 USD</t>
  </si>
  <si>
    <t>500 USD</t>
  </si>
  <si>
    <t>2500$</t>
  </si>
  <si>
    <t>800$</t>
  </si>
  <si>
    <t>200$</t>
  </si>
  <si>
    <t>755$</t>
  </si>
  <si>
    <t xml:space="preserve">Sokun </t>
  </si>
  <si>
    <t>Vannyla</t>
  </si>
  <si>
    <t>+855889950513</t>
  </si>
  <si>
    <t>vanilapipi2@gmail.com</t>
  </si>
  <si>
    <t>Key volunteer</t>
  </si>
  <si>
    <t>344</t>
  </si>
  <si>
    <t>450$</t>
  </si>
  <si>
    <t>As a key volunteer in CCMF, I’m inspired by how ICMDA gatherings deepen faith and fuel my passion for serving others through medicine. As a Cambodian medical student with no income, attending the Jeju ICMDA World Congress is financially out of reach for me.
With financial support, I could join this transformative event, exchange experiences, and seek God more deeply in a global faith community. It would help rekindle my faith and better equip me to serve my community when I return.</t>
  </si>
  <si>
    <t>HANNAH</t>
  </si>
  <si>
    <t xml:space="preserve">MEAS </t>
  </si>
  <si>
    <t>0967489470</t>
  </si>
  <si>
    <t xml:space="preserve">meashannah0106@gmail.com </t>
  </si>
  <si>
    <t>International university (IU)</t>
  </si>
  <si>
    <t>346</t>
  </si>
  <si>
    <t>I am requesting financial supported because I am deeply involved in volunteer service and committed to growing in faith and leadership. This opportunity would play an important role in strengthening my spiritual journey and equipping me to better serve my community. As a student, my financial capacity is limited, and I am unable to fully support myself at this time. With financial support, I would be able to participate fully and continue serving with dedication, humility, and a stronger sense of purpose.</t>
  </si>
  <si>
    <t>Sovannlina</t>
  </si>
  <si>
    <t>Hong</t>
  </si>
  <si>
    <t>+85514800068</t>
  </si>
  <si>
    <t>hong.sovannlina@gmail.com</t>
  </si>
  <si>
    <t>359</t>
  </si>
  <si>
    <t>$300</t>
  </si>
  <si>
    <t>I am an active volunteer and student seeking financial supported to attend our upcoming national congress. This event is a vital opportunity for me to develop the spiritual maturity and leadership skills needed to serve my community more effectively. As a student, I am currently unable to self-fund this journey. By supporting my attendance, you are empowering me to return with a stronger commitment and a deeper capacity to lead and serve others</t>
  </si>
  <si>
    <t xml:space="preserve">Phoem </t>
  </si>
  <si>
    <t xml:space="preserve">Chanthen </t>
  </si>
  <si>
    <t>+855 97 353 6044</t>
  </si>
  <si>
    <t xml:space="preserve">Technician / Doctor Assistant </t>
  </si>
  <si>
    <t xml:space="preserve">assistant </t>
  </si>
  <si>
    <t xml:space="preserve">key Voluntter </t>
  </si>
  <si>
    <t>353</t>
  </si>
  <si>
    <t>250</t>
  </si>
  <si>
    <t xml:space="preserve">because  I am a key volunteer and active serve in CCMF </t>
  </si>
  <si>
    <t xml:space="preserve">Sodavid </t>
  </si>
  <si>
    <t>Naro</t>
  </si>
  <si>
    <t>85510990944</t>
  </si>
  <si>
    <t>narodavidktc@gmail.com</t>
  </si>
  <si>
    <t>338</t>
  </si>
  <si>
    <t>I am asking for financial support because I am actively serving as a volunteer in the organization in my country. I believe this congress will be part of God’s guidance for my spiritual growth, equipping me with deeper understanding, stronger faith, and better leadership skills to serve others. As a student, I do not yet have the financial means to cover the travel and participation costs on my own. With this support, I would be able to attend the congress, grow spiritually, and return better prepared to serve my organization and community with humility, dedication, and faith.</t>
  </si>
  <si>
    <t>Ymey</t>
  </si>
  <si>
    <t xml:space="preserve">ChhangSour </t>
  </si>
  <si>
    <t>+855967779694</t>
  </si>
  <si>
    <t>meyboy77@gmail.com</t>
  </si>
  <si>
    <t>341</t>
  </si>
  <si>
    <t>I have a strong desire to grow in leadership and Christ-centered healthcare as a Christian medical student. Attending the ICMDA World Congress would greatly enhance my spiritual growth, medical ethics, and ability to treat patients with compassion and integrity. Due to my limited financial resources as a student, I am unable to cover the full cost of participation without assistance. I would be able to benefit from this unique international fellowship and be ready to actively engage in Christian medical student activities and future healthcare service in my community with financial support.</t>
  </si>
  <si>
    <t>LINHHAK</t>
  </si>
  <si>
    <t>LAY</t>
  </si>
  <si>
    <t>855969209466</t>
  </si>
  <si>
    <t>linhhak213@gmail.com</t>
  </si>
  <si>
    <t xml:space="preserve">University of health sciences </t>
  </si>
  <si>
    <t>Key Volunteer</t>
  </si>
  <si>
    <t>336</t>
  </si>
  <si>
    <t>I am seeking financial support because I am an active volunteer in the organization of my country. I believe this congress will be meaningful to my spiritual growth and will help me become a better servant and leader in my community. However, as a student, I do not yet have the ability to earn money to cover the expenses on my own. With financial support, I would be able to attend the congress and continue serving with stronger faith, skills, and commitment.</t>
  </si>
  <si>
    <t>Kimsrun</t>
  </si>
  <si>
    <t>Ngoun</t>
  </si>
  <si>
    <t>+885 010609810</t>
  </si>
  <si>
    <t>Ngounkimsrun57@gmail.com</t>
  </si>
  <si>
    <t>361</t>
  </si>
  <si>
    <t xml:space="preserve">As a full-time medical student, I did not have sufficient time to seek employment. </t>
  </si>
  <si>
    <t xml:space="preserve">Phoeurn </t>
  </si>
  <si>
    <t xml:space="preserve">Chamroeun </t>
  </si>
  <si>
    <t>+85570738817</t>
  </si>
  <si>
    <t>Phoeurnchamroeun0@gmail.com</t>
  </si>
  <si>
    <t xml:space="preserve">Young leader </t>
  </si>
  <si>
    <t>339</t>
  </si>
  <si>
    <t>$500-$1000</t>
  </si>
  <si>
    <t xml:space="preserve"> I wish I could join this event, I used to join ICMDA at Thailand and I learn a lot from this event, as a family medicine residency I want to be Godly man doctor who can treat the patient both physical and their spiritual and think this event is helpful and can build up my faith and strength.</t>
  </si>
  <si>
    <t>Phon</t>
  </si>
  <si>
    <t>sophai</t>
  </si>
  <si>
    <t>+85517396652</t>
  </si>
  <si>
    <t>uhs.sophai@gmail.com</t>
  </si>
  <si>
    <t>CCMF</t>
  </si>
  <si>
    <t xml:space="preserve">regular member </t>
  </si>
  <si>
    <t>1067$</t>
  </si>
  <si>
    <t>I am working at Clinic and NGO with low income for every month.</t>
  </si>
  <si>
    <t xml:space="preserve">BRONET </t>
  </si>
  <si>
    <t xml:space="preserve">BO </t>
  </si>
  <si>
    <t>+855 93451199</t>
  </si>
  <si>
    <t>bobronet1122@gmail.com</t>
  </si>
  <si>
    <t xml:space="preserve">University of Health Sciences </t>
  </si>
  <si>
    <t xml:space="preserve">Volunteer </t>
  </si>
  <si>
    <t>360</t>
  </si>
  <si>
    <t>I am applying for financial support because I am actively involved as a volunteer in my country’s organization, where I dedicate my time to service and community engagement. Attending this Congress would be a deeply meaningful experience for my personal and academic growth, as well as for strengthening my ability to serve others more effectively.
As a student, my financial resources are very limited, and I am currently unable to cover the costs of registration, travel, and visa expenses on my own. Financial assistance would make it possible for me to attend this Congress, gain valuable knowledge and inspiration, and return with renewed motivation, skills, and commitment to contribute positively to my studies, my community, and my country.</t>
  </si>
  <si>
    <t xml:space="preserve">Sreyneang </t>
  </si>
  <si>
    <t xml:space="preserve">Pouv </t>
  </si>
  <si>
    <t>+85586912162</t>
  </si>
  <si>
    <t>eng.pouvc2@gmail.com</t>
  </si>
  <si>
    <t>337</t>
  </si>
  <si>
    <t xml:space="preserve">I don’t have any income yet because I’m still a student </t>
  </si>
  <si>
    <t>offer</t>
  </si>
  <si>
    <t>Sona</t>
  </si>
  <si>
    <t>Seang</t>
  </si>
  <si>
    <t>0712303077</t>
  </si>
  <si>
    <t>sonaseang2022@gmail.com</t>
  </si>
  <si>
    <t>340</t>
  </si>
  <si>
    <t>$800</t>
  </si>
  <si>
    <t>$60</t>
  </si>
  <si>
    <t xml:space="preserve">I should be financially supported cause I'm a student, no financial income and stay on parents provision. It would have me alot if gain the financially supported. Thank you so much </t>
  </si>
  <si>
    <t>PANHA</t>
  </si>
  <si>
    <t>SORN</t>
  </si>
  <si>
    <t>855966688863</t>
  </si>
  <si>
    <t>panhasorn03@gmail.com</t>
  </si>
  <si>
    <t>345</t>
  </si>
  <si>
    <t>I am seeking financial assistance as I am currently serving as a volunteer in  the organization of my country and have been given the opportunity to attend a congress held in another region. I believe this congress is part of God’s guidance in my spiritual journey, as it will help deepen my understanding of faith, strengthen my spiritual life, and develop my leadership skills for better service to others. As a student, I do not yet have the financial resources to cover the costs of travel and participation on my own. With this support, I would be able to attend the congress, grow spiritually, and return more prepared to serve my community with humility, commitment, and faith.</t>
  </si>
  <si>
    <t>MEYLIK</t>
  </si>
  <si>
    <t>EAN</t>
  </si>
  <si>
    <t>855 90696942</t>
  </si>
  <si>
    <t>meyli0602@gmail.com</t>
  </si>
  <si>
    <t>Student at Norton University</t>
  </si>
  <si>
    <t xml:space="preserve">Key volunteer </t>
  </si>
  <si>
    <t>348</t>
  </si>
  <si>
    <t>I am a dental student, and attending this Congress would greatly support my academic and professional development. However, as a student, my financial resources are limited. Financial support would help me cover the costs and allow me to participate in this valuable learning opportunity.</t>
  </si>
  <si>
    <t>PHEAKTRA</t>
  </si>
  <si>
    <t>SOK</t>
  </si>
  <si>
    <t>85516968978</t>
  </si>
  <si>
    <t>sokpheaktra.ped@gmail.com</t>
  </si>
  <si>
    <t>Medical</t>
  </si>
  <si>
    <t>342</t>
  </si>
  <si>
    <t>Financial support would enable me to focus on my responsibilities, maintain continuity in my work, and deliver results effectively.</t>
  </si>
  <si>
    <t>SAK</t>
  </si>
  <si>
    <t>LYZA</t>
  </si>
  <si>
    <t>855 60964107</t>
  </si>
  <si>
    <t>saklyza970@gmail.com</t>
  </si>
  <si>
    <t xml:space="preserve">Student at Norton University </t>
  </si>
  <si>
    <t>351</t>
  </si>
  <si>
    <t xml:space="preserve">
I want to attend this Congress to learn new ideas, meet people from different backgrounds, and gain experience outside the classroom. As a student, it is difficult for me to afford the full cost on my own. Financial support would help me join this Congress and make the most of this opportunity.</t>
  </si>
  <si>
    <t>RITHRATANA</t>
  </si>
  <si>
    <t>Eat</t>
  </si>
  <si>
    <t>855 977363632</t>
  </si>
  <si>
    <t>ratanaeat270@gmail.com</t>
  </si>
  <si>
    <t>Student at health science institute of RCAF</t>
  </si>
  <si>
    <t>352</t>
  </si>
  <si>
    <t>Estimated cost 300</t>
  </si>
  <si>
    <t xml:space="preserve">Not much just 1-150 because I’m a student </t>
  </si>
  <si>
    <t>150</t>
  </si>
  <si>
    <t>I am currently a dental student, and participating in this congress would be a valuable opportunity to enhance my academic and professional growth. However, due to my limited financial resources as a student, I am unable to fully cover the expenses. Receiving financial support would greatly assist me in attending this congress and benefiting from its educational value.</t>
  </si>
  <si>
    <t>Khom</t>
  </si>
  <si>
    <t>Liphea</t>
  </si>
  <si>
    <t>0972527464</t>
  </si>
  <si>
    <t>khomliphea@gmail.com</t>
  </si>
  <si>
    <t xml:space="preserve">Crystal clinic </t>
  </si>
  <si>
    <t xml:space="preserve">Key volunteers </t>
  </si>
  <si>
    <t>354</t>
  </si>
  <si>
    <t>I want to join the congress to represent student voices and help create positive change in our community. As a student facing financial challenges, I have learned resilience and the importance of advocating for equal opportunities. These experiences motivate me to work toward policies that support students who face similar struggles.</t>
  </si>
  <si>
    <t xml:space="preserve">Sreynin </t>
  </si>
  <si>
    <t>Ang</t>
  </si>
  <si>
    <t>+85569986611</t>
  </si>
  <si>
    <t xml:space="preserve">sreynin.ang@mmccambodia.org </t>
  </si>
  <si>
    <t xml:space="preserve">Senior attending doctor at Mercy Medical Center </t>
  </si>
  <si>
    <t>363</t>
  </si>
  <si>
    <t>450</t>
  </si>
  <si>
    <t xml:space="preserve">I'm planning go with my whole family (my husband and one daughter) </t>
  </si>
  <si>
    <t xml:space="preserve">Cheavkun </t>
  </si>
  <si>
    <t xml:space="preserve">Tray </t>
  </si>
  <si>
    <t>855 92386652</t>
  </si>
  <si>
    <t>traykun@live.com</t>
  </si>
  <si>
    <t xml:space="preserve">Senior attending doctor at Mercy Medical Center Cambodia </t>
  </si>
  <si>
    <t>362</t>
  </si>
  <si>
    <t xml:space="preserve">Because we plan to go as a family with my wife and one daughter which a need to pay a lot for travel. </t>
  </si>
  <si>
    <t>Gabriel</t>
  </si>
  <si>
    <t>Loni Ekali</t>
  </si>
  <si>
    <t>+237677333023</t>
  </si>
  <si>
    <t>eloni2000@yahoo.com</t>
  </si>
  <si>
    <t>Cameroon</t>
  </si>
  <si>
    <t xml:space="preserve">Public Health Specialist/Country Director, ICAP </t>
  </si>
  <si>
    <t>364</t>
  </si>
  <si>
    <t>This will be my first time to attend an ICMDA conference. Cameroon is currently applying for affiliation with ICMDA and financially, we are unable to fully support the cost of the delegates to this conference</t>
  </si>
  <si>
    <t xml:space="preserve">Jean Claude Njabou </t>
  </si>
  <si>
    <t>Katte</t>
  </si>
  <si>
    <t>00237 67 75 87 929</t>
  </si>
  <si>
    <t>jckatte@gmail.com</t>
  </si>
  <si>
    <t xml:space="preserve">Public Health Physician </t>
  </si>
  <si>
    <t xml:space="preserve">Vice President </t>
  </si>
  <si>
    <t>$666</t>
  </si>
  <si>
    <t>$1500</t>
  </si>
  <si>
    <t xml:space="preserve">If I am not supported, I will certainly be unable to make it to South Korea for this very important congress - which will also be my very first time attending. </t>
  </si>
  <si>
    <t xml:space="preserve">Dorgès Cédric </t>
  </si>
  <si>
    <t xml:space="preserve">TROMAYO </t>
  </si>
  <si>
    <t>+24675610166</t>
  </si>
  <si>
    <t>tromayodorges@gmail.com</t>
  </si>
  <si>
    <t>Central African Rep</t>
  </si>
  <si>
    <t>Central African Republic</t>
  </si>
  <si>
    <t xml:space="preserve">Ministère de la santé et de la population </t>
  </si>
  <si>
    <t xml:space="preserve">Responsable nationale </t>
  </si>
  <si>
    <t>Juste les frais d'accommodation dans le cadre du programme contact de la médecine de famille à Mango (Togo) 10-22/11/2025</t>
  </si>
  <si>
    <t>367</t>
  </si>
  <si>
    <t>2945$</t>
  </si>
  <si>
    <t>500$</t>
  </si>
  <si>
    <t>Nous sommes nouvellement affilié à l'ICMDA, nous sommes un pays pauvres, toutes fois nous sommes ambitieux et nous voulons nous inspirer des efforts des autres afin de développer notre association et apporter un changement conséquent dans le domaine médical dans notre pays dont le système sanitaire présent d'important défis à relever en particulier les questions d'éthique, la bonne pratique etc. Nous pensons que cette bourse ne sera grandement utile en vue d'une noble cause.</t>
  </si>
  <si>
    <t>MBAIGANG-NON</t>
  </si>
  <si>
    <t>ARCHIPPE</t>
  </si>
  <si>
    <t>+23568464245</t>
  </si>
  <si>
    <t>archippebobo@gmail.com</t>
  </si>
  <si>
    <t>Chad</t>
  </si>
  <si>
    <t>CENTRE HOSPITALIER UNIVERSITAIRE AMITE TCHAD-CHINE</t>
  </si>
  <si>
    <t>LEADER OF STUDENT</t>
  </si>
  <si>
    <t>17TH IN TANZANIA I BENEFITED FOR REGISTRATION FEE</t>
  </si>
  <si>
    <t>370</t>
  </si>
  <si>
    <t>I am a young doctor and I just graduated from university a few months ago. God has been kind to me by giving me a job, except that I am unable to pay all this money because I have expenses that exceed my sources of income at the moment. As a student leader, I want to go to this meeting to gain knowledge and come back to strengthen the young association of Chad.</t>
  </si>
  <si>
    <t xml:space="preserve">Nemba </t>
  </si>
  <si>
    <t xml:space="preserve">Grâce Vaibra </t>
  </si>
  <si>
    <t>+23565108455</t>
  </si>
  <si>
    <t>gracevaibra777@gmail.com</t>
  </si>
  <si>
    <t xml:space="preserve">I am a student </t>
  </si>
  <si>
    <t xml:space="preserve">Charger of communication </t>
  </si>
  <si>
    <t>372</t>
  </si>
  <si>
    <t xml:space="preserve">Actually, I'am young a student at University of NDJAMENA.  I don't have enough money to pay my flight and registration. I need this boursary to learn and come back to help our national association to grow. I hope that God help us for this moment.  </t>
  </si>
  <si>
    <t xml:space="preserve">Aziza Guéguila </t>
  </si>
  <si>
    <t xml:space="preserve">Madjita </t>
  </si>
  <si>
    <t>+23560113793</t>
  </si>
  <si>
    <t>madjitaazizagueguila@gmail.com</t>
  </si>
  <si>
    <t xml:space="preserve">Je suis étudiante à la faculté de médecine </t>
  </si>
  <si>
    <t xml:space="preserve">Je suis membre et potentielle leader </t>
  </si>
  <si>
    <t xml:space="preserve">Non je n'ai pas bénéficié de bourse </t>
  </si>
  <si>
    <t>371</t>
  </si>
  <si>
    <t>Parce que ce congrès est une grande opportunité pour bénéficier des enseignements qui pourront m'aider à non seulement changer de mentalité, mais aussi à savoir gérer vie professionnelle et vie chrétienne en tant que futur médecin et d'échanger avec des grands hommes et femmes de Dieu pour apprendre et m'inspirer de leurs expériences car j'aimerais impacter ma génération avec Jésus Christ en moi. J'aimerais beaucoup y prendre part mais étant étudiante je n'ai pas les moyens financiers nécessaires pour couvrir les frais.</t>
  </si>
  <si>
    <t>Korea South</t>
  </si>
  <si>
    <t xml:space="preserve">MASRA </t>
  </si>
  <si>
    <t>NGARMBAYE</t>
  </si>
  <si>
    <t>+23566219249</t>
  </si>
  <si>
    <t>nmasra@yahoo.com</t>
  </si>
  <si>
    <t>CHU Mère et de l'Enfant</t>
  </si>
  <si>
    <t>national member</t>
  </si>
  <si>
    <t>S 755</t>
  </si>
  <si>
    <t>I need financially supported because my family wants to go with me and then i can't support this alone. Thank you for your comprehension</t>
  </si>
  <si>
    <t>20-May</t>
  </si>
  <si>
    <t>université de N'Djamena</t>
  </si>
  <si>
    <t>Kenya</t>
  </si>
  <si>
    <t>200 dollars</t>
  </si>
  <si>
    <t>Tsuei</t>
  </si>
  <si>
    <t>Hsu</t>
  </si>
  <si>
    <t>+886939208617</t>
  </si>
  <si>
    <t>hdchern@gmail.com</t>
  </si>
  <si>
    <t>China</t>
  </si>
  <si>
    <t>A nursing student in the medical school</t>
  </si>
  <si>
    <t>Nursing student</t>
  </si>
  <si>
    <t>Active participant and local student samll group leader</t>
  </si>
  <si>
    <t>649 USD</t>
  </si>
  <si>
    <t>400 USD</t>
  </si>
  <si>
    <t>Relatively expensive for me to attend as a student with limited income and rely on the family financial support.</t>
  </si>
  <si>
    <t>Diana Marcela</t>
  </si>
  <si>
    <t>Zarrate Guzman</t>
  </si>
  <si>
    <t>+9647511985678</t>
  </si>
  <si>
    <t>zarrate.diana@outlook.com</t>
  </si>
  <si>
    <t>Iraq</t>
  </si>
  <si>
    <t>Colombia</t>
  </si>
  <si>
    <t>Nurse/ fieldworker in Iraq</t>
  </si>
  <si>
    <t>Nurse / Iraq</t>
  </si>
  <si>
    <t>Teammember</t>
  </si>
  <si>
    <t>1400</t>
  </si>
  <si>
    <t>I am a nurse, I am living in Kurdistan, Iraq this is the place that God call me to serve, I work in a women center where I am in charge of giving talks on health prevention and early detection, and I do not have an economical support from my church or with the organization I am with, so the way I raise finances is that in my free time I babysit children so I can pay for my personal expenses, language learning and other needs. I really would like to attend to this conference because I see this like an opportunity where I can learn from others and grow in different areas, not only professionally but spiritually, and also be able to offer better health services to the women I work with.</t>
  </si>
  <si>
    <t>amine Robertica</t>
  </si>
  <si>
    <t>MASSEBO</t>
  </si>
  <si>
    <t>00242 06 73 05 140</t>
  </si>
  <si>
    <t>aminemassebo09@gmail.com</t>
  </si>
  <si>
    <t>Congo</t>
  </si>
  <si>
    <t xml:space="preserve">Je suis trésorière </t>
  </si>
  <si>
    <t xml:space="preserve">J' occupe le poste de trésorière , je gère les finances et mets en place des stratégies pour les finances </t>
  </si>
  <si>
    <t>373</t>
  </si>
  <si>
    <t xml:space="preserve">1000000  millions de FCA </t>
  </si>
  <si>
    <t xml:space="preserve">700000 mille de FCA </t>
  </si>
  <si>
    <t xml:space="preserve">Je suis étudiante vu les coûts de ma scolarité et les dépenses qui est liées à mes études voilà pourquoi je demande de l' aide , car je souhaite vraiment participer à ce Congrès Mondial en vu d'acquérir plus de compétences et de connaissances </t>
  </si>
  <si>
    <t>Illustre Justice</t>
  </si>
  <si>
    <t>MALIKA</t>
  </si>
  <si>
    <t>00242 06 66 49 591</t>
  </si>
  <si>
    <t>justiceillustre@gmail.com</t>
  </si>
  <si>
    <t xml:space="preserve">Institut supérieur des sciences médicales </t>
  </si>
  <si>
    <t xml:space="preserve">Vice Président </t>
  </si>
  <si>
    <t>Personnal activités and my job gived me their</t>
  </si>
  <si>
    <t>John</t>
  </si>
  <si>
    <t>MUSUBAO KATSUVA</t>
  </si>
  <si>
    <t>+243 994 309 091</t>
  </si>
  <si>
    <t>musubaoj@gmail.com</t>
  </si>
  <si>
    <t>Congo {Democratic Rep}</t>
  </si>
  <si>
    <t xml:space="preserve">Orthopedic surgeon </t>
  </si>
  <si>
    <t>National representative</t>
  </si>
  <si>
    <t>50%</t>
  </si>
  <si>
    <t>Financial support would enable me to:
Gain Global Exposure: I would interact with peers from different countries, learn about diverse healthcare challenges, and understand how faith-based medical missions operate in various cultural contexts.
Strengthen Leadership Skills: The congress offers workshops and mentorship opportunities that would equip me to serve more effectively in my local Christian medical fellowship.
Bring Back Valuable Knowledge: I am committed to sharing what I learn with my colleagues and fellow students through presentations, discussions, and organized programs. The investment in me would therefore benefit many others.
Grow Spiritually and Professionally: The integration of faith and medicine discussed at the congress would help shape me into a compassionate, ethical, and competent healthcare professional.
Supporting my attendance would not only impact my personal development but also strengthen the community I serve. I am dedicated to maximizing this opportunity and ensuring that the knowledge and inspiration gained are multiplied in my institution and beyond.</t>
  </si>
  <si>
    <t xml:space="preserve">Mauricette Chrislange </t>
  </si>
  <si>
    <t>NTSEKE NGONGO</t>
  </si>
  <si>
    <t>+242065341546</t>
  </si>
  <si>
    <t>mauricettentseke@gmail.com</t>
  </si>
  <si>
    <t>Congo, Dem. Rep.</t>
  </si>
  <si>
    <t>Optic Student</t>
  </si>
  <si>
    <t>Optician, Rey’Optic</t>
  </si>
  <si>
    <t>375</t>
  </si>
  <si>
    <t>As i still a student, my incomes are not enough to cover all the journey cost, that’s the reason why I need for a bursary to help me attending otherwise I couldn’t.</t>
  </si>
  <si>
    <t>Pascal</t>
  </si>
  <si>
    <t>MUHINDO VAHWERE</t>
  </si>
  <si>
    <t>+243997661154</t>
  </si>
  <si>
    <t>pascalmuhindo@yahoo.fr</t>
  </si>
  <si>
    <t>Medical Doctor</t>
  </si>
  <si>
    <t>Leader In charge of students</t>
  </si>
  <si>
    <t>In 2018 during the world Congress in Hydrabard(India)</t>
  </si>
  <si>
    <t>393</t>
  </si>
  <si>
    <t>2000 usd</t>
  </si>
  <si>
    <t>2000 usd for the transportation and Visa</t>
  </si>
  <si>
    <t>I have not enough money to cover all cost for the conference. I am doing some economy for the transportation and the visa.</t>
  </si>
  <si>
    <t>Eugénie</t>
  </si>
  <si>
    <t>Kamabu</t>
  </si>
  <si>
    <t>+243820199344</t>
  </si>
  <si>
    <t>eugeniekamabu@gmail.com</t>
  </si>
  <si>
    <t>Physician in HEAL Africa Goma/DRC</t>
  </si>
  <si>
    <t>I am a member of AMC in DRC and a vice chairman in our hospital AMC cell.</t>
  </si>
  <si>
    <t>I benefited to bursary at the last international ICMDA at Arusha in 2023 as a Tanzanian delegate because I was still finishing my MMED studies. Now I am back to my country, I hope to benefit to the bursary as a Congolese delegate.</t>
  </si>
  <si>
    <t>382</t>
  </si>
  <si>
    <t>1800USD</t>
  </si>
  <si>
    <t>100USD</t>
  </si>
  <si>
    <t>ICMDA is an opportunity for medical doctors to share experiences, to be taught about how to live as a Christian doctor. There are a lot of senior doctors who preach the word of God and show us our to improve in our practice as a Christian and a doctor. Unfortunately, our country has a lot challenges especially for us coming from the eastern part of the country. We are willing to participate but we can not afford all the cost of the participation. That is why I wish to be financially supported so that I can benefit from this opportunity to participate to this big gathering and get an occasional the grow spiritually and professionally. Thank you in advance.</t>
  </si>
  <si>
    <t xml:space="preserve">KASONGO </t>
  </si>
  <si>
    <t xml:space="preserve">KILOLO ROGUY </t>
  </si>
  <si>
    <t>+2430812134799/852171206</t>
  </si>
  <si>
    <t>roguykasongo80@gmail.com</t>
  </si>
  <si>
    <t xml:space="preserve">Médecin traitant généraliste </t>
  </si>
  <si>
    <t xml:space="preserve">Membre </t>
  </si>
  <si>
    <t>3 ans</t>
  </si>
  <si>
    <t>379</t>
  </si>
  <si>
    <t xml:space="preserve">Acquérir la bonne expérience </t>
  </si>
  <si>
    <t xml:space="preserve">Limite de moyens </t>
  </si>
  <si>
    <t xml:space="preserve">Veveh </t>
  </si>
  <si>
    <t xml:space="preserve">Mastaki </t>
  </si>
  <si>
    <t>+243992824789</t>
  </si>
  <si>
    <t>vmastaki@gmail.com</t>
  </si>
  <si>
    <t xml:space="preserve">Medical practitioner </t>
  </si>
  <si>
    <t>English, French and Kiswahili Translator</t>
  </si>
  <si>
    <t xml:space="preserve">2023, Arusha/Tanzania </t>
  </si>
  <si>
    <t>381</t>
  </si>
  <si>
    <t>2000USD</t>
  </si>
  <si>
    <t xml:space="preserve">I am applying for financial support to attend the 18th ICMDA World Congress in Jeju because this conference represents a unique and greatly needed opportunity for my professional growth, spiritual encouragement, and the strengthening of my medical service.
As a medical doctor working in psychiatry in the Democratic Republic of the Congo, I serve in a region marked by instability, limited medical resources, and a high prevalence of trauma-related mental-health conditions. Every day I meet individuals who carry deep psychological wounds linked to conflict, displacement, poverty, and loss. My work requires not only clinical skills but also resilience, compassion, and a broader vision of healing that integrates both medical science and Christian values.
The theme of the upcoming Congress, “Building God’s Kingdom amongst the broken,” resonates strongly with the context in which I practice. I strongly believe that participating in this gathering would strengthen my capacity to respond to the suffering I witness daily. Through engaging with global Christian healthcare professionals, I hope to learn innovative approaches in trauma care, mental-health leadership, discipleship in medicine, and the integration of faith into clinical practice.
Financial support is essential for me because the economic situation in my region makes it extremely difficult to cover international travel, accommodation, and registration costs on my own. Receiving this assistance would allow me to attend a conference that I would otherwise be unable to afford.
I also commit to ensuring that the benefits of this opportunity go beyond my personal growth. Upon returning, I will share knowledge, resources, and best practices with my colleagues, trainees, and community. This will help strengthen Christian medical leadership locally and contribute to improving the quality of mental-health care in a region that desperately needs it.
For these reasons, I sincerely believe that I qualify for financial support.
</t>
  </si>
  <si>
    <t xml:space="preserve">MALENGE VUMI </t>
  </si>
  <si>
    <t xml:space="preserve">N'KOBA OBÉDINE </t>
  </si>
  <si>
    <t>+250788492804</t>
  </si>
  <si>
    <t>mavobedine@yahoo.fr</t>
  </si>
  <si>
    <t>Rwanda</t>
  </si>
  <si>
    <t xml:space="preserve">GÉNÉRAL PRACTITIONER </t>
  </si>
  <si>
    <t>In Arusha,2023</t>
  </si>
  <si>
    <t>620</t>
  </si>
  <si>
    <t>40-50</t>
  </si>
  <si>
    <t>50</t>
  </si>
  <si>
    <t xml:space="preserve">I am seeking financial support to attend the International Christian Medical Congress because I believe this opportunity will significantly strengthen both my professional development and my ability to serve others with compassion and excellence. As a student/young professional committed to integrating Christian values with medical practice, I see this Congress as a place where I can learn from experienced global leaders, deepen my understanding of medical missions, and grow spiritually and ethically in my calling.
Although I am deeply motivated to attend, my current financial circumstances do not allow me to cover the full costs of travel and participation. Receiving this bursary would remove that barrier and enable me to access training, mentorship, and fellowship that I would otherwise miss. I am committed to using what I learn to impact my community by improving the quality of care I provide, advocating for ethical and Christ-centered medical practice, and encouraging others who feel called to serve.
Your support would not only benefit me personally, but also help extend the mission of Christian healthcare to the people I serve. I am grateful for your consideration and for the opportunity to grow through this Congress.
</t>
  </si>
  <si>
    <t>600</t>
  </si>
  <si>
    <t>400</t>
  </si>
  <si>
    <t xml:space="preserve">Melanny Andrea </t>
  </si>
  <si>
    <t xml:space="preserve">Ramírez Villagra </t>
  </si>
  <si>
    <t>+50683714954</t>
  </si>
  <si>
    <t>melarami.v@gmail.com</t>
  </si>
  <si>
    <t>Costa Rica</t>
  </si>
  <si>
    <t xml:space="preserve">Dentist, in Clínica Resplandece and Clínica Dental Brazos de Amor </t>
  </si>
  <si>
    <t>Nacional Coordinador in Dentistry missions in MasCristo Team</t>
  </si>
  <si>
    <t>397</t>
  </si>
  <si>
    <t xml:space="preserve"> $2200 a $2408</t>
  </si>
  <si>
    <t>2408</t>
  </si>
  <si>
    <t>$800 a $1000</t>
  </si>
  <si>
    <t>I am a junior dentist with one year and a half of experience since graduating in General Dentistry. I currently work through independent professional services, which means my income is variable and not yet stable.
In addition, I help care for my grandmother, who is living with moderate dementia.
 I also serve on the leadership team of the ICMDA Costa Rica Team (MasCristo Asociation , as the Dentistry Missions Coordinator ). I enjoy to see grow and support our team of students and profesionals serving the Lord, transforming communities sharing the health and hope that comes from God in our team and worldwide opportunities of mission too.
Also I  am in the process of opening my first dental clinic to serve my local community in Puntarenas, Costa Rica.
Financial support would allow me to attend the ICMDA World Congress, strengthen my professional and spiritual formation, and build international mission connections to continue serving the Lord through dentistry in Costa Rica and beyond.</t>
  </si>
  <si>
    <t xml:space="preserve">Oscar Rivero </t>
  </si>
  <si>
    <t>Pérez</t>
  </si>
  <si>
    <t>005358875067</t>
  </si>
  <si>
    <t>or109503@gmail.com</t>
  </si>
  <si>
    <t>Cuba</t>
  </si>
  <si>
    <t>Cirujano Maxilofacial. Hospital Universitario Manuel Ascunce Domenech. Camagüey. Cuba</t>
  </si>
  <si>
    <t xml:space="preserve">Miembro Asociado de la ACCPS. Director Nacional de la Asociación Médica de las Asambleas de Dios. Cuba </t>
  </si>
  <si>
    <t>Este Congreso será el marco propicio para dar a conocer el trabajo de las iglesias en Cuba en el ámbito médico y aprender de otros hermanos.</t>
  </si>
  <si>
    <t>Yapo Gilles</t>
  </si>
  <si>
    <t>OBO</t>
  </si>
  <si>
    <t>+2250708785036</t>
  </si>
  <si>
    <t>yapogilles@yahoo.fr</t>
  </si>
  <si>
    <t>Ivory Coast</t>
  </si>
  <si>
    <t>Cote d'Ivoire</t>
  </si>
  <si>
    <t>Senior Medical Officer of the 4th Battalion Health Center</t>
  </si>
  <si>
    <t>Vice president and general secretary</t>
  </si>
  <si>
    <t>483</t>
  </si>
  <si>
    <t>2400</t>
  </si>
  <si>
    <t>This ICMDA conference would be the first for the association from Côte d’Ivoire, and it would be a great pleasure for us to immerse ourselves in the vision that we already share. We wish to join the great ICMDA family, but since Korea is far away, the cost of travel is higher than what we can afford. A bursary would therefore help us take part in this inspiring event, and we look forward to meeting the ICMDA family we are eager to join.</t>
  </si>
  <si>
    <t>Adjo Anne-Mireille</t>
  </si>
  <si>
    <t>Bodoua</t>
  </si>
  <si>
    <t>+2250711172189</t>
  </si>
  <si>
    <t>Bodouaanno@gmail.com</t>
  </si>
  <si>
    <t>Medical student</t>
  </si>
  <si>
    <t xml:space="preserve">Secrétaire générale </t>
  </si>
  <si>
    <t>At 2023 ,to the wolrd congress at Tanzania</t>
  </si>
  <si>
    <t>484</t>
  </si>
  <si>
    <t>This icmda conference would be the first for the association from ivory cost and it would be a great pleasure for us to immerse ourselves in the vision that we already share.we wish to join the great icmda family but since korea is far away the cost of travel is higher than what we can afford.a bursary would therfore hemp us take part in this inspirind event ,and we look forward to meeting the Icmda family we are eager to join.</t>
  </si>
  <si>
    <t xml:space="preserve">Yudeisi </t>
  </si>
  <si>
    <t xml:space="preserve">Suarez Columbie </t>
  </si>
  <si>
    <t>+5358039903</t>
  </si>
  <si>
    <t>suarezcolumbie84@gmail.com</t>
  </si>
  <si>
    <t xml:space="preserve">Clínica Dental Ormani Arenado </t>
  </si>
  <si>
    <t xml:space="preserve">Presidente Nacional de ACCPS </t>
  </si>
  <si>
    <t>To participate in the Congress in Tanzania, we were helped with travel tickets and accommodation.</t>
  </si>
  <si>
    <t xml:space="preserve">El costo de senior </t>
  </si>
  <si>
    <t xml:space="preserve">En total puede ser 3000usd,menos si se hace con tiempo </t>
  </si>
  <si>
    <t>Costo de la visa</t>
  </si>
  <si>
    <t xml:space="preserve">Cuba, es un país donde los médicos no tenemos consultas privadas y nuestra moneda no tiene valor internacional </t>
  </si>
  <si>
    <t>Michal</t>
  </si>
  <si>
    <t>Belan</t>
  </si>
  <si>
    <t>+421949143464</t>
  </si>
  <si>
    <t>michal.belan3@gmail.com</t>
  </si>
  <si>
    <t>Leader of christian medical fellowship in Olomouc</t>
  </si>
  <si>
    <t>Slovakia</t>
  </si>
  <si>
    <t>Czechia</t>
  </si>
  <si>
    <t>Future Medical Doctor</t>
  </si>
  <si>
    <t>Slovakia is not part of the ICMDA yet, I am the leader of local christian medical fellowship</t>
  </si>
  <si>
    <t>641</t>
  </si>
  <si>
    <t>$1200</t>
  </si>
  <si>
    <t>$600</t>
  </si>
  <si>
    <t>My parents are local missionaries in my country so we are living from gifts from others (so they are not able to pay conference with traveling for me). I went to medicine because I would like to be like them, but maybe in Africa (if it will be God’s will). Also Slovakia - my country is not part of ICMDA yet, but I would like to change it and be part of it. And i think this conference could help me to get closer to my aims and get to know more about God’s calling for me for His Kingdom</t>
  </si>
  <si>
    <t>Jeverly Joely</t>
  </si>
  <si>
    <t xml:space="preserve">Mejia Arias </t>
  </si>
  <si>
    <t>+1 829-637-2565</t>
  </si>
  <si>
    <t>mejiajeverly58@gmail.com</t>
  </si>
  <si>
    <t>Dominican Republic</t>
  </si>
  <si>
    <t xml:space="preserve">Dental assistant </t>
  </si>
  <si>
    <t xml:space="preserve">I am requesting a scholarship to attend this Christian congress because my work and calling are deeply rooted in faith and service. I lead a foundation focused on the emotional, mental, and spiritual well-being of children and vulnerable communities, always guided by Christian values.
During one of our recent activities, 67 children made their prayer of faith, and the presence of God was truly powerful and undeniable. It was a moment of transformation, hope, and spiritual renewal.
Attending this congress would allow me to grow spiritually and gain tools to continue serving more effectively, strengthening the impact of the work God has entrusted to me.
Thank you for your consideration.
</t>
  </si>
  <si>
    <t xml:space="preserve">Marie </t>
  </si>
  <si>
    <t>C</t>
  </si>
  <si>
    <t>+593 99 269 8146</t>
  </si>
  <si>
    <t>marie.carrera@icmda.net</t>
  </si>
  <si>
    <t>Staff or contractor</t>
  </si>
  <si>
    <t>Ecuador</t>
  </si>
  <si>
    <t xml:space="preserve">ICMDA APSA Administrator ; ICMDA Global Saline Administrator </t>
  </si>
  <si>
    <t>ICMDA Staff</t>
  </si>
  <si>
    <t xml:space="preserve">- </t>
  </si>
  <si>
    <t>$814</t>
  </si>
  <si>
    <t>3500</t>
  </si>
  <si>
    <t>I am requesting financial support because I serve full-time with ICMDA, dedicating all my time to ministry, which cannot be supplemented through extra medical work. This congress represents a unique opportunity for growth and contribution, as I have been invited to participate as a speaker. It will be my first ever ICMDA congress, making it a formative experience that will equip me to serve more effectively, strengthen the mission, and bring greater impact to the movements I serve. Attending would allow me to fully engage, learn, and bring back knowledge and inspiration to multiply the work God is doing through ICMDA worldwide.</t>
  </si>
  <si>
    <t>staff</t>
  </si>
  <si>
    <t>Wilma</t>
  </si>
  <si>
    <t>Catota</t>
  </si>
  <si>
    <t>0984565850</t>
  </si>
  <si>
    <t>susanacatota@gmail.com</t>
  </si>
  <si>
    <t xml:space="preserve">FUI ALUMNA DEL CURSO ETICA MEDICA Y SYDENHAM EN ESPANOL SET/2025 </t>
  </si>
  <si>
    <t>MÉDICO FAMILIAR DE CONSULTA EXTERNA EN UNIDAD METROPOLITANA DE SALUD SUR QUITO- ECUADOR</t>
  </si>
  <si>
    <t>SOY ALUMNA DE CURSOS REGULARES DE ICMDA</t>
  </si>
  <si>
    <t>714</t>
  </si>
  <si>
    <t>$1,138.00 registration fee for 2 people, airfare for 3 adults $15,857.34 USD, plus accommodation. Ecuador does not require a visa.</t>
  </si>
  <si>
    <t>15857</t>
  </si>
  <si>
    <t xml:space="preserve">1. Como profesional de la salud cristiana mi anhelo es seguir creciendo y aprendiendo el servicio a la manera de Dios y este tiempo sera de bendicion compartir con colegas de distintos países . Gracias a Dios tengo un empleo actualmente pero no me alcanza para cubrir el alto costo total de los viáticos, la parte económica es mi limitante pero expongo mi caso a considerar dejando en las manos de Dios que se haga su voluntad.
2. Mi acompañante mi hermano que sirve como  diácono de la iglesia y encargado de la misión de la Iglesia Cristiana Verbo, tiene anhelo de aprender más sobre misiones, su condición actual Jubilado , su pensión mensual no alcanza a cubrir el gasto . 
3. Mi segundo acompañantes sirve como misionero transcultural en la Iglesia Cristiana El Pacto Evangélico Quito encargado del  Ministerio Hechos 29 enfocado en el discipulado y la formación de líderes de jóvenes que cumplan el llamado de Dios, Su anhela ser parte de este evento y aprender más sobre misiones , su condición de misionero no tiene un ingreso fijo estable, por lo que no alcanza a cubrir los gastos que implica el viaje. 
</t>
  </si>
  <si>
    <t xml:space="preserve">Ehab </t>
  </si>
  <si>
    <t>Ayoub</t>
  </si>
  <si>
    <t>+20 122 292 6111</t>
  </si>
  <si>
    <t>ehab@fastmail.fm</t>
  </si>
  <si>
    <t>Egypt</t>
  </si>
  <si>
    <t>Consultant, Harpur memorial hospital ,Manouf,Egypt</t>
  </si>
  <si>
    <t>R.S.MENA</t>
  </si>
  <si>
    <t>Last World congresss</t>
  </si>
  <si>
    <t>1100- 1200$</t>
  </si>
  <si>
    <t xml:space="preserve">I would be grateful for financial support, as attending world congress, would provide valuable learning and professional development opportunities I might not otherwise be able to access due to financial constraints. The support would enable me to participate fully and gain knowledge and skills that I can apply in my ministry to benefit others and contribute more effectively to my community.
</t>
  </si>
  <si>
    <t>George</t>
  </si>
  <si>
    <t>Robel</t>
  </si>
  <si>
    <t>+20122263046×</t>
  </si>
  <si>
    <t>Gretagamal@hotmail.com</t>
  </si>
  <si>
    <t>Spouse</t>
  </si>
  <si>
    <t>Pharmacist</t>
  </si>
  <si>
    <t>Pharmacy</t>
  </si>
  <si>
    <t>Servant at cmf egypt</t>
  </si>
  <si>
    <t>417</t>
  </si>
  <si>
    <t>I need to attend to elevate my qualifications in serving in cmf egypt and share gospel with others</t>
  </si>
  <si>
    <t>Marina</t>
  </si>
  <si>
    <t>wanis</t>
  </si>
  <si>
    <t>+201202559107</t>
  </si>
  <si>
    <t>M.wanis.amin@gmail.com</t>
  </si>
  <si>
    <t>pharmacist</t>
  </si>
  <si>
    <t>Leader of the social committee of cmf egypt</t>
  </si>
  <si>
    <t>Gulf Confrance 2025</t>
  </si>
  <si>
    <t>420</t>
  </si>
  <si>
    <t>iam leader of social commiteein,social media in cmf Egypt and I serve young doctors and students, and I have previous experience as the leader of the CMF Egypt conference in 2021. I wish to attend this conference to further develop my skills and knowledge so I can support them more effectively and convey important messages to them in an impactful and inspiring way. I also believe this opportunity will enable me to guide them spiritually and personally, enhancing my ability to serve people with love and compassion, making my contribution meaningful and influential in their lives."
"and I plan to use the knowledge and skills I gain from this training to enhance my ability to serve people, both physically and spiritually, as Christ taught us. I aim to apply what I learn to improve my interactions with patients and communities I serve through CMF
medical convoys, sharing the benefits with everyone I meet. I believe this experience will nurture my heart and spirit, enabling me to provide care and support with love and compassion, making my contribution meaningful and inspiring, just as Christ called us to love and serve</t>
  </si>
  <si>
    <t>Nermin</t>
  </si>
  <si>
    <t>Botros</t>
  </si>
  <si>
    <t>+20-01003629559</t>
  </si>
  <si>
    <t xml:space="preserve">nermenbotros22@gmail.com </t>
  </si>
  <si>
    <t xml:space="preserve">Assistant lecturer of emergency medicine, faculty of medicine , menofia university. Rigesterar of emergency medicine at Dar Elfouad hospital , Nasr City. Egypt </t>
  </si>
  <si>
    <t>Participating in the arrangement of the annual conferences and events of CMF. Also participating in many mobile clinics.</t>
  </si>
  <si>
    <t>411</t>
  </si>
  <si>
    <t>900 $</t>
  </si>
  <si>
    <t>500 $</t>
  </si>
  <si>
    <t>I  strongly want to share in this congress and meet other members and benefits from sharing experiences with them and learn how to serve and glorify god through my work among patients and students. I need to be financially supported as my financial situation doesn't allow me to pay the full cost. I work as an assistant lecturer in college and the salaries do not allow me to pay the full amount. I am also preparing for PhD, so it will cost me a lot.</t>
  </si>
  <si>
    <t>Nancy</t>
  </si>
  <si>
    <t>+201201578767</t>
  </si>
  <si>
    <t>nancybotros161@gmail.com</t>
  </si>
  <si>
    <t xml:space="preserve">Cardiothoracic surgery resident at benha university hospital </t>
  </si>
  <si>
    <t>Participate in annual conference and events arrangements and in worship team of CMF egypt</t>
  </si>
  <si>
    <t>412</t>
  </si>
  <si>
    <t>900</t>
  </si>
  <si>
    <t>Attending this conference would make a great difference in my professional growth, helping me serve God better through my medical work. As a young doctor in my first residency year, this opportunity means a lot to me. However, the cost is a significant challenge compared to my salary, especially with the currency difference. I would be truly grateful for your support.</t>
  </si>
  <si>
    <t>380</t>
  </si>
  <si>
    <t>383</t>
  </si>
  <si>
    <t>250 USD</t>
  </si>
  <si>
    <t>Tanzania</t>
  </si>
  <si>
    <t>None</t>
  </si>
  <si>
    <t>2300 USD</t>
  </si>
  <si>
    <t>$1000</t>
  </si>
  <si>
    <t>Gena</t>
  </si>
  <si>
    <t>Kerollos dawood gerges</t>
  </si>
  <si>
    <t>+201280106458</t>
  </si>
  <si>
    <t>genakerollos@gmail.com</t>
  </si>
  <si>
    <t xml:space="preserve">Ent specialist at quesna central hospital and harpur memorial hospital </t>
  </si>
  <si>
    <t>One of Conferences organization team and mobile clinics team</t>
  </si>
  <si>
    <t>Gulf conference 2025 in Al Ain</t>
  </si>
  <si>
    <t>416</t>
  </si>
  <si>
    <t>I really fell in love with ICMDA team. I felt like i am a member of an amazing family. I admire the ICMDA calling and mission and want to be a part from. My financial status is not that good to be able to pay for the conference and travel expenses by myself . I really wish i could so that i can save you the burden of supporting me, but sadly i can't. I already miss the whole ICMDA team. I miss the encouragement, inspiration and the magnificent blessing of sharing and glorifying god with them. I really hope i could get the support .</t>
  </si>
  <si>
    <t>Greta</t>
  </si>
  <si>
    <t>Gamal</t>
  </si>
  <si>
    <t>00201222630462</t>
  </si>
  <si>
    <t>gretagamal@hotmail.com</t>
  </si>
  <si>
    <t>Peadiatric consultant</t>
  </si>
  <si>
    <t>Director of operations of cmf egypt &amp; regional representetive of ICMDA MENA region</t>
  </si>
  <si>
    <t>2014 at netherland conference</t>
  </si>
  <si>
    <t>815</t>
  </si>
  <si>
    <t>Mario</t>
  </si>
  <si>
    <t>+201282796715</t>
  </si>
  <si>
    <t>Mariobotross2@gmail.com</t>
  </si>
  <si>
    <t>Pharmacist at pharmacy of qusena central hospital.</t>
  </si>
  <si>
    <t xml:space="preserve">Participate in organization of summer and winter camps. Participate in orginization of CMF events. Share in mobile clinics </t>
  </si>
  <si>
    <t>414</t>
  </si>
  <si>
    <t>I  strongly want to share in this congress and meet other members and benefits from sharing experiences with them and learn how to serve and glorify god through my work among patients and students. I need to be financially supported as my financial situation doesn't allow me to pay the full cost. I work as an pharmacist in central hospital and the salaries do not allow me to pay the full amount. I am also preparing for PhD, so it will cost me a lot.</t>
  </si>
  <si>
    <t>Simphiwe</t>
  </si>
  <si>
    <t>Jubela Vilakati</t>
  </si>
  <si>
    <t>26876309520</t>
  </si>
  <si>
    <t>vilakatijubela@gmail.com</t>
  </si>
  <si>
    <t>Swaziland</t>
  </si>
  <si>
    <t>Eswatini</t>
  </si>
  <si>
    <t>N/A</t>
  </si>
  <si>
    <t>I am a co-founder and president of Eswatini Medical Students' Association and currently working to establish a student CMF body in Eswatini's first medical school</t>
  </si>
  <si>
    <t>$319.00</t>
  </si>
  <si>
    <t>1760</t>
  </si>
  <si>
    <t>Currently unclear at this point as I am in the process of raising funds. I will try my best though to contribute towards the congress costs.</t>
  </si>
  <si>
    <t xml:space="preserve">I humbly request financial support to attend the ICMDA gathering in Jeju, South Korea. This represents a significant professional and spiritual opportunity that I would not be able to afford on my own.
I am a medical student from Eswatini, a lower-income developing country. As a full-time student, I do not have a stable income, and the cost of international travel is beyond my financial capacity. Airfare alone exceeds what I can realistically raise. Without assistance, participation would not be possible. For me, this is a once in a lifetime opportunity to engage with the global Christian medical community.
Attending would have impact beyond personal benefit. I am involved in EMSA and in Christian medical fellowship initiatives locally. Through this conference, I would build relationships with Christian medical students and doctors from different countries, creating opportunities for long-term collaboration and shared learning. Access to experienced mentors would strengthen my understanding of integrating faith and medicine with integrity, something that is still developing in my context.
The exposure would also help me mobilize resources and strengthen Christian medical fellowship in Eswatini. Learning from established fellowships will allow me to adapt sustainable models of leadership, discipleship, and outreach to our setting. I am committed to returning and sharing what I learn through structured feedback sessions and by actively contributing to the growth of Christian medical fellowship among students.
Supporting me would not only enable my attendance but would be an investment in strengthening Christian medical leadership in a low-resource setting. I respectfully ask for your consideration, as this opportunity would shape both my formation as a future doctor and the community I serve.
</t>
  </si>
  <si>
    <t xml:space="preserve">Abigail Victoria </t>
  </si>
  <si>
    <t xml:space="preserve">Fruhwirth </t>
  </si>
  <si>
    <t>+26876111441</t>
  </si>
  <si>
    <t>abigail.fruhwirth@gmail.com</t>
  </si>
  <si>
    <t>657</t>
  </si>
  <si>
    <t>This is an amazing opportunity for me to network, learn and gain a community of christian medical leaders. I cannot currently afford to attend, I’m currently a student studying under scholarship, but I deeply value the opportunity to around such inspiring people. I also love experiencing other cultures and look forward to the opportunity to travel. I plan to share the skills and experience I will gain from attending this conference with my classmates/colleagues in eswatini and hope more of us can become involved in this organization.</t>
  </si>
  <si>
    <t xml:space="preserve">Abiy </t>
  </si>
  <si>
    <t>Tadesse</t>
  </si>
  <si>
    <t>+251-926-549-264</t>
  </si>
  <si>
    <t>martabiyju@gmail.com</t>
  </si>
  <si>
    <t>Ethiopia</t>
  </si>
  <si>
    <t xml:space="preserve">Lecturer at Addis Ababa University </t>
  </si>
  <si>
    <t xml:space="preserve">President </t>
  </si>
  <si>
    <t>831 USD</t>
  </si>
  <si>
    <t>1500 USD</t>
  </si>
  <si>
    <t>1000 USD</t>
  </si>
  <si>
    <t>Because I am a field worker and I am from very low income country ( my salary is less than 100 USD)</t>
  </si>
  <si>
    <t>Nahom</t>
  </si>
  <si>
    <t xml:space="preserve">Hailu </t>
  </si>
  <si>
    <t>+251923125787</t>
  </si>
  <si>
    <t>nahomwon61@gmail.com</t>
  </si>
  <si>
    <t>Dentist</t>
  </si>
  <si>
    <t xml:space="preserve">Attendant </t>
  </si>
  <si>
    <t>429</t>
  </si>
  <si>
    <t xml:space="preserve">Approximately to 900 dollars </t>
  </si>
  <si>
    <t xml:space="preserve">I can try to cover the pane cost around 700 dollars </t>
  </si>
  <si>
    <t>First i want to say thank you for this great opportunity, and secondly why i should be financially supported is that i am new graduate and i think this experience will help me to acquire new ways to expand gospel for my generation through my feild of study and also this event will help me updated my knowledge in my feild and make difference which is expected from me by God and my country.
 Thank you</t>
  </si>
  <si>
    <t>ADAMU ADDISSIE</t>
  </si>
  <si>
    <t>NURAMO</t>
  </si>
  <si>
    <t>+251911404954</t>
  </si>
  <si>
    <t>adamu.addissie@aau.edu.et</t>
  </si>
  <si>
    <t>Addis Ababa University</t>
  </si>
  <si>
    <t>Senior Advisor</t>
  </si>
  <si>
    <t>430</t>
  </si>
  <si>
    <t xml:space="preserve">In addition I believe that if I can take part in the conference, there will be lot of take away messages and experiences  for the Ethiopian CMDDF for which I am a senior advisor. I also have plans to be a medical missionary and I hope to communicate with brothers and sister in the field from different countries. However, I am from Ethiopia and the costs are very high to travel to Korea and would appreciate any support. </t>
  </si>
  <si>
    <t>Abigail</t>
  </si>
  <si>
    <t>Gizaw</t>
  </si>
  <si>
    <t>+251962392245</t>
  </si>
  <si>
    <t>abigail.gizaw60@gmail.com</t>
  </si>
  <si>
    <t>-</t>
  </si>
  <si>
    <t>431</t>
  </si>
  <si>
    <t>1200USD</t>
  </si>
  <si>
    <t>800USD</t>
  </si>
  <si>
    <t>Currently, I am a senior medical student who will be attending this congress for the first time, God willing, and this congress would be a deeply formative opportunity for both my spiritual and professional growth. Coming from a limited-resource setting, the full cost of travel and visa presents a significant financial challenge, even though I'm willing to contribute what I can.
Attending the Christian Doctors Congress in Jeju would allow me to learn how to integrate Christ-centered compassion with medical excellence, strengthen my calling to serve patients holistically, and grow in evangelism within the healthcare system. I'm particularly eager to gain mentorship, practical insights, and global perspectives from Christian physicians who are faithfully practicing medicine while sharing the Gospel.
This congress would also help me build meaningful international connections that could support future collaborative services, missions, and capacity building in my home country of Ethiopia. I see this opportunity not just as a personal benefit, but as an investment that will enable me to serve others more effectively through medicine and my Christian witness. Financial support would make it possible for me to attend and steward this opportunity faithfully for the glory of God and the service of others.</t>
  </si>
  <si>
    <t xml:space="preserve">Ilona </t>
  </si>
  <si>
    <t>Suominen</t>
  </si>
  <si>
    <t>ilona.o.suominen@gmail.com</t>
  </si>
  <si>
    <t>Student member of Finnish association</t>
  </si>
  <si>
    <t>Finland</t>
  </si>
  <si>
    <t xml:space="preserve">I have been leading local student organisation and been a member of student comitteen of Finland. </t>
  </si>
  <si>
    <t>$523</t>
  </si>
  <si>
    <t>$1100</t>
  </si>
  <si>
    <t>Partisipating is possible for with me regardless the amount of bursary</t>
  </si>
  <si>
    <t xml:space="preserve">National organization of Finland wanted to propose some student for bursary, so they thought that because I haven't been at ICMDA conference before and have been participating the national and local action, they would propose me. Otherwise I really understand if the bursary is more needed somewhere else. </t>
  </si>
  <si>
    <t>Annick Merly</t>
  </si>
  <si>
    <t xml:space="preserve">MOUSSAVOU NTOUMBIRI </t>
  </si>
  <si>
    <t>+24177994577</t>
  </si>
  <si>
    <t>Merwille.2@gmail.com</t>
  </si>
  <si>
    <t>Gabon</t>
  </si>
  <si>
    <t xml:space="preserve">Étudiante </t>
  </si>
  <si>
    <t xml:space="preserve">Participer à l’organisation des événements avec les membres du bureau, faire la promotion de l’organisation locale, recruter de nouveaux membres, participer à la vie associative de l’organisation locale </t>
  </si>
  <si>
    <t>434</t>
  </si>
  <si>
    <t>1500000</t>
  </si>
  <si>
    <t>Je suis étudiante en dernière année de médecine mais je ne bénéficie plus de la prime d’internat ni de la bourse scolaire ce qui constitue déjà un défi au quotidien. Sans soutien financier réunir l’équivalent de plus de 10 mois de mes charges fixes( loyer + popote) un énorme challenge. Malgré cela je souhaite participer au congrès car me retrouver avec des milliers de personnes partageant la même foi et les mêmes défis que moi constuera une réelle bouffée d’oxygène, un nouveau booste pour ma carrière et mon ministère.</t>
  </si>
  <si>
    <t>Simplice</t>
  </si>
  <si>
    <t>TCHOBA</t>
  </si>
  <si>
    <t>+24162296366</t>
  </si>
  <si>
    <t>simplice.neni@gmail.com</t>
  </si>
  <si>
    <t>General surgeon</t>
  </si>
  <si>
    <t>Executif Secretary</t>
  </si>
  <si>
    <t>Al Ain, dubai, fieldworkers summit in December 2024</t>
  </si>
  <si>
    <t>435</t>
  </si>
  <si>
    <t>1758</t>
  </si>
  <si>
    <t xml:space="preserve">I'm also helping and contributing to help two younger students to attend to summit, </t>
  </si>
  <si>
    <t xml:space="preserve">Suplice </t>
  </si>
  <si>
    <t xml:space="preserve">Moulomba </t>
  </si>
  <si>
    <t>+24106954606</t>
  </si>
  <si>
    <t>suplicemoulomba96@gmail.com</t>
  </si>
  <si>
    <t xml:space="preserve">Médecin généraliste </t>
  </si>
  <si>
    <t xml:space="preserve">Chargé de la communication </t>
  </si>
  <si>
    <t>Au congrès mondial à Arusha</t>
  </si>
  <si>
    <t>433</t>
  </si>
  <si>
    <t>2200</t>
  </si>
  <si>
    <t>Le coût du billet est très cher.Je suis un médecin généraliste en cours d'intégration comme travailleur pour l'état mais je ne suis pas encore payé. Ce billet est l'équivalent de 5 mois de salaire.
Merci d'avoir votre aide.</t>
  </si>
  <si>
    <t xml:space="preserve">Emmanuel </t>
  </si>
  <si>
    <t xml:space="preserve">Kundeh </t>
  </si>
  <si>
    <t xml:space="preserve">+2203862362 </t>
  </si>
  <si>
    <t>emmanuelkundeh@live.com</t>
  </si>
  <si>
    <t>Gambia</t>
  </si>
  <si>
    <t xml:space="preserve">Medical Doctor, Edward Francis Small Teaching Hospital </t>
  </si>
  <si>
    <t xml:space="preserve">Newly elected vice president </t>
  </si>
  <si>
    <t>436</t>
  </si>
  <si>
    <t xml:space="preserve">I am from a low income country and also from an extended family with low income. There is a high dependency ratio on me. If I am not supported, I may not be able to fund the trip. </t>
  </si>
  <si>
    <t>Kingsley</t>
  </si>
  <si>
    <t>Hattoh</t>
  </si>
  <si>
    <t>+233547986557</t>
  </si>
  <si>
    <t>hattohkingsley@gmail.com</t>
  </si>
  <si>
    <t>Ghana</t>
  </si>
  <si>
    <t>Dr. (Tamale Teaching Hospital)</t>
  </si>
  <si>
    <t>National Secretary</t>
  </si>
  <si>
    <t>441</t>
  </si>
  <si>
    <t>2500 dollars</t>
  </si>
  <si>
    <t>1700 dollars</t>
  </si>
  <si>
    <t xml:space="preserve">I really want to be at the conference! However, due to my current earning power, it may be quite challenging for me to raise beyond 1,700 dollars without it offsetting my finances and commitments to my family. I will be grateful if my bursary application is considered so I top up the 1700 dollars I raise in order to attend the conference.
Counting on your kindest consideration.
 Thank you. </t>
  </si>
  <si>
    <t xml:space="preserve">Sanima </t>
  </si>
  <si>
    <t>Nawaane</t>
  </si>
  <si>
    <t>+233500091099</t>
  </si>
  <si>
    <t>sanima3x@gmail.com</t>
  </si>
  <si>
    <t>Medical School</t>
  </si>
  <si>
    <t>Student Member</t>
  </si>
  <si>
    <t>442</t>
  </si>
  <si>
    <t>900-1500 USD</t>
  </si>
  <si>
    <t>400USD</t>
  </si>
  <si>
    <t xml:space="preserve">After five years of active membership and serving in a leadership role in my local fellowship, CMF-KNUST, I had the privilege of participating in the West Africa Regional Conference held in Liberia in May 2025. The experience shaped me deeply. I learned important lessons on Christ-centered leadership, built meaningful connections with peers from other countries, and returned home with insights that enriched my fellowship.
During the conference, I also discovered the ICMDA training tracks, and upon returning to Ghana, I enrolled in Confident Christianity. I completed the program successfully and have now applied to serve as a trainer. Being part of ICMDA has truly been life-changing for me.
However, as a student, the financial commitment involved in participating in the World Congress is challenging. My parents already shoulder the cost of my education alongside that of my sibling, and adding this expense would place a significant burden on them. Despite this, I am eager to be part of the World Congress, where I hope to grow even more and bring that transformation back to my fellowship and the wider CMF community.
</t>
  </si>
  <si>
    <t>Gifty</t>
  </si>
  <si>
    <t>Frimpong</t>
  </si>
  <si>
    <t>+233206856015</t>
  </si>
  <si>
    <t>akyedeimela@gmail.com</t>
  </si>
  <si>
    <t>Medical Officer</t>
  </si>
  <si>
    <t xml:space="preserve">Deputy National Secretary </t>
  </si>
  <si>
    <t>439</t>
  </si>
  <si>
    <t>$2,400</t>
  </si>
  <si>
    <t>$1,400</t>
  </si>
  <si>
    <t>I finished my national service
(housemanship) a little over a year ago but arrangements by our Government for our permanent postings were delayed.
We are still yet to be employed by the Government but hopefully, soon. In the interim, I help at a clinic about three days a week and do church work alongside at my local Assemblies of GOD church. I currently do not enough have money saved up to fund the entire Congress Cost. I attended the ICMDA West Africa Conference in Liberia in May and I had a blessed time fellowshipping with my seniors and some students and I look forward to more of it at the upcoming World Congress next year GOD willing. I would really appreciate the financial support.</t>
  </si>
  <si>
    <t xml:space="preserve">Ndziakomba MVOUO </t>
  </si>
  <si>
    <t xml:space="preserve">Lefutur polexine </t>
  </si>
  <si>
    <t>+242065908649</t>
  </si>
  <si>
    <t>ndziakombal@gmail.com</t>
  </si>
  <si>
    <t>Guinea</t>
  </si>
  <si>
    <t>Étudiante</t>
  </si>
  <si>
    <t xml:space="preserve">Présidente nationale </t>
  </si>
  <si>
    <t>446</t>
  </si>
  <si>
    <t>As a leader in my national association, this congress is an important opportunity to develop my skills and strengthen the impact of my commitment. Financial support would enable me to fully benefit from this experience and share the outcomes with my association.</t>
  </si>
  <si>
    <t>Lydia</t>
  </si>
  <si>
    <t xml:space="preserve">I'm medical student </t>
  </si>
  <si>
    <t>790</t>
  </si>
  <si>
    <t xml:space="preserve">Admiro Sebastião </t>
  </si>
  <si>
    <t xml:space="preserve">Augusto Sanha </t>
  </si>
  <si>
    <t>+245955279084</t>
  </si>
  <si>
    <t>Guinea-Bissau</t>
  </si>
  <si>
    <t>Quacy</t>
  </si>
  <si>
    <t>Grant</t>
  </si>
  <si>
    <t>(592) 685 1536</t>
  </si>
  <si>
    <t>qgrant@lausanne.org</t>
  </si>
  <si>
    <t>ICMDA Country Focal Point</t>
  </si>
  <si>
    <t>Guyana</t>
  </si>
  <si>
    <t>875</t>
  </si>
  <si>
    <t>Government Medical Officer - Ministry of Health</t>
  </si>
  <si>
    <t>ICMDA Focal Point (Guyana)</t>
  </si>
  <si>
    <t>Partial scholarship for IPGD-Family Medicine with CMC</t>
  </si>
  <si>
    <t>US$769</t>
  </si>
  <si>
    <t>769</t>
  </si>
  <si>
    <t>2500-3000</t>
  </si>
  <si>
    <t>It depends on if I am able to raise support to cover travel and visa costs. I am working on it.</t>
  </si>
  <si>
    <t>Travel from this part of the world is expensive, especially with the conflict in the Middle East. Cheaper options to travel to Asia are becoming limited to this conflict.</t>
  </si>
  <si>
    <t>National leader</t>
  </si>
  <si>
    <t>13-Apr</t>
  </si>
  <si>
    <t xml:space="preserve">Medical student </t>
  </si>
  <si>
    <t>1200</t>
  </si>
  <si>
    <t>814</t>
  </si>
  <si>
    <t xml:space="preserve">Daniela Patricia </t>
  </si>
  <si>
    <t>Navas Cano</t>
  </si>
  <si>
    <t>+504 88483424</t>
  </si>
  <si>
    <t>navasd25@gmail.com</t>
  </si>
  <si>
    <t>Honduras</t>
  </si>
  <si>
    <t>Médico especialista en VIH</t>
  </si>
  <si>
    <t xml:space="preserve">Apoyo médico en brigadas </t>
  </si>
  <si>
    <t>447</t>
  </si>
  <si>
    <t>$3,500</t>
  </si>
  <si>
    <t>$2,000</t>
  </si>
  <si>
    <t>have been a member of the Honduran association for over 10 years, serving the Lord with my heart and making our work available to those most in need of Jesus.</t>
  </si>
  <si>
    <t>Srinivasulu (Luke)</t>
  </si>
  <si>
    <t xml:space="preserve">Dammu </t>
  </si>
  <si>
    <t>+973 35471266</t>
  </si>
  <si>
    <t>lukeshobhna@yahoo.co.in</t>
  </si>
  <si>
    <t xml:space="preserve">EMFI member </t>
  </si>
  <si>
    <t>Bahrain</t>
  </si>
  <si>
    <t>India</t>
  </si>
  <si>
    <t xml:space="preserve">Primary care physician </t>
  </si>
  <si>
    <t xml:space="preserve">To establish ICMDA movement in Bahrain </t>
  </si>
  <si>
    <t>Arabian Gulf medical forum held in Al Ain</t>
  </si>
  <si>
    <t>650 to 700</t>
  </si>
  <si>
    <t>300 to 400</t>
  </si>
  <si>
    <t xml:space="preserve">Can't afford, got other commitments, children education and supporting mission work I India </t>
  </si>
  <si>
    <t>RONALD</t>
  </si>
  <si>
    <t>LALTHANMAWIA</t>
  </si>
  <si>
    <t>+919868800793</t>
  </si>
  <si>
    <t>ronald@cmai.org</t>
  </si>
  <si>
    <t>General Secretary/CEO, Christian Medical Association of India</t>
  </si>
  <si>
    <t>National member of ICMDA</t>
  </si>
  <si>
    <t>USD 814</t>
  </si>
  <si>
    <t>USD 400</t>
  </si>
  <si>
    <t>USD 500</t>
  </si>
  <si>
    <t xml:space="preserve">As a National member of the ICMDA from a middle-income country, it is difficult to raise funds for an international conference. My participation in this event will not only strengthen the ministry of ICMDA in India but also built a meaningful relationship in capacity building towards health, healing and wholeness in the country. I will also be able to share the experiences of the missional work from India and contribute to the larger discussion particularly on primary healthcare, HIV and mission to the marginalised </t>
  </si>
  <si>
    <t>Abhijeet</t>
  </si>
  <si>
    <t>Sangma Barooah</t>
  </si>
  <si>
    <t>+919811302363</t>
  </si>
  <si>
    <t>A.Sangma@cmai.org</t>
  </si>
  <si>
    <t>Secretary, Doctors Section, Christian Medical Association of India</t>
  </si>
  <si>
    <t>Secretary, Doctors Section</t>
  </si>
  <si>
    <t>2023 Tanzania</t>
  </si>
  <si>
    <t>454</t>
  </si>
  <si>
    <t>Dear Bursary Committee,
Greetings in the name of our Lord.
I am writing to request financial support to attend the ICMDA 2026 World Congress in Jeju Island.
I currently serve with the Christian Medical Association of India (CMAI), which is the national member organization of ICMDA in India. My work focuses on guiding and encouraging medical and dental students, as well as young graduates, to serve in medical missions and in underserved areas of our country. This has been an important part of building the next generation of Christian healthcare leaders in India.
Although India is listed as a middle-income country by the World Bank, the financial gap within the country is very large. Many mission hospitals and national movements like ours work with limited funds. Staff working in these areas often do not have access to resources for international travel or capacity-building events, even though these events help strengthen our mission work.
Attending the World Congress will help me connect with mentors, share experiences, learn from global mission leaders, and bring back ideas that will help us grow the medical missions movement in India. I believe this opportunity will strengthen both my personal calling and the ministry I serve.
I am grateful for your prayerful consideration of my request. If supported, I will make full use of this opportunity to serve God and the mission work in India.
Thank you.</t>
  </si>
  <si>
    <t>Bertha</t>
  </si>
  <si>
    <t>Amirtha Deva Rathinam</t>
  </si>
  <si>
    <t>+91-8989097490</t>
  </si>
  <si>
    <t>bertharathinam@gmail.com</t>
  </si>
  <si>
    <t xml:space="preserve">Professor, AIIMS Bhopal </t>
  </si>
  <si>
    <t xml:space="preserve">Regional Secretary, South Asia, ICMDA </t>
  </si>
  <si>
    <t xml:space="preserve">2014, Rotterdam </t>
  </si>
  <si>
    <t>452</t>
  </si>
  <si>
    <t xml:space="preserve">I may be able to afford either the travel or the conference cost. It might be difficult to bear both </t>
  </si>
  <si>
    <t>Anitha Grace</t>
  </si>
  <si>
    <t>Irlapati</t>
  </si>
  <si>
    <t>+91 98665 30787</t>
  </si>
  <si>
    <t>Anitha.David@icmda.net</t>
  </si>
  <si>
    <t>Dentist at Emmanuel Hospital Association</t>
  </si>
  <si>
    <t>2018</t>
  </si>
  <si>
    <t>449</t>
  </si>
  <si>
    <t xml:space="preserve">I don't have an answer. I really think there must be so many younger doctors and dentists who can do a lot more than me. </t>
  </si>
  <si>
    <t>Santhosh Mathew</t>
  </si>
  <si>
    <t>Thomas</t>
  </si>
  <si>
    <t>+917367831792</t>
  </si>
  <si>
    <t>santhosh.mathew@icmda.net</t>
  </si>
  <si>
    <t>ICMDA/CMAIl</t>
  </si>
  <si>
    <t>Staff of ICMDA/Chair of CMAIl Board</t>
  </si>
  <si>
    <t>2023</t>
  </si>
  <si>
    <t>453</t>
  </si>
  <si>
    <t>$750</t>
  </si>
  <si>
    <t>$20</t>
  </si>
  <si>
    <t xml:space="preserve">Amy Eapen </t>
  </si>
  <si>
    <t>Mathew</t>
  </si>
  <si>
    <t>91 8054500312</t>
  </si>
  <si>
    <t>amyeapenmathew@gmail.com</t>
  </si>
  <si>
    <t>Anaesthesiologist, Consultant, Madhipura Christian Hospital, Madhepura, Bihar</t>
  </si>
  <si>
    <t>Memberq</t>
  </si>
  <si>
    <t>630$</t>
  </si>
  <si>
    <t xml:space="preserve">I work in a mission hospital in Madhipura Bihar, one of the poorest districts in India. We work among the marginalised community of Mahadalits. </t>
  </si>
  <si>
    <t xml:space="preserve">Angelene Raj </t>
  </si>
  <si>
    <t>Khosla</t>
  </si>
  <si>
    <t>6230744434</t>
  </si>
  <si>
    <t>angeleneraj.khosla@gmail.com</t>
  </si>
  <si>
    <t>Facilitator in SALT Cohort</t>
  </si>
  <si>
    <t>458</t>
  </si>
  <si>
    <t>Estimated 755-855uds</t>
  </si>
  <si>
    <t>855</t>
  </si>
  <si>
    <t>will try for MY TRAVEL EXPENSES-200-300USD</t>
  </si>
  <si>
    <t xml:space="preserve">Im working in a mission hospital with a modest salary, and I'd love to join the world congress to learn more about global missions. It's a bit out of my budget, but I'm eager to be part of ICMDA and their volunteer work. If God blesses me with more resources in the future, I'd love to give back and support students and missions like ICMDA supported me. I'm grateful for their work and would be honored to be part of it 🙏.
</t>
  </si>
  <si>
    <t>Naina</t>
  </si>
  <si>
    <t xml:space="preserve">Johnson </t>
  </si>
  <si>
    <t>9001677322</t>
  </si>
  <si>
    <t>nainajohnson31@gmail.com</t>
  </si>
  <si>
    <t>Madhipura Christian Hospital, Bihar</t>
  </si>
  <si>
    <t>Members</t>
  </si>
  <si>
    <t>NA</t>
  </si>
  <si>
    <t xml:space="preserve">630$ approximately </t>
  </si>
  <si>
    <t xml:space="preserve">We are currently working in a mission hospital in rural Bihar reaching the marginalised in one of the most under served areas of India. </t>
  </si>
  <si>
    <t xml:space="preserve">prathapsingh </t>
  </si>
  <si>
    <t>Govindaiah paradesaiah</t>
  </si>
  <si>
    <t>918801932932</t>
  </si>
  <si>
    <t>Williamcarry123@yahoo.com</t>
  </si>
  <si>
    <t xml:space="preserve">BSc nursing </t>
  </si>
  <si>
    <t xml:space="preserve">Nurse cum pastor </t>
  </si>
  <si>
    <t xml:space="preserve">Secretary I he cares mission </t>
  </si>
  <si>
    <t xml:space="preserve">I’m being nurse cum pastor around villages and tribes in India and conducting free medical camps around the needy places and to the poor people ,I would like to be part of icdma and to learn . One of our team member had attended icdma in Thailand he shared so many inspirational stories mission field works done icdma around world , it inspired me to attend the jeju conference to learn and to be establish in our mission works in India . I’m being an independent pastor it would be helpful if I get supported to attained this conference . Thank you </t>
  </si>
  <si>
    <t>Bhath singh</t>
  </si>
  <si>
    <t xml:space="preserve">Govindaiah paradesaiah </t>
  </si>
  <si>
    <t>+918465088443</t>
  </si>
  <si>
    <t>Paulkrause984@gmail.com</t>
  </si>
  <si>
    <t xml:space="preserve">Director of an organisation </t>
  </si>
  <si>
    <t>451</t>
  </si>
  <si>
    <t>I feel it’s always a gods plan coming to icmda conference i learn so many things to share the love of Jesus through medical need and medical camps , being a director of an mission it can help me and teach me more to implement in India for Christ .</t>
  </si>
  <si>
    <t>Dr Rajni</t>
  </si>
  <si>
    <t>Herman</t>
  </si>
  <si>
    <t>+91 9871216952</t>
  </si>
  <si>
    <t>rajnidoc@gmail.com</t>
  </si>
  <si>
    <t>Breakout session speaker</t>
  </si>
  <si>
    <t>Project Director Shalom -A Palliative Care Unit of Emmanuel Hospital Association</t>
  </si>
  <si>
    <t>I have spoken at ICMDA Webinars and have taken session on perspective on missions for ICMDA doctors</t>
  </si>
  <si>
    <t>455</t>
  </si>
  <si>
    <t>770 dollars</t>
  </si>
  <si>
    <t xml:space="preserve">I work for a mission organization called Shalom Delhi, which is part of Emmanuel Hospital Association -i will not be taking any reimbursement from my organization as we don't have funds for my travel or my registration we work with the very poor, also, my husband is a pastor of a local church in Delhi  -and as a family we do not  have much saved to cover the costs for this trip  </t>
  </si>
  <si>
    <t>Speaker</t>
  </si>
  <si>
    <t>Joanna Charvi</t>
  </si>
  <si>
    <t>Kumar</t>
  </si>
  <si>
    <t>07904855209</t>
  </si>
  <si>
    <t>charviejoanna7@gmail.com</t>
  </si>
  <si>
    <t>MBBS Student</t>
  </si>
  <si>
    <t>Not Applicable</t>
  </si>
  <si>
    <t>457</t>
  </si>
  <si>
    <t>720</t>
  </si>
  <si>
    <t>Coming from a modest background, meeting the expenses for an international conference is challenging for me as an MBBS student. However, attending the ICMDA World Congress would be a life-shaping experience offering me guidance, mentorship, and global perspectives on faith-based medical service. I hope to learn from experienced Christian doctors, understand the needs of mission hospitals, and prepare myself to serve in difficult and neglected areas. Financial support would make this valuable opportunity possible for me.</t>
  </si>
  <si>
    <t>JUDAH</t>
  </si>
  <si>
    <t>BASKER</t>
  </si>
  <si>
    <t>9994291838</t>
  </si>
  <si>
    <t>judahbaskar@yahoo.in</t>
  </si>
  <si>
    <t>first time participant , an itinerant mission doctor</t>
  </si>
  <si>
    <t>JUNIOR CONSULTANT AT A PRIVATE HOSPITAL</t>
  </si>
  <si>
    <t>FIRST TIME PARTICIPANT</t>
  </si>
  <si>
    <t>460</t>
  </si>
  <si>
    <t>I am very eager to attend the upcoming ICMDA conference. However, I would like to request your kind consideration for a waiver or reduction in the registration fee. Earnings in India are significantly lower compared to Europe and the US, and as the only working member in my family, the current fee poses a considerable financial burden.
A reduced fee would make it possible for me to participate and contribute to the diversity and fellowship that ICMDA seeks to promote.
Thank you for your understanding and support.</t>
  </si>
  <si>
    <t xml:space="preserve">Philip </t>
  </si>
  <si>
    <t>Finny</t>
  </si>
  <si>
    <t>+91-9495352488</t>
  </si>
  <si>
    <t>philip.finny@gmail.com</t>
  </si>
  <si>
    <t>Professor of Endocrinology</t>
  </si>
  <si>
    <t>Missions Coordinator and training /mentoring medical students and junior docs</t>
  </si>
  <si>
    <t>462</t>
  </si>
  <si>
    <t>1000 US dollars</t>
  </si>
  <si>
    <t>500 US dollars</t>
  </si>
  <si>
    <t>I am coming as an invited speaker for 2 sessions at this World Congress and getting a bursary amount will reduce the burden of my total costs involved. I served for around 11 years in rural mission hospitals in North India (Bihar and Assam) from 2007 to 2017. I am now serving in a Christian medical mission institution since 2017 and actively supporting the various EHA mission hospitals across India. I have dependent parents and the total cost of around 1814 US dollars is quite a bit.</t>
  </si>
  <si>
    <t xml:space="preserve">PAVANA KUMARI </t>
  </si>
  <si>
    <t>Komarolu</t>
  </si>
  <si>
    <t>+91 9032055608</t>
  </si>
  <si>
    <t>pavana2004@gmail.com</t>
  </si>
  <si>
    <t xml:space="preserve">Associate professor </t>
  </si>
  <si>
    <t xml:space="preserve">Empowering the medical students and all paramedical, nursing students regarding spiritual aspects, counselling sharing word of and my testimony </t>
  </si>
  <si>
    <t>463</t>
  </si>
  <si>
    <t>400$</t>
  </si>
  <si>
    <t xml:space="preserve">Because I am spending money in god's ministry, free medical camps, social services. </t>
  </si>
  <si>
    <t>Emmanuel</t>
  </si>
  <si>
    <t>$2,500</t>
  </si>
  <si>
    <t>Vijaykumar</t>
  </si>
  <si>
    <t>Aruldas</t>
  </si>
  <si>
    <t>+919811208375</t>
  </si>
  <si>
    <t>varuldas@gmail.com</t>
  </si>
  <si>
    <t>ICMDA Board Member</t>
  </si>
  <si>
    <t>RETIRED</t>
  </si>
  <si>
    <t>ICMDA BOARD MEMBER</t>
  </si>
  <si>
    <t>LAST WORLD CONGRESS ARUSHA</t>
  </si>
  <si>
    <t>$649</t>
  </si>
  <si>
    <t>NIL</t>
  </si>
  <si>
    <t>Coming as Board Member</t>
  </si>
  <si>
    <t>Board</t>
  </si>
  <si>
    <t>Anil</t>
  </si>
  <si>
    <t>Cherian</t>
  </si>
  <si>
    <t>+919560900976</t>
  </si>
  <si>
    <t>anilcherian@gmail.com</t>
  </si>
  <si>
    <t>Breakout Session Speaker</t>
  </si>
  <si>
    <t>Unemployed on sabatical</t>
  </si>
  <si>
    <t>I formerly worked as mission's coordinator. I active speaker at national and regional confgerences and also assist the leadership in planning</t>
  </si>
  <si>
    <t>2006 Sydney World Congress - Registeration Fee was waivered</t>
  </si>
  <si>
    <t>$ 895</t>
  </si>
  <si>
    <t>$ 900 - $ 1000</t>
  </si>
  <si>
    <t>$ 200</t>
  </si>
  <si>
    <t>Shalini</t>
  </si>
  <si>
    <t>Part-time consultant</t>
  </si>
  <si>
    <t>Currently involved in Missions training and Discipleship Traning with the EMFI</t>
  </si>
  <si>
    <t>$895</t>
  </si>
  <si>
    <t>$ 700</t>
  </si>
  <si>
    <t>7-May</t>
  </si>
  <si>
    <t>Susan</t>
  </si>
  <si>
    <t>Vaz</t>
  </si>
  <si>
    <t>+91 8754781320</t>
  </si>
  <si>
    <t>susanvazg@gmail.com</t>
  </si>
  <si>
    <t xml:space="preserve">Junior doctor in mission hospital </t>
  </si>
  <si>
    <t>Junior (doctor/dentist who graduated within the last 5 years)</t>
  </si>
  <si>
    <t xml:space="preserve">Junior medical officer at Madhipura Christian hospital </t>
  </si>
  <si>
    <t xml:space="preserve">Doctor in mission hospital </t>
  </si>
  <si>
    <t>726</t>
  </si>
  <si>
    <t>I am a born again believer and missionary doctor working in a low resource hospital with low income with a special interest in missions and helping the underserved communities</t>
  </si>
  <si>
    <t>Alan</t>
  </si>
  <si>
    <t>David</t>
  </si>
  <si>
    <t>+91 7339370760</t>
  </si>
  <si>
    <t>alanjd311@gmail.com</t>
  </si>
  <si>
    <t>Medical officer in mission hospital</t>
  </si>
  <si>
    <t xml:space="preserve">Medical officer, Madhepura Christian Hospital, Bihar, India </t>
  </si>
  <si>
    <t xml:space="preserve">Travel and visa costs </t>
  </si>
  <si>
    <t>Working in a rural set up in Bihar
Considering a life in missions and would greatly benefit from this conference</t>
  </si>
  <si>
    <t xml:space="preserve">Adiyana Esti </t>
  </si>
  <si>
    <t>Purwaningrum</t>
  </si>
  <si>
    <t>+628161402692</t>
  </si>
  <si>
    <t>adienesti@gmail.com</t>
  </si>
  <si>
    <t>Indonesia</t>
  </si>
  <si>
    <t>Mission division work team</t>
  </si>
  <si>
    <t>472</t>
  </si>
  <si>
    <t>I'm interested to joining this event and got the opportunity to share the topic Social Media for Witness and Mentoring but i have limited funds</t>
  </si>
  <si>
    <t>Hotlin</t>
  </si>
  <si>
    <t>Ompusunggu</t>
  </si>
  <si>
    <t>6281345141734</t>
  </si>
  <si>
    <t>hotlinjro@gmail.com</t>
  </si>
  <si>
    <t>Founder and Director Yay. Healthy Planet Indonesia</t>
  </si>
  <si>
    <t xml:space="preserve">Facilitator of training track </t>
  </si>
  <si>
    <t>ICMDA World Congres Tanzania</t>
  </si>
  <si>
    <t>480</t>
  </si>
  <si>
    <t>751</t>
  </si>
  <si>
    <t>The cost required is beyond my reach as I manage non-profit activities and come from a low-income country. This congress opportunity will leverage my personal capacity and at the same time, I'll be able to share experiences benefiting Environmental and Health issues, Planetary health</t>
  </si>
  <si>
    <t>Rani Dwi</t>
  </si>
  <si>
    <t>Cahyaniputri</t>
  </si>
  <si>
    <t>6282122174447</t>
  </si>
  <si>
    <t>rk.tulung@gmail.com</t>
  </si>
  <si>
    <t>Training Track guest facilitator, speaker of breakout session of the main conference</t>
  </si>
  <si>
    <t>Director, Simore Ministry</t>
  </si>
  <si>
    <t>Training track guest speaker/facilitator</t>
  </si>
  <si>
    <t>482</t>
  </si>
  <si>
    <t>USD 1000</t>
  </si>
  <si>
    <t>USD 100</t>
  </si>
  <si>
    <t>I think I should be financially supported because, after 12 years in the unreached peoples group mission field, I long to attend fellowship with fellow believers from around the world. I long to learn, gain input, and gain new perspectives from other ministers. To be refreshed and recharged with Biblical teaching. I was also delighted to be invited to share my experiences in one of the breakout sessions of the main conference on full-time mission preparation. Through that, I hope I can also bring something to enrich others in this community and collaborate, if possible.</t>
  </si>
  <si>
    <t>Priscilia Pratami</t>
  </si>
  <si>
    <t>Intan</t>
  </si>
  <si>
    <t>+6281224509792</t>
  </si>
  <si>
    <t>priscilia.pratami.intan@gmail.com</t>
  </si>
  <si>
    <t>General Practitioner, currently unemployed</t>
  </si>
  <si>
    <t>Saline Process Multiplying Trainer</t>
  </si>
  <si>
    <t>478</t>
  </si>
  <si>
    <t>USD 818</t>
  </si>
  <si>
    <t>USD 407</t>
  </si>
  <si>
    <t>Since last 4 years I continue postgraduate study and last 2 years I did not work for any income but actively involved on self-funded ministry and volunteering, including as a Saline Process Multiplying Trainer of ICMDA (CMDFI). It is also such an honor and privilege for me to be one of the breakout session speaker, and the bursary will be so much helpful for us to cover the other costs needed for joining this Congress. Thank you.</t>
  </si>
  <si>
    <t>Deby</t>
  </si>
  <si>
    <t>Adsit</t>
  </si>
  <si>
    <t>+6282257644256</t>
  </si>
  <si>
    <t>Deby.lusiana@gmail.com</t>
  </si>
  <si>
    <t>Currently not working</t>
  </si>
  <si>
    <t>Coordinator anti human trafficking Interest Group</t>
  </si>
  <si>
    <t>$437</t>
  </si>
  <si>
    <t>$437 (flight and visa)</t>
  </si>
  <si>
    <t xml:space="preserve">I received invitations to be one of the breakout session speakers at the Student Conference, and to lead out a session at special interest group of the main conference. While it is such an honor to accept those invitations but I'm currently not practicing as a family physician neither working in anti human trafficking movement as I'm taking care of my little ones (2.5 years old and 5 months old). I find the conference cost is financially burdensome for a single income family like us. That would be nice to receive some assistant to offset my expenses. </t>
  </si>
  <si>
    <t>Finish</t>
  </si>
  <si>
    <t>Fernando</t>
  </si>
  <si>
    <t>+6281212614609</t>
  </si>
  <si>
    <t>finish.fernando@gmail.com</t>
  </si>
  <si>
    <t>Obgyn, Bethesda Serukam Mission Hospital</t>
  </si>
  <si>
    <t>Training facilitator in saline and servant leadership</t>
  </si>
  <si>
    <t>469</t>
  </si>
  <si>
    <t>I'm working in mission hospital that paid around 1/3 from my colleagues work in non mission hospital</t>
  </si>
  <si>
    <t>Kenneth</t>
  </si>
  <si>
    <t>Tan</t>
  </si>
  <si>
    <t>+6285161456079</t>
  </si>
  <si>
    <t>kennethtaan@student.uns.ac.id</t>
  </si>
  <si>
    <t>RC3ID / DCRG</t>
  </si>
  <si>
    <t>Icmda world congress 2023 arusha</t>
  </si>
  <si>
    <t>473</t>
  </si>
  <si>
    <t>I am applying for financial support because the ICMDA World Congress has played a transformative role in my growth as a Christian doctor. Since attending the 2023 Arusha Congress, I have benefited deeply from the mentorship and fellowship it provided, which helped strengthen my faith and calling in medicine. Inspired by that experience, I have since facilitated several ICMDA training tracks to help other young doctors build meaningful, Christ-centred relationships. I am currently serving in a remote jungle community among the Suku Anak Dalam, where the work is deeply rewarding but often isolating, and I feel a strong need to reconnect with the wider ICMDA family for encouragement, learning, and spiritual renewal. Due to financial constraints, attending the 2026 congress would only be possible with assistance, and I would be grateful for support to participate meaningfully.</t>
  </si>
  <si>
    <t>Joue Abraham</t>
  </si>
  <si>
    <t>Trixie Latupeirissa</t>
  </si>
  <si>
    <t>(+62) 85694033227</t>
  </si>
  <si>
    <t>joueabraham@gmail.com</t>
  </si>
  <si>
    <t>leader of a medical fellowship in Jakarta city and leader of a small group at a medical campus</t>
  </si>
  <si>
    <t>$755.00</t>
  </si>
  <si>
    <t>$72 – $156 for visas. $200 - $650+ for travel (round trip)</t>
  </si>
  <si>
    <t>$300 – $480 (USD)</t>
  </si>
  <si>
    <t>I am currently facing significant financial commitments, particularly in preparation for pursuing further education and specialist medical training, which require substantial resources. In addition, the costs associated with specialist school entrance exam are considerable, so I am being especially mindful with my finances at this time.
Nevertheless, I am genuinely eager to participate in this activity, as it would be my first opportunity to do so. I truly appreciate the chance that has been given to me. Thank you very much for your consideration.</t>
  </si>
  <si>
    <t>Lucky Sarjono</t>
  </si>
  <si>
    <t>Buranda</t>
  </si>
  <si>
    <t>+6287776456639</t>
  </si>
  <si>
    <t>mdburanda@gmail.com</t>
  </si>
  <si>
    <t>Lecturer and GP doctor at a Charity clinic</t>
  </si>
  <si>
    <t>member of Mission Department at CMDF Indonesia</t>
  </si>
  <si>
    <t>468</t>
  </si>
  <si>
    <t>USD 900</t>
  </si>
  <si>
    <t>25</t>
  </si>
  <si>
    <t>I am working as a lecturer in a low-income college as well as a general practitioner in a charity clinic. My monthly income is equivalent to about 250 USD, not including my monthly expenses. So, roughly, I can only save 50 USD per month.</t>
  </si>
  <si>
    <t>Ika Septiana</t>
  </si>
  <si>
    <t>Eryani</t>
  </si>
  <si>
    <t>+6285641677462</t>
  </si>
  <si>
    <t>trifosa.ikaseptiana@gmail.com</t>
  </si>
  <si>
    <t>Health Administrator, Center for Health Financing in Ministry of Health</t>
  </si>
  <si>
    <t>476</t>
  </si>
  <si>
    <t>500 - 600 USD</t>
  </si>
  <si>
    <t>250 - 300 USD</t>
  </si>
  <si>
    <t>I am sincerely requesting financial support to attend the ICMDA Conference 2026 because I believe the conference will significantly strengthen my calling, my professional capacity, and my contribution to Christian medical service, especially in Indonesia.
For the last 7 years, I have served as a medical doctor after completing my clinical training and becoming a General Practitioner. Two of those years spent as a GP in a primary private clinic, two others pursuing my master degree. Three of those years were spent in a remote area of East Nusa Tenggara, a region known as one of the “Christian pockets” but underdeveloped in Indonesia. Serving in this context shaped my understanding of how faith-centered medical care can transform underserved communities—not only by improving health outcomes but also by bringing hope, dignity, and compassion to those who often feel forgotten.
My experiences in rural practice also exposed me to the systemic barriers faced by marginalized populations. This fueled my desire to pursue further education, and I completed a Master’s degree in Health Financing and Policy. It expanded my perspective: I realized that improving health services requires not only clinical skills, but also the ability to influence health systems, financing policies, and equitable resource distribution.
Currently, for the past five months, I have been working as a Health Administrator in the Center for Health Financing at the Ministry of Health of Indonesia. In this role, I directly contribute to national health financing strategies that aim to improve access, sustainability, and fairness in healthcare provision across Indonesia. Although my position is relatively new, I am deeply committed to bringing a Christian ethical framework—integrity, compassion, justice—into high-level health policy work.
Attending this next year ICMDA Conference will provide me with several vital benefits, such as strengthening my spiritual and professional foundation that will definitely help me grow as a Christian doctor who serves God both in clinical practice and in health system leadership; learning global best practices and ethical approaches to help me bring more informed, compassionate, and effective strategies into my work at the Ministry of Health; and building networks with like-minded Christian health professionals in supporting my long-term calling to bridge clinical service, public health, and faith-based leadership.
Because I am still early in my health administration career and my ministry salary is modest, financial assistance would greatly enable my participation. The support would not only invest in my personal growth but also in the broader mission of strengthening Indonesia’s health system with Christ-centered principles.
I am committed to applying what I learn to better serve both my country and God’s kingdom through my role in healthcare.</t>
  </si>
  <si>
    <t>SADITHA VANIA</t>
  </si>
  <si>
    <t>JUSTININGRUM</t>
  </si>
  <si>
    <t>6281392637344</t>
  </si>
  <si>
    <t>sadithavania@gmail.com</t>
  </si>
  <si>
    <t>Participant of Confident Christianity, Saline Training, and Servant Leadership</t>
  </si>
  <si>
    <t>407 USD</t>
  </si>
  <si>
    <t xml:space="preserve">470 USD </t>
  </si>
  <si>
    <t xml:space="preserve">I have been participating in ICMDA training since last year. I feel really blessed with every training that I have gone through on the journey. Confident Christianity has equipped me to think and answer most frequently asked questions about Christianity with wisdom and knowledge. Saline has opened me up about my calling in this medical field, encouraging me to be a witness of Christ in every moment, starting on the path that I take today and tomorrow, even in the future as a doctor. Servant Leadership blessed and corrected me with a knowledge of leadership that has the gift to influence people and become a leader who follows the path of Christ in every situation. Every training journey, with the grace of God, has put me in reflection of my life as a part of God's bigger picture and His story. It has led and encouraged me to take one step at a time in my faith in following Christ. I praise the LORD to be met with every people in ICMDA and become a little part of it. With the ICMDA World Congress near, I have faith that the LORD will lead me to a broader opportunity and calling, as I have been longing to be met with fellow Christians in the medical field who have the same vision of God and be united to take part in building God's kingdom on the earth. </t>
  </si>
  <si>
    <t>Rudy.</t>
  </si>
  <si>
    <t>S</t>
  </si>
  <si>
    <t>+6285248786898</t>
  </si>
  <si>
    <t>rudisetiawan883@gmail.com</t>
  </si>
  <si>
    <t>Dentist &amp; Lecturer at Institut Ilmu Kesehatan Bhakta</t>
  </si>
  <si>
    <t>City Overseer of the Dental Student Fellowship</t>
  </si>
  <si>
    <t>479</t>
  </si>
  <si>
    <t>USD 600</t>
  </si>
  <si>
    <t>I have been a members of CMDFI (Indonesia ICMDA-affliliated national organisation) since I was a dental student, and since I was graduated until now, I have been serving as a city overseer of local medical and dental student fellowship. I have completed Saline Process (an ICMDA training tracks) training. This will be my first experience of joining ICMDA Global Congress as I will accompany my wife (Priscilia Pratami Intan), who will be one of the breakout session speaker. Our children will also join us in the Congress as we believe this will also a great early experience for them and may they (and us as a family) will continue faithful to the ministry legacy. We have been blessed by medical &amp; dental Christian ministry since we were students, therefore we caught the vision and continue to do a self funded ministry and volunteering in mission and medical dental Christian ministry, so the bursary will be so much helpful for us to cover the other costs needed for joining this Congress. Thank you.</t>
  </si>
  <si>
    <t>Dorothy Gabriella</t>
  </si>
  <si>
    <t>Pangaribuan</t>
  </si>
  <si>
    <t>+6285697071044</t>
  </si>
  <si>
    <t>registwebz@gmail.com</t>
  </si>
  <si>
    <t>Member of National CMDFI</t>
  </si>
  <si>
    <t>$1,500.00</t>
  </si>
  <si>
    <t>$300.00</t>
  </si>
  <si>
    <t>Because I'm a general practitioner interested in bioethics and palliative care especially from christian point of view. Most likely in Indonesia, both of them are still a stigma as I experienced when one of my main family member needed it. Moreover, I'm interested referred to the theme of this congress, because as I've seen everyday especially in medical fields, life seems more meaningless dan broken, how do we prepared for now and the future as a doctor not only to help the physical but also the heart to know more about God Himself.</t>
  </si>
  <si>
    <t>Kezia Christina Viani</t>
  </si>
  <si>
    <t>Wijaya</t>
  </si>
  <si>
    <t>6282247027894</t>
  </si>
  <si>
    <t>keziawij@gmail.com</t>
  </si>
  <si>
    <t>Internship doctor at Giri Emas General Hospital Buleleng, Bali</t>
  </si>
  <si>
    <t>465</t>
  </si>
  <si>
    <t>900$</t>
  </si>
  <si>
    <t>350$</t>
  </si>
  <si>
    <t>I am eager to join 2026 ICMDA World Congress but face financial limitations as I am still preparing for my medical internship. This support will enable me to learn and grow both spiritually and professionallyto learn from global Christian medical leaders, and to be inspired in how I can serve patients and communities with Christ-centered compassion. I have previously joined a Christian medical retreat in Korea, which greatly encouraged me, and I believe this congress will further strengthen my calling. I am committed to sharing what I gain from ICDMA with my local community and medical colleagues, so that the impact extends beyond myself.</t>
  </si>
  <si>
    <t>William Adi</t>
  </si>
  <si>
    <t xml:space="preserve">Santoso </t>
  </si>
  <si>
    <t>+6281335298893</t>
  </si>
  <si>
    <t>wasantoso@petra.ac.id</t>
  </si>
  <si>
    <t xml:space="preserve">Lecturer at Petra Christian University </t>
  </si>
  <si>
    <t>814 USD</t>
  </si>
  <si>
    <t>560 USD</t>
  </si>
  <si>
    <t>300 USD</t>
  </si>
  <si>
    <t>I would like to learn how I can contribute more as a young lecturer in a Christian university, and to glorify the Lord with my work. I also would like to network with fellow Christian dentists and medical doctors around the world, to open up more opportunities to collaborate with them.</t>
  </si>
  <si>
    <t xml:space="preserve">Frisyeni Amanda </t>
  </si>
  <si>
    <t>Mangule</t>
  </si>
  <si>
    <t>+6285343755068</t>
  </si>
  <si>
    <t>amandamangule05@gmail.com</t>
  </si>
  <si>
    <t>Training track facilitator</t>
  </si>
  <si>
    <t>466</t>
  </si>
  <si>
    <t>$480</t>
  </si>
  <si>
    <t>$180</t>
  </si>
  <si>
    <t>I really hope that I can be equipped through this congress as I'm also called to serve in rural areas after I graduate. But unfortunately, my financial situation is a bit challenging as I'm still a student. I'm also serving in CMF Bali's ministry and also as Sydenham Indonesia training track facilitator. If God is willing for the next World Congress in Bali, I'm going to be one of the committee. So I really want to know and be equipped through this congress.</t>
  </si>
  <si>
    <t>Eka Yudha</t>
  </si>
  <si>
    <t>Lantang</t>
  </si>
  <si>
    <t>+6281380031976</t>
  </si>
  <si>
    <t>ekalantang@gmail.com</t>
  </si>
  <si>
    <t>Anesthesiology &amp; Intensive Therapy</t>
  </si>
  <si>
    <t>Chairperson of CMDFI</t>
  </si>
  <si>
    <t>I have extra expense in this year due to my PhD study and all happen almost in the same month</t>
  </si>
  <si>
    <t>15-Apr</t>
  </si>
  <si>
    <t>Pratanu</t>
  </si>
  <si>
    <t>Head of Genetic lab</t>
  </si>
  <si>
    <t>One of the founder of Indonesian Christian medical fellowship</t>
  </si>
  <si>
    <t>ICMDA Stavanger &amp; ICMDA Taiwan</t>
  </si>
  <si>
    <t>779</t>
  </si>
  <si>
    <t>Priska</t>
  </si>
  <si>
    <t>Gunadi</t>
  </si>
  <si>
    <t>447490150864</t>
  </si>
  <si>
    <t>priskakg@gmail.com</t>
  </si>
  <si>
    <t>Unemployed</t>
  </si>
  <si>
    <t>Confident Christianity European Cohort Facilitator</t>
  </si>
  <si>
    <t>$2300</t>
  </si>
  <si>
    <t>I am a medical doctor from Indonesia with a passion for teaching and student ministry. I grew up in a Christian family, but it was not until my fourth year of medical school that I truly understood the gospel and made a personal decision to follow Jesus Christ. My faith deepened through the discipleship and student ministry of CMF Indonesia and Perkantas Jakarta, where I served as a student leader and small group leader throughout my studies.
After graduating, I continued in ministry as a full-time staff worker for the medical student ministry at Perkantas Jakarta for two years. I then served for 2.5 years at Bethesda Serukam General Hospital, a mission hospital in West Kalimantan (2013–2016), where I gained valuable experience integrating clinical work with holistic, Christ-centred service.
From 2016 to 2019, I remained actively involved in Christian medical ministry through several leadership roles. In 2016, I served on the organizing committee for a retreat for Christian medical students from various medical schools across Jakarta. From 2017 to 2019, I partnered with a fellow former Perkantas Jakarta staff worker to revive and sustain a ministry for junior doctors in Jakarta, providing fellowship and discipleship through monthly gatherings. In 2017–2018, I also served on the steering committee for the National Conference for Christian Medical Students, a biennial event that brings together Christian medical students from across Indonesia. In 2019, I was part of the steering committee for the ICMDA Southeast Asia Young Leaders Training in Bali, a four-day programme of Bible teaching and leadership training for young leaders involved in student ministries across Southeast Asia.
In August 2019, my husband and I moved to State College, United States, for his Ph.D. studies. As I was unable to practice medicine there, I worked as a teaching assistant at an elementary school. I also served in the Sunday school of our local church and helped with international student ministry alongside a 2 staff worker from Bridges International, a non-profit, Christian organization that exists to serve and mobilize the international student population in the USA and abroad. I was involved the planning of events and lead Bible study sessions. Since last year, I have been meeting monthly over Zoom with a Ph.D. student from the Bible study group for one-to-one Bible study from the book of Galatians. We left the United States in September 2023 following the completion of my husband’s studies.
Since November 2023, I have been living in the UK, accompanying my husband who is working as a Research Associate at Newcastle University. I am currently seeking employment.
In Newcastle, I am actively involved in International Student Ministry at my church as a Small Group Leader. I also volunteer as a Team Leader at Newcastle Friends International’s Globe Café—a weekly gathering for international students run by Christian volunteers from various churches. Through this ministry, I regularly meet many medical students, both Christian and non-Christian, and I am currently leading a one-to-one Bible study with a medical student from the local university. In addition, I volunteer weekly with Children North East, a charity supporting children, young people, and families across the region.
I have completed the Sydenham Training (Asia cohort) and the Confident Christianity Training (Europe cohort), and I now serve as a facilitator for the Confident Christianity programme alongside three other facilitators. 
I am eager to become more involved in the ICMDA Europe region, especially within the UK. I am looking forward to being equipped through the upcoming conference, connecting with people from different regions, and learning from their experiences and ministry contexts.</t>
  </si>
  <si>
    <t>Sadra</t>
  </si>
  <si>
    <t>Sarandili</t>
  </si>
  <si>
    <t>+61432462463</t>
  </si>
  <si>
    <t>sa.sarandili@gmail.com</t>
  </si>
  <si>
    <t>Australia</t>
  </si>
  <si>
    <t>Iran</t>
  </si>
  <si>
    <t>Medical student and placements at St John of God Midland, Perth, Western Australia)</t>
  </si>
  <si>
    <t>628.00</t>
  </si>
  <si>
    <t>I am an international medical student based in Perth, originally from Iran. I would be very grateful for the opportunity to represent Iran at the congress and contribute to the event.
As a student, and given the ongoing conflict affecting Iran, as well as the very high tuition fees for international students, my family’s financial situation has become quite difficult. Because of this, I am seeking financial support to make it possible for me to attend and participate in the congress. Without this support, it would unfortunately be impossible for me to attend.</t>
  </si>
  <si>
    <t>Ikoi</t>
  </si>
  <si>
    <t>Ishido</t>
  </si>
  <si>
    <t>08072427079</t>
  </si>
  <si>
    <t>ikoiwork0626@gmail.com</t>
  </si>
  <si>
    <t>Japan</t>
  </si>
  <si>
    <t xml:space="preserve">Resident doctor of National Hospital Organization Chiba Medical Center </t>
  </si>
  <si>
    <t>I do not currently have a formal role within my National Organisation or ICMDA. However, I have previously been involved in other Christian organisations, which has shaped my faith and my interest in Christian medical fellowship.</t>
  </si>
  <si>
    <t>485</t>
  </si>
  <si>
    <t>At this stage of my career, my income as a junior doctor is limited, and a substantial portion is spent on living costs and essential medical education. (I have to buy textbooks by myself.) International travel expenses would therefore be difficult to cover independently.
Financial support would allow me to participate in the Congress, where I hope to grow in faith, learn from the global Christian medical community, and be better equipped to contribute to Christian fellowship and service in my home country in the future.</t>
  </si>
  <si>
    <t>Dinara</t>
  </si>
  <si>
    <t>Khalelova</t>
  </si>
  <si>
    <t>+77017601501</t>
  </si>
  <si>
    <t>dinadoc2410@gmail.com</t>
  </si>
  <si>
    <t>Kazakhstan</t>
  </si>
  <si>
    <t>Pediatrician "Dadi Medical Center"</t>
  </si>
  <si>
    <t>Leader of the Christian medical group of Almaty and advisor to the Union of Christian Medical of Central Asia</t>
  </si>
  <si>
    <t>Sydney ICMDA Congress 2006</t>
  </si>
  <si>
    <t>486</t>
  </si>
  <si>
    <t>$990</t>
  </si>
  <si>
    <t>My salary is $470. For me, the fee and travel expenses are high</t>
  </si>
  <si>
    <t xml:space="preserve">Lyudmila </t>
  </si>
  <si>
    <t>Nam</t>
  </si>
  <si>
    <t>+77072287223</t>
  </si>
  <si>
    <t>doclyu@gmail.com</t>
  </si>
  <si>
    <t xml:space="preserve">Family physician, International Medical Center in Almaty </t>
  </si>
  <si>
    <t>Sydney 2006</t>
  </si>
  <si>
    <t>487</t>
  </si>
  <si>
    <t>$1600-1700</t>
  </si>
  <si>
    <t>1700</t>
  </si>
  <si>
    <t>$1000-1500</t>
  </si>
  <si>
    <t>Expensive flights and accommodation.</t>
  </si>
  <si>
    <t>Madina</t>
  </si>
  <si>
    <t>Fermebek</t>
  </si>
  <si>
    <t>+77016336888</t>
  </si>
  <si>
    <t>fermebekmadina@gmail.com</t>
  </si>
  <si>
    <t>Family physician at International Medical Center Almaty, Kazakhstan</t>
  </si>
  <si>
    <t>Trainee at IPGDFM 2025 CMC Vellore, Volunteer doctor on rural medical trips.</t>
  </si>
  <si>
    <t>My current salary does not allow me to cover travel, accommodation, and registration fees without seriously affecting my everyday life. However, I am highly motivated to participate. I believe this opportunity will be a significant benefit for my future mission and my work as a doctor. My colleague attended the last ICMDA and still speaks about how impactful the experience was. I'd be very greatful for a chance like this.</t>
  </si>
  <si>
    <t>2500 to 3000</t>
  </si>
  <si>
    <t>100 USD</t>
  </si>
  <si>
    <t>325 USD</t>
  </si>
  <si>
    <t>Resident</t>
  </si>
  <si>
    <t>Takenova</t>
  </si>
  <si>
    <t>+998908072338</t>
  </si>
  <si>
    <t>madina_takenova@yahoo.com</t>
  </si>
  <si>
    <t>Uzbekistan</t>
  </si>
  <si>
    <t>Academic coordinator at IPGDFM Russian course (ICMDA/CMC Vellore/Loma Linda Univ)</t>
  </si>
  <si>
    <t>field worker for ICMDA, supporting "Forgiven &amp; free" “Biblical Course on Healing from the Trauma of Abortion and Miscarriage”</t>
  </si>
  <si>
    <t>779$</t>
  </si>
  <si>
    <t>travel expenses + 200$ i suppose</t>
  </si>
  <si>
    <t xml:space="preserve">Its has been a long time since i was away from God (as i have a non-believing husband) but praise to God, i have come back. I would like to receive this inspiration and inner support from this special event and strengthen my Faith, knowledge of Bible, and gain a clear vision and inner answers on how to continue serving God in our medical community. I believe that our IPGDFM program and family medicine in Russian speaking countries are special opportunities to sow seeds, bring in more professionals, and through them more patients and people to serve God. </t>
  </si>
  <si>
    <t xml:space="preserve">Dennis </t>
  </si>
  <si>
    <t xml:space="preserve">Kidake </t>
  </si>
  <si>
    <t>+254112101677</t>
  </si>
  <si>
    <t>denniskidake76@gmail.com</t>
  </si>
  <si>
    <t>506</t>
  </si>
  <si>
    <t>Not sure</t>
  </si>
  <si>
    <t>I desire to attend the conference so that I may grow in my leadership skills and network with my fellow medics. However I do not have capacity in terms of finances. This bursary will go a long way in enabling to register for the conference.</t>
  </si>
  <si>
    <t>Esther</t>
  </si>
  <si>
    <t>Mulunji</t>
  </si>
  <si>
    <t>+254714108382</t>
  </si>
  <si>
    <t>mukosimulunji@gmail.com</t>
  </si>
  <si>
    <t>Medical doctor at A.I.C Litein Hospital, Kericho Kenya</t>
  </si>
  <si>
    <t xml:space="preserve">A member of the Christian Medical Fellowship Kenya board </t>
  </si>
  <si>
    <t>I received a bursary in 2023 for the ICMDA world congress</t>
  </si>
  <si>
    <t>$2500.00</t>
  </si>
  <si>
    <t>$1000.00</t>
  </si>
  <si>
    <t xml:space="preserve">As a junior professional, I am in a formative season of growth, both in my career and in my faith. I am intentional about building a life that reflects Christ in the workplace, and I believe this conference will equip me with the spiritual grounding, mentorship, and community needed to do so.
At present, the cost of travel and accommodation is beyond my financial means. With limited resources at this early stage of my career, bursary support would enable me to attend and invest in a journey that will shape not only my professional path but also my impact as a Christian leader.
</t>
  </si>
  <si>
    <t xml:space="preserve">eric </t>
  </si>
  <si>
    <t>Langat</t>
  </si>
  <si>
    <t>7043663451</t>
  </si>
  <si>
    <t>ericlangat77@gmail.com</t>
  </si>
  <si>
    <t>former National  CMDA  chair of students council</t>
  </si>
  <si>
    <t>Senior resident pediatrics</t>
  </si>
  <si>
    <t>Member and former National students council  chairman</t>
  </si>
  <si>
    <t>489</t>
  </si>
  <si>
    <t>3500 USD</t>
  </si>
  <si>
    <t xml:space="preserve">Thank you for these opportunity. i am interested in advancing Gods kingdom in Africa in the rural parts our continent. and feels that this conference will equip me to be effective in this mission . It will also give me an opportunity to link up with brethren for partnership and growth in this mission </t>
  </si>
  <si>
    <t xml:space="preserve">Melvar </t>
  </si>
  <si>
    <t>Kelly</t>
  </si>
  <si>
    <t>+254701468595</t>
  </si>
  <si>
    <t xml:space="preserve">Kellymelvar285@gmail.com </t>
  </si>
  <si>
    <t>Final year medical student</t>
  </si>
  <si>
    <t>Served previously  as a student cmf leader in my regional chapter</t>
  </si>
  <si>
    <t>ICMDA World Congress,2023 in Arusha. I was awarded a bursary that covered my registration fee</t>
  </si>
  <si>
    <t>493</t>
  </si>
  <si>
    <t>I am keen and deeply excited  to attend my   second World Congress.Currently as a student and one who comes from a single parent household , the total cost of the conference are impossible to raise.
I can however ,raise the transport fee through  intern non medical jobs and fundraising  as I previously  did for  the 2023 World Congress.</t>
  </si>
  <si>
    <t>Daniel</t>
  </si>
  <si>
    <t>Ojuka</t>
  </si>
  <si>
    <t>+254722322246</t>
  </si>
  <si>
    <t>danielojuka@gmail.com</t>
  </si>
  <si>
    <t>ICMDA International Board</t>
  </si>
  <si>
    <t>Dean, Faculty of Health Sciences</t>
  </si>
  <si>
    <t>International Board Member</t>
  </si>
  <si>
    <t>2014</t>
  </si>
  <si>
    <t>497</t>
  </si>
  <si>
    <t>Flight cost</t>
  </si>
  <si>
    <t xml:space="preserve">If  i can get refund for the travel and visa cost, i would be able to pay for the registration </t>
  </si>
  <si>
    <t xml:space="preserve">David </t>
  </si>
  <si>
    <t>Wayodi</t>
  </si>
  <si>
    <t>+254718310830</t>
  </si>
  <si>
    <t>david.wayodi@icmda.net</t>
  </si>
  <si>
    <t>ICMDA Training Administrator- Africa</t>
  </si>
  <si>
    <t>Providing administrative and technical support to ICMDA Trainings in Africa</t>
  </si>
  <si>
    <t>I Was awarded Bursary as part of the organizing team for the ICMDA World Congress in Arusha</t>
  </si>
  <si>
    <t>508</t>
  </si>
  <si>
    <t>I really desire to be part of the Jeju world Congress to learn this time not as part of the core organizing team but still very much involved in volunteering as a staff</t>
  </si>
  <si>
    <t>Staff</t>
  </si>
  <si>
    <t>MELVINE</t>
  </si>
  <si>
    <t>MUSEMBI</t>
  </si>
  <si>
    <t>+254 716799363</t>
  </si>
  <si>
    <t>melvinemusembi@gmail.com</t>
  </si>
  <si>
    <t>Medical officer, Taveta subcounty hospital</t>
  </si>
  <si>
    <t>2018, Accommodation, Hyderabad, India</t>
  </si>
  <si>
    <t>509</t>
  </si>
  <si>
    <t>I work in a remote, resource limited part of Coastal  Kenya where 50% of the population (including staff) is Islamic. Spending time in fellowship with fellow christian doctors is very healing for both body and spirit. Due to the current economic crisis in our country,  I am only able to raise part of the total required amount; a bursary to cover accommodation and part of the registration fee would markedly promote my and my patients' healing journey.</t>
  </si>
  <si>
    <t>Brenda</t>
  </si>
  <si>
    <t>Okumu</t>
  </si>
  <si>
    <t>+254724481635</t>
  </si>
  <si>
    <t>okumudr@gmail.com</t>
  </si>
  <si>
    <t>Lecturer, Moi University</t>
  </si>
  <si>
    <t>Active of a local chapter</t>
  </si>
  <si>
    <t>$649-$714</t>
  </si>
  <si>
    <t>$1646</t>
  </si>
  <si>
    <t>$1500 of the total costs</t>
  </si>
  <si>
    <t>This bursary would make it possible for me to attend my first international congress outside East Africa—an opportunity that would be truly transformative for my professional development. Participation in this congress would expose me to global perspectives, foster meaningful cross-border networks, and equip me with practical skills and knowledge that I am committed to transferring to strengthen my local and national chapter.
I am deeply motivated to contribute beyond attendance and am eager to volunteer at this and future conferences, using the exposure gained to support the long-term goals of the organization. However, despite my strong commitment and enthusiasm, I am currently unable to independently meet the full cost of participation, including travel, which is approximately USD 2,360. Support through this bursary would therefore not only enable my attendance but also empower me to amplify the impact of this congress within my professional community.</t>
  </si>
  <si>
    <t>Clara</t>
  </si>
  <si>
    <t>Odhiambo</t>
  </si>
  <si>
    <t>+256 773 470 547</t>
  </si>
  <si>
    <t>atienoclara@gmail.com</t>
  </si>
  <si>
    <t>Uganda</t>
  </si>
  <si>
    <t>Surgical Oncologist</t>
  </si>
  <si>
    <t>Vice chairperson</t>
  </si>
  <si>
    <t>719</t>
  </si>
  <si>
    <t>The cost of travel, registration and accimodation are extremely high guven my other responsibilities</t>
  </si>
  <si>
    <t xml:space="preserve">Cynthia </t>
  </si>
  <si>
    <t xml:space="preserve">Mugendi </t>
  </si>
  <si>
    <t>+254708808874</t>
  </si>
  <si>
    <t>cynthiakendi997@gmail.com</t>
  </si>
  <si>
    <t xml:space="preserve">Junior Professionals Treasurer </t>
  </si>
  <si>
    <t xml:space="preserve">Medical Officer at Chuka County Referral Hospital </t>
  </si>
  <si>
    <t>507</t>
  </si>
  <si>
    <t>$1,700</t>
  </si>
  <si>
    <t>$1,500</t>
  </si>
  <si>
    <t>I have attended an ICMDA congress before - in 2024 at Kigali, Rwanda. It was quite impactful on my faith, Christian practice and social connections. I am positive that this conference holds much more. I am willing to attend. However due to other personal obligations, I am unable to to comfortably meet the full conference costs. I will be grateful if accorded the bursary.</t>
  </si>
  <si>
    <t>KYUNGJOONG</t>
  </si>
  <si>
    <t>KIM</t>
  </si>
  <si>
    <t>+85592278605</t>
  </si>
  <si>
    <t>jabezkj@gmail.com</t>
  </si>
  <si>
    <t>Korea, South</t>
  </si>
  <si>
    <t>Gastroenterologist, Mercy Medical Center Cambodia</t>
  </si>
  <si>
    <t>Serving Cambodia CMDA(CMF) as a missionary, sent by the Korean CMF</t>
  </si>
  <si>
    <t>335</t>
  </si>
  <si>
    <t>I am currently serving as a medical missionary in Cambodia. I am currently serving Cambodia CMF and planning to bring a group of young Cambodian medical students and doctors to this Congress. As their mentor, my attendance is crucial to guide and challenge them during the event. 
 However, as a missionary and a father of four children, I face financial constraints. Supporting a family of six makes it difficult to afford my own registration and travel costs. Your support would not only help me but also ensure I can successfully lead the next generation of Cambodian Christian medics to this global gathering.</t>
  </si>
  <si>
    <t>HEE CHEOL</t>
  </si>
  <si>
    <t>KANG</t>
  </si>
  <si>
    <t>82-10-2621-2330</t>
  </si>
  <si>
    <t>1125040@HALLAHOSPITAL.COM</t>
  </si>
  <si>
    <t>FAMILY PHYSICIAN, CHEJU HALLAHOSPITAL</t>
  </si>
  <si>
    <t>SOUTH KOREA</t>
  </si>
  <si>
    <t>512</t>
  </si>
  <si>
    <t>500 US$</t>
  </si>
  <si>
    <t>300 US$</t>
  </si>
  <si>
    <t>AS A KOREAN NOC MEMBER FOR RECONFIRMING</t>
  </si>
  <si>
    <t>Saikal</t>
  </si>
  <si>
    <t>Belekova</t>
  </si>
  <si>
    <t>+996709403458</t>
  </si>
  <si>
    <t>saipubelekova05@gmail.com</t>
  </si>
  <si>
    <t>Kyrgyzstan</t>
  </si>
  <si>
    <t>I am a dedicated student, actively engaged in organizational meetings and hands-on medical outreach programs, contributing to the mission of my national CMDA.</t>
  </si>
  <si>
    <t>516</t>
  </si>
  <si>
    <t>850$</t>
  </si>
  <si>
    <t>100-200$</t>
  </si>
  <si>
    <t>I am a medical student who actively participates in meetings and medical outreach. Attending the Congress would be a wonderful opportunity for me to learn, grow, and connect with others who share my faith in serving through medicine. Financial support would make it possible for me to be part of this life-changing experience.</t>
  </si>
  <si>
    <t>Nabat</t>
  </si>
  <si>
    <t>Gasymova</t>
  </si>
  <si>
    <t>+996552234555</t>
  </si>
  <si>
    <t>gasymova.n.a@gmail.com</t>
  </si>
  <si>
    <t>paediatric anaesthesiologist and intensive care physician</t>
  </si>
  <si>
    <t>National Coordinator and Country Representative in the ICMDA movement, with responsibility for the strategic development of the national group, participation in Leaders’ Summits, and representation of the country’s progress, challenges, and needs.</t>
  </si>
  <si>
    <t>14. Leaders’ Summit in Armenia April 2025</t>
  </si>
  <si>
    <t>515</t>
  </si>
  <si>
    <t>18. The estimated cost of my travel and visa is approximately $890, but it may vary depending on the ticket price closer to the date of travel.</t>
  </si>
  <si>
    <t>890</t>
  </si>
  <si>
    <t>19. I will be able to contribute approximately $300–$350 towards my Congress costs.</t>
  </si>
  <si>
    <t>20. I need financial support because the cost of the Congress fee and travel is beyond my current means. I really want to participate because it’s a great opportunity to meet others, share experiences, and gain motivation to encourage participants in my country. I also hope to attend together with one of my students from our country, who could become my future contribution to the national group. Attending the Congress will help me get inspired, find new ideas for our group, and spark enthusiasm in others so they engage more actively in our meetings and community</t>
  </si>
  <si>
    <t>Phouthasone</t>
  </si>
  <si>
    <t>XAYYACHACK</t>
  </si>
  <si>
    <t>+8562052324869</t>
  </si>
  <si>
    <t>xayyachackpp@yahoo.com</t>
  </si>
  <si>
    <t>Leaders of Lao CMF</t>
  </si>
  <si>
    <t>Laos</t>
  </si>
  <si>
    <t>Family Medicine Specialist</t>
  </si>
  <si>
    <t>700$</t>
  </si>
  <si>
    <t>I am very interested in attending the 2026 World Congress, as I have recently restarted my involvement in student ministry. Through this congress, I hope to learn how to become a more effective mentor and to gain new experiences, inspiration and encouragement. I also look forward to share purpose and fellowship with participants from around the world. I pray that God will use this congress to strengthen and equip me so that I can apply what I learn through my ministry and serve more faithfully.
May God guide my steps, open the right doors, and prepare my heart to receive everything He intends for me through this congress.</t>
  </si>
  <si>
    <t>Alise</t>
  </si>
  <si>
    <t>Dekante</t>
  </si>
  <si>
    <t>+371 29930802</t>
  </si>
  <si>
    <t>alise.dekante@gmail.com</t>
  </si>
  <si>
    <t>Latvia</t>
  </si>
  <si>
    <t>I am currently on maternity leave. In Latvia I am still student,but also working in hospital during my residency</t>
  </si>
  <si>
    <t>I am in Latvian National ICMDA Movement. Also I will be a lecturer in upcoming National Conference in May 2026</t>
  </si>
  <si>
    <t xml:space="preserve">I was happy to receive a bursary (which covered conference fee) for 15th ICMDA congress in Netherlands (2014) as an undergraduate student </t>
  </si>
  <si>
    <t>418 usd dollars</t>
  </si>
  <si>
    <t>1000 USD dollars</t>
  </si>
  <si>
    <t>I am an active member in local ICMDA movement (also a lecturer in upcoming National conference). Also I am a mother of three,so any financial support is important.</t>
  </si>
  <si>
    <t>Mapane</t>
  </si>
  <si>
    <t xml:space="preserve">Mathibela </t>
  </si>
  <si>
    <t>0026657449013</t>
  </si>
  <si>
    <t>mapane280@gmail.com</t>
  </si>
  <si>
    <t>Lesotho</t>
  </si>
  <si>
    <t xml:space="preserve">Medical officer Maseru Regional hospital </t>
  </si>
  <si>
    <t xml:space="preserve">National chairman </t>
  </si>
  <si>
    <t>Registration for conference in 2023</t>
  </si>
  <si>
    <t>519</t>
  </si>
  <si>
    <t>1800 USD</t>
  </si>
  <si>
    <t>600 USD</t>
  </si>
  <si>
    <t>ICMDA has played a paramount role in my life as a Christian medical Doctor since when it was introduced to me while in Zimbabwe as a medical student. It was through the opportunities to serve that I was able to understand my role as a healthcare professional. I served in the committee as a student where I organized and took part in outreaches, camps and fundraising events. After graduation I went back home where ICMDA was not known, and I took it upon myself to start the organization and have it registered with the local law office with a great success and we were officially recognized as an association back in Arusha. I am still serving as a national leader currently as the Chairperson of Lesotho Christian Medical fellowship, and I also took part in the break out session at the Southern Africa regional conference in Zambia in the year 2024. To be able to attend this conference in Jeju will benefit our national organization a lot in empowering me to empower the rest of the family in Lesotho.
Thank you.</t>
  </si>
  <si>
    <t>Kasereka Steve</t>
  </si>
  <si>
    <t>Kyota</t>
  </si>
  <si>
    <t>+26657467548</t>
  </si>
  <si>
    <t>stevekyota@gmail.com</t>
  </si>
  <si>
    <t>Gen Surgeon</t>
  </si>
  <si>
    <t>Vice Shair or vice president of Christian Medical Fellowship Lesotho</t>
  </si>
  <si>
    <t>518</t>
  </si>
  <si>
    <t>Around 2000$</t>
  </si>
  <si>
    <t>Is nice place for fellowship,encouragement ,teachings ,Ethics,share of Experiences ,especially Medicine and Christianity in this Corrupted world.</t>
  </si>
  <si>
    <t xml:space="preserve">Frankie K. </t>
  </si>
  <si>
    <t xml:space="preserve">Fahnbulleh </t>
  </si>
  <si>
    <t>+231 880469815</t>
  </si>
  <si>
    <t>fahnbullehfrankie31@gmail.com</t>
  </si>
  <si>
    <t>Liberia</t>
  </si>
  <si>
    <t xml:space="preserve">Not working, still in school </t>
  </si>
  <si>
    <t xml:space="preserve">President, CMDA-Liberia Students' Arm </t>
  </si>
  <si>
    <t>521</t>
  </si>
  <si>
    <t>Estimated cost is $4,500 including Visa and round-trip</t>
  </si>
  <si>
    <t>25%</t>
  </si>
  <si>
    <t xml:space="preserve">Thanks for this opportunity!
I am a medical Student who is not working as a mean of financial income. Moreover, I am from a low income country where my parents and other relatives are unable to financially provide the cost for this congress. Importantly on this note, I am the President for CMDA students' arm in Liberia. Serving in this position, it requires me to engage more in CMDA activities to develope my horizons/experiences in CMDA activities like trainings, conferences webinars etc that will better equip me to expand the Vision, Mission and Objectives of CMDA in my country among the students. Leaders must be trained to lead better. This global platform is one I wish not to miss for more trainings, networking and travel experience. </t>
  </si>
  <si>
    <t>605</t>
  </si>
  <si>
    <t>$400</t>
  </si>
  <si>
    <t xml:space="preserve">Tresor </t>
  </si>
  <si>
    <t xml:space="preserve">Mabanza </t>
  </si>
  <si>
    <t>+231555080989</t>
  </si>
  <si>
    <t>trezmab2006@gmail.com</t>
  </si>
  <si>
    <t xml:space="preserve">General surgeon at JFK Medical Center </t>
  </si>
  <si>
    <t>520</t>
  </si>
  <si>
    <t xml:space="preserve">I really want to attend the conference based on my experience with the last conference in arusha. Considering that it's in south Korea the cost seems higher than the last conference in terms of air ticket and visas. I don't want the only financial argument to be limiting factor for my participation, that's why I'm reaching out to you for a partial assistance. </t>
  </si>
  <si>
    <t xml:space="preserve">Nnamdi Ezekiel </t>
  </si>
  <si>
    <t>Ojimadu</t>
  </si>
  <si>
    <t>+2348060922236</t>
  </si>
  <si>
    <t>ezekiel.ojimadu@sim.org</t>
  </si>
  <si>
    <t>Family Physician</t>
  </si>
  <si>
    <t xml:space="preserve">President / Board member </t>
  </si>
  <si>
    <t>Nil</t>
  </si>
  <si>
    <t>523</t>
  </si>
  <si>
    <t>$4475</t>
  </si>
  <si>
    <t>I am a cross cultural missionary from West Africa</t>
  </si>
  <si>
    <t>Marco</t>
  </si>
  <si>
    <t>Faniriko</t>
  </si>
  <si>
    <t>+261340337859</t>
  </si>
  <si>
    <t>fanirikomarcobienaim@gmail.com</t>
  </si>
  <si>
    <t>Madagascar</t>
  </si>
  <si>
    <t>Rural mission hospital ( HVMM)</t>
  </si>
  <si>
    <t xml:space="preserve">Member of ICMDA </t>
  </si>
  <si>
    <t>528</t>
  </si>
  <si>
    <t>$3800</t>
  </si>
  <si>
    <t>I am working in a rural faith based hospital Hopitaly Vaovao Mahafaly Mandritsara in Madagascar in a low income country</t>
  </si>
  <si>
    <t xml:space="preserve">RABENITANY </t>
  </si>
  <si>
    <t xml:space="preserve">Andriamaharitra Lalarisedy </t>
  </si>
  <si>
    <t>00261344980127</t>
  </si>
  <si>
    <t>rlalarisedy@gmail.com</t>
  </si>
  <si>
    <t xml:space="preserve">Chief medical officer </t>
  </si>
  <si>
    <t>President of provincial CMDA Antsirabe</t>
  </si>
  <si>
    <t>526</t>
  </si>
  <si>
    <t>$3688US</t>
  </si>
  <si>
    <t>$100US</t>
  </si>
  <si>
    <t>Our association is starting to be reborn again after being silent since 2018</t>
  </si>
  <si>
    <t>Sahondra Paskaline</t>
  </si>
  <si>
    <t>Rasoarimanana</t>
  </si>
  <si>
    <t>+261 34 92 164 07</t>
  </si>
  <si>
    <t>randriasahondra@gmail.com</t>
  </si>
  <si>
    <t>Retired Medical Doctor</t>
  </si>
  <si>
    <t>President of CMDA Madagascar</t>
  </si>
  <si>
    <t>Arusha 17th World Congres ICMDA</t>
  </si>
  <si>
    <t>527</t>
  </si>
  <si>
    <t>$3688 US</t>
  </si>
  <si>
    <t>The CMDA Madagascar is starting to be reborn again after being silent from 2018</t>
  </si>
  <si>
    <t>MARTINE</t>
  </si>
  <si>
    <t>RANIVONTSOARIVONY</t>
  </si>
  <si>
    <t>+261342027722</t>
  </si>
  <si>
    <t>mranivo@gmail.com</t>
  </si>
  <si>
    <t>doctor</t>
  </si>
  <si>
    <t>trainer</t>
  </si>
  <si>
    <t>Sydney 2006, Hollande</t>
  </si>
  <si>
    <t>low</t>
  </si>
  <si>
    <t>I WOULD LIKE TO CONTINUE TO HELP FOR TRAINING YOUNG PEOPLE IN MY COUNTRY AFTER!I am a lecturer at the university and nurses school. It will be a great opportunity for me to attend the international conference.</t>
  </si>
  <si>
    <t>488</t>
  </si>
  <si>
    <t xml:space="preserve">Mulinda </t>
  </si>
  <si>
    <t>Nyirenda</t>
  </si>
  <si>
    <t>+265999946026</t>
  </si>
  <si>
    <t>mleenyirenda@yahoo.co.uk</t>
  </si>
  <si>
    <t>ICMDA board member and national chairperson</t>
  </si>
  <si>
    <t>Malawi</t>
  </si>
  <si>
    <t>counsultant physician</t>
  </si>
  <si>
    <t>Chairperson</t>
  </si>
  <si>
    <t>World congress in Netherlands</t>
  </si>
  <si>
    <t>USD755</t>
  </si>
  <si>
    <t>USD3000</t>
  </si>
  <si>
    <t>USD800</t>
  </si>
  <si>
    <t xml:space="preserve">Serving diligently for years and usually able to raise funds for myself and support Malawians too.  Unfortunately currently limited on private practice opportunities and earning capacity reduced to a third of my previous earnings. I will appreciate the assistance with the bursary. 
</t>
  </si>
  <si>
    <t xml:space="preserve">Joseph </t>
  </si>
  <si>
    <t xml:space="preserve">Mkandawire </t>
  </si>
  <si>
    <t>+265992265200</t>
  </si>
  <si>
    <t>Joe18wire@gmail.com</t>
  </si>
  <si>
    <t>General Surgeon</t>
  </si>
  <si>
    <t>2650</t>
  </si>
  <si>
    <t>950</t>
  </si>
  <si>
    <t>I am a newly graduated general surgeon working in central Malawi at a peri urban mission hospital that recently started offering surgical services. I have desired to attend International Christian Medical and Dental Association congresses since medical school, but financial constraints and limited time have made this difficult. I strongly believe in the value of Christian fellowship, professional networking, and the sharing of experiences from the mission field among doctors. Having worked and trained in Christian rural mission hospitals under the Pan-African Academy of Christian Surgeons, I believe I will be a great addition to the diversity of the congress attendees.
In anticipation of attending this year’s congress, I have already approached my employer and requested a commitment of partial financial support toward my participation. I am also making every effort to secure additional support to make it possible for me to travel to Jeju. On my own, I am not able to afford the cost of such an important opportunity, yet I am convinced that attending the congress will strengthen my work in mission based surgical care and allow me to return better equipped to serve my patients and my institution.</t>
  </si>
  <si>
    <t>SAMSON CHIN</t>
  </si>
  <si>
    <t>HESING</t>
  </si>
  <si>
    <t>60162089597</t>
  </si>
  <si>
    <t>hesing123@gmail.com</t>
  </si>
  <si>
    <t>Malaysia</t>
  </si>
  <si>
    <t>FY2 NHS Lothian (finished dec 2025)</t>
  </si>
  <si>
    <t>533</t>
  </si>
  <si>
    <t xml:space="preserve">I am currently not employed and will not have a source of income for the entire duration from now until the conference. </t>
  </si>
  <si>
    <t>Suet Lai</t>
  </si>
  <si>
    <t>Yong</t>
  </si>
  <si>
    <t>+60173391048</t>
  </si>
  <si>
    <t>yong.sl@moh.gov.my</t>
  </si>
  <si>
    <t>Breakout session &amp; SIG speaker</t>
  </si>
  <si>
    <t>Emergency Physician, government hospital</t>
  </si>
  <si>
    <t>Disaster preparedness and crisis relief</t>
  </si>
  <si>
    <t>ICMDA conference Hydrabad, 2018</t>
  </si>
  <si>
    <t>USD 649</t>
  </si>
  <si>
    <t>USD 325</t>
  </si>
  <si>
    <t xml:space="preserve">Mid class, government servant, tent maker ministry, invited speaker to share on student preconference breakout session &amp; SIG Disaster relief tract. </t>
  </si>
  <si>
    <t>CHARIS</t>
  </si>
  <si>
    <t>EDMOND</t>
  </si>
  <si>
    <t>+601137822452</t>
  </si>
  <si>
    <t>charisnaomi97@gmail.com</t>
  </si>
  <si>
    <t>MEDICAL OFFICER; HOSPITAL SULTANAH BAHIYAH ALOR SETAR</t>
  </si>
  <si>
    <t>$300-$350</t>
  </si>
  <si>
    <t>I am currently a junior doctor and have long hoped to attend this Congress, as it uniquely brings together healthcare practice, faith, and service. I believe it would provide invaluable spiritual encouragement and professional formation at this early stage of my medical career, helping me grow as a clinician who serves with compassion, integrity, and Christ-centred values.
At present, I am experiencing financial constraints associated with my training, and the costs of international travel and accommodation place this opportunity beyond my personal means. Receiving bursary support would make it possible for me to attend and fully benefit from this congress.
I am deeply motivated to apply what I learn in my clinical work and to serve others more faithfully through my vocation. I would be sincerely grateful for any assistance you are able to provide.
Thank you very much for your time, prayerful consideration, and generosity.
I look forward to your kind response.</t>
  </si>
  <si>
    <t>Andria Buri</t>
  </si>
  <si>
    <t>Ibrahim</t>
  </si>
  <si>
    <t>+60 11 14013474</t>
  </si>
  <si>
    <t>andriaburiibrahim@gmail.com</t>
  </si>
  <si>
    <t>Student leader</t>
  </si>
  <si>
    <t>531</t>
  </si>
  <si>
    <t>490 USD</t>
  </si>
  <si>
    <t>60 USD</t>
  </si>
  <si>
    <t>I should be financially supported for this congress because I come from a low-income family in a region in Malaysia. I am a part of the Sarawakian native indigenous group, the Orang Ulu where even among my peers in medical school I am considered a minority. 
I personally, have a vision in my heart to reach the unreached in Sarawak where paganism is still very much deep-rooted within the people. I believe that I will be able to learn a lot from the participants that are joining this congress, through their mission testimonies and their efforts at the grassroots. 
ICMDA's help to provide me with this bursary would be a golden opportunity for me to find good mentors among Christian leaders that will be participating in this congress, and seek wise counsels in making my elect sure.</t>
  </si>
  <si>
    <t>Wymen</t>
  </si>
  <si>
    <t>Seet</t>
  </si>
  <si>
    <t>+60166000618</t>
  </si>
  <si>
    <t>drwymen@gmail.com</t>
  </si>
  <si>
    <t>participant</t>
  </si>
  <si>
    <t>Doctor at Klinik Kesihatan Nilai (government primary health care)</t>
  </si>
  <si>
    <t>particpant</t>
  </si>
  <si>
    <t>529</t>
  </si>
  <si>
    <t xml:space="preserve">I am planning to retire next year and I want to see where God leads me in areas where I can serve.  I attended the conference in Bangkok SEAMMC 2025 and the organisers mentioned that this ICMDA World congress is a great avenue to be exposed to the works of God. I am currently working as a government servant in a government primary health care facility and my pay is from the middle income group ... I need to support my parents.  The traveling costs to fly to Jeju from Malaysia is quite substantial .. not adding in the accommodation and expenses yet. Hence I would appreciate if I can be financially supported partially.  I would appreciate your consideration.  Thank you. </t>
  </si>
  <si>
    <t>Kathleen Sze Lin</t>
  </si>
  <si>
    <t>Low</t>
  </si>
  <si>
    <t>+60126632097</t>
  </si>
  <si>
    <t>kathleenlow97@yahoo.com</t>
  </si>
  <si>
    <t>Junior doctor, Sarawak General Hospital</t>
  </si>
  <si>
    <t>Participant</t>
  </si>
  <si>
    <t>I wish to participate in this year's ICMDA world congress to learn how to mirror God and His love for my patients despite being overcome with the many challenges and distraught I face in the hospital</t>
  </si>
  <si>
    <t>Ken</t>
  </si>
  <si>
    <t>Jetton</t>
  </si>
  <si>
    <t>(692)4567130</t>
  </si>
  <si>
    <t>Marshall Islands</t>
  </si>
  <si>
    <t xml:space="preserve">Medic @ Public Health clinician </t>
  </si>
  <si>
    <t>Romain Didier</t>
  </si>
  <si>
    <t>Vincent</t>
  </si>
  <si>
    <t>+23058008586</t>
  </si>
  <si>
    <t>dr20cent@gmail.com</t>
  </si>
  <si>
    <t>Responsible association of medical and paramedical professionals</t>
  </si>
  <si>
    <t>Mauritius</t>
  </si>
  <si>
    <t>Doctor and Moka</t>
  </si>
  <si>
    <t>Pioneer</t>
  </si>
  <si>
    <t>534</t>
  </si>
  <si>
    <t xml:space="preserve">1. Wants be equipped to accomplish ICMDA vision in Mauritius and Indian Ocean.
2. Pioneer/founder in first medical/paramedical Association in Mauritius </t>
  </si>
  <si>
    <t>Jackson</t>
  </si>
  <si>
    <t xml:space="preserve">Nyanjau </t>
  </si>
  <si>
    <t>254742837465</t>
  </si>
  <si>
    <t>kariukinyanjau@gmail.com</t>
  </si>
  <si>
    <t>Executive Administrator, CMF-K</t>
  </si>
  <si>
    <t>Executive Administrator</t>
  </si>
  <si>
    <t>495</t>
  </si>
  <si>
    <t>3865</t>
  </si>
  <si>
    <t>I am seeking financial support to attend the ICMDA World Congress because this opportunity will significantly contribute to both my professional growth and my service to CMF-K. The congress will equip me with practical skills, deeper insight, and relevant tools for integrating my Christian faith with medical practice, and it will expose me to global networks that can positively impact our fellowship.
In addition, my attendance is not only for personal benefit but also for the benefit of the entire Kenyan delegation. As the Administrator of CMF-K, I will be responsible for coordinating logistics for our delegates, ensuring their smooth travel, comfortable arrival in Jeju, and proper organization throughout the congress. Receiving support will enable me to fulfill this role effectively, ensuring that our team is well assisted and represented.
Financial support will therefore make it possible for me to grow, serve, and represent CMF-K excellently at an international level.</t>
  </si>
  <si>
    <t xml:space="preserve">Medical Officer </t>
  </si>
  <si>
    <t>2300</t>
  </si>
  <si>
    <t>1900$</t>
  </si>
  <si>
    <t>10 USD</t>
  </si>
  <si>
    <t>N/a</t>
  </si>
  <si>
    <t xml:space="preserve">Member  </t>
  </si>
  <si>
    <t>Faith</t>
  </si>
  <si>
    <t>1100</t>
  </si>
  <si>
    <t>Paul</t>
  </si>
  <si>
    <t xml:space="preserve">Istrati </t>
  </si>
  <si>
    <t>+37367739715</t>
  </si>
  <si>
    <t>istratialina16@gmail.com</t>
  </si>
  <si>
    <t>Moldova</t>
  </si>
  <si>
    <t xml:space="preserve">i am a student </t>
  </si>
  <si>
    <t>One of the National Student  CMDA Leader</t>
  </si>
  <si>
    <t>535</t>
  </si>
  <si>
    <t xml:space="preserve">1300 </t>
  </si>
  <si>
    <t xml:space="preserve">I would be extremely grateful if you could offer me a scholarship for this conference, because as a student - my scholarship is 61 euros per month. My family can't help me financially, because I have 4 younger siblings after me ... and my mother is not working at the moment because she is very sick.  Its like a dream , it's probably a once in a lifetime opportunity ,but I hope with all my heart that it will be the Lord's will that I can participate in this conference. May the Lord bless you and reward you abundantly.
I had the blessing and responsibility of being part of the initiative group of the medical christian students . As a leader, there is always a need for wisdom, advice, ideas to support the entire group. Participating in this conference will be of real benefit to me, but also to all the young people and students who are part of this association. I am sure that by participating in this conference, I will be able to receive and transmit further, in my country, in the community of which I am a part, valuable messages, which will contribute to the support and perseverance of the development of this group for the Glory of GOD, and helping people in need.
</t>
  </si>
  <si>
    <t>Erkhes</t>
  </si>
  <si>
    <t>Batsaikhan</t>
  </si>
  <si>
    <t>+97688946747</t>
  </si>
  <si>
    <t>erkhesbatsaikhan9@gmail.com</t>
  </si>
  <si>
    <t>Mongolia</t>
  </si>
  <si>
    <t>I am in medical school</t>
  </si>
  <si>
    <t>I have benefitted from east asian ICMDA conference which was held in Japan, Ishigaki island in 2024</t>
  </si>
  <si>
    <t>407$</t>
  </si>
  <si>
    <t>~250$-400$</t>
  </si>
  <si>
    <t>Since the 2024 East Asia Regional Conference, I have remained deeply committed to the ICMDA vision and have shared my intent to participate in the World Congress with many colleagues. My primary motivation for seeking financial support is to honor those commitments and represent my local chapter on a global stage. This congress is a vital opportunity for me to gain international perspectives that I can bring back to my local practice and community, ensuring that the connections made in 2024 continue to flourish into meaningful professional collaborations</t>
  </si>
  <si>
    <t>Zolzaya</t>
  </si>
  <si>
    <t>Baljinnyam</t>
  </si>
  <si>
    <t>976-99174131</t>
  </si>
  <si>
    <t>teacher.zolzaya@gmail.com</t>
  </si>
  <si>
    <t xml:space="preserve">Professor of Microbiology, PUST </t>
  </si>
  <si>
    <t xml:space="preserve">I am one of active member of Mongolia. </t>
  </si>
  <si>
    <t>Not applicable</t>
  </si>
  <si>
    <t>537</t>
  </si>
  <si>
    <t>678US$</t>
  </si>
  <si>
    <t>492 US$</t>
  </si>
  <si>
    <t>I volunteer as a professor at North Korea's only private university, called Pyongyang University of Science and Technology (PUST). Like many teachers there, I'm not on a salary. Instead, I'm supported by donations from individuals and groups who believe in the value of this educational mission. These funds cover all my living and teaching expenses while I'm in Pyongyang. I teach solely to educate Medical and Veterinary students at the PUST.</t>
  </si>
  <si>
    <t>Gerelmaa</t>
  </si>
  <si>
    <t>Jargalsaikhan</t>
  </si>
  <si>
    <t>+97689099848</t>
  </si>
  <si>
    <t>drgerelmaa@ubach.org</t>
  </si>
  <si>
    <t>Agape Christian Hospital of Mongolia - Surgeon</t>
  </si>
  <si>
    <t>active member, newly elected CEO</t>
  </si>
  <si>
    <t>536</t>
  </si>
  <si>
    <t>Although Mongolia is classified as a middle-income country by the World Bank, the pre-tax monthly salary for doctors and healthcare workers is only $500–600.
This is a difficult situation for the entire profession, as this amount is often insufficient to fully cover rent and food expenses.
On the other hand, although our clinic is categorized as a private hospital, it is a non-profit, Christian-affiliated first hospital, and issues like funding for studying (further education) from their own salaries, or attending training and conferences abroad, pose significant challenges.</t>
  </si>
  <si>
    <t>Iveeltsetseg</t>
  </si>
  <si>
    <t>976-99306972</t>
  </si>
  <si>
    <t>iveelxo@gmail.com</t>
  </si>
  <si>
    <t>MCMF</t>
  </si>
  <si>
    <t>MCMF Member</t>
  </si>
  <si>
    <t>448</t>
  </si>
  <si>
    <t>650</t>
  </si>
  <si>
    <t>20-Apr</t>
  </si>
  <si>
    <t>9-May</t>
  </si>
  <si>
    <t>Dulguun</t>
  </si>
  <si>
    <t>Chadraabal</t>
  </si>
  <si>
    <t>+97688226508</t>
  </si>
  <si>
    <t>dulguunchadraabal@gmail.com</t>
  </si>
  <si>
    <t>26-Apr</t>
  </si>
  <si>
    <t>Nurse</t>
  </si>
  <si>
    <t>Jeremiah Abdul Akim</t>
  </si>
  <si>
    <t>Jalloh</t>
  </si>
  <si>
    <t>+212 619 233483</t>
  </si>
  <si>
    <t>jallohjeremiah@gmail.com</t>
  </si>
  <si>
    <t>Morocco</t>
  </si>
  <si>
    <t>Medical Interne</t>
  </si>
  <si>
    <t>CHF Morocco - Current Leader.</t>
  </si>
  <si>
    <t>A bursary to facilitate my participation in the Arusha World Congress.</t>
  </si>
  <si>
    <t>538</t>
  </si>
  <si>
    <t>$1,200</t>
  </si>
  <si>
    <t>I can contribute $700 towards the total cost of the Congress (Congress fee + Visa + Travel)</t>
  </si>
  <si>
    <t>I am a Medical Intern in Morocco, in the final year of my training. I do get a stipend for my hospital rotations, which amounts to approximately $200 a month. At the moment, I am not financially positioned to be responsible for the whole cost of attending the World Congress. I do work with ICMDA as a fieldworker in the MENA region and also with health professionals in Morocco. I would like to be part of the World Congress, participate in the streams and plenaries, be equipped, and also meet believers from all around the world.</t>
  </si>
  <si>
    <t>Benedicte</t>
  </si>
  <si>
    <t>Kumingi amisi</t>
  </si>
  <si>
    <t>+212681493577</t>
  </si>
  <si>
    <t>benedictekumingi29@gmail.com</t>
  </si>
  <si>
    <t xml:space="preserve">Interne en médecine </t>
  </si>
  <si>
    <t>Membre et aide dans l’information</t>
  </si>
  <si>
    <t>539</t>
  </si>
  <si>
    <t xml:space="preserve">Je suis étudiante en médecine au Maroc loin de ma famille, je ne gagne pas beaucoup , je fais partie du corps chrétienne et je souhaiterais bénéficier de cette expérience pour ma vie </t>
  </si>
  <si>
    <t>Justia</t>
  </si>
  <si>
    <t>Bualuti</t>
  </si>
  <si>
    <t>+212777209110</t>
  </si>
  <si>
    <t>justiabualuti1@gmail.com</t>
  </si>
  <si>
    <t>I participate to bible studies</t>
  </si>
  <si>
    <t>540</t>
  </si>
  <si>
    <t>I really want to participate to this session. Due to the fact i am still a student and do have a permanent job and no regular income, it might be difficult for me to afford all the expenses expected for this Congress.</t>
  </si>
  <si>
    <t>Erica</t>
  </si>
  <si>
    <t>Bila</t>
  </si>
  <si>
    <t>+258827699380</t>
  </si>
  <si>
    <t>ericaventurabila@gmail.com</t>
  </si>
  <si>
    <t>Mozambique</t>
  </si>
  <si>
    <t>Treatment Advisor - Maputo</t>
  </si>
  <si>
    <t>544</t>
  </si>
  <si>
    <t>$4000</t>
  </si>
  <si>
    <t xml:space="preserve">As a Mozambican physician working on the front lines of HIV/TB care, I believe my attendance will directly enhance both my clinical practice and the broader health system in Mozambique.
It will be an opportunity to study the Bible and how to practice medicine in a God's way. 
 The conference offers workshops on different topics. I will bring back evidence‑based tools that can be integrated into our district health programmes, improving patient outcomes and reducing loss‑to‑follow‑up.
Connecting with clinicians and researchers from across the continent will enable the formation of collaborative research projects and mentorship opportunities that are otherwise difficult to access from Maputo.
 I am part of the technical working group that advises the Ministry of Health on the new guidelines. Insights gained at ICMIDA will inform our recommendations, ensuring Mozambique’s policies remain aligned with the latest global standards.
I will acquire strategies to optimize resource use in low‑resource settings, ultimately lowering the cost of care for our patients and the health system.
</t>
  </si>
  <si>
    <t>Ye Yint Maung</t>
  </si>
  <si>
    <t>Shin</t>
  </si>
  <si>
    <t>+95943018219</t>
  </si>
  <si>
    <t>dryeyint.rm@gmail.com</t>
  </si>
  <si>
    <t>Invited through an ICMDA member</t>
  </si>
  <si>
    <t>Myanmar, {Burma}</t>
  </si>
  <si>
    <t>Myanmar</t>
  </si>
  <si>
    <t xml:space="preserve">Nutritionist Doctor at Pun Hlaing Hospital </t>
  </si>
  <si>
    <t>Primary Healthcare Volunteer Leader (Heal Myanmar), Myanmar</t>
  </si>
  <si>
    <t>546</t>
  </si>
  <si>
    <t>Approximately USD 1,200–1,500</t>
  </si>
  <si>
    <t>I can contribute approximately USD 400–500.</t>
  </si>
  <si>
    <t>I am from a low to middle-income country and actively involved in primary healthcare and volunteer health education in Myanmar. Financial support would enable me to attend the Congress, gain valuable knowledge and connections, and apply what I learn to serve my community more effectively.</t>
  </si>
  <si>
    <t xml:space="preserve">Zaw </t>
  </si>
  <si>
    <t xml:space="preserve">Aung </t>
  </si>
  <si>
    <t>+959976017876</t>
  </si>
  <si>
    <t>zmaung@tlmmyanmar.org</t>
  </si>
  <si>
    <t>Executive Director, The Leprosy Mission Myanmar, Yangon, Myanmar</t>
  </si>
  <si>
    <t xml:space="preserve">Organizer </t>
  </si>
  <si>
    <t xml:space="preserve">50% </t>
  </si>
  <si>
    <t xml:space="preserve">As a lead of a non-profit organization, The Leprosy Mission Myanmar (TLMM), let alone to say hard to say salaries, renumeration competitive, so that the organization can take up skilled workers, to make sure financial security to keep essential staff year in year out under current climate is not easy. Therefore, it is not my priority to have sort of enough salaries so that I can go and travel like this trip. In addition, two growing children who are now at middle year programme, costs of education increased proportionately and to catch up with those is also a must priority as a parent. Current cost of over 1,600 US$ inclusive of registration fee, flights and visa, if dormitory available which would be great for accommodation but I consider if I need to take my own responsibility because younger people might need dormitory more than me, with that I am not sure how much accommodation cost would add up. But I would be pleased to be in a dormitory if there is one available for me. Considering other expenses related to the trip to ROK, I thought it would be appropriate to request if 50% from this roughly 1,600 US$, I hope to be able to raise either from my office international travel costs or somewhere else. </t>
  </si>
  <si>
    <t xml:space="preserve">Saw Harry </t>
  </si>
  <si>
    <t>Nu</t>
  </si>
  <si>
    <t>+959 965048015</t>
  </si>
  <si>
    <t>saw.harrynu@gmail.com</t>
  </si>
  <si>
    <t>Dr. Saw Harry Nu, GP, Luke Clinic</t>
  </si>
  <si>
    <t xml:space="preserve">Member of Myanmar ICMDA responsible for Medical Students Ministry </t>
  </si>
  <si>
    <t>USD 1800</t>
  </si>
  <si>
    <t xml:space="preserve">USD 100 </t>
  </si>
  <si>
    <t>If you support me, I’ll bring the experience and mission back to Myanmar and work hardly for the mission and will spread good news of Salvation for Myanmar Medical students.</t>
  </si>
  <si>
    <t>Heinrich</t>
  </si>
  <si>
    <t>Nel</t>
  </si>
  <si>
    <t>+264 81 334 7497 (Namibia)</t>
  </si>
  <si>
    <t>nelheinrich14@gmail.com</t>
  </si>
  <si>
    <t>Christian Medical Fellowship Student Leader</t>
  </si>
  <si>
    <t>Namibia</t>
  </si>
  <si>
    <t>Final year student</t>
  </si>
  <si>
    <t>I am applying for financial support to attend the World Congress as a final-year medical student. The Congress represents a great opportunity for me to growth
spiritually,and connect with Christian medical professionals from around the world.
In my current leadership role, I actively mobilize medical students and young professionals for community outreach, and compassionate service that reflects Christ. ICMDA’s vision of equipping and uniting Christian doctors aligns closely with both my personal calling and my current responsibilities.
The World Congress would equip me with global perspectives, and practical leadership tools that I can directly apply within my national movement. I am committed to sharing insights gained with fellow students and young doctors, thereby multiplying the impact of this investment beyond my own attendance.
I am committed to covering my own visa and accommodation costs. However, the cost of the return flight (approximately USD 2,000) presents a significant financial barrier. Support toward travel would make it possible for me to attend and fully benefit from this Congress, enabling me to contribute more effectively to ICMDA’s mission in Namibia.
Thank you for your consideration.</t>
  </si>
  <si>
    <t xml:space="preserve">Karina </t>
  </si>
  <si>
    <t>Sikongo</t>
  </si>
  <si>
    <t>+264817994464</t>
  </si>
  <si>
    <t>sikongokarina@gmail.com</t>
  </si>
  <si>
    <t xml:space="preserve">Namibia CMDA (CMF) head of community outreach (National leadership position) </t>
  </si>
  <si>
    <t xml:space="preserve">Final year medical student </t>
  </si>
  <si>
    <t xml:space="preserve">Namibia CMDA (CMF) head of community outreach </t>
  </si>
  <si>
    <t xml:space="preserve">Tangi </t>
  </si>
  <si>
    <t>Vatuva</t>
  </si>
  <si>
    <t>+264 81 7735107</t>
  </si>
  <si>
    <t>vatuvatangi@gmail.com</t>
  </si>
  <si>
    <t>Catholic Medical Student, aspiring attendee of the ICMDA congress</t>
  </si>
  <si>
    <t>Secretary of the Christian Medical foundation (univeristy level)</t>
  </si>
  <si>
    <t>549</t>
  </si>
  <si>
    <t>1800</t>
  </si>
  <si>
    <t xml:space="preserve">I believe that this Conference will equip me with invaluable Christian tools to heal my country and make alliances with other countries. Namibia being a third world country is severely left out of many international conversations although it has much to offer with our rich diversity of traditional medicine and small population. I humbly request for financial support for this as I come from a low-income background and I currently have no financial support for my studies. The financial burden of my studies is already too much for my parents and I could not in good conscious demand any more from the two people who work tirelessly for my education.  Moreover, I am an avid student leader and have much experience in the Christian faith, medicine and ministry. I do not doubt that I will be an active member in the conference. </t>
  </si>
  <si>
    <t xml:space="preserve">Jeevan </t>
  </si>
  <si>
    <t>Rai</t>
  </si>
  <si>
    <t>+977-9841785843</t>
  </si>
  <si>
    <t xml:space="preserve">Uniteddentistcare@gmail.com </t>
  </si>
  <si>
    <t>Nepal</t>
  </si>
  <si>
    <t xml:space="preserve">Dental surgeon and United dental care </t>
  </si>
  <si>
    <t xml:space="preserve">Treasurer in NCMDA </t>
  </si>
  <si>
    <t>551</t>
  </si>
  <si>
    <t xml:space="preserve">900 </t>
  </si>
  <si>
    <t>214</t>
  </si>
  <si>
    <t xml:space="preserve">It's my first ICMDA congress and truly want to attend. By God's grace I am earning but I am only one to support my family . I do support  NCMDA monthly and local church. I have to prepare for the cost of flight. I would be grateful if you can provide enough bursary so that I may return with blessings and share what I learn there in my country with my nepal NCMDA group. Thank you 😊 </t>
  </si>
  <si>
    <t xml:space="preserve">Pradeep </t>
  </si>
  <si>
    <t>Kumar yadav</t>
  </si>
  <si>
    <t>009779824907891</t>
  </si>
  <si>
    <t>Pradeep9862920@gmail.com</t>
  </si>
  <si>
    <t>Lifeline Hospital Damak jhapa Nepal</t>
  </si>
  <si>
    <t xml:space="preserve">Learning </t>
  </si>
  <si>
    <t>552</t>
  </si>
  <si>
    <t>Approx $900</t>
  </si>
  <si>
    <t xml:space="preserve">I m working in one private Hospital as a Surgeon . The salary which I received is not enough to go and participate ICMDA conference because i have to support my family and parents well. So kindly request u to support financially to attend this conference.  I will cover myself traveling cost.I will be blessed if i got this opportunity.i will share what I learned in conference to my church and believers around my working area.Thank you
</t>
  </si>
  <si>
    <t>Subba</t>
  </si>
  <si>
    <t>977 9803945005</t>
  </si>
  <si>
    <t>samuelsubba@daum.net</t>
  </si>
  <si>
    <t>I am a committed member and actively participate in events and volunteer opportunities to support ICMDA's mission movement.</t>
  </si>
  <si>
    <t>554</t>
  </si>
  <si>
    <t xml:space="preserve">750 USD (Lowest Airfare + USD 40 for Single Entry Visa) as of 17th December 2025  </t>
  </si>
  <si>
    <t xml:space="preserve">98790Npr (670 USD) Approximately 3 Month's in hand salary </t>
  </si>
  <si>
    <t>670</t>
  </si>
  <si>
    <t xml:space="preserve">I am a young doctor who is passionate about being a Christian witness through healthcare amidst some of the most marginalized and vulnerable communities. I am deeply moved by ICMDA's mission and have actively participated in cohort courses, webinars and conferences hosted by both ICMDA and my national CMDA and also actively shared my reflection and grace amidst young Christian medicos in Nepal. I am from Nepal, one of the poorest nations where doctors are paid unfairly low wages I am unable to afford my journey to this highly anticipated event. I believe i have a good track record of my stewardship and have demonstrated the FAT attributes of faithfulness, availability and that I am teachable. I am committed towards being a good disciple and then continue onto being a good steward of this movement with the sincere hope that one day I am able to well testify ICMDA's mission, vision and values to the upcoming generation of medicos in my country and beyond. </t>
  </si>
  <si>
    <t>Josh</t>
  </si>
  <si>
    <t>Mills</t>
  </si>
  <si>
    <t>+447737581801</t>
  </si>
  <si>
    <t>josh.mills@icmda.net</t>
  </si>
  <si>
    <t>New Zealand</t>
  </si>
  <si>
    <t>COO</t>
  </si>
  <si>
    <t xml:space="preserve">Louisa Nneka </t>
  </si>
  <si>
    <t xml:space="preserve">Nwachukwu </t>
  </si>
  <si>
    <t>±2347037381393, ±22797095825</t>
  </si>
  <si>
    <t>drlouisann@gmail.com</t>
  </si>
  <si>
    <t>Niger</t>
  </si>
  <si>
    <t xml:space="preserve">General surgery, resident at SIM Galmi missions Hospital Niger Republic </t>
  </si>
  <si>
    <t xml:space="preserve">I am involved in mobilisation, track training facilitating </t>
  </si>
  <si>
    <t xml:space="preserve">ARUSHA,ICMDA Work Congress </t>
  </si>
  <si>
    <t>556</t>
  </si>
  <si>
    <t>1179-3680USD</t>
  </si>
  <si>
    <t>3680</t>
  </si>
  <si>
    <t>900USD</t>
  </si>
  <si>
    <t xml:space="preserve">I'm writing to express my interest in attending the ICMDA World Conference, a unique opportunity to connect with Christians from over 100 countries and be equipped to serve the hurting world. The conference will enhance my skills, faith, and network, enabling me to make a greater impact in my community. My previous experience at the last conference in Arusha, Tanzania, significantly improved my patient care and evangelism skills, and I'm eager to be refreshed and renewed to continue serving in a challenging setting. I'm seeking financial support to help me attend this life-changing event and amplify my impact for God's kingdom. Thank you for considering my request!
</t>
  </si>
  <si>
    <t>Moussa Oumarou</t>
  </si>
  <si>
    <t>Yacouba</t>
  </si>
  <si>
    <t>+22788329019</t>
  </si>
  <si>
    <t>yacouboum33@gmail.com</t>
  </si>
  <si>
    <t>Leader Étudiant ICMDA</t>
  </si>
  <si>
    <t>557</t>
  </si>
  <si>
    <t>Environ 2637 USD</t>
  </si>
  <si>
    <t>As a committed student leader within the Christian medical community, I believe I should be financially supported to attend the ICMDA World Congress because this opportunity will strengthen my leadership skills, broaden my global perspective, and equip me to better serve my local group. Participating in this congress will allow me to receive valuable training, build international connections, and bring back impactful knowledge and resources that will directly benefit the students and young professionals I mentor.</t>
  </si>
  <si>
    <t>Sanoussi Alassane</t>
  </si>
  <si>
    <t>Hannatou</t>
  </si>
  <si>
    <t>0022796977764</t>
  </si>
  <si>
    <t>hannatous@yahoo.fr</t>
  </si>
  <si>
    <t>GOB</t>
  </si>
  <si>
    <t>presidente</t>
  </si>
  <si>
    <t>558</t>
  </si>
  <si>
    <t>700 USD</t>
  </si>
  <si>
    <t>Je viens des pays pauvres</t>
  </si>
  <si>
    <t>Sani Beidou</t>
  </si>
  <si>
    <t>IDRISSA</t>
  </si>
  <si>
    <t>00227 90 77 36 47</t>
  </si>
  <si>
    <t>beidouconsultingniger@gmail.com</t>
  </si>
  <si>
    <t>Non medical Member, ICMDA Niger as evangelical outreach coordinator</t>
  </si>
  <si>
    <t xml:space="preserve">Président of elders in a local church called EEI Lamorde </t>
  </si>
  <si>
    <t xml:space="preserve">Coordination of evangelization of medical outreach </t>
  </si>
  <si>
    <t>I Don't remember</t>
  </si>
  <si>
    <t xml:space="preserve">Ticket cost is very high, leaving in a developing county in west africa where
Christians are a minority population in Niger my country (less than 1%) 
Giving me this busary will allow me as a church leader to exchange experiences and get opportunities to learn much more about ICMDA world wide. </t>
  </si>
  <si>
    <t>Etubi Alex</t>
  </si>
  <si>
    <t>+2348065359105</t>
  </si>
  <si>
    <t>alexetubi28@gmail.com</t>
  </si>
  <si>
    <t>Nigeria</t>
  </si>
  <si>
    <t>Dr</t>
  </si>
  <si>
    <t>I am the ICMDA Regional Representative for Anglophone West Africa, Also the Coordinator for Sydenham Leadership Course in Sub Saharan Africa, Also the Deputy CEO 2 for CMDA Nigeria</t>
  </si>
  <si>
    <t>In 2018, i received Registration Bursary from ICMDA to Attend the World Congress in India</t>
  </si>
  <si>
    <t>563</t>
  </si>
  <si>
    <t>3,000</t>
  </si>
  <si>
    <t>ICMDA has been a great Blessing to me and the Work I do. The Bursary support will enable me to attend the conference, providing a transformative experience and offering opportunities for spiritual growth, networking, and equipping for the ministry of ICMDA, with which I am deeply involved in my National Movement and throughout the entire region. It will be a strategic investment of ICMDA in my life, helping me apply the things I am learning to others who are committed to sharing with others as well. Without this support, it may be difficult for me to attend the World Congress. Even as a Senior Doctor and Consultant, my monthly salary is below $750, which will need to save up my salary for about 4-5 months before I can afford the cost of this conference. I trust that your bursary support will go a long way in enabling me to attend this conference on Rebuilding.</t>
  </si>
  <si>
    <t xml:space="preserve">Watchman </t>
  </si>
  <si>
    <t xml:space="preserve">Kpoughor </t>
  </si>
  <si>
    <t>+2348132015027</t>
  </si>
  <si>
    <t>kpoughorw@gmail.com</t>
  </si>
  <si>
    <t>Students National President (Nigeria)</t>
  </si>
  <si>
    <t>571</t>
  </si>
  <si>
    <t>$4135</t>
  </si>
  <si>
    <t>$34</t>
  </si>
  <si>
    <t>I really desire to attend the Conference to learn and garner experiences that would be valuable to me and to the members of the association in my country. But I currently do not have the means to facilitate the costs.
I believe that with the support of the bursary, it would go a long way to enable me attend and actively participate which would be of huge benefit to me, and to the members of CMDA NIGERIA STUDENTS.</t>
  </si>
  <si>
    <t>Courage</t>
  </si>
  <si>
    <t>Uhunmwangho</t>
  </si>
  <si>
    <t>+2348163486124</t>
  </si>
  <si>
    <t>ucourage@yahoo.com</t>
  </si>
  <si>
    <t xml:space="preserve">Associate Professor </t>
  </si>
  <si>
    <t xml:space="preserve">Regional secretary </t>
  </si>
  <si>
    <t xml:space="preserve">Registrars for Sydney 2006 world Congress </t>
  </si>
  <si>
    <t>566</t>
  </si>
  <si>
    <t xml:space="preserve">2000 USD </t>
  </si>
  <si>
    <t xml:space="preserve">This will help facilitate my attendance which will in turn ensure I’m able to facilitate the Health and Healing in missions workshops as I have been requested to. It will also boost my work as regional secretary for ICMDA West Africa as well as other roles I play in ICMDA . </t>
  </si>
  <si>
    <t>Fidelis Filibus</t>
  </si>
  <si>
    <t>Linga</t>
  </si>
  <si>
    <t>+234-7063614588</t>
  </si>
  <si>
    <t>drfillinga@gmail.com</t>
  </si>
  <si>
    <t>Doctor at Federal teaching hospital Gombe, Gombe state. Nigeria</t>
  </si>
  <si>
    <t xml:space="preserve">Mission Secretary at CMDA Gombe Chapter </t>
  </si>
  <si>
    <t>561</t>
  </si>
  <si>
    <t>3000USD</t>
  </si>
  <si>
    <t>1500USD</t>
  </si>
  <si>
    <t>I will need support because the total cost of 3000USD is my whole one year's salary. I have family to take care of as well as other needs</t>
  </si>
  <si>
    <t>Dominion</t>
  </si>
  <si>
    <t>Iria</t>
  </si>
  <si>
    <t>+2348139723136</t>
  </si>
  <si>
    <t>iriadominion@gmail.com</t>
  </si>
  <si>
    <t xml:space="preserve">Intern, Federal Medical Centre, Owo </t>
  </si>
  <si>
    <t>Students' National Ex Officio</t>
  </si>
  <si>
    <t>562</t>
  </si>
  <si>
    <t>3,000 USD</t>
  </si>
  <si>
    <t>It has always been a dream to be present at an ICMDA world Congress. I couldn't make it to the 17th World Congress in Tanzania and has since hoped to be at the next. Having had the opportunity to lead at the National Students' body, I believe the exposure will help me to better represent Christ in the health sector.</t>
  </si>
  <si>
    <t xml:space="preserve">Mayellawos Karuwa </t>
  </si>
  <si>
    <t>+2348069133679</t>
  </si>
  <si>
    <t>ataschong@gmail.com</t>
  </si>
  <si>
    <t>House Officer (Junior Doctor)/Aminu Kano Teaching Hospital</t>
  </si>
  <si>
    <t>Cluster Levite and Member Coordinating Team for Starting Strong Program in the Directorate of Students and Junior Doctors Ministry, CMDA Nigeria, National Body</t>
  </si>
  <si>
    <t>565</t>
  </si>
  <si>
    <t>3245</t>
  </si>
  <si>
    <t>I am a junior doctor (1 year post graduation) currently undergoing my 12-month mandatory internship (housemanship) training. I hail from the North-eastern region of Nigeria, an area plagued by prolonged religious and ethnic instability and among the lowest socio-economic zones in the country.
As an orphan with younger siblings to support, I have faced significant financial and personal challenges, yet I remain deeply committed to the call of Christ in medicine. Despite these circumstances, I am determined to make personal financial sacrifices from savings and with your kind support, I hope to attend and correspond with brethren at the upcoming CMDA World Congress.
The CMDA vision has resonated with me since my first year as a medical student, shaping both my spiritual and professional journey. Over the years, I have served faithfully in various CMDA leadership roles at the university chapter, including:
Assistant School Prayer Secretary (2017)
School Prayer Secretary (2018–2019)
School General Secretary (2020–2021)
School President (2022)
School Ex-Officio &amp; Fostering Committee Leader (2023–2024)
Cluster Levite and Coordinating member, Starting Strong Program (CMDA Nigeria, National Body) (2025)
Presently, I serve as a Cluster Levite and member of the Coordinating Team for the Starting Strong Program—an initiative of the Directorate of Students and Junior Doctors Ministry designed to equip final-year students and junior Doctors ahead of induction into the Doctor's Arm of CMDA and maintaining the Vision of wholistic care. In this capacity, I am also actively involved in leadership training and mentorship of CMDA executives.
Attending the CMDA World Congress would be a remarkable opportunity to fellowship with brethren of like passion, deepen my understanding of the ministry’s global vision, and learn improved strategies for better actualization of the CMDA vision in my region.
The total cost of participation is $4,000, and by God’s grace, I am able to contribute $1,500 from personal savings. I humbly seek consideration for a bursary award to enable my participation in this life-transforming gathering.</t>
  </si>
  <si>
    <t xml:space="preserve">Olufemi </t>
  </si>
  <si>
    <t xml:space="preserve">Olowookere </t>
  </si>
  <si>
    <t>+2348023422410</t>
  </si>
  <si>
    <t>femikemi2001ng@yahoo.com</t>
  </si>
  <si>
    <t xml:space="preserve">Consultant Family Physician and Geriatrician </t>
  </si>
  <si>
    <t>Lead facilitator/ coordinator involved with whole person Medicine training, after being trained by PRIME, UK</t>
  </si>
  <si>
    <t xml:space="preserve">2023 ICMDA Arusha, Tanzania , Bursary allocated was 823USD . Which covers my registration. </t>
  </si>
  <si>
    <t>576</t>
  </si>
  <si>
    <t>Travels estimated cost  - 1,855 USD, Visa fee - no idea of the cost yet</t>
  </si>
  <si>
    <t>300USD</t>
  </si>
  <si>
    <t xml:space="preserve">I am one of the facilitators at the pre-conference for PRIME coming from Nigeria. </t>
  </si>
  <si>
    <t>STANLEY</t>
  </si>
  <si>
    <t>OKERULU</t>
  </si>
  <si>
    <t>+2348-60950867</t>
  </si>
  <si>
    <t>stanqueen4christ@gmail.com</t>
  </si>
  <si>
    <t>MEDICAL OFFICER AND CLERGY</t>
  </si>
  <si>
    <t>CHAPTER EXECUTIVE AND FAR STUDENT LEADER</t>
  </si>
  <si>
    <t>577</t>
  </si>
  <si>
    <t>$3000</t>
  </si>
  <si>
    <t>I AM A MEDICAL DOCTOR AND A PRIEST BUT A MISSIONARY IN A RURAL AREA (UMUEZEALA-NSU IN EHIME MBANO LGA OF IMO STATE) AND MY PAY IS VERY POOR AND I AM MARRIED WITH A KID HOWEVER MY WIFE HAS NO JOB. MY PARENTS ARE ALIVE AND DEPENDENT ON ME. I HAD TO SEEK FOR SUPPORT AND LOAN TO BE ABLE TO RAISE SOME MONEY FOR THIS CONFERENCE WHICH I HAD ALWAYS DREAMT OF ATTENDING.MY APPLICATION FOR BURSARY CAME LATE BECAUSE I HAD LOST HOPE AS I WAS AFRAID RAISING FUNDS FOR VISA AND FLIGHT EVEN IF I GET THE BURSARY BUT MY HOPE CAME ALIVE TODAY AFTER PRAYING AND I WAS ENCOURAGED IN MY SPIRIT THAT GOD WILL DO IT.
THANKS.
GOD BLESS YOU</t>
  </si>
  <si>
    <t>Dubem</t>
  </si>
  <si>
    <t xml:space="preserve">Okoye </t>
  </si>
  <si>
    <t>+2347043267867</t>
  </si>
  <si>
    <t xml:space="preserve">okoyedubemvictoria@gmail.com </t>
  </si>
  <si>
    <t>Student leader in University of Nigeria Teaching Hospital Chapter</t>
  </si>
  <si>
    <t xml:space="preserve">Leader in student chapter, University of Nigeria Teaching Hospital </t>
  </si>
  <si>
    <t>578</t>
  </si>
  <si>
    <t>$1,381</t>
  </si>
  <si>
    <t>$50</t>
  </si>
  <si>
    <t>AttendingAttending this conference will deepen my understanding of the vision and mission of the Christian Medical and Dental Association (CMDA) Global and strongly aligns with my God-given passion for caring for the whole person—spirit, soul, and body.
With financial support, I commit to actively participating in the sessions, sharing key insights with peers, and applying what I learn in my academic and clinical training, so that the impact extends beyond me to my wider community.
I would be honored to be part of this God-given vision of CMDA and to serve faithfully in advancing Christ-centered healthcare. Thank you for your kind consideration.</t>
  </si>
  <si>
    <t>Delight</t>
  </si>
  <si>
    <t>Ikeuba</t>
  </si>
  <si>
    <t>+234 8024994344</t>
  </si>
  <si>
    <t>delightikeuba@gmail.com</t>
  </si>
  <si>
    <t>A leader at the state level</t>
  </si>
  <si>
    <t>581</t>
  </si>
  <si>
    <t>$3,300</t>
  </si>
  <si>
    <t>I am a young leader who will greatly benefit from the bursary. It would reduce the financial cost.</t>
  </si>
  <si>
    <t>Chiagoziem</t>
  </si>
  <si>
    <t>Ezeugo</t>
  </si>
  <si>
    <t>+2347 069 526 452</t>
  </si>
  <si>
    <t>divinely4j@gmail.com</t>
  </si>
  <si>
    <t>Intern (Federal Medical Centre, Owo, Ondo State, Nigeria)</t>
  </si>
  <si>
    <t>Cluster Levite (a support system for the students arm). I have also served in the students arm of the organisation for the past 7 years ranging from leadership at the class level to being the President of my students arms chapter for two years and a member of the national council of the students arm from 2022 to 2025.</t>
  </si>
  <si>
    <t>I was awarded bursary for the World Congress held at Arusha Tanzania. However, I wrote back to the bursary committe on 24th May, 2023 (4 days after after i got the mail) to ask that it be transferred to another applicant due to current inconviniences (this was because of an unexpected change that occured in my school calender) and I received feedback from the committee.</t>
  </si>
  <si>
    <t>2,026.49</t>
  </si>
  <si>
    <t>2026.49</t>
  </si>
  <si>
    <t>The ICMDA World Congress is a phenomenal gathering of Christian healthcare professionals that I have long looked forward to being part of. Although I was awarded a bursary in 2023, I was unable to attend the Congress at that time and therefore requested that my bursary be transferred to another participant.
The 18th World Congress focuses on the timely and deeply relevant theme, “Building God’s Kingdom amongst the Broken.” This resonates strongly with me as a young professional at the beginning of my medical career, particularly practicing in a low-resource setting.
Receiving this bursary would help offset some of the associated costs and make attending the Congress more attainable. I believe this Congress will be a life-changing experience, equipping me to better serve within my profession and to care for patients holistically—addressing the needs of the whole person.
I believe this Congress will speak to needs beyond clinical medicine, extending to areas such as missions and volunteer opportunities, emerging research discussions, and insightful panel sessions.
I sincerely appreciate your consideration and look forward to a favourable response. even as I continue to pray for God’s abundant provision, and grace for the bursary committee, and for all intending participants</t>
  </si>
  <si>
    <t>tabitha</t>
  </si>
  <si>
    <t>jamil</t>
  </si>
  <si>
    <t>+92 3344108892</t>
  </si>
  <si>
    <t>tabitha.m.jamil@gmail.com</t>
  </si>
  <si>
    <t>Pakistan</t>
  </si>
  <si>
    <t xml:space="preserve">Senior registerar </t>
  </si>
  <si>
    <t xml:space="preserve">Vice Chairperson </t>
  </si>
  <si>
    <t>1400 to 1600$</t>
  </si>
  <si>
    <t xml:space="preserve">I believe CMF Pakistan is a recent chapter with the ICMDA and an authentic representation of the movement in Pakistan developed and the unique challenges it has and how the movement has over developed over the past 15 years to adapt to the needs of the local Christian community not only in the physical sense but also on the evangelical fronts , merits a fair chance of representation at ICMDA for encouragement and glorification of the body of Christ and How He still does wonders </t>
  </si>
  <si>
    <t>Sana</t>
  </si>
  <si>
    <t>Sameer</t>
  </si>
  <si>
    <t>0092 3434996069</t>
  </si>
  <si>
    <t>yellow.butterfly19@yahoo.com</t>
  </si>
  <si>
    <t>Paediatrician</t>
  </si>
  <si>
    <t>Member of regional cmda</t>
  </si>
  <si>
    <t>666 USD</t>
  </si>
  <si>
    <t>40 USD</t>
  </si>
  <si>
    <t>I work in the mission hospital meant to serve underprivilleged population of Pakistan. Visiting this conference would help in enlightening me about the newer ways of helping people, learning more about the medical advances and helping me to improve my knowledge.</t>
  </si>
  <si>
    <t xml:space="preserve">Shifa </t>
  </si>
  <si>
    <t xml:space="preserve">Jonathan </t>
  </si>
  <si>
    <t>+923499513328</t>
  </si>
  <si>
    <t xml:space="preserve">Shifajonathan@yahoo.com </t>
  </si>
  <si>
    <t xml:space="preserve">Medical Officer, Bach Christian Hospital Qalanderabad </t>
  </si>
  <si>
    <t xml:space="preserve">Regional coordinator of Christian Medical Fellowship Abbottabad, Pakistan </t>
  </si>
  <si>
    <t xml:space="preserve">649 USD </t>
  </si>
  <si>
    <t>I'm seeking financial support for the World Congress bursary as it'd boost my skills, impact my life and career but costs are a barrier. Support would enable participation and meaningful contribution</t>
  </si>
  <si>
    <t>Narisa</t>
  </si>
  <si>
    <t>Pervaiz</t>
  </si>
  <si>
    <t>+923359399732</t>
  </si>
  <si>
    <t>pervarisa@gmail.com</t>
  </si>
  <si>
    <t>Currently not doing job</t>
  </si>
  <si>
    <t>Working as a treausrer in Christian medical fellowship, Pakistan and member of ICMDA</t>
  </si>
  <si>
    <t>649USD</t>
  </si>
  <si>
    <t>1400USD</t>
  </si>
  <si>
    <t>200USD</t>
  </si>
  <si>
    <t>I belong to a middle-class family. My husband, who is a doctor, is currently the sole earning member of our household. He also provides financial support to his parents, who are retired and fully dependent on him. At present, I am not employed because we have recently been posted to a new city.
I have one kid. Our income is mainly spent on essential expenses such as food, rent, utility bills, and transportation. These unavoidable monthly costs leave very little income for savings.
This conference, which focuses on building God’s Kingdom among the broken, can greatly help me in my workplace, especially in my role as a regional coordinator in my city where I lead Bible studies. The teachings and discussions from conference equip me with practical ways to serve people who are struggling emotionally, spiritually, or socially.</t>
  </si>
  <si>
    <t>Yameen Khan</t>
  </si>
  <si>
    <t>Younatan</t>
  </si>
  <si>
    <t>+923369060659</t>
  </si>
  <si>
    <t>yameen.k1997@gmail.com</t>
  </si>
  <si>
    <t>postgraduate orthopaedic surgery resident at Khyber Teaching Hospital, Peshawar</t>
  </si>
  <si>
    <t>I am a coordinator at my National Fellowship and a fieldworker for ICMDA</t>
  </si>
  <si>
    <t>I received travel compensation for attending the Fieldworkers' summit at Indonesia in 2024.</t>
  </si>
  <si>
    <t>Working with the ICMDA for the past two years has really helped me to understand and appreciate the grand design of God's work around the world through medical professionals. Coming together and meeting with fellow Christian medical professionals from around the world who are actively serving the Lord, really helps to get realigned with the Lord's purpose for my life in this whole grand design. If it is possible, I would love to attend the World Congress and meet my fellows from around the world once again.  Unfortunately, financial constraints are a hurdle in this matter. Any bursary from the ICMDA would really help me in making this journey to Jeju for the Congress.</t>
  </si>
  <si>
    <t xml:space="preserve">Maria </t>
  </si>
  <si>
    <t>92-3433940027</t>
  </si>
  <si>
    <t>Geminian_29@hotmail.com</t>
  </si>
  <si>
    <t xml:space="preserve">Medical practitioner at Bach Christian hospital qalandarabad abbottabad </t>
  </si>
  <si>
    <t xml:space="preserve">Member of Christian medical fellowship abbottabad pakistan </t>
  </si>
  <si>
    <t>1600USD</t>
  </si>
  <si>
    <t>I want to attend this Congress for my growth spiritually and to get benefit from this Congress to enhance my growth in career but finances are the main hindrance therefore I need financial support and it is my first time ever to attend such Congress and iam looking forward to it.</t>
  </si>
  <si>
    <t xml:space="preserve">Donald </t>
  </si>
  <si>
    <t>Kafa</t>
  </si>
  <si>
    <t>680 775 7714</t>
  </si>
  <si>
    <t>kafadonald@gmail.com</t>
  </si>
  <si>
    <t>Palau</t>
  </si>
  <si>
    <t xml:space="preserve">Medical Doctor OPD </t>
  </si>
  <si>
    <t>Fieldworkers summit in Indonesia</t>
  </si>
  <si>
    <t xml:space="preserve">I have just started working in Palau and have not settled in well financially as yet.
I will be able to financially contribute and support ICMDA once I settle in my new workplace.
As a field worker, I feel that I need to attend this conference also
</t>
  </si>
  <si>
    <t>Mario Luis</t>
  </si>
  <si>
    <t>Ruiz Jimenez</t>
  </si>
  <si>
    <t>+50764500116</t>
  </si>
  <si>
    <t>vittoriosilvano@hotmail.com</t>
  </si>
  <si>
    <t>Panama</t>
  </si>
  <si>
    <t>Medical doctor, Hospital Irma Tzanetatos</t>
  </si>
  <si>
    <t>Regional Secretary</t>
  </si>
  <si>
    <t>In Tanzania congress</t>
  </si>
  <si>
    <t>584</t>
  </si>
  <si>
    <t>For us in Latin America, these transcontinental trips are extremely difficult, as they require time and money, resources that are valuable to everyone and in short supply.</t>
  </si>
  <si>
    <t>Sheena</t>
  </si>
  <si>
    <t>Li</t>
  </si>
  <si>
    <t>+67570812491</t>
  </si>
  <si>
    <t>sheenamareena@icloud.com</t>
  </si>
  <si>
    <t>Papua New Guinea</t>
  </si>
  <si>
    <t xml:space="preserve">Dental Surgeon </t>
  </si>
  <si>
    <t>Regional Secretary for ICMDA Oceania</t>
  </si>
  <si>
    <t>585</t>
  </si>
  <si>
    <t>I am a long term missionary serving in the highlands of Papua New Guinea. I would be grateful for any donation or subsidy towards this.</t>
  </si>
  <si>
    <t xml:space="preserve">Erick </t>
  </si>
  <si>
    <t>Mange</t>
  </si>
  <si>
    <t>+67572039674</t>
  </si>
  <si>
    <t>erick.mange@gmail.com</t>
  </si>
  <si>
    <t>Internal Medicine Registrar, Mendi Provincial Hospital, SHPHA</t>
  </si>
  <si>
    <t xml:space="preserve">National President </t>
  </si>
  <si>
    <t xml:space="preserve">2023 ICMDA congress at Tanzania </t>
  </si>
  <si>
    <t>587</t>
  </si>
  <si>
    <t xml:space="preserve">2,000 </t>
  </si>
  <si>
    <t>1,500</t>
  </si>
  <si>
    <t>PNG is a resource rich country but because of corruption and current inflation, the country is going through an economic recession where our currency (kina) is devaluing (1 USD = 4.1 Kina, which used to be 3.8 kina in the last 2 years) and prices of goods and services have gone up 3 times the normal in a span of 1-2 years. And salaries have remain the same. A senior doctor like me gets between 600 - 800 USD per fortnight in the government salary. Hence, I need bursary assistance because of this. Thank you.</t>
  </si>
  <si>
    <t xml:space="preserve">Elisa Mabel </t>
  </si>
  <si>
    <t xml:space="preserve">Galeano Gamarra </t>
  </si>
  <si>
    <t>+595976571926</t>
  </si>
  <si>
    <t>elisamedoficial@gmail.com</t>
  </si>
  <si>
    <t xml:space="preserve">Paraguayan Founding member </t>
  </si>
  <si>
    <t>I am currently volunteering to found the association in Paraguay, while working in home healthcare, and while preparing for a postgraduate degree.</t>
  </si>
  <si>
    <t xml:space="preserve">Paraguayan Founding member. </t>
  </si>
  <si>
    <t>589</t>
  </si>
  <si>
    <t>2,500 USD</t>
  </si>
  <si>
    <t>0 USD</t>
  </si>
  <si>
    <t>Hello, my name is Elisa Galeano. I am a newly graduated medical doctor, and most of the time I serve as a volunteer in indigenous communities and low-resource areas. Some people pay me for home consultations, and I am currently preparing for a postgraduate program so that I can access a stable job position.
In the meantime, I am leading the initiative to establish the Christian Paraguayan Health Association (ACPAS). I do not yet have the means to cover my registration fees, but by faith I am preparing to attend the conference. I am carrying out small activities to raise funds for my travel, trusting that God is in control and that His will is perfect and good.
I deeply long to connect with other Christians who love and serve God in the field of healthcare. I am grateful for the opportunity to apply and to see Paraguay as a future member of ICMDA. We believe that, very soon, we will be fully registered.</t>
  </si>
  <si>
    <t>Pedro</t>
  </si>
  <si>
    <t>Cazorla</t>
  </si>
  <si>
    <t>+51 999104001</t>
  </si>
  <si>
    <t>pcazorlasalinas@gmail.com</t>
  </si>
  <si>
    <t>Peru</t>
  </si>
  <si>
    <t>Medico Pediatra</t>
  </si>
  <si>
    <t>Vicepresidente de ACSAI Perú</t>
  </si>
  <si>
    <t>590</t>
  </si>
  <si>
    <t>Porque actualmente estoy jubilado y mis ingresos no me permiten realizar muchos gastos</t>
  </si>
  <si>
    <t xml:space="preserve">LUZ ELENA </t>
  </si>
  <si>
    <t xml:space="preserve">CHACHA CERQUIN </t>
  </si>
  <si>
    <t>+51 999002760</t>
  </si>
  <si>
    <t>elenachacha@hotmail.com</t>
  </si>
  <si>
    <t xml:space="preserve">MÉDICO GINECO-OBSTETRA. HOSPITAL NACIONAL HIPOLITO UNANUE </t>
  </si>
  <si>
    <t xml:space="preserve">MEMBER. ACSAI PERÚ </t>
  </si>
  <si>
    <t>593</t>
  </si>
  <si>
    <t>$ 3500</t>
  </si>
  <si>
    <t xml:space="preserve">PORQUE QUIERO PARTICIPAR EN EL CONGRESO CON MISIONEROS INTERNACIONALES </t>
  </si>
  <si>
    <t>María</t>
  </si>
  <si>
    <t>Cóndor</t>
  </si>
  <si>
    <t xml:space="preserve">+51-999 602 375 </t>
  </si>
  <si>
    <t>maryce1917@gmail.com</t>
  </si>
  <si>
    <t>PARTICIPE EN CURSO BIOETICA - ICMDA</t>
  </si>
  <si>
    <t>MINISTERIO DE SALUD</t>
  </si>
  <si>
    <t>TESORERA DE ACSA-PERU</t>
  </si>
  <si>
    <t>$ 869 dolares</t>
  </si>
  <si>
    <t>$ 2,400 dolares</t>
  </si>
  <si>
    <t>Considero que debo recibir apoyo financiero para asistir a este Congreso de ICMD porque fortalecerá mi formación como médico comprometido con una atención integral, ética y centrada en la dignidad humana. Como miembro activo de ACSA Perú - ICMDA, mi participación en este congreso me permitirá reforzar la integración entre la práctica médica y los valores cristianos, así como adquirir herramientas que impactarán positivamente en mi servicio profesional y comunitario. El apoyo recibido se traducirá en un beneficio que podré compartir y multiplicar dentro de mi entorno laboral y en la comunidad médica cristiana.</t>
  </si>
  <si>
    <t>Estela</t>
  </si>
  <si>
    <t>Aliano</t>
  </si>
  <si>
    <t>+51 992221050</t>
  </si>
  <si>
    <t>Jr. Francisco Vidal de Laos 162 San Luis - Lima</t>
  </si>
  <si>
    <t xml:space="preserve">Medical Technologist </t>
  </si>
  <si>
    <t>Training and education coordinator</t>
  </si>
  <si>
    <t xml:space="preserve">Registration for de Congress in Tanzania 2023 </t>
  </si>
  <si>
    <t>592</t>
  </si>
  <si>
    <t>The approximate cost of the trip is $3,000.</t>
  </si>
  <si>
    <t>I could contribute $ 1,000.</t>
  </si>
  <si>
    <t>The conference would be an important learning opportunity for me. However, it would also be a significant financial burden, considering that the costs of being in South Korea represent a large portion of my income. That is why it would be very helpful to receive financial support for my participation.
In my experience, I have been working for 30 years as a healthcare professional at INEN, a Peruvian hospital specializing in cancer treatment. I am also a member of ACSAI PERU, a Christian association of healthcare professionals that has been working for nearly 20 years to guide medical staff in providing comprehensive patient care.
My time at INEN has allowed me to learn about the challenges facing the state health system: the commodification of public health, institutionalized corruption, work overload, wage inequalities among medical staff, insensitivity in the treatment of patients, and gaps in access to dignified care.
I see this Congress as a valuable opportunity to exchange experiences and learn about new realities that will allow me to strengthen my work as a training facilitator at ACSAI PERU. I am also confident that it will allow me to gain new ideas and tools to share and implement in my country with the teams I work with.</t>
  </si>
  <si>
    <t>Jo Vee</t>
  </si>
  <si>
    <t>Dignadice</t>
  </si>
  <si>
    <t>+639193444195</t>
  </si>
  <si>
    <t>jov@doctor.com</t>
  </si>
  <si>
    <t>Training Track Coordinator (Thought Leadership)</t>
  </si>
  <si>
    <t>Philippines</t>
  </si>
  <si>
    <t>Missionary Doctor</t>
  </si>
  <si>
    <t>Core Team member, Medical Ministry International (Philippines-Asia); Member Care Collaboration Network</t>
  </si>
  <si>
    <t>IPGDFM 2022</t>
  </si>
  <si>
    <t>604</t>
  </si>
  <si>
    <t>$214</t>
  </si>
  <si>
    <t xml:space="preserve">I would like to be given the opportunity to join the world congress with a bursary, if possible since i don't have a fixed support as a freelance missionary. It's exciting to wait and see if this is how Abba Father will provide. </t>
  </si>
  <si>
    <t>Ronnah Marie</t>
  </si>
  <si>
    <t>Ong</t>
  </si>
  <si>
    <t>09293006203</t>
  </si>
  <si>
    <t>ronnahong@gmail.com</t>
  </si>
  <si>
    <t xml:space="preserve">Core Team </t>
  </si>
  <si>
    <t>Young Leaders Meeting</t>
  </si>
  <si>
    <t>601</t>
  </si>
  <si>
    <t>450 USD</t>
  </si>
  <si>
    <t xml:space="preserve">Financial support would be helpful because of other anticipated costs of ICMDA ministry next year, aside from this conference </t>
  </si>
  <si>
    <t>Skyleth</t>
  </si>
  <si>
    <t>Ansino</t>
  </si>
  <si>
    <t>+659157375301</t>
  </si>
  <si>
    <t>skyansinophi@gmail.com</t>
  </si>
  <si>
    <t>Physician</t>
  </si>
  <si>
    <t>Southeast Asia Young Leaders Conference, 2024</t>
  </si>
  <si>
    <t xml:space="preserve">I have a monthly allowance as a doctor under an NGO which is only enough to pay for my living expenses, send support to my family in the Philippines, currently paying for my tuition in IPGDFM as well. I'm on a tight budget so the bursary will be a big help. </t>
  </si>
  <si>
    <t>Merle</t>
  </si>
  <si>
    <t>6329178019668</t>
  </si>
  <si>
    <t>cpupeds@protonmail.com</t>
  </si>
  <si>
    <t>Medical Specialist II</t>
  </si>
  <si>
    <t xml:space="preserve">member </t>
  </si>
  <si>
    <t>598</t>
  </si>
  <si>
    <t>US1500</t>
  </si>
  <si>
    <t>Coming from middle income  country I find the registration and travel fee  is expensive. 
I'm working ins a government hospital</t>
  </si>
  <si>
    <t>Mary Bernadette</t>
  </si>
  <si>
    <t>Egloso-Alas</t>
  </si>
  <si>
    <t>(+63)925-612-3343</t>
  </si>
  <si>
    <t>docmary.psych@gmail.com</t>
  </si>
  <si>
    <t>medical specialist</t>
  </si>
  <si>
    <t>vice president</t>
  </si>
  <si>
    <t>1190 USD</t>
  </si>
  <si>
    <t>831</t>
  </si>
  <si>
    <t>As a young psychiatrist from the Philippines, currently serving as a Training Officer in a tertiary government hospital, I carry multiple roles: clinician, educator, mentor, and servant-leader. Yet beyond all professional titles, I see my work as ministry. Every patient encounter, every lecture delivered to residents, and every quiet moment of listening to a distressed family is, for me, sacred work.
The opportunity to attend the ICMDA World Congress represents far more than professional development. It is a vital platform for spiritual renewal, global fellowship, and strategic equipping—particularly for someone serving in a rural region like Eastern Visayas in the Philippines, where access to international collaboration and faith-based medical networks is limited.
In our tertiary government training hospital, we serve a wide catchment area that includes underserved and geographically isolated communities. Mental health resources remain scarce, stigma is strong, and the burden of untreated psychiatric conditions continues to grow. As Training Officer, I influence not only patient care but also the formation of future psychiatrists. What I learn, I multiply. What shapes me, shapes the next generation of physicians serving our region.
Financially, like many young physicians working in government service in the Philippines, my resources are limited. Government compensation sustains daily living and family responsibilities such as being the sole breadwinner in my family, supporting my elderly parents, but leaves little room for international travel and conference participation. Without bursary support, attendance at the World Congress would be a struggle. 
The ICMDA World Congress is uniquely positioned to integrate faith and medicine at a global level. As someone who believes that mental health care must address the biological, psychological, social, and spiritual dimensions of the person, I long to learn from colleagues who are faithfully practicing whole-person care in diverse contexts. I hope to gain deeper theological grounding, practical models of integrating faith into psychiatric training, and mentorship from senior Christian physicians who have navigated similar challenges.
More importantly, I hope to bring back what I receive. Eastern Visayas has limited exposure to international Christian medical movements. By attending the Congress, I can serve as a bridge—sharing insights with fellow psychiatrists, residents, medical students, and church leaders. The impact of supporting one young psychiatrist will ripple outward into classrooms, hospital wards, rural clinics, and local churches.
In a region frequently affected by poverty and natural disasters, mental health needs are intensified by trauma, displacement, and loss. Strengthening one leader strengthens many. My prayer is not merely to attend, but to be equipped to serve more faithfully, teach more wisely, and lead more courageously.
Financial support for my participation in the ICMDA World Congress would not simply fund travel; it would invest in a ministry of mental health formation in Eastern Visayas. It would enable cross-cultural partnership, deepen spiritual resilience, and empower a training officer whose influence extends far beyond a single clinic room.
I seek this bursary not for personal advancement, but for the strengthening of a community that I am called to serve. My work is my ministry—and through this Congress, I hope to grow in both.</t>
  </si>
  <si>
    <t>Isa Berne</t>
  </si>
  <si>
    <t>+639120546134</t>
  </si>
  <si>
    <t>isabjd1064@gmail.com</t>
  </si>
  <si>
    <t>Companion</t>
  </si>
  <si>
    <t>Logistician-Admin</t>
  </si>
  <si>
    <t>606</t>
  </si>
  <si>
    <t>We're full time, faith based medical missionaries and have been involved wih various ICMDA training tracks as participants and facilitators. Being in these conferences enhances our knowledge and skills and contributes to our wholistic growth as individuals and as a team. Would appreciate your support in our continued growth as missionaries</t>
  </si>
  <si>
    <t xml:space="preserve">Jocelyn </t>
  </si>
  <si>
    <t>Agonoy</t>
  </si>
  <si>
    <t>+639228938702</t>
  </si>
  <si>
    <t>jocelynagonoymd@gmail.com</t>
  </si>
  <si>
    <t xml:space="preserve">Pediatrics at Bocaue Specialists Medical Center </t>
  </si>
  <si>
    <t>603</t>
  </si>
  <si>
    <t>USD 300</t>
  </si>
  <si>
    <t xml:space="preserve">I humbly request financial support so I can participate in the ICMDA World Congress to enhance my skills as a healthcare professional. This is a unique opportunity for me to learn, for networking, and spiritual growth to bring back these insights to improve patient care, mentor colleagues and students, and contribute to the mission of integrating faith and to bring back valuable learning to serve my patients and community more effectively. I am praying for this request to be granted. God bless. </t>
  </si>
  <si>
    <t>El Ruffa Gin</t>
  </si>
  <si>
    <t>Pagsuberon</t>
  </si>
  <si>
    <t>09326818353</t>
  </si>
  <si>
    <t>ruffagin@gmail.com</t>
  </si>
  <si>
    <t>Medical Specialist Corazon Locsin Montelibano Memorial Regional Hospital</t>
  </si>
  <si>
    <t>602</t>
  </si>
  <si>
    <t>1,190 USD</t>
  </si>
  <si>
    <t>I am highly interested and passionate to learn, be trained and build connections from the ICMDA Congress to be helped in the mission field I am in now- a government hospital of limited resources and colleagues needing Christian mentoring and also to help the organization as a future facilitator as the Lord leads or wherever I can further help having been equipped in the three previous ICMDA training tracts that I have joined, learned from and  enjoyed as a starting consultant and mentor in my field. Honestly it is a struggle to join in terms of cost in the congress as a physician in my country, I am still the main provider of our main family of senior citizen parents and extended family members still living with us yet I will try and by God’s grace be able to join. Thank you for this opportunity to apply.</t>
  </si>
  <si>
    <t>Corazon</t>
  </si>
  <si>
    <t>Flor</t>
  </si>
  <si>
    <t>+63 9399768879</t>
  </si>
  <si>
    <t>corazonflor61@gmail.com</t>
  </si>
  <si>
    <t>Medical Missionary Doctor for Independent Baptist Mission for Asians</t>
  </si>
  <si>
    <t>Member and do field work</t>
  </si>
  <si>
    <t>2017 ICMDA Conference in Bali Indonesia</t>
  </si>
  <si>
    <t>599</t>
  </si>
  <si>
    <t>$150-$200 by faith</t>
  </si>
  <si>
    <t>Because I dont work as a Doctor, I am a full time Missionary depending on my husband’s personal support!</t>
  </si>
  <si>
    <t>Jessa</t>
  </si>
  <si>
    <t>Saac</t>
  </si>
  <si>
    <t>+639173195086</t>
  </si>
  <si>
    <t>jessasaac9@gmail.com</t>
  </si>
  <si>
    <t>Delegate</t>
  </si>
  <si>
    <t>Delegate only</t>
  </si>
  <si>
    <t>595</t>
  </si>
  <si>
    <t>I don't have the means to go to Korea but I really am willing to attend to know Gods calling for me</t>
  </si>
  <si>
    <t xml:space="preserve">Stephen Sixto </t>
  </si>
  <si>
    <t>Siguan</t>
  </si>
  <si>
    <t>+639176219030</t>
  </si>
  <si>
    <t>ssiguan@yahoo.com</t>
  </si>
  <si>
    <t>Founder, The Saline Option (A Christian Medical Student Organization in Cebu)</t>
  </si>
  <si>
    <t>Chair, Department of Surgery</t>
  </si>
  <si>
    <t>Advocate through The Saline Option</t>
  </si>
  <si>
    <t>2002 Taiwan</t>
  </si>
  <si>
    <t>596</t>
  </si>
  <si>
    <t xml:space="preserve">I am working as full-time faculty the monthly pay is around $1,200 </t>
  </si>
  <si>
    <t xml:space="preserve">Adeste </t>
  </si>
  <si>
    <t>+639173209030</t>
  </si>
  <si>
    <t>adestesiguan@yahoo.com</t>
  </si>
  <si>
    <t>Advocate through The Saline Option (A Christian Medical Student Organization from Cebu)</t>
  </si>
  <si>
    <t>Wife of Attending Delegate (Stephen Sixto Siguan)</t>
  </si>
  <si>
    <t>part-time physician, PLDT</t>
  </si>
  <si>
    <t>Advocate</t>
  </si>
  <si>
    <t>597</t>
  </si>
  <si>
    <t>I am currently just volunteering in church and holds a pay per service 3 times per week consultations at a local telecommunications clinic</t>
  </si>
  <si>
    <t>Rodelia</t>
  </si>
  <si>
    <t>Nicolas</t>
  </si>
  <si>
    <t>+639088721025</t>
  </si>
  <si>
    <t>drdelnicolas@yahoo.com</t>
  </si>
  <si>
    <t>Medical Officer / Assistant Professor II</t>
  </si>
  <si>
    <t>594</t>
  </si>
  <si>
    <t>As a physician from a middle-income country, I am seeking financial support to attend the ICMDA Seminar in Jeju—an invaluable opportunity to grow in both my clinical vocation and Christian faith.
This seminar offers global perspectives on integrating faith with medical practice, and I believe it will strengthen my ability to serve patients not just physically, but holistically and ethically. Unfortunately, due to economic limitations and currency disparities, the total cost of attending is beyond my personal means.
With your support, I can participate in this meaningful gathering, gain insights from experienced Christian medical leaders, and bring that knowledge back to encourage and equip others in my local medical and faith communities.
Thank you for considering this investment—not just in me, but in the broader impact I can have through my practice and service. God bless you</t>
  </si>
  <si>
    <t>Timotei</t>
  </si>
  <si>
    <t xml:space="preserve">Medrea </t>
  </si>
  <si>
    <t>+40744256401</t>
  </si>
  <si>
    <t>medreatimotei97@gmail.com</t>
  </si>
  <si>
    <t>Romania</t>
  </si>
  <si>
    <t>Junior Doctor in Anaesthesiology and Intensive Care, County Emergency Hospital Cluj-Napoca</t>
  </si>
  <si>
    <t xml:space="preserve">I am the regional representatives for the Balkans and Central Europe, national leader for junior doctors in CMDA Romania , Cluster coordinator for Confident Christianity for Europe and MENA </t>
  </si>
  <si>
    <t>Last world congress in Arusha Tanzania, 2023 - i was a medical student just entering the family of ICMDA as a AR for Central Europe</t>
  </si>
  <si>
    <t>787 $</t>
  </si>
  <si>
    <t>1000-1200 $</t>
  </si>
  <si>
    <t>I think i can pay for the flight</t>
  </si>
  <si>
    <t xml:space="preserve">Well, this period of time is a bit hard for my family to be able to have all the money for the world congress. I want to come to be an encouragement for the others but also to be encouraged in my role as a fieldworker. I know that ICMDA is praying for Balkan area and probably through this congress i can make new connection and plans for the future. </t>
  </si>
  <si>
    <t>Rete</t>
  </si>
  <si>
    <t>+40735638760</t>
  </si>
  <si>
    <t>sammyrete@gmail.com</t>
  </si>
  <si>
    <t>Leader of local CMDA students group</t>
  </si>
  <si>
    <t>609</t>
  </si>
  <si>
    <t>My name is Samuel Rete and I am a 5th year med student from Cluj-Napoca, Romania. Starting this year I became the leader of my local CMDA students group.
I have gotten involved with my local CMDA group about 3-4 years ago and ever since my involvement has gradually increased, so that this year I have been credited with leading the local CMDA students group.
My first contact with what ICMDA is and stands for has only been this spring when I attended the national congress of the CMDA in Czech Republic. I was there alongside dr. Timotei Medrea and dr. David Smithard. Speaking and getting to know them lead to me finding more about what ICMDA is and what its purpose is. I understood that it is not just another organization but that it stands for more, trying to unite the national CMDAs but also trying to represent them on amore international level, taking a stand for the Christian values in medicine. 
Ever since that conference and the ICMDA students summer camp in Romania, I began to see more the value that ICMDA is and also speaking with Timotei I learned more about where ICMDA is headed and the need of involvement in it. Now, I do not know what the future holds, but I am sure that this congress will show me a more in-depth look on what ICMDA is all about, I will get to experience it in person and hopefully show me if there is a way in which my future involvement could benefit ICMDA. 
One of the problems that stands between me and attending the congress is my rather low financial possibilities. 
So, to conclude, a financial support would ease my burden of getting to the congress is, and would bring my participation one step closer to reality, and that would mean you would get a 5th year med student more interested of his future involvement with ICMDA.</t>
  </si>
  <si>
    <t>Diana</t>
  </si>
  <si>
    <t>Safina</t>
  </si>
  <si>
    <t>+79260638648</t>
  </si>
  <si>
    <t>diana.safina316@gmail.com</t>
  </si>
  <si>
    <t>I am both Fieldworker (RR for Russia), and staff - Eurasia training administrator</t>
  </si>
  <si>
    <t>Russia</t>
  </si>
  <si>
    <t>Family physician, medical clinic "Arfa-med"</t>
  </si>
  <si>
    <t>I am board member for national CMF and RR for ICMDA in Russia</t>
  </si>
  <si>
    <t>I received bursary once for Tanzania congress in 2023</t>
  </si>
  <si>
    <t>610</t>
  </si>
  <si>
    <t>about 1000$</t>
  </si>
  <si>
    <t>I am working as doctor only 30% of my time, and most of my time I spend developing CMF of RUssia and Eurasian training tracks. It would be difficult for my family to send me to the congress for full price, and I would be grateful for financial support. Thank you</t>
  </si>
  <si>
    <t>Alena</t>
  </si>
  <si>
    <t xml:space="preserve">Grishenok </t>
  </si>
  <si>
    <t>89851193514</t>
  </si>
  <si>
    <t>alenamely@gmail.com</t>
  </si>
  <si>
    <t xml:space="preserve">A.N. Bakulev Center for cardiovascular surgery of the Russian Ministry of Health </t>
  </si>
  <si>
    <t>ICMDA Russia fieldworker</t>
  </si>
  <si>
    <t xml:space="preserve">ICMDA World Congress 2023 </t>
  </si>
  <si>
    <t>614</t>
  </si>
  <si>
    <t>Unfortunately, my income is not sufficient to fully cover the upcoming congress costs. I would really appreciate the opportunity to have some of my expenses covered.</t>
  </si>
  <si>
    <t>Ilya</t>
  </si>
  <si>
    <t>Ageev</t>
  </si>
  <si>
    <t>+79818212183</t>
  </si>
  <si>
    <t>ageeviljaspb@yandex.ru</t>
  </si>
  <si>
    <t>Technical helper</t>
  </si>
  <si>
    <t>611</t>
  </si>
  <si>
    <t>1715</t>
  </si>
  <si>
    <t>Would like to understand this question better</t>
  </si>
  <si>
    <t>I copy the letter I have sent.
Dear ICMDA Congress team,
I send my application for bursary. My full name is Ilya (Ilia in passport) Aleksandrovich Ageev. I am a 6-year student of Sain-Petersburg State University, I am 22 years old, I am married and I live in Saint-Petersburg, Russia. After graduating my university I want to continue my medical education to become a cardiosurger. I am Christian from my childhood and was born from above and started my relationships with God at the age of 15. I am a member of MCAR (Medical Christian Association of Russia) for 7 years, I participate in our local congresses and missions and I intend to serve in MCAR and international Christian medical society as a doctor, therefore I want to get to ICMDA Congress to get known with Christian medics from all over the world, to participate there and to learn more how can I serve God and people by my profession. I apply for bursary because I don't have enough income to collect money for this trip and study takes the most part of my time.
Short information
Full name: Ilia Aleksandrovich Ageev
Age: 22 now, 23 at the time of Congress
Gender: male
Country: Russia
Brief self-introduction: written above
Reason for applying for a bursary: low income
Attachment: the reference letter is attached
Sincerely,
Ilya Ageev</t>
  </si>
  <si>
    <t>Anastasiya</t>
  </si>
  <si>
    <t>Bosenko</t>
  </si>
  <si>
    <t>+79192194496</t>
  </si>
  <si>
    <t>anastasya.bosenko@gmail.com</t>
  </si>
  <si>
    <t>St. Petersburg State Budgetary Healthcare Institution Children's city polyclinic No. 17</t>
  </si>
  <si>
    <t>Training Track Facilitator “Volunteer Leadrship (Russian)”. I am involved in organizing camps and meetings for Christian doctors. Pediatrician on mobile clinics.</t>
  </si>
  <si>
    <t>Sydenham International Conference. SYD1 for Students 2024</t>
  </si>
  <si>
    <t>616</t>
  </si>
  <si>
    <t xml:space="preserve">$650 </t>
  </si>
  <si>
    <t>In Russia, the salary of a doctor is low. I really want to talk to Christian doctors from other countries, not only online, but also in person. It would be a great encouragement and motivation to serve in my country.</t>
  </si>
  <si>
    <t>Maksim</t>
  </si>
  <si>
    <t>Marchenkov</t>
  </si>
  <si>
    <t>+79623799090</t>
  </si>
  <si>
    <t>maxmarch24@gmail.com</t>
  </si>
  <si>
    <t>youth and student ministry leader in Moscow</t>
  </si>
  <si>
    <t>619</t>
  </si>
  <si>
    <t xml:space="preserve">Please consider granting me a bursary due to my dire financial situation. I come from a large, low-income family. I am currently in my second year of residency in oncology and live in Moscow. My scholarship ($140 monthly) is extremely insignificant and does not even cover my basic needs.
My parents are retired and unable to work due to their full-time care for a disabled child (my brother). Therefore, the family has no additional income and is entirely dependent on social benefits and my limited financial support.
Residency training requires full-time employment and a heavy course load, which significantly limits my ability to combine studies with a second job. Therefore, I require additional financial support to attend the international congress in South Korea. Participating in this event would be a blessing for me, as I would like to develop student ministry in Moscow even more effectively and efficiently. It would be a good opportunity to share experiences.
Given the circumstances outlined, I ask that you consider my social and financial situation and provide support in the form of a bursary. God bless! </t>
  </si>
  <si>
    <t>Evgenii</t>
  </si>
  <si>
    <t>Piatkovskii</t>
  </si>
  <si>
    <t>+79641473748</t>
  </si>
  <si>
    <t>evgenypyatkovsky@yandex.ru</t>
  </si>
  <si>
    <t>Kaluga Emergency Hospital. Orthopedic Surgeon.</t>
  </si>
  <si>
    <t>As a member of the Russian Christian Medical Association, I participate in organizing local gatherings for Christian medical practitioners. Additionally, I serve on the team responsible for running regional conferences in Russia. I am a speaker at these conferences, where I give talks on the subject of medical law.</t>
  </si>
  <si>
    <t>617</t>
  </si>
  <si>
    <t xml:space="preserve">$2400-2600 including cost of registration </t>
  </si>
  <si>
    <t>2600</t>
  </si>
  <si>
    <t>$ 1800-2000</t>
  </si>
  <si>
    <t>This would be my first international congress. Attending this congress will equip me with concrete, actionable ideas that I can bring back and put into practice within my Christian social ministry in our region.</t>
  </si>
  <si>
    <t>Muhumuza</t>
  </si>
  <si>
    <t>Ndamage Stephen</t>
  </si>
  <si>
    <t>+250788671928</t>
  </si>
  <si>
    <t>stephen20130@gmail.com</t>
  </si>
  <si>
    <t>Physian</t>
  </si>
  <si>
    <t>President</t>
  </si>
  <si>
    <t>623</t>
  </si>
  <si>
    <t>3000uSD</t>
  </si>
  <si>
    <t>I am student and i have a family to support</t>
  </si>
  <si>
    <t xml:space="preserve">Tunga Christella </t>
  </si>
  <si>
    <t xml:space="preserve">ISIMBI </t>
  </si>
  <si>
    <t>+250784387536</t>
  </si>
  <si>
    <t>tungachristella@gmail.com</t>
  </si>
  <si>
    <t xml:space="preserve">Medical school </t>
  </si>
  <si>
    <t>628</t>
  </si>
  <si>
    <t>50USD</t>
  </si>
  <si>
    <t xml:space="preserve">I am a student and I am an active member of RCMDO( Rwanda christian medical and dental organization) and CMSF(christian medical student fellowship). I am not financially able to clear out the travel costs and accommodation costs. Furthermore my monthly stipend which is around 13USD is not enough to cover my the required costs and it would be a great privilege to  attend this wonderful congress.  </t>
  </si>
  <si>
    <t xml:space="preserve">Hakizimana </t>
  </si>
  <si>
    <t>+250788321700</t>
  </si>
  <si>
    <t>ibrahimhak51@gmail.com</t>
  </si>
  <si>
    <t>Optometrist</t>
  </si>
  <si>
    <t xml:space="preserve">As a member of Rwanda christian medical and dental organisation RCMDO and part of thr ICMDA movement, my role is to serve with professional excellence, uphold Christian medical values, participate in training and fellowship, contribute to community health initiatives, and supportthe development of ethical, compassionate healthcare in my country. </t>
  </si>
  <si>
    <t>621</t>
  </si>
  <si>
    <t>1100 usd</t>
  </si>
  <si>
    <t>100 usd</t>
  </si>
  <si>
    <t>I am applying for financial support because attending the ICMDA World Congress 2026 represents a unique opportunity for my professional development, my service to the community, and my long-term contribution to the global Christian medical and dental network.
First, I am committed to serving my community, especially in areas where healthcare resources are limited. Participating in the congress will equip me with new knowledge, skills, and global best practices that I can directly apply to improve healthcare delivery and Christian medical missions in my country.
Second, my current financial situation makes it difficult to meet all the travel and conference costs independently, even though I am deeply committed to attending. Support would make it possible for me to participate fully and benefit from the training, mentorship, and networking opportunities offered at the congress.
Third, I intend to share what I learn with colleagues, students, and the wider medical community through presentations, training sessions, and involvement in local ICMDA groups. This ensures that the benefit of the congress extends beyond me to strengthen healthcare and Christian medical service in my region.
Finally, my participation will help build stronger connections between my local medical Christian fellowship and the global ICMDA community, encouraging collaboration, spiritual growth, and shared mission.
For these reasons, I believe that supporting my attendance at ICMDA Jeju 2026 is an investment that will produce lasting impact both in my professional work and in the communities I serve.</t>
  </si>
  <si>
    <t xml:space="preserve">Regis </t>
  </si>
  <si>
    <t>NDUWAYO RUDAKUBANA</t>
  </si>
  <si>
    <t>+250793069302</t>
  </si>
  <si>
    <t>nduwayoregis8@gmail.com</t>
  </si>
  <si>
    <t xml:space="preserve">At Medical school </t>
  </si>
  <si>
    <t>I am member of RCMDA</t>
  </si>
  <si>
    <t>627</t>
  </si>
  <si>
    <t xml:space="preserve">I am applying for financial support just because, as a Rwandan medical student from a poor family, attending the ICMDA World Congress would be difficult without assistance. My educational journey has been characterized by discipline, perseverance, and a strong desire to serve others through medicine guided by Christian values.
I have shown commitment to academic excellence, leadership, and service. On my studies, I have joined in teaching assistantship and community-oriented activities, guided my passion for sharing knowledge and helping others. I choose medicine not only as a career, but as vocation to serve with compassion, integrity, and faith.
The ICMDA World Congress gives a unique opportunity for spiritual growth, leadership development, and ethical training within a global Christian medical community. With financial assistance, I will get knowledge, mentorship, and inspiration that I  will share with other medical students and I will use it in community health initiatives in Rwanda. Helping me will unlock meaningful impact beyond my personal benefit.
Thank you so much.
</t>
  </si>
  <si>
    <t xml:space="preserve">Berfina </t>
  </si>
  <si>
    <t xml:space="preserve">OKONGO </t>
  </si>
  <si>
    <t>+221783809252</t>
  </si>
  <si>
    <t>O.berfina1@gmail.com</t>
  </si>
  <si>
    <t>General practitioner (just gratuated, not yet working)</t>
  </si>
  <si>
    <t xml:space="preserve">I am the treasurer of my national organisation </t>
  </si>
  <si>
    <t>632</t>
  </si>
  <si>
    <t>$2520</t>
  </si>
  <si>
    <t>$900</t>
  </si>
  <si>
    <t xml:space="preserve">Being recently involved in my local CMDA, I understand it's important for my grow in leadership to attend such a conference. I just gratuated and a bursary will be helpful as my saving only won't be enough. 
In fact, I am not yet working and I am about to enter a specialty training which is not going to be paid and I will not receive salary either. But as I have $900 saved, i hope to have financial support to be able to attend the world Congress. </t>
  </si>
  <si>
    <t>Rebecca</t>
  </si>
  <si>
    <t>Biaye</t>
  </si>
  <si>
    <t>+221780183387</t>
  </si>
  <si>
    <t>rebiaye@gmail.com</t>
  </si>
  <si>
    <t>Dermatology resident</t>
  </si>
  <si>
    <t xml:space="preserve">National president and fieldworker </t>
  </si>
  <si>
    <t>For the world congress in Tanzania, 2023</t>
  </si>
  <si>
    <t xml:space="preserve">I started my residency training in dermatology and residents aren’t really paid in Sénégal but I can manage to contribute $900 toward my costs. Regarding the facts that plane tickets are quite expensive from Sénégal to jeju a financial support would be greatly appreciated to cover a part of it and allow me to attend the world congress as I will be coming with the Senegalese delegation. </t>
  </si>
  <si>
    <t>ABUBAKARR</t>
  </si>
  <si>
    <t>SACCOH</t>
  </si>
  <si>
    <t>+23278552934</t>
  </si>
  <si>
    <t>abubakarrsaccoh434@gmail.com</t>
  </si>
  <si>
    <t>Sierra Leone</t>
  </si>
  <si>
    <t>Recently Graduated, awaiting postings.</t>
  </si>
  <si>
    <t>President of student wing, associate coordinator for christian health professionals</t>
  </si>
  <si>
    <t>I attended a biennial conference in Ghana together with other representatives from the west african subregion and I benefitted from a bursary for it.</t>
  </si>
  <si>
    <t>638</t>
  </si>
  <si>
    <t>In medical school, I served as the organizing secretary and later the longest-serving president of the Christian fellowship on campus called SLEFES-COMAHS, and together with my team, we built a larger and more engaging community of Christian students on campus. As a recent graduate with much time on my hands, I am looking forward to starting the ICMDA Sierra Leone chapter in 2026, and I want to use this opportunity to network with the global community of Christian healthcare professionals and understand how they have successfully tackled challenges in building a successful Christian healthcare professionals community. We have also witnessed the challenges of professionals being constrained by secular demands to attend to their spiritual growth, and we want to be part of those building and implementing the solutions for that.</t>
  </si>
  <si>
    <t>Shirley L.V</t>
  </si>
  <si>
    <t>Williams</t>
  </si>
  <si>
    <t>+23279990505</t>
  </si>
  <si>
    <t>Alltogod24@gmail.com</t>
  </si>
  <si>
    <t>Contact group (SLEFES)</t>
  </si>
  <si>
    <t>Women’s Coordinator ( COMAHS)</t>
  </si>
  <si>
    <t xml:space="preserve">
I am applying for financial support because, as a 5th year medical student in Sierra Leone, the cost of attending an international conference is beyond what I can realistically afford. Travel, registration, and possible accommodation costs are significant compared to my available resources, and without assistance it would be very difficult for me to attend. However, my desire to attend is not merely academic, but deeply connected to my calling in healthcare.
My motivation to serve in medicine is shaped by the gospel. Scripture reminds us that humanity is made in the image of God (Genesis 1:27), and that Christ loved us to the extent of giving His life for us (John 3:16; Romans 5:8). Because God so valued human life  both earthly and eternal  that He gave His Son for our redemption, I believe every patient I encounter carries great worth and dignity. This conviction is what draws me to grow as a doctor who serves with compassion, integrity, and Christ-like love.
Because of this conviction, I do not see medicine only as a career, but as a calling to serve with Christ-like compassion, integrity, and respect for human life. Attending the ICMDA World Congress would help shape this calling by equipping me to integrate faith and medical practice wisely, learn from experienced Christian healthcare professionals, and grow in serving both the physical and spiritual needs of not just patients in my community, my country and the world at large in ethical and loving ways.
I am drawn to ICMDA because of its heart to encourage Christian healthcare workers to integrate faith and professional practice. Attending the Congress will help me grow in faith-integrated, preventive, and patient-centered care, learn from experienced professionals in similar contexts, and gain wisdom for serving both the physical and spiritual needs of the communities I will serve.
 God-willing I attend, it will be a huge blessing to my Christian journey. Thank you very much for the opportunity to register and apply, GOD richly bless you all.
</t>
  </si>
  <si>
    <t>Katarína</t>
  </si>
  <si>
    <t>Čupková</t>
  </si>
  <si>
    <t>+421 907 498 424</t>
  </si>
  <si>
    <t>cup.katka@gmail.com</t>
  </si>
  <si>
    <t>student</t>
  </si>
  <si>
    <t>medical student</t>
  </si>
  <si>
    <t>642</t>
  </si>
  <si>
    <t>1180 USD</t>
  </si>
  <si>
    <t>I am a student and I do not have any job yet to have my own income. Nowadays I am financially supported only by my parents resources and since I would like to participate at the Jeju conference and not to burden my family, I would like to kindly ask for the bursary.</t>
  </si>
  <si>
    <t>Jim</t>
  </si>
  <si>
    <t>Kari</t>
  </si>
  <si>
    <t>675798000000</t>
  </si>
  <si>
    <t>francisxavierjim@gmail.com</t>
  </si>
  <si>
    <t>Solomon Islands</t>
  </si>
  <si>
    <t>Internal Medicine Registrar</t>
  </si>
  <si>
    <t>Menber</t>
  </si>
  <si>
    <t>831 Dollars</t>
  </si>
  <si>
    <t>Attending the International Medical and Dental Doctors Association (IMDDA) World Congress in Jeju is not simply a personal academic opportunity for me. I see it as an investment in the healthcare future of Papua New Guinea. As a medical doctor and Internal Medicine resident with more than seven years of clinical experience, my participation will translate directly into improved patient care, stronger medical education, and more effective health leadership at home.
Papua New Guinea continues to face a shortage of specialists and limited access to updated medical advancements. Through the IMDDA World Congress, I will gain exposure to current clinical research, evolving best practices in Internal Medicine, and innovations in diagnostics, treatment, and health systems. Because I am actively involved in both frontline clinical care and research, the knowledge gained will not remain theoretical. It will directly influence my clinical decision-making and improve the standard of care I provide to patients in our hospitals and communities.
PNG is rarely represented at major global medical congresses. My attendance will allow me to share the realities of practicing medicine in a resource-limited setting, highlight the unique health challenges we face, and engage with colleagues who are interested in global health collaboration. Representation matters. By being present, I carry the voice of PNG’s medical community and help position our country within broader international conversations.
The congress gathers experienced clinicians, educators, and innovators from around the world. Financial assistance will enable me to build meaningful professional relationships, seek mentorship opportunities, and explore possible collaborations in research and specialist training. For a country where advanced training opportunities are limited, these connections can create long-term pathways that benefit not only me, but the wider health system of PNG.
My work extends beyond clinical service. I am deeply involved in medical education, youth mentorship, community health engagement, and long-term national development thinking. Attending this congress aligns with my broader mission to strengthen healthcare systems and contribute meaningfully to PNG’s progress. An investment in my professional growth is therefore an investment in sustained national impact.
I actively participate in training junior doctors, medical students, and healthcare workers. After the congress, I intend to share the knowledge gained through seminars, teaching sessions, and integration into clinical practice discussions. In this way, the benefit of attending will extend beyond me and multiply across the health workforce.
I am fully committed to providing a comprehensive report of the congress, outlining key lessons learned and practical applications within PNG’s healthcare setting. I will ensure that the support received translates into visible and measurable outcomes.
Financial assistance to attend the IMDDA World Congress in Jeju is not simply support for my personal advancement. It is a strategic contribution toward strengthening the healthcare capacity of Papua New Guinea. The knowledge, networks, and leadership development I gain will directly enhance patient care, elevate clinical standards, and empower me to continue serving our nation with excellence and purpose.</t>
  </si>
  <si>
    <t xml:space="preserve">Anniver Maega'asia </t>
  </si>
  <si>
    <t xml:space="preserve">Aitorea </t>
  </si>
  <si>
    <t>6777245375</t>
  </si>
  <si>
    <t>aniaitorea@gmail.com</t>
  </si>
  <si>
    <t>General Practicioner</t>
  </si>
  <si>
    <t xml:space="preserve">Country leader Solomon Islands medical Fellowship </t>
  </si>
  <si>
    <t xml:space="preserve">Sponsored my travel expenses to attend 2025 CMDFA </t>
  </si>
  <si>
    <t>643</t>
  </si>
  <si>
    <t>ICMDA Oceania will know the cost</t>
  </si>
  <si>
    <t xml:space="preserve">Solomon Islands as medical Doctor the salary won't be able to cover the travelling cost for the congress </t>
  </si>
  <si>
    <t>FREDERIK WILLEM JOHANNES</t>
  </si>
  <si>
    <t>KELLERMAN</t>
  </si>
  <si>
    <t>+918105376370</t>
  </si>
  <si>
    <t>frikkie@live.co.za</t>
  </si>
  <si>
    <t>Facilitator in the IPGDFM course</t>
  </si>
  <si>
    <t>South Africa</t>
  </si>
  <si>
    <t>Volunteer faculty at CMC Vellore (India) x last 13 years</t>
  </si>
  <si>
    <t>Regional leader in HCFI (Healthcare Christian Fellowship International)</t>
  </si>
  <si>
    <t>For pre-conference workshop during Tanzania ICMDA conference  in 2023</t>
  </si>
  <si>
    <t>459</t>
  </si>
  <si>
    <t>$300 or more (as I'll be prayerfully looking for other sponsors too, DV)</t>
  </si>
  <si>
    <t>It'll be grace only to me... I do not think I deserve it, but I humbly ask that you consider partial support, as: (1) I served and still serve as an unsalaried (volunteer) medical missionary for many years in Africa &amp; Asia. (2) I was kindly asked, by Dr Peter Saunders, to present an important topic as a breakout session during the conference, and (3) I was also requested to be a facilitator/presenter during the faculty development pre-conference workshop for the IPGDFM course, jointly presented by ICMDA &amp; CMC Vellore.</t>
  </si>
  <si>
    <t>Mfanelo</t>
  </si>
  <si>
    <t>Sobekwa</t>
  </si>
  <si>
    <t>+27 82 773 4003</t>
  </si>
  <si>
    <t>msobekwa@gmail.com</t>
  </si>
  <si>
    <t>Palliative Care Physician</t>
  </si>
  <si>
    <t>CMFSA Exco &amp; fieldworker</t>
  </si>
  <si>
    <t>$1 382.26</t>
  </si>
  <si>
    <t>I can fundraise for my airfare if I could be assisted with covering the congress registration</t>
  </si>
  <si>
    <t>The overall cost of the world congress would make it very challenging for me to attend  I would greatly appreciate support to cover the registration fee and then I can fundraise for the airfare. Without the support it would be difficult for me to come given other financial responsibilities that one has to carry as well</t>
  </si>
  <si>
    <t>Augustin</t>
  </si>
  <si>
    <t>Lutakwa</t>
  </si>
  <si>
    <t>+27835969403</t>
  </si>
  <si>
    <t>augustin.lutakwa@icmda.net</t>
  </si>
  <si>
    <t>AEO SSA</t>
  </si>
  <si>
    <t>$ 1500</t>
  </si>
  <si>
    <t xml:space="preserve">Formally Employed currently </t>
  </si>
  <si>
    <t>Keabetswe</t>
  </si>
  <si>
    <t>Mosadi</t>
  </si>
  <si>
    <t>+27786269577</t>
  </si>
  <si>
    <t>keamosadi08@gmail.com</t>
  </si>
  <si>
    <t xml:space="preserve">Witswatersrand University </t>
  </si>
  <si>
    <t xml:space="preserve">Occupational Therapy </t>
  </si>
  <si>
    <t xml:space="preserve">University campus leader </t>
  </si>
  <si>
    <t>1494</t>
  </si>
  <si>
    <t>1394 (flight costs)</t>
  </si>
  <si>
    <t>Not only would I be forever grateful for this opportunity given with financial support, but will not put resources to waste. I intend on intentionally learning and growing in bold faith to share what is learnt from the congress to not only my peers in health science faculty but to people whom God places in my environment with different worldviews. Unfortunately I’m only a student with no salary and so the financial support is the only thing that would allow me to attend the congress. With much appreciation for even getting the opportunity to apply, thank you.</t>
  </si>
  <si>
    <t>Timothy</t>
  </si>
  <si>
    <t>Okhai</t>
  </si>
  <si>
    <t>+27823424844</t>
  </si>
  <si>
    <t>timokhai@yahoo.co.uk</t>
  </si>
  <si>
    <t>Clinical Engineering</t>
  </si>
  <si>
    <t>Doctoral student</t>
  </si>
  <si>
    <t>I am a Saline Process MT, Coach, Regional Coordinator form Sub-Saharan Africa and Global HCFI Saline Coordinator</t>
  </si>
  <si>
    <t>646</t>
  </si>
  <si>
    <t>US$1100</t>
  </si>
  <si>
    <t>US$200</t>
  </si>
  <si>
    <t>I am available to assist with facilitating the Saline Process training during the Pre-Congress.</t>
  </si>
  <si>
    <t>Alex</t>
  </si>
  <si>
    <t>Bolek</t>
  </si>
  <si>
    <t>+211922205111</t>
  </si>
  <si>
    <t>alex.bolek@icmda.net</t>
  </si>
  <si>
    <t>South Sudan</t>
  </si>
  <si>
    <t>ICMDA's Africa Coordinator</t>
  </si>
  <si>
    <t>National President</t>
  </si>
  <si>
    <t xml:space="preserve">I was given bursary which enabled me to attend the world congresses in Uruguay, Rotterdam, India and Tanzania. </t>
  </si>
  <si>
    <t>653</t>
  </si>
  <si>
    <t>I am living and serving the Lord in a country which is a low resource country and which is also currently in conflict and civil war crisis.</t>
  </si>
  <si>
    <t xml:space="preserve">David Yengi </t>
  </si>
  <si>
    <t xml:space="preserve">Lubang </t>
  </si>
  <si>
    <t>+211928659212</t>
  </si>
  <si>
    <t>yengi31@yahoo.com</t>
  </si>
  <si>
    <t xml:space="preserve">University of Juba School of Medicine </t>
  </si>
  <si>
    <t xml:space="preserve">Deputy National Coordinator </t>
  </si>
  <si>
    <t>About 2800$1</t>
  </si>
  <si>
    <t>2800</t>
  </si>
  <si>
    <t>As someone who care for an immediate an extended family is hard to pay towards the cost of the Congress as its.</t>
  </si>
  <si>
    <t>Nelum</t>
  </si>
  <si>
    <t>Weerakoon</t>
  </si>
  <si>
    <t>+94716119057</t>
  </si>
  <si>
    <t>715nelumweerakoon@gmail.com</t>
  </si>
  <si>
    <t>Sri Lanka</t>
  </si>
  <si>
    <t>Registered Nurse</t>
  </si>
  <si>
    <t>In National organization  I'm a coordinator, in ICMDA movement I'm a ontrack facilitator</t>
  </si>
  <si>
    <t>656</t>
  </si>
  <si>
    <t>50 USD</t>
  </si>
  <si>
    <t>Because, as I'm working in a low income country who struggling with the economic crisis I believe the bursary will support my journey .Thank you.</t>
  </si>
  <si>
    <t>Filip</t>
  </si>
  <si>
    <t>Gårdendal</t>
  </si>
  <si>
    <t>+46706428272</t>
  </si>
  <si>
    <t>filipgardendal@gmail.com</t>
  </si>
  <si>
    <t>Sweden</t>
  </si>
  <si>
    <t>Resident doctor. Psychiatric department of Lund University hospital.</t>
  </si>
  <si>
    <t xml:space="preserve">Area representative in the Nordic countries. </t>
  </si>
  <si>
    <t>627 USD</t>
  </si>
  <si>
    <t>1200 USD</t>
  </si>
  <si>
    <t xml:space="preserve">1500 </t>
  </si>
  <si>
    <t>Dear Members of the Bursary Committee
I serve voluntarily as Area Representative for the Nordic countries within ICMDA while completing my clinical training as a junior doctor. While I am able to contribute personally, the cumulative financial demands of ongoing ministry, conferences, and leadership responsibilities are significant. Financial support would make it possible for me to attend the World Congress in a sustainable way and continue serving students and professionals across the Nordic region. I trust that this opportunity would deepen my walk with Christ and further equip me to disciple, encourage, and raise up Christian medical students and professionals across the Nordic region for Christ's sake.
Thank you for considering my application.
Yours sincerely,  Filip Gårdendal
Area Representative, Nordic Countries – ICMDA</t>
  </si>
  <si>
    <t>Zulmandakh</t>
  </si>
  <si>
    <t>+46760830674</t>
  </si>
  <si>
    <t>bzulmandah@gmail.com</t>
  </si>
  <si>
    <t>325 usd</t>
  </si>
  <si>
    <t>1120</t>
  </si>
  <si>
    <t>I am applying for a bursary because I require financial support to attend ICMDA 2026. I am a full-time Master’s student in Public Health at Lund University, Sweden, and I am unable to work alongside my studies. The high cost of living in Sweden has placed financial strain on my family.
I live with my family of four, including my mother-in-law who is undergoing cancer treatment. In addition, my husband has been on sick leave since 20 October 2025 and is currently unable to work, which has significantly reduced our household income.
Attending ICMDA 2026 would be very important for my spiritual, academic, and professional development; however, without financial assistance, it would be difficult for me to participate. I would be very grateful for consideration for a bursary.</t>
  </si>
  <si>
    <t>CHIHYI</t>
  </si>
  <si>
    <t>WANG</t>
  </si>
  <si>
    <t>+886 937203953</t>
  </si>
  <si>
    <t>b08401021@ntu.edu.tw</t>
  </si>
  <si>
    <t>Taiwan</t>
  </si>
  <si>
    <t>Prepare to apply post-graduate year residency</t>
  </si>
  <si>
    <t>actively participating the monthly meeting of TCMA JAMES group and a co-worker in the medical student fellowship, medical college, National Taiwan University</t>
  </si>
  <si>
    <t>575 USD</t>
  </si>
  <si>
    <t xml:space="preserve">I am a junior medical student graduated in June, 2025. I am just about to start my 2-year postgraduate medical training in the hospital so basically I am currently no income and saving of my own. I rely the financial support from my family and any bursary I may have from all resources. If I could receive the support I will be really thankful for your kindness. 
</t>
  </si>
  <si>
    <t>Sara</t>
  </si>
  <si>
    <t>Tarimu</t>
  </si>
  <si>
    <t>+255750402020</t>
  </si>
  <si>
    <t>svtarimu@gmail.com</t>
  </si>
  <si>
    <t>Member and active volunteer of Tanzania CMDA</t>
  </si>
  <si>
    <t>677</t>
  </si>
  <si>
    <t xml:space="preserve">I am a second year medical student and I’m passionate about representing Christ in my area of work. I believe attending the  ICMDA world congress will equip me to be an advocate for Christ as a student at my university and as a professional at my work place. I currently don’t have enough funds to attend the congress and therefore receiving a bursary will be of great help. Thank you in advance, God bless you. </t>
  </si>
  <si>
    <t>Gabriel Laston</t>
  </si>
  <si>
    <t>Ndabila</t>
  </si>
  <si>
    <t>+255716631061</t>
  </si>
  <si>
    <t>gabrielndabila88@gmail.com</t>
  </si>
  <si>
    <t>Intern</t>
  </si>
  <si>
    <t>I am an active member of the national CMDA-Tanzania chapter and served as a member of the Local Organizing Committee for the 17th ICMDA World Congress held in Arusha. My engagement in faith-based medical leadership and evangelism includes participation in key training programs such as the Confident Christianity track, the Saline Process Witness Taster, and the Sydenham Leadership .</t>
  </si>
  <si>
    <t>I was awarded with bursary in the 17th ICMDA world congress,the bursary covered registration costs only</t>
  </si>
  <si>
    <t>658</t>
  </si>
  <si>
    <t xml:space="preserve">$1800 </t>
  </si>
  <si>
    <t xml:space="preserve">Greetings,
My name is Gabriel, a recent medical school graduate currently serving as a medical intern at Kilimanjaro Christian Medical Centre (KCMC) in Tanzania.
During my five years of medical training, I was introduced to ICMDA by one of my mentors an encounter that profoundly shaped my personal, professional, and spiritual journey. One of the highlights of this journey was serving on the Local Organizing Committee as Registration Manager for the 17th ICMDA World Congress held in Arusha. It was an honor to help host over 1,000 delegates from more than 100 countries. Witnessing Christian medical professionals from across the globe coming together in fellowship and learning was deeply inspiring and transformative for me.
Another memorable milestone was representing Tanzania as a delegate at the Sydenham International Conference in 2024, organized by CMF-UK. These experiences have solidified my passion for global Christian medical fellowship and deepened my commitment to integrating faith and medicine.
As a medical intern, my financial capacity is currently limited. While I am deeply committed to attending the 18th ICMDA World Congress in Jeju, South Korea, the associated costs of international travel, accommodation, and registration are beyond my present means. Nevertheless, I firmly believe this congress represents far more than a professional development event, it is a sacred opportunity to grow spiritually and professionally, to reconnect with the global Christian medical community, and to renew my calling to serve Christ through healthcare.
Attending the congress would not only allow me to reunite with friends and mentors I’ve met through previous ICMDA and CMDA events, but also to connect with new colleagues from around the world who share the same faith and mission. Additionally, visiting Jeju Island — a place known for its natural beauty — would be a special opportunity to witness the majesty of God's creation.
If granted a bursary, I am committed to sharing the insights, lessons, and spiritual encouragement I receive with fellow interns, students, and young professionals in Tanzania, particularly through our local ICMDA networks. I hope to continue nurturing a strong and vibrant Christian medical community within our country, encouraging others to grow in both faith and service.
The theme of the 2026 Congress “Building God’s Kingdom Amongst the Broken” deeply resonates with me. As a young doctor in a resource-limited setting, I frequently encounter physical, emotional, and spiritual brokenness. I believe this congress will equip me with the tools and encouragement to be an agent of Christ-centered healing and hope, this will not only be through clinical care, but also through compassionate presence, advocacy, and spiritual support.
It would truly be a dream come true to attend this congress.
</t>
  </si>
  <si>
    <t>LINDAEL GEOFREY</t>
  </si>
  <si>
    <t>MLAY</t>
  </si>
  <si>
    <t>+255744981433</t>
  </si>
  <si>
    <t>mlaylinda4@gmail.com</t>
  </si>
  <si>
    <t>I am the Secretary of CMDA Tanzania, and an ICMDA field worker as Area Representative for East Africa</t>
  </si>
  <si>
    <t>I received a registration bursary for the 2023 World Congress</t>
  </si>
  <si>
    <t>662</t>
  </si>
  <si>
    <t xml:space="preserve">$2400 </t>
  </si>
  <si>
    <t>Because I truly want to attend the conference, but the total cost towards the conference is very expensive and i can't cover it all by myself as my income won't suffice</t>
  </si>
  <si>
    <t xml:space="preserve">Augustine </t>
  </si>
  <si>
    <t xml:space="preserve">Lyamarungu </t>
  </si>
  <si>
    <t>+255759820734</t>
  </si>
  <si>
    <t>agogomax.am@gmail.com</t>
  </si>
  <si>
    <t xml:space="preserve">Medical officer at Mbeya zonal referral hospital </t>
  </si>
  <si>
    <t>I am an active member of CMDA Tanzania chapter who also got a privilege to serve as students’ representative of ICMDA in Tanzania at university for 3 years at Kilimanjaro Christian medical university college where by I helped in increasing the students’ participation in ICMDA activities that were both happening at national and international level.  I was also part of the organizing committee for the 17th ICMDA World Congress, held in Arusha in June 2023. Whereby in this role I contributed to the successful planning and execution of this Congress which brought together medical professionals from around the world reinforcing the values of medical excellence, faith, and service that ICMDA stands for.</t>
  </si>
  <si>
    <t xml:space="preserve">I received the bursary fund to attend the 17th ICMDA World congress in june 2023 in Arusha. This support made a huge impact on my professional growth through the congress sessions in the areas of family medicine, medical ethics and especially saline process training which helped me to understand how i can plant faith flags about my Christian faith in a respectful manner. This has impactful to me when caring for end stage cancer patients at medical OPD clinics. The exposure i got from family medicine sessions also motivated me to pursue further the international postgraduate diploma in family medicine so that i can bring a better and holistic care to my community at Mbeya, Tanzania. I am truly thankful for how the bursary shaped my journey. </t>
  </si>
  <si>
    <t>665</t>
  </si>
  <si>
    <t>Return flights (Dar es Salaam → South Korea → Jeju): $1,094; Visa fees: $40 ; Local transport in South Korea: $50; Travel insurance: $ 100. Total estimated travel and visa cost: $1,284</t>
  </si>
  <si>
    <t>1284</t>
  </si>
  <si>
    <t>I will be able to contribute $150 towards my Congress costs. I would greatly appreciate bursary support for the remaining expenses, which will enable me to attend this important international gathering and further my growth in family medicine, medical ethics, and faith-based patient care.</t>
  </si>
  <si>
    <t>I am passionate about integrating medical excellence with compassionate, faith based care, and I have actively participated in both national and international ICMDA activities, including serving as the Students’ Representative for ICMDA in Tanzania and contributing to the organizing committee of the 17th ICMDA World Congress in Arusha in 2023. Attending the 18th ICMDA World Congress in Jeju will allow me to further develop my skills in leadership, End of life care, community outreaches ,family medicine, health education, and evangelism in healthcare settings, which I can apply to benefit my community and colleagues.
As a young medical professional from Tanzania, my financial resources are limited, and covering the full cost of travel, registration, and related expenses would be challenging. Receiving bursary support will make it possible for me to attend this important international gathering, gain valuable knowledge and experiences, and share these learnings to positively impact the healthcare and spiritual care of many patients in my community.</t>
  </si>
  <si>
    <t>Gift</t>
  </si>
  <si>
    <t>Kesanta</t>
  </si>
  <si>
    <t>+255684718781</t>
  </si>
  <si>
    <t>giftjkesa@gmail.com</t>
  </si>
  <si>
    <t>Registered doctor</t>
  </si>
  <si>
    <t xml:space="preserve">Active member </t>
  </si>
  <si>
    <t>675</t>
  </si>
  <si>
    <t>As a junior medical doctor, attending this conference would be immensely beneficial to both my spiritual growth and professional development. It would help strengthen my focus on delivering healthcare that is compassionate, ethical, and firmly grounded in Christ-centered values. The teachings, discussions, and fellowship offered at the conference would equip me to integrate faith more intentionally into my medical practice, enabling me to serve patients with greater purpose, empathy, and integrity.
Receiving this bursary would make my attendance possible, as the costs of conference registration, travel, and accommodation present a significant financial challenge at this early stage of my career. Support through a bursary would not only advance my personal and professional development but also empower me to positively influence the institution and community I serve by applying the values and insights gained. Thank you for considering my application.</t>
  </si>
  <si>
    <t>Cornel</t>
  </si>
  <si>
    <t>Angolile</t>
  </si>
  <si>
    <t>+255678424485</t>
  </si>
  <si>
    <t>cornelangolile@gmail.com</t>
  </si>
  <si>
    <t>Member of Tanzanian CMDA</t>
  </si>
  <si>
    <t>663</t>
  </si>
  <si>
    <t>$1400</t>
  </si>
  <si>
    <t>As a junior doctor, ICMDA has been an incredible platform through which I have learned that I am first a Christian and then a doctor. My medical profession is a gift and a tool from God, entrusted to me so that I can serve His purposes in this world.
Through ICMDA, I have gained essential skills that help me integrate my faith with my medical practice and use my profession to build God’s kingdom. Trainings such as Confident Christianity, Sydenham Leadership, and Servant Leadership have been particularly instrumental in shaping both my professional growth and spiritual walk as a Christian doctor.
ICMDA conferences have also given me the opportunity to learn from believers across the world and to connect with brothers and sisters who share the same vision of serving God through healthcare. By God’s grace, I was privileged to attend the ICMDA World Congress 2023 in Arusha, Tanzania, and the ICMDA East Africa Regional Conference in Kigali, Rwanda. These events deeply impacted me, especially through meeting inspiring individuals like Dr. Matthew George, whose Missional Healthcare Training I later attended. That training transformed my understanding of healthcare as a form of mission.
These experiences have shaped my calling as a Christian doctor and strengthened my desire to serve God faithfully in medicine. They have also opened doors for me, including a scholarship to pursue an MSc in Epidemiology at the London School of Hygiene &amp; Tropical Medicine (LSHTM) in the UK.
Since first discovering ICMDA, it has been my dream to continue participating actively in this community and to attend as many of its conferences as possible, particularly the World Congresses. However, financial constraints remain a challenge. Although studying in the UK has reduced my travel costs compared to when I was in Tanzania, I am still unable to cover all the expenses. I plan to save part of my scholarship stipend toward the trip, but it will not be enough.
Therefore, I am prayerfully and humbly requesting your financial support to help make it possible for me to attend the upcoming ICMDA World Congress. Your contribution would not only make this opportunity possible but would also be an investment in equipping me further for God’s service in the medical field.</t>
  </si>
  <si>
    <t xml:space="preserve">NAOMI </t>
  </si>
  <si>
    <t xml:space="preserve">LOTTO </t>
  </si>
  <si>
    <t>+255754684447</t>
  </si>
  <si>
    <t>naomylotto2@gmail.com</t>
  </si>
  <si>
    <t>JUNIOR(Laboratory Scientist who graduated within the last 1 year ago)</t>
  </si>
  <si>
    <t xml:space="preserve">Laboratory Scientist </t>
  </si>
  <si>
    <t xml:space="preserve">Organization committee member </t>
  </si>
  <si>
    <t>17 WORLD CONGRESS IN TANZANIA 2023</t>
  </si>
  <si>
    <t>673</t>
  </si>
  <si>
    <t>3000$</t>
  </si>
  <si>
    <t>I am deeply interested in attending this conference because I am committed to expanding my knowledge and preparing myself for future opportunities. I am eager to learn, grow, and use the skills I gain to better serve my community.
Financial support will make it possible for me to participate in this important event, which will strengthen my potential and empower me to contribute more effectively to my society and the world.</t>
  </si>
  <si>
    <t xml:space="preserve">Rebeca </t>
  </si>
  <si>
    <t xml:space="preserve">Mutashobya </t>
  </si>
  <si>
    <t>+255766600250</t>
  </si>
  <si>
    <t>mutashobyar@gmail.com</t>
  </si>
  <si>
    <t>Regis Nduwayo Rud</t>
  </si>
  <si>
    <t>683</t>
  </si>
  <si>
    <t>250usd</t>
  </si>
  <si>
    <t>Attending the ICMDA Conference in South Korea (July 2026) will deepen my understanding of cross-cultural healthcare challenges, enhance my skills in faith-integrated practice, and empower me to serve my community with renewed vision.
However, financial limitations make participation difficult. A bursary will enable me to attend, learn from global peers, and bring back valuable insights to improve patient care and mentorship in my region. Currently securing the funds on my own would be difficult because I am working on probation.</t>
  </si>
  <si>
    <t>Piti</t>
  </si>
  <si>
    <t>Jitrungruangnij</t>
  </si>
  <si>
    <t>+66816140250</t>
  </si>
  <si>
    <t>piti7@live.com</t>
  </si>
  <si>
    <t>Thailand</t>
  </si>
  <si>
    <t>Dr., Bureau of Dental Health, Department of Health</t>
  </si>
  <si>
    <t>Member, Core team</t>
  </si>
  <si>
    <t>321.24 usd</t>
  </si>
  <si>
    <t>321.24</t>
  </si>
  <si>
    <t>482 USD</t>
  </si>
  <si>
    <t>I would like to participate the conference because I would like to see what vision God gives me in my job, calling,mission next step. Now I just moved to Bangkok and the financial condition is not stable, including mortgage for my family home. If the committee can support the financial, I would be thanks a lot for that.</t>
  </si>
  <si>
    <t>Pasaleeya</t>
  </si>
  <si>
    <t xml:space="preserve">Thoedpraisan </t>
  </si>
  <si>
    <t>(+66)63-2670170</t>
  </si>
  <si>
    <t>Pasaleeyaeer@gmail.com</t>
  </si>
  <si>
    <t>PR, Donator CMF THAILAND</t>
  </si>
  <si>
    <t xml:space="preserve">Premed student </t>
  </si>
  <si>
    <t>Owner, Satja Orthopedics Clinic at Nakhon Ratchasima</t>
  </si>
  <si>
    <t>Participate, PR</t>
  </si>
  <si>
    <t>687</t>
  </si>
  <si>
    <t xml:space="preserve">937.78 USD , KTA </t>
  </si>
  <si>
    <t>937.78</t>
  </si>
  <si>
    <t>468.89 USD</t>
  </si>
  <si>
    <t>468.89</t>
  </si>
  <si>
    <t>Dear ICMDA World Congress2026, 
I need supports because I’m in job transferring and still premed student process. 
Moreover, I am more than willing to do and participate in creating media and participating as missionary, evangelism for ICMDA, and doing presentations to global perspective both about the seminar and mission field visits for free, but it would be big blessings, if there is a support for registration cost. I already sent selfie picture from the event of SEAMMC 2025 participation to whatapps of Korean staff for special registration discount. I am so excited to be part of this seminar and post-trip. Thank you very much for the opportunity to write-in. 
Anyway, I hope that this support will be organized to the one, even if it is not me but to whom the committee see it is suitable the most God bless all of you and your team. 
Sincerely in Jesus Christ, 
Pasaleeya Thoedpraisan ((Rain)Beau)
Whatapps: ( +66TH) 63-2670170</t>
  </si>
  <si>
    <t>Ittikorn</t>
  </si>
  <si>
    <t>Rojdamrongratana</t>
  </si>
  <si>
    <t>0818670330</t>
  </si>
  <si>
    <t>Ittikorn162@gmail.com</t>
  </si>
  <si>
    <t>Core team</t>
  </si>
  <si>
    <t>Residents at Chulalongkorn receive a low monthly compensation of 790 USD, inclusive of on-call duty pay</t>
  </si>
  <si>
    <t xml:space="preserve">Mateus </t>
  </si>
  <si>
    <t xml:space="preserve">Pinheiro </t>
  </si>
  <si>
    <t>+67077544984</t>
  </si>
  <si>
    <t>mateus41276@gmail.com</t>
  </si>
  <si>
    <t>East Timor</t>
  </si>
  <si>
    <t>Timor-Leste</t>
  </si>
  <si>
    <t xml:space="preserve">Doctor </t>
  </si>
  <si>
    <t xml:space="preserve">National movement </t>
  </si>
  <si>
    <t xml:space="preserve">Arusha Congress </t>
  </si>
  <si>
    <t>Not yet paid</t>
  </si>
  <si>
    <t>Not yet</t>
  </si>
  <si>
    <t>LMIC with financial struggling, with high registration fee and return tickets costly.</t>
  </si>
  <si>
    <t>Yao Mawuena</t>
  </si>
  <si>
    <t>DANSOU</t>
  </si>
  <si>
    <t>+22890331276</t>
  </si>
  <si>
    <t>dansouyaomawuena@gmail.com</t>
  </si>
  <si>
    <t>Togo</t>
  </si>
  <si>
    <t xml:space="preserve">Radiologist at Source of life hospital </t>
  </si>
  <si>
    <t xml:space="preserve">President of my fellowship and ICMDA FRANCOPHONE AFRICA REGIONAL SECRETARY </t>
  </si>
  <si>
    <t>World congress of 2018, 2023 and ELF Conference in 2024</t>
  </si>
  <si>
    <t>690</t>
  </si>
  <si>
    <t xml:space="preserve">2700 USD </t>
  </si>
  <si>
    <t xml:space="preserve">Im serving as fieldworkers and I need to be there to continue my mission 
I’m in a very low income country TOGO
My current income and my family charges don’t allow me to pay so high amounts </t>
  </si>
  <si>
    <t>AMEGANVI SOFAKO</t>
  </si>
  <si>
    <t>EGLOH</t>
  </si>
  <si>
    <t>0022890181308</t>
  </si>
  <si>
    <t>esofak81@gmail.com</t>
  </si>
  <si>
    <t>Obstetrician and Gynecology</t>
  </si>
  <si>
    <t xml:space="preserve">Discipleship Training </t>
  </si>
  <si>
    <t>688</t>
  </si>
  <si>
    <t>150 USD</t>
  </si>
  <si>
    <t>TRAVEL TICKET</t>
  </si>
  <si>
    <t xml:space="preserve">Florence Yawavi </t>
  </si>
  <si>
    <t xml:space="preserve">SOULEY </t>
  </si>
  <si>
    <t>+22891079196</t>
  </si>
  <si>
    <t>souleflo296@gmail.com</t>
  </si>
  <si>
    <t xml:space="preserve">Médical doctor,provider at Hospital of Hope of Mango </t>
  </si>
  <si>
    <t xml:space="preserve">Media and communication departement member, missionary </t>
  </si>
  <si>
    <t>695</t>
  </si>
  <si>
    <t>2550</t>
  </si>
  <si>
    <t>Je voudrais bénéficier d'une aide financière car sans cela,il me serait impossible de couvrir les frais par mes propres moyens,or je dois absolument participer a ce congrès,ce qui me permettra d'accéder à d'autres horizons et de progresser en tant que médecin chrétienne.</t>
  </si>
  <si>
    <t>ZOTCHI</t>
  </si>
  <si>
    <t xml:space="preserve">Paulin </t>
  </si>
  <si>
    <t>+228 98513890</t>
  </si>
  <si>
    <t>kzotchi94@gmail.com</t>
  </si>
  <si>
    <t>Pharmacist at the Lavoisier pharmacy located in Kpalime (Togo)</t>
  </si>
  <si>
    <t>Member of the Association of Christian Doctors Association of Togo (AMCT)</t>
  </si>
  <si>
    <t>Thanks to the scholarship, i was able to attend the 17th world congres of the ICMDA , which took place in Arusha , Tanzania, from June 22 to 25, 2023</t>
  </si>
  <si>
    <t>692</t>
  </si>
  <si>
    <t>$2880</t>
  </si>
  <si>
    <t>My savings set aside for this conference will not be enough to cover all the necessary funds for registration fees, transport and accommodation.</t>
  </si>
  <si>
    <t xml:space="preserve">Roseline </t>
  </si>
  <si>
    <t xml:space="preserve">ASSOU </t>
  </si>
  <si>
    <t>+22893979262</t>
  </si>
  <si>
    <t>assouroseline4@gmail.com</t>
  </si>
  <si>
    <t>Général praticien ( hospital of Hope Mango)</t>
  </si>
  <si>
    <t>I would like to attend this conference, but my income is insufficient to cover all the costs. Thank you for your help.</t>
  </si>
  <si>
    <t>Kyabu</t>
  </si>
  <si>
    <t>Kapijimpanga</t>
  </si>
  <si>
    <t>+905444825042</t>
  </si>
  <si>
    <t>Kyabukapiji4@gmail.com</t>
  </si>
  <si>
    <t>Turkey</t>
  </si>
  <si>
    <t>I am a medical student and a new member of ICMDA Turkey. My role is currently that of an active student participant, seeking spiritual formation, fellowship, and training in integrating faith and medical practice, with the aim of serving more actively within the movement in the future.</t>
  </si>
  <si>
    <t>697</t>
  </si>
  <si>
    <t>$1300</t>
  </si>
  <si>
    <t>As a medical student with limited financial means, the cost of attending the ICMDA World Congress is beyond what I can afford independently. Bursary support would make it possible for me to attend and benefit from spiritual formation, training, and global fellowship at a formative stage of my medical education. I hope to use this experience to grow in integrating faith with medicine and to contribute actively to the ICMDA movement among students in the future.
This support would give me a chance to see the world, break bread with fellow believers, and learn new skills that will sharpen me and benefit my community upon my return.</t>
  </si>
  <si>
    <t>Faridahan</t>
  </si>
  <si>
    <t>Bazarova</t>
  </si>
  <si>
    <t>+375293666781</t>
  </si>
  <si>
    <t>bazarovafaridahan@icloud.com</t>
  </si>
  <si>
    <t>Turkmenistan</t>
  </si>
  <si>
    <t>Vitebsk City Clinical Hospital of emergency medical care</t>
  </si>
  <si>
    <t>We don’t have ICMDA movement in my city. I just started to meet other doctors in our city</t>
  </si>
  <si>
    <t>895$</t>
  </si>
  <si>
    <t>1200$</t>
  </si>
  <si>
    <t>I really want to get to the congress and continue to be on the team and serve. But unfortunately I can't cover all the expenses. I'm working as a doctor now, and I understand that everyone needs support. But with my salary and expenses, I won't be able to pay all the expenses. I will be grateful for your positive response.</t>
  </si>
  <si>
    <t xml:space="preserve">Peace </t>
  </si>
  <si>
    <t xml:space="preserve">Wataba </t>
  </si>
  <si>
    <t>+256752608190</t>
  </si>
  <si>
    <t>peace.mbeiza@gmail.com</t>
  </si>
  <si>
    <t xml:space="preserve">I am the chairperson of the National CMDA (UCMF) students chapter </t>
  </si>
  <si>
    <t>707</t>
  </si>
  <si>
    <t>$350</t>
  </si>
  <si>
    <t xml:space="preserve">I would very much like the opportunity to connect with and fellowship with other believers and medical students and professionals around the world, also connect with student leaders from other CMFs and CMDA fellowships at different universities, it would also be a great opportunity to experience Jeju South Korea and have a different cultural experience, l believe it will be beneficial in my growth as Christian , inspirational to my medical journey as well as my journey as a leader in my national CMF despite my financial limitations as a student </t>
  </si>
  <si>
    <t>HERBERT CHARLES</t>
  </si>
  <si>
    <t>BIGOGO</t>
  </si>
  <si>
    <t>+256751927685</t>
  </si>
  <si>
    <t>herbertbigogo@gmail.com</t>
  </si>
  <si>
    <t>STUDY MEDICAL OFFICER- WALIMU Uganda</t>
  </si>
  <si>
    <t>Serve on the National Executive committee as the STUDENTS LIAISON OFFICER</t>
  </si>
  <si>
    <t xml:space="preserve">2023- During the 17th ICMDA world congress in Arusha </t>
  </si>
  <si>
    <t>704</t>
  </si>
  <si>
    <t>1,400 USD</t>
  </si>
  <si>
    <t>NOT CERTAIN YET</t>
  </si>
  <si>
    <t xml:space="preserve">The travel costs seem to be a lot for me and yet i really need to be a part of this historical event. 
I am a young medical officer but am doing a great job in supporting my 3 siblings in their education and this takes a lot of my finances never the less I am trying my best to save some funds to raise my transportation. 
</t>
  </si>
  <si>
    <t xml:space="preserve">Paul Stephen Ataro </t>
  </si>
  <si>
    <t>Ayella</t>
  </si>
  <si>
    <t>+256772591027</t>
  </si>
  <si>
    <t xml:space="preserve">Atarodrpapa@gmail.com </t>
  </si>
  <si>
    <t>Assistant Director HMU Kampala</t>
  </si>
  <si>
    <t>Regional Representative East Africa</t>
  </si>
  <si>
    <t>World Congress 2023</t>
  </si>
  <si>
    <t>1400 USD</t>
  </si>
  <si>
    <t>As a Fieldworker I request support and also I am bringing my children along along for which I am paying,  so bursary and dormitory accommodation would help me offset some costs which is already very high on me. I have so far Paid Registration of $200.</t>
  </si>
  <si>
    <t xml:space="preserve">Proscovia </t>
  </si>
  <si>
    <t xml:space="preserve">Mugaba </t>
  </si>
  <si>
    <t>+256775677554</t>
  </si>
  <si>
    <t>drprosiemm@gmail.com</t>
  </si>
  <si>
    <t xml:space="preserve">Pediatric cardiologist </t>
  </si>
  <si>
    <t>Chair of National Organization (UCMF)</t>
  </si>
  <si>
    <t>I was awarded a bursary to attend the 17th World Congress in Arusha Tanzania in 2023</t>
  </si>
  <si>
    <t>701</t>
  </si>
  <si>
    <t>1600 USD</t>
  </si>
  <si>
    <t>As a national leader throughout the year I have to incur numerous expenses to do my work, and these are mostly out-of-pocket expenses. This in addition to the anticipated expenses fore to attend the world Congress is poised to be prohibitive to me. It is for this reason that I am requesting to be financially supported.</t>
  </si>
  <si>
    <t xml:space="preserve">Elizabeth </t>
  </si>
  <si>
    <t xml:space="preserve">Keinembabazi </t>
  </si>
  <si>
    <t>+256755709397</t>
  </si>
  <si>
    <t>keinembabazielizabeth11@gmail.com</t>
  </si>
  <si>
    <t xml:space="preserve">Doctor, currently volunteering at Kiruddu National Referral Hospital as I wait for internship </t>
  </si>
  <si>
    <t>I am currently a member, was a former student leader</t>
  </si>
  <si>
    <t>519 USD</t>
  </si>
  <si>
    <t>At the moment, I have gathered 565 usd</t>
  </si>
  <si>
    <t>I believe I merit financial support because I am a recent medical graduate who has not yet commenced internship and therefore do not currently earn a salary. At this stage, I am dedicating my time to voluntary clinical and community service, which, while deeply meaningful, comes with significant financial limitations.
Despite these constraints, I am highly motivated to attend the ICMDA World Congress, as it presents a valuable opportunity for professional growth, mentorship, and deeper engagement with global Christian medical practice. Receiving a bursary would make it possible for me to benefit from this conference and to apply the knowledge, inspiration, and networks gained to serve my community more effectively.</t>
  </si>
  <si>
    <t xml:space="preserve">Sharon </t>
  </si>
  <si>
    <t xml:space="preserve">Nakanjako </t>
  </si>
  <si>
    <t>+256780203061</t>
  </si>
  <si>
    <t>sharonnakanjako2023@gmail.com</t>
  </si>
  <si>
    <t xml:space="preserve">Clinical psychologist </t>
  </si>
  <si>
    <t xml:space="preserve">I am a mental health expert and advisor, I serve on the prayer team, worship team and welfare </t>
  </si>
  <si>
    <t xml:space="preserve">Not applicable </t>
  </si>
  <si>
    <t>698</t>
  </si>
  <si>
    <t>2000 to 3000 USD</t>
  </si>
  <si>
    <t xml:space="preserve">I humbly appreciate this opportunity and I believe it's a blessing for me to connect and learn from other Christian clinicians globally so that I can positively impact the lives of the refugees I serve in Kiryandongo refuge settlement in Uganda, hosting Arab (Moslem) asylum seekers from Sudan. It's a complex population that requires knowledge from diverse cultures and specialities to treat and minister Christ to them. additionally, this is my 1st year of clinical practice, thus I couldn't save enough money for the round ticket from Uganda to Jeju South Korea since there is no direct flight between the 2 countries, which will make the all trip more expensive given the lower currency value of the Ugandan Shilling. This generous financial support will help me to reach out to other clinicians back in Uganda with the knowledge and experiences obtained from the congress to strengthen the ICMDA mission and visionary work to rebuild the lives of the broken hearted in Uganda and beyond. I will also use this opportunity to share my experiences as a mental health practitioner and an advocate for self-care amongst clinicians as a key aspect of patients' recovery.
Thanks for the kind consideration
Yours faithfully 
Sharon Nakanjako </t>
  </si>
  <si>
    <t>Trinity</t>
  </si>
  <si>
    <t>Mungufeni Abasira</t>
  </si>
  <si>
    <t>+256786993559</t>
  </si>
  <si>
    <t>tabasiramungufeni22ag@student.kcu.ac.ug</t>
  </si>
  <si>
    <t>Still at Medical School</t>
  </si>
  <si>
    <t>I am the General Secretary for Uganda Christian Medical Fellowship's National Students' chapter. I am also currently undergoing SALINE Process Training for Trainers organised by ICMDA</t>
  </si>
  <si>
    <t>706</t>
  </si>
  <si>
    <t>$280</t>
  </si>
  <si>
    <t>I am currently not working and unable to raise the money I need for making all the payments needed for the congress. I hope to get some (not all) of the support from relatives and friends.</t>
  </si>
  <si>
    <t xml:space="preserve">BWAMIKE </t>
  </si>
  <si>
    <t>JOSHUA</t>
  </si>
  <si>
    <t>+256759021143</t>
  </si>
  <si>
    <t>bwamikejoshua@gmail.com</t>
  </si>
  <si>
    <t>Non</t>
  </si>
  <si>
    <t>UCMF - Institutional Representative at Uganda Christian University</t>
  </si>
  <si>
    <t>Only this year 2025 when ICMD was hosted in Uganda</t>
  </si>
  <si>
    <t>$416</t>
  </si>
  <si>
    <t xml:space="preserve">I am sincerely applying for financial support because attending the ICMDA conference is extremely important for my growth as a young Christian healthcare professional. This opportunity would expose me to global medical missions, mentorship, leadership training, and spiritual development that I cannot easily access in my current environment. I believe the conference will strengthen both my faith and my commitment to serving communities with compassion, excellence, and integrity.
However, despite my strong desire to attend, I am currently unable to meet the financial requirements on my own. My mother who is the primary provider in our family already takes care of my siblings and me, and she is not in a position to support any additional expenses. I am already blessed to have sponsors who help me with my tuition, but they are not able to cover the cost of the conference as well, given the many students they support.
This bursary would therefore make it possible for me to participate in a conference that I know will have a lasting impact on my personal, spiritual, and professional development. I am deeply committed to using the knowledge, skills, and mentorship gained from ICMDA to serve my community and contribute meaningfully to the medical field.
</t>
  </si>
  <si>
    <t xml:space="preserve">Biira </t>
  </si>
  <si>
    <t xml:space="preserve">Eunice </t>
  </si>
  <si>
    <t>+256 781151045</t>
  </si>
  <si>
    <t>eunycebiira@gmail.com</t>
  </si>
  <si>
    <t xml:space="preserve">Choir member </t>
  </si>
  <si>
    <t xml:space="preserve">I haven’t </t>
  </si>
  <si>
    <t>715</t>
  </si>
  <si>
    <t>$1900</t>
  </si>
  <si>
    <t>$1100.45</t>
  </si>
  <si>
    <t>1100.45</t>
  </si>
  <si>
    <t>My name is Biira Eunice, a medical student at Kampala international university. I have been part of Uganda Christian Medical Fellowship since 2024 and I can gladly say that I have seen evident growth in my life spiritually, socially and academically. I wish to one day improve the healthcare sector in my community and country at large; the only way I can; one set of hands at a time.( no hands but Yours; no feet but Yours)
I believe that this year’s ICMDA conference will give me an opportunity to learn how best to extend Jesus to the broken; even amidst the pressures of medical school, even as I step into the medical field. How best can I carry healing. I’m also looking forward to socializing and meeting different people with different perspectives on how best to be a Christian doctor in this day and age. Thank you so much for the opportunity, I’ll be looking forward to receiving your response. God bless you.</t>
  </si>
  <si>
    <t>Felix</t>
  </si>
  <si>
    <t>Okello</t>
  </si>
  <si>
    <t>+256779558411</t>
  </si>
  <si>
    <t>flxokello139@gmail.com</t>
  </si>
  <si>
    <t xml:space="preserve">Campus Student Coordinator </t>
  </si>
  <si>
    <t>716</t>
  </si>
  <si>
    <t>1700 USD</t>
  </si>
  <si>
    <t>As a student and also a leader, i believe that this opportunity is life changing with the inspiration, encouragement with a sense of belonging that one is part of a much bigger family in what God is doing all around the world. This strengthens my faith and deepens my compassion to serve others and help them walk and be what God has intended for them; His amazing love to be seen in me and shine it to the world and the glory to God! Nothing is more fulfilling in life than to be in the will of God and serve Him! Hallelujah!</t>
  </si>
  <si>
    <t xml:space="preserve">Katureebe </t>
  </si>
  <si>
    <t xml:space="preserve">Richard </t>
  </si>
  <si>
    <t>+256770460959</t>
  </si>
  <si>
    <t>katureeberichard22@gmail.com</t>
  </si>
  <si>
    <t xml:space="preserve">Institutional chairperson of King Ceasor university </t>
  </si>
  <si>
    <t>1500 usd</t>
  </si>
  <si>
    <t>It's my prayer to join the rest of health workers world wide to share God's good ness and do the healing ministry in Korea.
Am struggling trying to look for my rent , upkeep at campus so I can't afford sponsoring myself for the congress.</t>
  </si>
  <si>
    <t xml:space="preserve">Henriettah </t>
  </si>
  <si>
    <t xml:space="preserve">Lunkuse Dungu </t>
  </si>
  <si>
    <t>+256774373201</t>
  </si>
  <si>
    <t>henriettahdungu@gmail.com</t>
  </si>
  <si>
    <t xml:space="preserve">Medical Doctor </t>
  </si>
  <si>
    <t xml:space="preserve">Member of the Students Laison Committee-Uganda Christian Medical Fellowship </t>
  </si>
  <si>
    <t>727</t>
  </si>
  <si>
    <t>approximately 1000USD</t>
  </si>
  <si>
    <t>I recently graduated (20th December, 2025) from medical school with currently no paying job as I wait for deployment for the mandatory 1 year medical internship program( August, 2026) which ends in an award of a license to practice medicine. I an currently participating in an observership program and apprenticeship program all which have no pay attached to them.
Therefore this financial support will help alleviate my financial costs given the circumstances, enabling me to attend the 2026 World Congress which I hope will not only bless me career wise but also spiritually.</t>
  </si>
  <si>
    <t>Kusona</t>
  </si>
  <si>
    <t>Laban</t>
  </si>
  <si>
    <t>+256 7053483316</t>
  </si>
  <si>
    <t>labkusonga20@gmail.com</t>
  </si>
  <si>
    <t>Former/ Immediate past chair National students chapter , now an ex official on the commuttee</t>
  </si>
  <si>
    <t>740</t>
  </si>
  <si>
    <t>About 508 USDs</t>
  </si>
  <si>
    <t>About 100USDs</t>
  </si>
  <si>
    <t>Am not able to remit all the dues yet as a student it will be a great opportunity for me to meet with brethren and share together the love of Christ,so i wil be grateful</t>
  </si>
  <si>
    <t>GRACE</t>
  </si>
  <si>
    <t xml:space="preserve">KADONDI </t>
  </si>
  <si>
    <t>+256774156794</t>
  </si>
  <si>
    <t>kadondig@gmail.com</t>
  </si>
  <si>
    <t>Also working Mulago National referral hospital, M.D</t>
  </si>
  <si>
    <t>ICMDA Arusha conference 2023</t>
  </si>
  <si>
    <t>741</t>
  </si>
  <si>
    <t>2100 USD</t>
  </si>
  <si>
    <t>Thanks for consideration; I have many family financial responsibilities; no emergency fund; I'm also studying a masters program-paying myself; Would love to attend conference to be enriched to serve as a Christian doctor.</t>
  </si>
  <si>
    <t>NIZEYIMANA</t>
  </si>
  <si>
    <t>+250788405748</t>
  </si>
  <si>
    <t>zeeman30a@gmail.com</t>
  </si>
  <si>
    <t>General Practitioner (formerly at Ruhengeri Hospital, Rwanda); currently a Master of Public Health (MPH) student in China.</t>
  </si>
  <si>
    <t>Volunteer</t>
  </si>
  <si>
    <t>I am currently a Master of Public Health student with limited financial resources, making it difficult to cover the full cost of attending the Congress. Participation will strengthen my skills in public health and leadership, which I will apply to improve community health in Rwanda. Financial support will enable me to fully benefit from this opportunity and contribute meaningfully to the Congress.</t>
  </si>
  <si>
    <t>27-May</t>
  </si>
  <si>
    <t xml:space="preserve">Tumwine </t>
  </si>
  <si>
    <t xml:space="preserve">Rebekah </t>
  </si>
  <si>
    <t>+256786262396</t>
  </si>
  <si>
    <t>rebekahtum@gmail.com</t>
  </si>
  <si>
    <t xml:space="preserve">Member of ucmf Student's chapter </t>
  </si>
  <si>
    <t xml:space="preserve">Member of ucmf student's chapter </t>
  </si>
  <si>
    <t xml:space="preserve">2024 regional conference </t>
  </si>
  <si>
    <t>745</t>
  </si>
  <si>
    <t>1892</t>
  </si>
  <si>
    <t>Attending the ICMDA 2024 and 2025 regional conferences was was impactful experience. I am sure ICMDA global conference will be an invaluable learning and growing experience for me. If I am granted this bursary I will have the opportunity to be apart of it.</t>
  </si>
  <si>
    <t>Irene</t>
  </si>
  <si>
    <t xml:space="preserve">Among Olimoro </t>
  </si>
  <si>
    <t>+256705306112</t>
  </si>
  <si>
    <t xml:space="preserve">amongirene@gmail.com </t>
  </si>
  <si>
    <t xml:space="preserve">I am still a student </t>
  </si>
  <si>
    <t xml:space="preserve">Institute Representative </t>
  </si>
  <si>
    <t xml:space="preserve">I have not benefited from any ICMDA bursary </t>
  </si>
  <si>
    <t>350USD</t>
  </si>
  <si>
    <t xml:space="preserve">1500USD </t>
  </si>
  <si>
    <t>As a student, I believe attending this conference will have a profound impact on my life and significantly contribute to my spiritual development 🙏.</t>
  </si>
  <si>
    <t>Peter</t>
  </si>
  <si>
    <t xml:space="preserve">Kiwanzi </t>
  </si>
  <si>
    <t>+256703441710</t>
  </si>
  <si>
    <t>kiwanzipeter20@gmail.com</t>
  </si>
  <si>
    <t xml:space="preserve">Vice chairperson of UCMF students chapter </t>
  </si>
  <si>
    <t>ICMDA EAST AFRICA REGIONAL CONFERENCE IN RWANDA-KIGALI (29th March to 1st April 2025)</t>
  </si>
  <si>
    <t>728</t>
  </si>
  <si>
    <t xml:space="preserve">I really wish to be part of this conference I'm currently not in position to raise full fees. </t>
  </si>
  <si>
    <t>Rudolf</t>
  </si>
  <si>
    <t>Myhovych</t>
  </si>
  <si>
    <t>+380996339538</t>
  </si>
  <si>
    <t>rudolf.myhovych@cmaukraine.com</t>
  </si>
  <si>
    <t>Ukraine</t>
  </si>
  <si>
    <t xml:space="preserve">president of CMA Ukraine </t>
  </si>
  <si>
    <t xml:space="preserve">director and fieldworker </t>
  </si>
  <si>
    <t xml:space="preserve">participation in the congress in Tanzania </t>
  </si>
  <si>
    <t>1000$ tickets and 100$ visa</t>
  </si>
  <si>
    <t xml:space="preserve">500$ </t>
  </si>
  <si>
    <t xml:space="preserve">I would be incredibly grateful for your support. Such expenses are very difficult for Ukrainians, especially given the financial crisis in our country over the past year.  And living in Korea is quite expensive. </t>
  </si>
  <si>
    <t>Bendor-Samuel</t>
  </si>
  <si>
    <t>00447891886262</t>
  </si>
  <si>
    <t>pbs@ocms.ac.uk</t>
  </si>
  <si>
    <t>Invited speaker</t>
  </si>
  <si>
    <t>Mission educator</t>
  </si>
  <si>
    <t>Director, Oxford Centre for Mission Studies</t>
  </si>
  <si>
    <t>nothing</t>
  </si>
  <si>
    <t>$600+</t>
  </si>
  <si>
    <t>As I explained to the organisers when invited to speak, I do not have an organisation to support me and my wife and I live on a missionary allowance</t>
  </si>
  <si>
    <t>Jeffrey</t>
  </si>
  <si>
    <t>Larson</t>
  </si>
  <si>
    <t>+12242971675</t>
  </si>
  <si>
    <t>jeffrey.donald.larson@gmail.com</t>
  </si>
  <si>
    <t>Medical missionary, Leading SIG for member care, member of a national cmda</t>
  </si>
  <si>
    <t>United States</t>
  </si>
  <si>
    <t>Missionary physician with TEAM, CEO Member Care Collaboration Network</t>
  </si>
  <si>
    <t>Member and speaker for CMDA USA</t>
  </si>
  <si>
    <t>We are TEAM missionaries so our entire salary and ministry budget is through fundraising. We have no outside source of income. Furthermore, last year our budget increased significantly. In addition to our family and ministry expenses, we are now trying to raise money for an entire fledgling organization (Member Care Collaboration Network) and pay for app development (Very expensive). Consequently, money used for the conference, lodging and travel diverts funds away from the ministry. 
I am excited about the opportunity to lead the SIG on member care and believe that this is very timely and strategic for ICMDA. Additionally, I am hoping to have my wife (cofounder of MCCN) and kids join since travel often separates us. These decisions are difficult as we know that the funds would go directly to caring for Filipino missionaries if not used for the congress. 
I am very grateful for your efforts to provide bursary funds to make this important opportunity available.</t>
  </si>
  <si>
    <t>Julie</t>
  </si>
  <si>
    <t>Susanto</t>
  </si>
  <si>
    <t>17035986868</t>
  </si>
  <si>
    <t>jsus8888@gmail.com</t>
  </si>
  <si>
    <t>Bioinformatics student</t>
  </si>
  <si>
    <t xml:space="preserve">Bioinformatics </t>
  </si>
  <si>
    <t xml:space="preserve">Saline trainer/ facilitator </t>
  </si>
  <si>
    <t>$319</t>
  </si>
  <si>
    <t xml:space="preserve">My husband just lost his job and I don’t work. </t>
  </si>
  <si>
    <t xml:space="preserve">Roberto </t>
  </si>
  <si>
    <t>Ferreira Coimbra Casco</t>
  </si>
  <si>
    <t>+59898053748</t>
  </si>
  <si>
    <t>robertelius@hotmail.com</t>
  </si>
  <si>
    <t>Uruguay</t>
  </si>
  <si>
    <t>Psiquiatra Clinico</t>
  </si>
  <si>
    <t>Miembro directivo en ACUPS</t>
  </si>
  <si>
    <t>699</t>
  </si>
  <si>
    <t xml:space="preserve">Because I live very far, and Y have others commitments in this year. The coste of registration, travel, hotel and food is expensive for our country.   </t>
  </si>
  <si>
    <t>Elba maria</t>
  </si>
  <si>
    <t xml:space="preserve">Correa Rodriguez </t>
  </si>
  <si>
    <t>+59894102850</t>
  </si>
  <si>
    <t>Erianto1994@hotmail.com</t>
  </si>
  <si>
    <t xml:space="preserve">Instrumentista y lic enfermeria </t>
  </si>
  <si>
    <t>Instrumentista,  CASMU</t>
  </si>
  <si>
    <t xml:space="preserve">Estudiante </t>
  </si>
  <si>
    <t>Entre 2000 y 2500</t>
  </si>
  <si>
    <t>Solicito ya que tiene costos muy elevados el traslado de mi país al congreso, Es una oportunidad milagrosa de estar en comunión con otros hermanos de todo el mundo,  testificando y compartiendo las buenas nuevas, y poder aplicar lo aprendido en mi país Uruguay que tanto lo necesita. Comunidades fuertes en Cristo! Toda sea por su Gracia y todo sea para la gloria de nuestro Señor!! Quedando agradecida desde ya ! Ya sea que me otorguen la beca o no! Bendiciones</t>
  </si>
  <si>
    <t xml:space="preserve">Virginia Leticia </t>
  </si>
  <si>
    <t>Silva Rodriguez</t>
  </si>
  <si>
    <t>+598 99 822785</t>
  </si>
  <si>
    <t>vletisilva@gmail.com</t>
  </si>
  <si>
    <t>ACUPS-ICMDA</t>
  </si>
  <si>
    <t>Licenciada en Psicologia en MIDES (Ministerio de Desarrollo Social) trabajo en el Programa Uruguay Crece Contigo</t>
  </si>
  <si>
    <t>Participante</t>
  </si>
  <si>
    <t xml:space="preserve">High </t>
  </si>
  <si>
    <t>Entre 2500- 3500 usd</t>
  </si>
  <si>
    <t>Podría cubrir el costo del pasaje, pero necesitaría apoyo financiero para alojamiento, comidas y traslados durante el Congreso. Cualquier asistencia que se me pueda brindar sería muy apreciada y permitiría que pueda participar.</t>
  </si>
  <si>
    <t>Estoy solicitando participar en el Congreso y, aunque Uruguay figura como un país de ingresos altos, mi situación personal es muy diferente. Soy licenciada en Psicología y trabajo en el Ministerio de Desarrollo Social, y mi salario es modesto en comparación con el de profesionales médicos. Los costos de viaje, alojamiento, comida y otros gastos para asistir al Congreso serían muy difíciles de cubrir por mi cuenta.
Participar en este Congreso sería un sueño para mí, tanto a nivel profesional como personal. Además, dado que se trata de un Congreso cristiano, mi asistencia tendría un impacto directo en mi labor ministerial y en cómo puedo aplicar los valores y aprendizajes adquiridos en mi trabajo en el MIDES. El apoyo financiero haría posible que pueda asistir y contribuir plenamente. Estaría sumamente agradecida por cualquier asistencia que se me pudiera brindar.</t>
  </si>
  <si>
    <t>Michel</t>
  </si>
  <si>
    <t xml:space="preserve">Raymond </t>
  </si>
  <si>
    <t>678 7310824</t>
  </si>
  <si>
    <t>mitchraymond86@gmail.com</t>
  </si>
  <si>
    <t>Vanuatu</t>
  </si>
  <si>
    <t>Paediatric Registrar</t>
  </si>
  <si>
    <t>I'll be representing as the only participant from my country, Vanuatu. Also, attending the congress would be impossible if I wasn't financially supported, due to low income.</t>
  </si>
  <si>
    <t>19-May</t>
  </si>
  <si>
    <t>Nhan Tu</t>
  </si>
  <si>
    <t>Vo</t>
  </si>
  <si>
    <t>+84932000730</t>
  </si>
  <si>
    <t>vonhantu@gmail.com</t>
  </si>
  <si>
    <t>Vietnam</t>
  </si>
  <si>
    <t>MD, Ho Chi Minh City</t>
  </si>
  <si>
    <t>Collaborator</t>
  </si>
  <si>
    <t>$</t>
  </si>
  <si>
    <t xml:space="preserve">I have been involved in ministry for 20 years and am currently on leave for further study. </t>
  </si>
  <si>
    <t>Anh Ngoc</t>
  </si>
  <si>
    <t>Bui</t>
  </si>
  <si>
    <t>+84982290128</t>
  </si>
  <si>
    <t xml:space="preserve">trangoc1906@gmail.com </t>
  </si>
  <si>
    <t>CMF Viet Nam</t>
  </si>
  <si>
    <t xml:space="preserve">Doctor treatment </t>
  </si>
  <si>
    <t>Chairman of CMF Viet Nam</t>
  </si>
  <si>
    <t>950$</t>
  </si>
  <si>
    <t>My financial resources are limited, and I cannot cover all expenses on my own</t>
  </si>
  <si>
    <t>LY</t>
  </si>
  <si>
    <t>NGUYEN THI KHANH</t>
  </si>
  <si>
    <t>+84915159399</t>
  </si>
  <si>
    <t>dr.lyly94@gmail.com</t>
  </si>
  <si>
    <t>Executive Committee member and Treasurer CMF Vietnam</t>
  </si>
  <si>
    <t>I have 3 little children, I will go with my husband for this conference so this trip fee could be quite high for us (flight, accomodation, conference fee)</t>
  </si>
  <si>
    <t xml:space="preserve">Jimmy </t>
  </si>
  <si>
    <t xml:space="preserve">Nguyễn Tuấn Nghĩa </t>
  </si>
  <si>
    <t>+84989198922</t>
  </si>
  <si>
    <t>nghiangt@gmail.com</t>
  </si>
  <si>
    <t xml:space="preserve">Medical Doctor, National Cancer Hospital </t>
  </si>
  <si>
    <t xml:space="preserve">Leader and Evangelist </t>
  </si>
  <si>
    <t>645 USD</t>
  </si>
  <si>
    <t>800 USD</t>
  </si>
  <si>
    <t xml:space="preserve">It is the first time I have chance to attend ICMDA World Congress </t>
  </si>
  <si>
    <t>Thanh Long</t>
  </si>
  <si>
    <t>+84356248026</t>
  </si>
  <si>
    <t>Lukevirus@gmail.com</t>
  </si>
  <si>
    <t>Doctor at Spring Hospice Center</t>
  </si>
  <si>
    <t xml:space="preserve">Christian Palliative care movement </t>
  </si>
  <si>
    <t>As a Christian medical professional dedicated to the palliative care movement in Vietnam, I believe that connecting with colleagues who share both the same expertise and faith is a core source of strength. This unity not only enables us to operate more effectively but also serves as a bridge to spread God’s love to patients during the most challenging stages of their lives.</t>
  </si>
  <si>
    <t>Quang Hung</t>
  </si>
  <si>
    <t>84868695920</t>
  </si>
  <si>
    <t>dentalhung@gmail.com</t>
  </si>
  <si>
    <t>Lecturer</t>
  </si>
  <si>
    <t>Vice President of CMF Vietnam</t>
  </si>
  <si>
    <t>649usd</t>
  </si>
  <si>
    <t>600usd</t>
  </si>
  <si>
    <t>300usd</t>
  </si>
  <si>
    <t>The total cost of the flight ticket, conference fee, accommodation, food, and others will be very high.</t>
  </si>
  <si>
    <t>605 USD</t>
  </si>
  <si>
    <t>Thi Huyen</t>
  </si>
  <si>
    <t>Pham</t>
  </si>
  <si>
    <t>84904407499</t>
  </si>
  <si>
    <t>huyentrangshaloms@gmail.com</t>
  </si>
  <si>
    <t>Hai Phong Local hospital</t>
  </si>
  <si>
    <t>Commitee</t>
  </si>
  <si>
    <t>my salary is very low because I am working for a small local hospital in Vietnam</t>
  </si>
  <si>
    <t>Hanh</t>
  </si>
  <si>
    <t>Vu Hoang</t>
  </si>
  <si>
    <t>+84934275662</t>
  </si>
  <si>
    <t>vuhoanghanh662@gmail.com</t>
  </si>
  <si>
    <t xml:space="preserve"> General Practitioner</t>
  </si>
  <si>
    <t>I am an active member in CMF Vietnam</t>
  </si>
  <si>
    <t>I am studying at old age and have a very small salary</t>
  </si>
  <si>
    <t>Nhat</t>
  </si>
  <si>
    <t>Nguyen</t>
  </si>
  <si>
    <t>+84 835804699</t>
  </si>
  <si>
    <t>nguyenanhnhat16032005@gmail.com</t>
  </si>
  <si>
    <t>CMF Vietnam</t>
  </si>
  <si>
    <t>Hai Phong University of Medicine and Pharmacy</t>
  </si>
  <si>
    <t>Member of CMF Vietnam</t>
  </si>
  <si>
    <t>800-1000USD</t>
  </si>
  <si>
    <t>I am currently a medical student, and attending this Congress would be a valuable opportunity for my academic and professional development.Due to limited financial resources as a student, I am unable to fully cover the costs of registration and travel. Financial support would allow me to participate in the Congress, gain updated medical knowledge, and apply what I learn to my studies and future clinical practice.</t>
  </si>
  <si>
    <t>Nguyet</t>
  </si>
  <si>
    <t>Nguyen Thi</t>
  </si>
  <si>
    <t>0911669615</t>
  </si>
  <si>
    <t>nguyenthinguyetcmf@gmail.com</t>
  </si>
  <si>
    <t>Medical Laboratory Technician</t>
  </si>
  <si>
    <t>Medical Technician</t>
  </si>
  <si>
    <t>I retired with a very small salary but i am eager to attend one of big Christian Conference for health workers</t>
  </si>
  <si>
    <t xml:space="preserve">Khozya </t>
  </si>
  <si>
    <t>Zyambo</t>
  </si>
  <si>
    <t>+260 96 3332800</t>
  </si>
  <si>
    <t>khozyazyambo@gmail.com</t>
  </si>
  <si>
    <t>Zambia</t>
  </si>
  <si>
    <t xml:space="preserve">Ministry of Health, paediatrician </t>
  </si>
  <si>
    <t xml:space="preserve">Regional secretary Southern Africa </t>
  </si>
  <si>
    <t>Arusha congress</t>
  </si>
  <si>
    <t>Super early bird fee</t>
  </si>
  <si>
    <t>Being regional secretary, and getting involved in some of the sessions, my attendance at the congress is important</t>
  </si>
  <si>
    <t>Maria</t>
  </si>
  <si>
    <t>Akani</t>
  </si>
  <si>
    <t>260978000000</t>
  </si>
  <si>
    <t>mariahakani@gmail.com</t>
  </si>
  <si>
    <t>Psychiatrist, Renaisense</t>
  </si>
  <si>
    <t>$714</t>
  </si>
  <si>
    <t>USD $1500</t>
  </si>
  <si>
    <t>100 USD$</t>
  </si>
  <si>
    <t>I feel I should be supported because my travel cost is pretty heavy. I, also, feel that apart from being blessed, I will be a great blessing because I am facilitating two workshops</t>
  </si>
  <si>
    <t>Christine</t>
  </si>
  <si>
    <t>Millioni</t>
  </si>
  <si>
    <t>+260770726114</t>
  </si>
  <si>
    <t>millionichristine@gmail.com</t>
  </si>
  <si>
    <t>Media Team-CMF Zambia</t>
  </si>
  <si>
    <t>$409</t>
  </si>
  <si>
    <t>$1700</t>
  </si>
  <si>
    <t xml:space="preserve">To begin with, I have been passionate about ICMDA since I joined in 2024 when I attended the first CMF conference that was in Livingstone Zambia. The experience was nothing short of life changing and really transformative. I had just lost my mum, and being in an environment with fellow medical students and practicing doctors was so uplifting. Thereafter, I registered for the trainings on Confident Christianity and Servant Leadership, which transformed my mindset and the way I viewed the medical profession. Following the announcement of the next conference in Pretoria South Africa, made immerse effort to ensure I attended including saving up from my school upkeep money and reaching out to a well wisher who could help me out. And by God's abundant grace things fell into place and I attended the conference. While at the conference, some colleagues talked about the congress and I instantly knew I needed to be there. And so I started saving from the money I am given at home for monthly upkeep, but looking at the total costs of attending the congress, I will not be able to raise enough for both the congress and transport. This is why I humbly seek consideration for this bursary. I am eager and expectant to attend the full duration of the 18th ICMDA World Congress to learn and be uplifted. I will ensure to comply with all congress rules, codes of conduct, and applicable laws during the congress and not take the opportunity for granted.
Thank you
</t>
  </si>
  <si>
    <t>Mary Magdalene</t>
  </si>
  <si>
    <t xml:space="preserve">Kofi </t>
  </si>
  <si>
    <t>+260973202062</t>
  </si>
  <si>
    <t>kofiyaba5@gmail.com</t>
  </si>
  <si>
    <t xml:space="preserve">Hospitality Coordinator under CMF Zambia for Students </t>
  </si>
  <si>
    <t xml:space="preserve">I would really love to create a platform or system that others will use for reference sale based on the teaching, sessions that will be had. I would have loved to sponsor myself and others. Unfortunately means of income cannot suffice.  That's why I would love to be supported financially. This should be my 5th application. I had to correct the part where I said I haven't received bursary. I did in 2023 and cause of excitement forgot to indicate that.y apologies </t>
  </si>
  <si>
    <t>Princess</t>
  </si>
  <si>
    <t>Matapo</t>
  </si>
  <si>
    <t>+260975693543</t>
  </si>
  <si>
    <t>matapoprincess@gmail.com</t>
  </si>
  <si>
    <t>Senior Resident Medical officer</t>
  </si>
  <si>
    <t>$1310 ($1210 for flight and $100 for visa)</t>
  </si>
  <si>
    <t>1310</t>
  </si>
  <si>
    <t>I work in a rural community (Mbereshi Mission) which is situated in the poorest province of the country (Luapula Province). Resources are scarce even at the hospital and at times we use our own resources to serve the community. I participate in community engagements as I am also a Public health specialist. Who focuses on holistic care and has strong inclination towards integrating faith and health(seen in my Master’s thesis).
Transport and basic needs are very costly as it is far from civilization( approximately 1000kms from the country’s capital Lusaka) so traveling is very hectic and costly as roads are bad.  The pay we get doesn’t factor in the harsh conditions we leave in so this bursary would go a long way in helping me who is coming from a poor community to have an opportunity to learn and share with fellow professionals as well as develop skills to go and apply back home.</t>
  </si>
  <si>
    <t>Portia</t>
  </si>
  <si>
    <t>Kapinde</t>
  </si>
  <si>
    <t>+26775291002</t>
  </si>
  <si>
    <t>pskapinde@gmail.com</t>
  </si>
  <si>
    <t>Zimbabwe</t>
  </si>
  <si>
    <t>Alumni member, previous executive member</t>
  </si>
  <si>
    <t>I am a newly qualified medical doctor who is passionate about defending the right to health for the marginalised communities. This year’s ICMDA conference is on Building God’s Kingdom among the broken hearted, resonates deeply with my mission based on Proverbs 31:9. I have dedicated my life to service to the Kingdom of God through my career and my church. Through my medical school I served on the board of our Christian Medical Fellowship and as a youth leader in our church to empower youth who can bring the radiance of the Lord to the world as we are the salt of the Earth. I believe this congress will open me up to greater understanding of how to deepen my impact within my region. Without financial assistance, as a newly qualified doctor, I will be unable to gather enough funds to attend this conference. This will be my first ICMSA Conference and I look forward to the opportunity to unite with other passionate believers and learn from their experiences in service.</t>
  </si>
  <si>
    <t xml:space="preserve">Tinayeishe </t>
  </si>
  <si>
    <t>Elijah</t>
  </si>
  <si>
    <t>265991431158</t>
  </si>
  <si>
    <t>tinayeishe2468@gmail.com</t>
  </si>
  <si>
    <t>Paediatric Intensive Care Fellow</t>
  </si>
  <si>
    <t>Treasurer</t>
  </si>
  <si>
    <t>$464</t>
  </si>
  <si>
    <t>2540</t>
  </si>
  <si>
    <t xml:space="preserve">My first exposure to CMDF was during the biannual students’ camp in my fourth year of medical school. I clearly remember sitting in the camping dorm room feeling sad that I had missed four years of being part of a community of doctors who are also devoted Christians. At that moment, I realised how much I had longed for such a space, and I remember praying and hoping that one day I would have the opportunity to fully experience and be part of this community.
That CMDF camp had a profound impact on me. The fellowship I was exposed to gave me lifelong friends, people I am accountable to, who support me spiritually and walk with me through both personal and professional challenges. It also awakened a deeper desire in me to attend an ICMDA Congress, as I wanted to see the full picture of CMDF on an international scale and learn from Christian doctors across the world.
Post COVID, like many church based communities, CMDF Malawi has struggled with membership fatigue and declining participation. This has been painful for me to witness. My heart truly bleeds for the deterioration of activities within CMDF, especially knowing the strength and vibrancy it once had. I am currently serving on the National Executive Committee, and over the past year I have been intentionally trying to reignite the fire within CMDF. This is the same fire that made me yearn for the years I was not part of CMDF, and the same fire that once built strong Christian communities within the medical fraternity.
My hope is that attending the ICMDA Congress will ignite something deeper within me. I believe the exposure, teaching, fellowship, and shared experiences will renew my passion and equip me to better serve CMDF Malawi. I desire to bring back what I learn and use it to motivate, strengthen, and grow our fellowship, particularly among younger doctors and students.
Unfortunately, I am unable to afford the cost of attending the Congress on my own. I am therefore humbly applying for this bursary. I truly believe that this opportunity will not only impact me personally, but will also benefit CMDF Malawi as I continue to serve and work towards the rebuilding of a strong and vibrant Christian medical community.
</t>
  </si>
  <si>
    <t>Masanganise</t>
  </si>
  <si>
    <t>+263777516109</t>
  </si>
  <si>
    <t xml:space="preserve">faithmasanganise@gmail.com </t>
  </si>
  <si>
    <t>Doctor, Ministry of Health and Child Care, Parirenyatwa Hospital</t>
  </si>
  <si>
    <t>Field worker and mentor</t>
  </si>
  <si>
    <t xml:space="preserve">$814 </t>
  </si>
  <si>
    <t>2334</t>
  </si>
  <si>
    <t xml:space="preserve">
I am seeking financial sponsorship to attend the ICMDA World Congress because my participation directly supports the mission of ICMDA and extends its impact within the Southern Africa region. As a field worker for Southern Africa, I am actively involved in contextual ministry, training, and mental health advocacy, particularly in low-resource settings. Attendance at the World Congress will strengthen my ability to translate global insights into practical, region-specific initiatives that serve healthcare professionals and the communities they care for.
I have also been invited to serve as a breakout session presenter, speaking on mental health in low-resource settings. This role allows me to contribute contextual knowledge, lived experience, and practical strategies from Southern Africa, offering perspectives that are often under-represented in global forums. The Congress will provide a valuable platform for mutual learning, enabling me to both share insights and gain knowledge that I will disseminate locally through teaching, mentorship, and programme development.
In addition, I am chairing a Special Interest Group focused on mental health. My presence at the Congress is essential for leadership, collaboration, and strategic planning within this group. Face-to-face engagement will enable deeper discussion, stronger partnerships, and the development of sustainable mental health initiatives aligned with ICMDA’s vision, particularly in regions with significant mental health treatment gaps.
Beyond the formal programme, the World Congress offers a unique opportunity to spend intentional time with like-minded healthcare professionals who are united by their love for God and a shared commitment to serving His people. Fellowship with peers who integrate faith, clinical excellence, and compassionate service is both personally renewing and professionally enriching. These interactions foster spiritual encouragement, mutual learning, and enduring networks of collaboration, prayer, and support, which are vital for sustained service in challenging contexts.
While I am deeply committed to attending and contributing meaningfully to the Congress, the financial realities present a significant barrier. My salary is modest and does not adequately accommodate the high costs associated with international airfare and Congress registration. These expenses are disproportionately high relative to local earnings in Southern Africa, making self-funding extremely challenging despite careful planning and personal sacrifice.
Financial sponsorship would therefore not only support my attendance at the ICMDA World Congress but would represent an investment in strengthening faith-based mental health leadership, capacity building, and collaborative service in Southern Africa and other low-resource settings, with benefits that extend well beyond the Congress itself. </t>
  </si>
  <si>
    <t xml:space="preserve">Blessings </t>
  </si>
  <si>
    <t xml:space="preserve">Dendere  </t>
  </si>
  <si>
    <t>+263772749940</t>
  </si>
  <si>
    <t>blessingszd@gmail.com</t>
  </si>
  <si>
    <t xml:space="preserve">Intern  Parirenyatwa  Group  of  Hospitals  </t>
  </si>
  <si>
    <t xml:space="preserve">I have been a dedicated  member  of the CMF since l joined in 2019 serving  on both preclinical  and Clinical  committees . I have been dedicated  to serving in CMF also gaining  the opportunity  to attend  the saline solutions course hosted  by Dr  Mfanelo . Attending  the  world  congress  will  allow  me  to  get  an opportunity  to  travel outside  of Africa to be able to interact  with other professionals  to share about the challenges . I will also  be able to serve on the Praise  and Worship  team  at the ICMDA  . I will be able  to build  a network  of believers around  the world  and be mentored in my calling  for Medical  missions </t>
  </si>
  <si>
    <t>BENJAMIN</t>
  </si>
  <si>
    <t>DUBE</t>
  </si>
  <si>
    <t>+263784796428</t>
  </si>
  <si>
    <t>benjiedube25@gmail.com</t>
  </si>
  <si>
    <t>Leader, Former Chairperson.</t>
  </si>
  <si>
    <t>$488</t>
  </si>
  <si>
    <t>Dear Reader
Before I joined Medical school I was subjected to an entrance interview, just like any other enrolling student. The deputy dean of the medical school, who was one of the interviewers looked into my eye and said ,"young man, why would you on earth, want to be a doctor?" I  didn`t feel nervous and responded from the depth of my heart, that I wanted to make an impact to humanity through a pair of hands i have been blessed with in the field of medicine. Fast forward to orientation day after acceptance, I was fortunate to have met Dr Sodu who was in the Christian Medical Fellowship of Zimbabwe (CMFZ)leadership at the time, who introduced me to the great family. By the grace of God I had an opportunity to serve as a Ministerial leader and transcended to the chairperson role. Through these roles, I managed to organise various events, sat and chaired various meetings, served a front role in spearheading philanthropy and support of an orphanage and also organised for fundraising events and before I left the role to pave way for others whom I mentored, I was involved in organising the big annual national camp in Harare, the capital of Zimbabwe. 
Having given my background summary, I need to further allude that  I am ambitious and energetic young man who always want to make a huge impact in medicine. I am one who is on the look out for where my hands are need in the community and be ready to offer the pair. My interaction with the great people of CMFZ and international delegates, has opened my mind to think even greater. I am always ready to sit and listen and learn from those ahead where I believe wisdom can be tapped as I look forward to achieve my great dream of impacting others as a Christian doctor one day, drawing them near to God. 
A once in a lifetime opportunity such as the ICMDA conference in Jeju aligns perfectly in making the person I always picture to be. That being said and realised, I cannot afford to tap the knowledge and wisdom from great preachers and mentors due to financial constraints. I always follow ICMDA devotionals through daily emails from Dr Peter Sanders, the CEO and also on social media. How great that would be in person? I can Imagine. 
My hope would be to work so hard taking extra duties during my holidays to try and raise funds as well as from well wishers in my community, family and friends so as to raise funds. 
If there would be one or two talking and discussing about God, feeding from his word and spreading the good news, I would want to be among. 
Shalom,
Benjamin Dube
MBBS, 4th year
NUST, Zimbabwe
+263784796428
benjiedube25@gmail.com</t>
  </si>
  <si>
    <t xml:space="preserve">Amjad </t>
  </si>
  <si>
    <t xml:space="preserve">Ziadat </t>
  </si>
  <si>
    <t>00962777213746</t>
  </si>
  <si>
    <t>anziadat@gmail.com</t>
  </si>
  <si>
    <t xml:space="preserve">Leader of Jordan Christian health care association </t>
  </si>
  <si>
    <t>Jordan</t>
  </si>
  <si>
    <t xml:space="preserve">Consultant ophthalmologist at the healer eye clinic </t>
  </si>
  <si>
    <t xml:space="preserve">950 USD </t>
  </si>
  <si>
    <t xml:space="preserve">2000 usd </t>
  </si>
  <si>
    <t xml:space="preserve">My charity work income is law and the expenses to attend the ICMDA Congress is more than a yearly income </t>
  </si>
  <si>
    <t>Mart</t>
  </si>
  <si>
    <t>Dashkhuu</t>
  </si>
  <si>
    <t>+97699097074</t>
  </si>
  <si>
    <t>dashkhuumart@gmail.com</t>
  </si>
  <si>
    <t>Chairman of the National CDMA board</t>
  </si>
  <si>
    <t>Ob&amp;Gy in Nomuun dagina Clinic</t>
  </si>
  <si>
    <t>Chair of the board</t>
  </si>
  <si>
    <t xml:space="preserve">3 years ago in Japan </t>
  </si>
  <si>
    <t xml:space="preserve">I am recently retired from the practice. No monthly salary. </t>
  </si>
  <si>
    <t>22-May</t>
  </si>
  <si>
    <t>Narantsetseg</t>
  </si>
  <si>
    <t>Tsevegsuren</t>
  </si>
  <si>
    <t>976-99095042</t>
  </si>
  <si>
    <t>narantsetseg.tsevegsuren@gmail.com</t>
  </si>
  <si>
    <t xml:space="preserve">Retired medical doctor </t>
  </si>
  <si>
    <t xml:space="preserve">Medical School </t>
  </si>
  <si>
    <t xml:space="preserve">Pediatrics </t>
  </si>
  <si>
    <t>Former one of the Board Member, SPWT national Trainer</t>
  </si>
  <si>
    <t>In 2018, I received financial support covering the registration fee and half of the round-trip airfare.</t>
  </si>
  <si>
    <t>$839</t>
  </si>
  <si>
    <t xml:space="preserve">550$ + accommodation cost </t>
  </si>
  <si>
    <t xml:space="preserve">$500 - $800: Airfare, accommodation, visa, local transportation </t>
  </si>
  <si>
    <t>I would like to sincerely express my strong interest in participating in this Congress. I submitted my registration as early as 2025; however, I have still been unable to pay the registration fee.
I fully understand that I am responsible for covering my own expenses. However, when converted into my national currency, the registration fee alone is equivalent to three months of my pension income, which has made it extremely difficult for me to complete the payment. In addition, although I believe I may be able to manage the costs of airfare, accommodation, and local transportation with approximately two and a half months of pension income, the registration fee remains beyond my financial capacity.
Therefore, I would respectfully like to ask whether any financial support of the registration fee might be available for participants in my situation. Such support would make it possible for me to attend this valuable gathering and benefit greatly from the collaboration and exchange among sister organizations.
Thank you very much for your consideration and understanding.</t>
  </si>
  <si>
    <t>Dr. Gerelmaa Jargalsaikhan, Surgeon for Agape Christian Hospital</t>
  </si>
  <si>
    <t>Executive Director for Mongolian Christian Medical Association</t>
  </si>
  <si>
    <t>976 - 89099848</t>
  </si>
  <si>
    <t>Anne Biro</t>
  </si>
  <si>
    <t xml:space="preserve">SPWT Coordinator - National Trainers  </t>
  </si>
  <si>
    <t>25-May</t>
  </si>
  <si>
    <t xml:space="preserve">WENDKOUNI GRACE </t>
  </si>
  <si>
    <t xml:space="preserve">SAWADOGO </t>
  </si>
  <si>
    <t>0022660903847</t>
  </si>
  <si>
    <t>Gracesawadogo@gmail.com</t>
  </si>
  <si>
    <t xml:space="preserve">Joseph KI-ZERBO University </t>
  </si>
  <si>
    <t>Medecine</t>
  </si>
  <si>
    <t xml:space="preserve">Physician at clinic Emmanuel </t>
  </si>
  <si>
    <t>Young leader</t>
  </si>
  <si>
    <t xml:space="preserve">520 us dollars </t>
  </si>
  <si>
    <t xml:space="preserve">3500 us dollars </t>
  </si>
  <si>
    <t xml:space="preserve">1750 us dollars </t>
  </si>
  <si>
    <t xml:space="preserve">I want to participate in this congress from the bottom of my heart because I know it will bring renewal to my hospital practice and my spiritual life </t>
  </si>
  <si>
    <t xml:space="preserve">HAMADO DAVID SAWADOGO, Physician </t>
  </si>
  <si>
    <t xml:space="preserve">Leader and mentor </t>
  </si>
  <si>
    <t>0022670822507</t>
  </si>
  <si>
    <t xml:space="preserve">SOTER BERNARD PASCAL OUEDRAOGO / hepatogastroenterologist </t>
  </si>
  <si>
    <t xml:space="preserve"> Mentor and Boss </t>
  </si>
  <si>
    <t>26-May</t>
  </si>
  <si>
    <t>Canada</t>
  </si>
  <si>
    <t>Kudzovi Mario</t>
  </si>
  <si>
    <t>SEKO</t>
  </si>
  <si>
    <t>+228 93 10 30 87</t>
  </si>
  <si>
    <t>kudzovimarioseko@gmail.com</t>
  </si>
  <si>
    <t>Physician of the AMCT medical and social center</t>
  </si>
  <si>
    <t>Head of the Intercession Department and Sydenham facilitator</t>
  </si>
  <si>
    <t>691</t>
  </si>
  <si>
    <t>2 456,66 $</t>
  </si>
  <si>
    <t>24566.6</t>
  </si>
  <si>
    <t>88 $</t>
  </si>
  <si>
    <t>I believe I need financial support because I am from Togo, a low-income country, and I am a young missionary doctor at the medical and social center of our national association (AMCT). I am the head of the intercession department for our national association. I participate as a facilitator in Sydeneham and Servant Leadership trainings. I would love to attend this conference to expand my knowledge, improve my skills, and better serve the Lord Jesus, but the plane ticket is already extremely expensive for me (about five times my gross salary). Thank you for all that you do and will do. Rich blessings to the organizing committee.</t>
  </si>
  <si>
    <t>600USD</t>
  </si>
  <si>
    <t>Alexander</t>
  </si>
  <si>
    <t>Schadenberg</t>
  </si>
  <si>
    <t>1-510-851-1434</t>
  </si>
  <si>
    <t>info@epcc.ca</t>
  </si>
  <si>
    <t>Speaker at conference</t>
  </si>
  <si>
    <t>speaker at conference</t>
  </si>
  <si>
    <t>Executive Director, Euthanasia Prevention Coalition</t>
  </si>
  <si>
    <t>Not appicable</t>
  </si>
  <si>
    <t>$3200</t>
  </si>
  <si>
    <t>?</t>
  </si>
  <si>
    <t>I am speaking at the conference.</t>
  </si>
  <si>
    <t>Editha</t>
  </si>
  <si>
    <t>Miguel</t>
  </si>
  <si>
    <t>639175432150</t>
  </si>
  <si>
    <t>karispalawan54@yahoo.com</t>
  </si>
  <si>
    <t xml:space="preserve">University  of the  Philippines  College of  Medicine </t>
  </si>
  <si>
    <t xml:space="preserve">Doctor of Medicine </t>
  </si>
  <si>
    <t>Medical consultant</t>
  </si>
  <si>
    <t xml:space="preserve">Founder- Chairperson </t>
  </si>
  <si>
    <t xml:space="preserve">350 - not sure. </t>
  </si>
  <si>
    <t>I was invited to speak.
 I have other speaking engagements in Thailand</t>
  </si>
  <si>
    <t xml:space="preserve">Kapindi </t>
  </si>
  <si>
    <t>+23279472623</t>
  </si>
  <si>
    <t>estherkapindi2392@gmail.com</t>
  </si>
  <si>
    <t>I am seeking financial support to attend the ICMDA World Congress because it offers a unique opportunity for growth that is rarely available. The congress brings together Christian medical and dental professionals from different nations to be equipped for faith-driven service, leadership, and mission in healthcare. The quality of teaching, shared experiences, and spiritual engagement provided at this gathering cannot be easily accessed within my local context.
Participation in this congress will strengthen my professional competence, deepen my spiritual life, and sharpen my leadership capacity. Learning from global perspectives, receiving mentorship, and building meaningful relationships will enable me to contribute more effectively to national and regional Christian medical initiatives. The benefits of this experience will extend beyond my personal development to positively impact the institutions, communities, and future healthcare professionals I serve.
However, the financial cost of attending the congress is a significant challenge. Due to the wide disparity between the Leone and the US dollar, expenses such as registration, travel, and accommodation are extremely high when converted to local currency. As I am currently unemployed, I am unable to afford these costs on my own despite my strong commitment to attend.
Providing financial support for my participation is therefore both a response to genuine need and an investment in sustainable, faith-driven healthcare impact and the advancement of Christian witness in medicine.</t>
  </si>
  <si>
    <t>Regina</t>
  </si>
  <si>
    <t>Maistrova</t>
  </si>
  <si>
    <t>+380980901455</t>
  </si>
  <si>
    <t>regina.maistrova@cmaukraine.com</t>
  </si>
  <si>
    <t>Deputy Director of the Christian Medical Association of Ukraine Charitable Foundation</t>
  </si>
  <si>
    <t xml:space="preserve">Coordination and strategizing for mobile clinics in Ukraine </t>
  </si>
  <si>
    <t>As Deputy Director of the Christian Medical Association of Ukraine, a charitable foundation, I am deeply committed to transforming Ukrainian healthcare through Christian values and professional excellence. Being a physician myself, I have firsthand experience of the significant gaps and challenges within Ukraine's medical system.
Together with our team, we are working to address these systemic issues by building a community of healthcare professionals who are encouraged and equipped to serve with integrity, compassion, and excellence in their workplaces. We focus on fostering ethical medical practice, supporting physicians in their daily service, and promoting values-driven healthcare reform.
However, as a charitable organization operating in Ukraine during these challenging times, our financial resources are limited and primarily directed toward supporting our medical community and programs. Attending this congress would provide invaluable insights, international best practices, and networking opportunities that I could immediately implement within our organization and share with hundreds of Ukrainian healthcare professionals in our network.
The knowledge and connections gained would directly benefit our mission to elevate the standard of medical care in Ukraine and strengthen our community of physicians who serve their patients with dedication and compassion. Without this bursary, the cost of attendance would be prohibitive and prevent me from accessing this crucial professional development opportunity.</t>
  </si>
  <si>
    <t>726 USD</t>
  </si>
  <si>
    <t>Nikaoli</t>
  </si>
  <si>
    <t>Viljoen</t>
  </si>
  <si>
    <t>+27 71 670 1910</t>
  </si>
  <si>
    <t>28460359@sun.ac.za</t>
  </si>
  <si>
    <t>Stellenbosch University Medical Campus</t>
  </si>
  <si>
    <t>Bachelor of Nursing</t>
  </si>
  <si>
    <t>Vice-Chairperson for CMF Stellenbosch Society</t>
  </si>
  <si>
    <t>$1 565 - $1 806 (R26 000 - R30 000)</t>
  </si>
  <si>
    <t>$0, but will be able cover the travel and visa costs.</t>
  </si>
  <si>
    <t>I will benefit much from financial support as I am still a student, having no salary and am currently also raising funds to cover my flight to the ICMDA World Congress. However, due to the dollar-rand exchange rate, I will not be able to cover the additional congress costs on my own. I am passionate about attending, as this congress offers a unique opportunity for academic, professional, and spiritual growth. Financial support would enable me to participate fully and bring back valuable insights to my studies and community.</t>
  </si>
  <si>
    <t>Lovena</t>
  </si>
  <si>
    <t>Rathoa</t>
  </si>
  <si>
    <t xml:space="preserve">+230 5825 1536 </t>
  </si>
  <si>
    <t>lovena.rathoa1@yahoo.com</t>
  </si>
  <si>
    <t xml:space="preserve">University of Mauritius </t>
  </si>
  <si>
    <t xml:space="preserve">MBChB </t>
  </si>
  <si>
    <t xml:space="preserve">General Practitioner at Premium Care clinic </t>
  </si>
  <si>
    <t>Secretary</t>
  </si>
  <si>
    <t>2200USD</t>
  </si>
  <si>
    <t xml:space="preserve">Mauritius will be part of the ICMDA. As secretary of the national association, I would like to be present for this special event. </t>
  </si>
  <si>
    <t>Dr Jean Paul Dansou</t>
  </si>
  <si>
    <t xml:space="preserve">Mentor </t>
  </si>
  <si>
    <t>+228 90 33 12 76</t>
  </si>
  <si>
    <t xml:space="preserve">Dr Osée nkengurutse </t>
  </si>
  <si>
    <t xml:space="preserve">Swarna </t>
  </si>
  <si>
    <t>Baroi</t>
  </si>
  <si>
    <t>01830042950</t>
  </si>
  <si>
    <t>swarna.baroi16@gmail.com</t>
  </si>
  <si>
    <t>IAHS, USTC</t>
  </si>
  <si>
    <t>MBBS</t>
  </si>
  <si>
    <t xml:space="preserve">Medical Officer, Christian Hospital Chandraghona, Bangladesh </t>
  </si>
  <si>
    <t>Executive Member of CMAB</t>
  </si>
  <si>
    <t>1425</t>
  </si>
  <si>
    <t>I am a junior doctor. I am appointed to my current work just 4 months before. I have no financial resources so that I can afford the full expense.</t>
  </si>
  <si>
    <t>28-May</t>
  </si>
  <si>
    <t>Hubert</t>
  </si>
  <si>
    <t>Samadder</t>
  </si>
  <si>
    <t>+8801601785343</t>
  </si>
  <si>
    <t>dr.hubertlincoln@gmail.com</t>
  </si>
  <si>
    <t>Enam Medical College &amp; Hospital,Savar,Dhaka</t>
  </si>
  <si>
    <t>Medical Officer, Bangladesh Youth First Concerns (BYFC)</t>
  </si>
  <si>
    <t>I am Assistant General Secretary(AGS) of CMAB</t>
  </si>
  <si>
    <t>Although I have the privilege of serving as the AGS of CMAB, I am still a junior doctor working in an NGO with limited financial capacity, which makes bearing the full cost challenging for me. Nevertheless, I remain keen to learn, grow, and contribute more meaningfully to CMAB. I would be truly grateful for any opportunity to participate.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</si>
</sst>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sz val="8"/>
      <name val="맑은 고딕"/>
      <family val="3"/>
      <charset val="129"/>
      <scheme val="minor"/>
    </font>
    <font>
      <sz val="11"/>
      <color theme="1"/>
      <name val="Aptos"/>
      <family val="2"/>
    </font>
    <font>
      <sz val="11"/>
      <name val="Aptos"/>
      <family val="2"/>
    </font>
    <font>
      <u/>
      <sz val="11"/>
      <color theme="10"/>
      <name val="맑은 고딕"/>
      <family val="2"/>
      <scheme val="minor"/>
    </font>
    <font>
      <sz val="11"/>
      <color theme="10"/>
      <name val="Aptos"/>
      <family val="2"/>
    </font>
    <font>
      <sz val="11"/>
      <color rgb="FF242424"/>
      <name val="Aptos"/>
      <family val="2"/>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2">
    <xf numFmtId="0" fontId="0" fillId="0" borderId="0"/>
    <xf numFmtId="0" fontId="4" fillId="0" borderId="0" applyNumberFormat="0" applyFill="0" applyBorder="0" applyAlignment="0" applyProtection="0"/>
  </cellStyleXfs>
  <cellXfs count="43">
    <xf numFmtId="0" fontId="0" fillId="0" borderId="0" xfId="0"/>
    <xf numFmtId="0" fontId="2" fillId="0" borderId="0" xfId="0" applyFont="1"/>
    <xf numFmtId="14" fontId="2" fillId="0" borderId="0" xfId="0" applyNumberFormat="1" applyFont="1"/>
    <xf numFmtId="49" fontId="2" fillId="0" borderId="0" xfId="0" applyNumberFormat="1" applyFont="1"/>
    <xf numFmtId="1" fontId="2" fillId="0" borderId="0" xfId="0" applyNumberFormat="1" applyFont="1"/>
    <xf numFmtId="1" fontId="2" fillId="0" borderId="0" xfId="0" applyNumberFormat="1" applyFont="1" applyAlignment="1">
      <alignment horizontal="right"/>
    </xf>
    <xf numFmtId="16" fontId="2" fillId="0" borderId="0" xfId="0" applyNumberFormat="1" applyFont="1"/>
    <xf numFmtId="49" fontId="2" fillId="0" borderId="0" xfId="0" quotePrefix="1" applyNumberFormat="1" applyFont="1"/>
    <xf numFmtId="14" fontId="0" fillId="0" borderId="0" xfId="0" applyNumberFormat="1"/>
    <xf numFmtId="49" fontId="0" fillId="0" borderId="0" xfId="0" applyNumberFormat="1"/>
    <xf numFmtId="49" fontId="0" fillId="0" borderId="0" xfId="0" quotePrefix="1" applyNumberFormat="1"/>
    <xf numFmtId="0" fontId="3" fillId="0" borderId="0" xfId="0" applyFont="1"/>
    <xf numFmtId="1" fontId="2" fillId="2" borderId="0" xfId="0" applyNumberFormat="1" applyFont="1" applyFill="1"/>
    <xf numFmtId="0" fontId="0" fillId="3" borderId="0" xfId="0" applyFill="1"/>
    <xf numFmtId="14" fontId="0" fillId="3" borderId="0" xfId="0" applyNumberFormat="1" applyFill="1"/>
    <xf numFmtId="49" fontId="0" fillId="3" borderId="0" xfId="0" applyNumberFormat="1" applyFill="1"/>
    <xf numFmtId="49" fontId="0" fillId="3" borderId="0" xfId="0" quotePrefix="1" applyNumberFormat="1" applyFill="1"/>
    <xf numFmtId="49" fontId="4" fillId="3" borderId="0" xfId="1" applyNumberFormat="1" applyFill="1" applyBorder="1" applyAlignment="1"/>
    <xf numFmtId="0" fontId="2" fillId="0" borderId="1" xfId="0" applyFont="1" applyBorder="1"/>
    <xf numFmtId="14" fontId="2" fillId="0" borderId="2" xfId="0" applyNumberFormat="1" applyFont="1" applyBorder="1"/>
    <xf numFmtId="0" fontId="2" fillId="0" borderId="2" xfId="0" applyFont="1" applyBorder="1"/>
    <xf numFmtId="49" fontId="2" fillId="0" borderId="2" xfId="0" applyNumberFormat="1" applyFont="1" applyBorder="1"/>
    <xf numFmtId="1" fontId="2" fillId="0" borderId="2" xfId="0" applyNumberFormat="1" applyFont="1" applyBorder="1"/>
    <xf numFmtId="0" fontId="4" fillId="0" borderId="0" xfId="1"/>
    <xf numFmtId="1" fontId="2" fillId="0" borderId="2" xfId="0" applyNumberFormat="1" applyFont="1" applyBorder="1" applyAlignment="1">
      <alignment horizontal="right"/>
    </xf>
    <xf numFmtId="0" fontId="2" fillId="0" borderId="0" xfId="0" quotePrefix="1" applyFont="1"/>
    <xf numFmtId="0" fontId="5" fillId="0" borderId="0" xfId="1" applyFont="1"/>
    <xf numFmtId="49" fontId="2" fillId="0" borderId="2" xfId="0" quotePrefix="1" applyNumberFormat="1" applyFont="1" applyBorder="1"/>
    <xf numFmtId="0" fontId="2" fillId="0" borderId="0" xfId="0" applyFont="1" applyAlignment="1">
      <alignment horizontal="right"/>
    </xf>
    <xf numFmtId="49" fontId="4" fillId="0" borderId="0" xfId="1" applyNumberFormat="1"/>
    <xf numFmtId="49" fontId="5" fillId="0" borderId="0" xfId="1" applyNumberFormat="1" applyFont="1"/>
    <xf numFmtId="0" fontId="6" fillId="0" borderId="0" xfId="0" applyFont="1"/>
    <xf numFmtId="0" fontId="5" fillId="0" borderId="0" xfId="1" applyFont="1" applyFill="1"/>
    <xf numFmtId="0" fontId="3" fillId="0" borderId="0" xfId="0" applyFont="1" applyAlignment="1">
      <alignment wrapText="1"/>
    </xf>
    <xf numFmtId="1" fontId="2" fillId="0" borderId="0" xfId="0" quotePrefix="1" applyNumberFormat="1" applyFont="1" applyAlignment="1">
      <alignment horizontal="right"/>
    </xf>
    <xf numFmtId="49" fontId="4" fillId="0" borderId="0" xfId="1" applyNumberFormat="1" applyBorder="1" applyAlignment="1"/>
    <xf numFmtId="16" fontId="2" fillId="0" borderId="2" xfId="0" applyNumberFormat="1" applyFont="1" applyBorder="1"/>
    <xf numFmtId="49" fontId="0" fillId="0" borderId="2" xfId="0" applyNumberFormat="1" applyBorder="1"/>
    <xf numFmtId="0" fontId="0" fillId="0" borderId="1" xfId="0" applyBorder="1"/>
    <xf numFmtId="14" fontId="0" fillId="0" borderId="2" xfId="0" applyNumberFormat="1" applyBorder="1"/>
    <xf numFmtId="49" fontId="0" fillId="0" borderId="2" xfId="0" quotePrefix="1" applyNumberFormat="1" applyBorder="1"/>
    <xf numFmtId="49" fontId="4" fillId="0" borderId="2" xfId="1" applyNumberFormat="1" applyBorder="1" applyAlignment="1"/>
    <xf numFmtId="49" fontId="4" fillId="0" borderId="0" xfId="1" applyNumberFormat="1" applyAlignment="1"/>
  </cellXfs>
  <cellStyles count="2">
    <cellStyle name="표준" xfId="0" builtinId="0"/>
    <cellStyle name="하이퍼링크" xfId="1" builtinId="8"/>
  </cellStyles>
  <dxfs count="8">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nguyenanhnhat16032005@gmail.com" TargetMode="External"/><Relationship Id="rId13" Type="http://schemas.openxmlformats.org/officeDocument/2006/relationships/hyperlink" Target="mailto:nghiangt@gmail.com" TargetMode="External"/><Relationship Id="rId3" Type="http://schemas.openxmlformats.org/officeDocument/2006/relationships/hyperlink" Target="mailto:mateus41276@gmail.com" TargetMode="External"/><Relationship Id="rId7" Type="http://schemas.openxmlformats.org/officeDocument/2006/relationships/hyperlink" Target="mailto:dulguunchadraabal@gmail.com" TargetMode="External"/><Relationship Id="rId12" Type="http://schemas.openxmlformats.org/officeDocument/2006/relationships/hyperlink" Target="mailto:ehab@fastmail.fm" TargetMode="External"/><Relationship Id="rId2" Type="http://schemas.openxmlformats.org/officeDocument/2006/relationships/hyperlink" Target="mailto:samuelsubba@daum.net" TargetMode="External"/><Relationship Id="rId1" Type="http://schemas.openxmlformats.org/officeDocument/2006/relationships/hyperlink" Target="mailto:samfabio@gmail.com" TargetMode="External"/><Relationship Id="rId6" Type="http://schemas.openxmlformats.org/officeDocument/2006/relationships/hyperlink" Target="mailto:iveelxo@gmail.com" TargetMode="External"/><Relationship Id="rId11" Type="http://schemas.openxmlformats.org/officeDocument/2006/relationships/hyperlink" Target="mailto:benjiruth1968@gmail.com" TargetMode="External"/><Relationship Id="rId5" Type="http://schemas.openxmlformats.org/officeDocument/2006/relationships/hyperlink" Target="mailto:gretagamal@hotmail.com" TargetMode="External"/><Relationship Id="rId10" Type="http://schemas.openxmlformats.org/officeDocument/2006/relationships/hyperlink" Target="mailto:susanvazg@gmail.com" TargetMode="External"/><Relationship Id="rId4" Type="http://schemas.openxmlformats.org/officeDocument/2006/relationships/hyperlink" Target="mailto:ekalantang@gmail.com" TargetMode="External"/><Relationship Id="rId9" Type="http://schemas.openxmlformats.org/officeDocument/2006/relationships/hyperlink" Target="mailto:alanjd311@gmail.com"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5A3A8-1D0E-48CC-BCE3-00BC2AD15F37}">
  <dimension ref="A1:AF375"/>
  <sheetViews>
    <sheetView tabSelected="1" zoomScale="85" zoomScaleNormal="85" workbookViewId="0">
      <pane ySplit="1" topLeftCell="A2" activePane="bottomLeft" state="frozen"/>
      <selection pane="bottomLeft" activeCell="I8" sqref="I8"/>
    </sheetView>
  </sheetViews>
  <sheetFormatPr defaultColWidth="8.69921875" defaultRowHeight="14.4" x14ac:dyDescent="0.3"/>
  <cols>
    <col min="1" max="1" width="6.09765625" style="1" customWidth="1"/>
    <col min="2" max="2" width="11.69921875" style="2" bestFit="1" customWidth="1"/>
    <col min="3" max="3" width="21.09765625" style="1" customWidth="1"/>
    <col min="4" max="4" width="12.296875" style="1" customWidth="1"/>
    <col min="5" max="6" width="23.09765625" style="1" customWidth="1"/>
    <col min="7" max="7" width="7.8984375" style="1" customWidth="1"/>
    <col min="8" max="8" width="29.59765625" style="1" customWidth="1"/>
    <col min="9" max="9" width="20.296875" style="1" customWidth="1"/>
    <col min="10" max="10" width="18.69921875" style="1" customWidth="1"/>
    <col min="11" max="11" width="6.3984375" style="1" customWidth="1"/>
    <col min="12" max="12" width="4.296875" style="1" customWidth="1"/>
    <col min="13" max="13" width="20.59765625" style="1" customWidth="1"/>
    <col min="14" max="14" width="4" style="1" customWidth="1"/>
    <col min="15" max="15" width="4.09765625" style="1" customWidth="1"/>
    <col min="16" max="16" width="3.59765625" style="1" customWidth="1"/>
    <col min="17" max="17" width="2.69921875" style="1" customWidth="1"/>
    <col min="18" max="18" width="4.3984375" style="1" customWidth="1"/>
    <col min="19" max="19" width="5.59765625" style="3" customWidth="1"/>
    <col min="20" max="20" width="4.59765625" style="4" customWidth="1"/>
    <col min="21" max="21" width="4" style="4" customWidth="1"/>
    <col min="22" max="22" width="10.296875" style="5" customWidth="1"/>
    <col min="23" max="23" width="4.296875" style="4" customWidth="1"/>
    <col min="24" max="24" width="4.296875" style="5" customWidth="1"/>
    <col min="25" max="25" width="4.8984375" style="4" customWidth="1"/>
    <col min="26" max="26" width="6.59765625" style="4" customWidth="1"/>
    <col min="27" max="27" width="7.59765625" style="1" customWidth="1"/>
    <col min="28" max="28" width="7.296875" style="1" customWidth="1"/>
    <col min="29" max="29" width="7.3984375" style="1" customWidth="1"/>
    <col min="30" max="30" width="8.69921875" style="1" customWidth="1"/>
    <col min="31" max="31" width="9.09765625" style="1" customWidth="1"/>
    <col min="32" max="32" width="12.3984375" style="1" customWidth="1"/>
    <col min="33" max="16384" width="8.69921875" style="1"/>
  </cols>
  <sheetData>
    <row r="1" spans="1:32" x14ac:dyDescent="0.3">
      <c r="A1" s="1">
        <v>601</v>
      </c>
      <c r="B1" s="2">
        <v>46036.238946759302</v>
      </c>
      <c r="C1" s="1" t="s">
        <v>0</v>
      </c>
      <c r="D1" s="1" t="s">
        <v>1</v>
      </c>
      <c r="E1" s="1" t="s">
        <v>2</v>
      </c>
      <c r="F1" s="1" t="s">
        <v>3</v>
      </c>
      <c r="G1" s="1" t="s">
        <v>4</v>
      </c>
      <c r="H1" s="1" t="s">
        <v>5</v>
      </c>
      <c r="I1" s="1" t="s">
        <v>6</v>
      </c>
      <c r="J1" s="1" t="s">
        <v>6</v>
      </c>
      <c r="K1" s="1">
        <v>583</v>
      </c>
      <c r="L1" s="1">
        <v>0</v>
      </c>
      <c r="M1" s="1" t="s">
        <v>7</v>
      </c>
      <c r="N1" s="1" t="s">
        <v>8</v>
      </c>
      <c r="O1" s="1" t="s">
        <v>8</v>
      </c>
      <c r="P1" s="1" t="s">
        <v>9</v>
      </c>
      <c r="Q1" s="1">
        <v>0</v>
      </c>
      <c r="R1" s="1" t="s">
        <v>10</v>
      </c>
      <c r="S1" s="3" t="s">
        <v>11</v>
      </c>
      <c r="U1" s="4" t="s">
        <v>12</v>
      </c>
      <c r="V1" s="5">
        <v>1000</v>
      </c>
      <c r="W1" s="4" t="s">
        <v>13</v>
      </c>
      <c r="Y1" s="4">
        <f>K1+V1-X1</f>
        <v>1583</v>
      </c>
      <c r="Z1" s="1">
        <v>583</v>
      </c>
      <c r="AA1" s="1" t="s">
        <v>14</v>
      </c>
      <c r="AC1" s="1" t="s">
        <v>15</v>
      </c>
      <c r="AD1" s="6">
        <v>46080</v>
      </c>
      <c r="AE1" s="6">
        <v>46122</v>
      </c>
      <c r="AF1" s="1" t="s">
        <v>16</v>
      </c>
    </row>
    <row r="2" spans="1:32" ht="17.399999999999999" x14ac:dyDescent="0.4">
      <c r="A2">
        <v>847</v>
      </c>
      <c r="B2" s="8">
        <v>46143.4152777778</v>
      </c>
      <c r="C2" s="9" t="s">
        <v>24</v>
      </c>
      <c r="D2" s="9" t="s">
        <v>25</v>
      </c>
      <c r="E2" s="10" t="s">
        <v>26</v>
      </c>
      <c r="F2" s="10" t="s">
        <v>26</v>
      </c>
      <c r="G2" s="9" t="s">
        <v>4</v>
      </c>
      <c r="H2" s="9" t="s">
        <v>27</v>
      </c>
      <c r="I2" s="9" t="s">
        <v>28</v>
      </c>
      <c r="J2" s="9" t="s">
        <v>29</v>
      </c>
      <c r="K2">
        <v>847</v>
      </c>
      <c r="L2" s="9"/>
      <c r="M2" s="9" t="s">
        <v>20</v>
      </c>
      <c r="N2" s="9"/>
      <c r="O2" s="9"/>
      <c r="P2" s="9"/>
      <c r="Q2" s="10"/>
      <c r="R2" s="9"/>
      <c r="S2" s="9"/>
      <c r="T2" s="9"/>
      <c r="U2" s="9"/>
      <c r="V2" s="10"/>
      <c r="W2" s="10"/>
      <c r="X2" s="10"/>
      <c r="Y2" s="9"/>
      <c r="Z2" s="9"/>
      <c r="AA2" s="10"/>
      <c r="AB2" s="10"/>
      <c r="AC2" s="1" t="s">
        <v>15</v>
      </c>
      <c r="AD2" s="9" t="s">
        <v>30</v>
      </c>
      <c r="AE2" s="9" t="s">
        <v>31</v>
      </c>
      <c r="AF2" s="10" t="s">
        <v>16</v>
      </c>
    </row>
    <row r="3" spans="1:32" x14ac:dyDescent="0.3">
      <c r="A3" s="1">
        <v>327</v>
      </c>
      <c r="B3" s="2">
        <v>46001.941111111097</v>
      </c>
      <c r="C3" s="1" t="s">
        <v>32</v>
      </c>
      <c r="D3" s="1" t="s">
        <v>33</v>
      </c>
      <c r="E3" s="1" t="s">
        <v>34</v>
      </c>
      <c r="F3" s="1" t="s">
        <v>35</v>
      </c>
      <c r="G3" s="1" t="s">
        <v>4</v>
      </c>
      <c r="H3" s="1" t="s">
        <v>36</v>
      </c>
      <c r="I3" s="1" t="s">
        <v>19</v>
      </c>
      <c r="J3" s="1" t="s">
        <v>19</v>
      </c>
      <c r="K3" s="1">
        <v>755</v>
      </c>
      <c r="M3" s="1" t="s">
        <v>7</v>
      </c>
      <c r="N3" s="1" t="s">
        <v>37</v>
      </c>
      <c r="O3" s="1" t="s">
        <v>38</v>
      </c>
      <c r="P3" s="1" t="s">
        <v>9</v>
      </c>
      <c r="Q3" s="1">
        <v>0</v>
      </c>
      <c r="R3" s="1" t="s">
        <v>9</v>
      </c>
      <c r="S3" s="3" t="s">
        <v>39</v>
      </c>
      <c r="T3" s="4">
        <v>775</v>
      </c>
      <c r="U3" s="4" t="s">
        <v>40</v>
      </c>
      <c r="V3" s="5">
        <v>1500</v>
      </c>
      <c r="W3" s="4" t="s">
        <v>12</v>
      </c>
      <c r="X3" s="5">
        <v>1000</v>
      </c>
      <c r="Y3" s="4">
        <f t="shared" ref="Y3:Y10" si="0">K3+V3-X3</f>
        <v>1255</v>
      </c>
      <c r="Z3" s="1">
        <v>755</v>
      </c>
      <c r="AA3" s="1" t="s">
        <v>41</v>
      </c>
      <c r="AB3" s="1" t="s">
        <v>42</v>
      </c>
      <c r="AC3" s="1" t="s">
        <v>15</v>
      </c>
      <c r="AD3" s="6">
        <v>46080</v>
      </c>
      <c r="AE3" s="6">
        <v>46113</v>
      </c>
      <c r="AF3" s="1" t="s">
        <v>16</v>
      </c>
    </row>
    <row r="4" spans="1:32" x14ac:dyDescent="0.3">
      <c r="A4" s="1">
        <v>780</v>
      </c>
      <c r="B4" s="2">
        <v>46086.768807870401</v>
      </c>
      <c r="C4" s="11" t="s">
        <v>44</v>
      </c>
      <c r="D4" s="11" t="s">
        <v>45</v>
      </c>
      <c r="E4" s="1">
        <v>12232161722</v>
      </c>
      <c r="F4" s="1" t="s">
        <v>46</v>
      </c>
      <c r="G4" s="3" t="s">
        <v>17</v>
      </c>
      <c r="H4" s="3" t="s">
        <v>47</v>
      </c>
      <c r="I4" s="3" t="s">
        <v>48</v>
      </c>
      <c r="J4" s="1" t="s">
        <v>48</v>
      </c>
      <c r="K4" s="1">
        <v>755</v>
      </c>
      <c r="L4" s="1">
        <v>1</v>
      </c>
      <c r="M4" s="3" t="s">
        <v>49</v>
      </c>
      <c r="N4" s="7" t="s">
        <v>50</v>
      </c>
      <c r="O4" s="3" t="s">
        <v>51</v>
      </c>
      <c r="P4" s="3" t="s">
        <v>9</v>
      </c>
      <c r="R4" s="3" t="s">
        <v>10</v>
      </c>
      <c r="S4" s="7" t="s">
        <v>52</v>
      </c>
      <c r="T4" s="4">
        <v>895</v>
      </c>
      <c r="U4" s="7" t="s">
        <v>53</v>
      </c>
      <c r="V4" s="5">
        <v>3000</v>
      </c>
      <c r="W4" s="7" t="s">
        <v>54</v>
      </c>
      <c r="X4" s="5">
        <v>1000</v>
      </c>
      <c r="Y4" s="4">
        <f t="shared" si="0"/>
        <v>2755</v>
      </c>
      <c r="Z4" s="4">
        <v>755</v>
      </c>
      <c r="AA4" s="3" t="s">
        <v>55</v>
      </c>
      <c r="AB4" s="1" t="s">
        <v>56</v>
      </c>
      <c r="AC4" s="1" t="s">
        <v>15</v>
      </c>
      <c r="AD4" s="6">
        <v>46098</v>
      </c>
      <c r="AE4" s="6">
        <v>46104</v>
      </c>
      <c r="AF4" s="1" t="s">
        <v>16</v>
      </c>
    </row>
    <row r="5" spans="1:32" x14ac:dyDescent="0.3">
      <c r="A5" s="1">
        <v>792</v>
      </c>
      <c r="B5" s="2">
        <v>46094.136516203696</v>
      </c>
      <c r="C5" s="11" t="s">
        <v>57</v>
      </c>
      <c r="D5" s="11" t="s">
        <v>58</v>
      </c>
      <c r="E5" s="1" t="s">
        <v>59</v>
      </c>
      <c r="F5" s="1" t="s">
        <v>60</v>
      </c>
      <c r="G5" s="3" t="s">
        <v>17</v>
      </c>
      <c r="H5" s="3" t="s">
        <v>61</v>
      </c>
      <c r="I5" s="3" t="s">
        <v>48</v>
      </c>
      <c r="J5" s="1" t="s">
        <v>48</v>
      </c>
      <c r="K5" s="1">
        <v>755</v>
      </c>
      <c r="L5" s="1">
        <v>2</v>
      </c>
      <c r="M5" s="3" t="s">
        <v>7</v>
      </c>
      <c r="N5" s="7" t="s">
        <v>62</v>
      </c>
      <c r="O5" s="3" t="s">
        <v>61</v>
      </c>
      <c r="P5" s="3" t="s">
        <v>9</v>
      </c>
      <c r="R5" s="3" t="s">
        <v>10</v>
      </c>
      <c r="S5" s="7" t="s">
        <v>63</v>
      </c>
      <c r="T5" s="4">
        <v>831</v>
      </c>
      <c r="U5" s="7" t="s">
        <v>64</v>
      </c>
      <c r="V5" s="5">
        <v>3000</v>
      </c>
      <c r="W5" s="7" t="s">
        <v>65</v>
      </c>
      <c r="X5" s="5">
        <v>500</v>
      </c>
      <c r="Y5" s="4">
        <f t="shared" si="0"/>
        <v>3255</v>
      </c>
      <c r="Z5" s="4">
        <f>K5</f>
        <v>755</v>
      </c>
      <c r="AA5" s="3" t="s">
        <v>66</v>
      </c>
      <c r="AB5" s="1" t="s">
        <v>56</v>
      </c>
      <c r="AC5" s="1" t="s">
        <v>15</v>
      </c>
      <c r="AD5" s="6">
        <v>46098</v>
      </c>
      <c r="AE5" s="6">
        <v>46121</v>
      </c>
      <c r="AF5" s="1" t="s">
        <v>16</v>
      </c>
    </row>
    <row r="6" spans="1:32" x14ac:dyDescent="0.3">
      <c r="A6" s="1">
        <v>727</v>
      </c>
      <c r="B6" s="2">
        <v>46055.090810185196</v>
      </c>
      <c r="C6" s="1" t="s">
        <v>67</v>
      </c>
      <c r="D6" s="1" t="s">
        <v>68</v>
      </c>
      <c r="E6" s="1" t="s">
        <v>69</v>
      </c>
      <c r="F6" s="1" t="s">
        <v>70</v>
      </c>
      <c r="G6" s="1" t="s">
        <v>4</v>
      </c>
      <c r="H6" s="1" t="s">
        <v>71</v>
      </c>
      <c r="I6" s="1" t="s">
        <v>48</v>
      </c>
      <c r="J6" s="1" t="s">
        <v>48</v>
      </c>
      <c r="K6" s="1">
        <v>814</v>
      </c>
      <c r="M6" s="1" t="s">
        <v>49</v>
      </c>
      <c r="N6" s="1" t="s">
        <v>72</v>
      </c>
      <c r="O6" s="1" t="s">
        <v>73</v>
      </c>
      <c r="P6" s="1" t="s">
        <v>9</v>
      </c>
      <c r="Q6" s="1">
        <v>0</v>
      </c>
      <c r="R6" s="1" t="s">
        <v>9</v>
      </c>
      <c r="S6" s="3" t="s">
        <v>74</v>
      </c>
      <c r="T6" s="4">
        <v>875</v>
      </c>
      <c r="U6" s="4" t="s">
        <v>75</v>
      </c>
      <c r="V6" s="5">
        <v>500</v>
      </c>
      <c r="W6" s="4" t="s">
        <v>76</v>
      </c>
      <c r="X6" s="5">
        <v>100</v>
      </c>
      <c r="Y6" s="4">
        <f t="shared" si="0"/>
        <v>1214</v>
      </c>
      <c r="AA6" s="1" t="s">
        <v>77</v>
      </c>
      <c r="AC6" s="1" t="s">
        <v>15</v>
      </c>
      <c r="AD6" s="6">
        <v>46080</v>
      </c>
      <c r="AE6" s="6">
        <v>46148</v>
      </c>
      <c r="AF6" s="1" t="s">
        <v>16</v>
      </c>
    </row>
    <row r="7" spans="1:32" x14ac:dyDescent="0.3">
      <c r="A7" s="1">
        <v>695</v>
      </c>
      <c r="B7" s="2">
        <v>46052.939965277801</v>
      </c>
      <c r="C7" s="1" t="s">
        <v>78</v>
      </c>
      <c r="D7" s="1" t="s">
        <v>79</v>
      </c>
      <c r="E7" s="1" t="s">
        <v>80</v>
      </c>
      <c r="F7" s="1" t="s">
        <v>81</v>
      </c>
      <c r="G7" s="1" t="s">
        <v>17</v>
      </c>
      <c r="H7" s="1" t="s">
        <v>47</v>
      </c>
      <c r="I7" s="1" t="s">
        <v>82</v>
      </c>
      <c r="J7" s="1" t="s">
        <v>82</v>
      </c>
      <c r="K7" s="1">
        <v>814</v>
      </c>
      <c r="L7" s="1">
        <v>1</v>
      </c>
      <c r="M7" s="1" t="s">
        <v>49</v>
      </c>
      <c r="N7" s="1" t="s">
        <v>83</v>
      </c>
      <c r="O7" s="1" t="s">
        <v>84</v>
      </c>
      <c r="P7" s="1" t="s">
        <v>9</v>
      </c>
      <c r="Q7" s="1">
        <v>0</v>
      </c>
      <c r="R7" s="1" t="s">
        <v>10</v>
      </c>
      <c r="S7" s="3" t="s">
        <v>85</v>
      </c>
      <c r="T7" s="4">
        <v>814</v>
      </c>
      <c r="U7" s="4" t="s">
        <v>86</v>
      </c>
      <c r="V7" s="5">
        <v>4000</v>
      </c>
      <c r="W7" s="4" t="s">
        <v>87</v>
      </c>
      <c r="Y7" s="4">
        <f t="shared" si="0"/>
        <v>4814</v>
      </c>
      <c r="Z7" s="1">
        <v>814</v>
      </c>
      <c r="AA7" s="1" t="s">
        <v>88</v>
      </c>
      <c r="AC7" s="1" t="s">
        <v>15</v>
      </c>
      <c r="AD7" s="6">
        <v>46080</v>
      </c>
      <c r="AE7" s="6">
        <v>46115</v>
      </c>
      <c r="AF7" s="1" t="s">
        <v>16</v>
      </c>
    </row>
    <row r="8" spans="1:32" x14ac:dyDescent="0.3">
      <c r="A8" s="1">
        <v>54</v>
      </c>
      <c r="B8" s="2">
        <v>45937.797708333332</v>
      </c>
      <c r="C8" s="1" t="s">
        <v>89</v>
      </c>
      <c r="D8" s="1" t="s">
        <v>90</v>
      </c>
      <c r="E8" s="1" t="s">
        <v>91</v>
      </c>
      <c r="F8" s="1" t="s">
        <v>92</v>
      </c>
      <c r="G8" s="1" t="s">
        <v>4</v>
      </c>
      <c r="H8" s="1" t="s">
        <v>18</v>
      </c>
      <c r="I8" s="1" t="s">
        <v>93</v>
      </c>
      <c r="J8" s="1" t="s">
        <v>94</v>
      </c>
      <c r="K8" s="1">
        <v>523</v>
      </c>
      <c r="L8" s="1">
        <v>1</v>
      </c>
      <c r="M8" s="1" t="s">
        <v>95</v>
      </c>
      <c r="N8" s="1" t="s">
        <v>96</v>
      </c>
      <c r="O8" s="1" t="s">
        <v>97</v>
      </c>
      <c r="P8" s="1" t="s">
        <v>98</v>
      </c>
      <c r="Q8" s="1" t="s">
        <v>99</v>
      </c>
      <c r="R8" s="1" t="s">
        <v>10</v>
      </c>
      <c r="S8" s="3" t="s">
        <v>100</v>
      </c>
      <c r="T8" s="4">
        <v>437</v>
      </c>
      <c r="U8" s="4" t="s">
        <v>101</v>
      </c>
      <c r="V8" s="5" t="s">
        <v>102</v>
      </c>
      <c r="W8" s="4" t="s">
        <v>103</v>
      </c>
      <c r="X8" s="5">
        <v>1000</v>
      </c>
      <c r="Y8" s="4">
        <f t="shared" si="0"/>
        <v>823</v>
      </c>
      <c r="Z8" s="12">
        <v>814</v>
      </c>
      <c r="AA8" s="1" t="s">
        <v>104</v>
      </c>
      <c r="AB8" s="1" t="s">
        <v>18</v>
      </c>
      <c r="AC8" s="1" t="s">
        <v>15</v>
      </c>
      <c r="AD8" s="6">
        <v>46080</v>
      </c>
      <c r="AE8" s="6">
        <v>46091</v>
      </c>
      <c r="AF8" s="1" t="s">
        <v>16</v>
      </c>
    </row>
    <row r="9" spans="1:32" x14ac:dyDescent="0.3">
      <c r="A9" s="1">
        <v>613</v>
      </c>
      <c r="B9" s="2">
        <v>46038.458888888897</v>
      </c>
      <c r="C9" s="1" t="s">
        <v>105</v>
      </c>
      <c r="D9" s="1" t="s">
        <v>106</v>
      </c>
      <c r="E9" s="1" t="s">
        <v>107</v>
      </c>
      <c r="F9" s="1" t="s">
        <v>108</v>
      </c>
      <c r="G9" s="1" t="s">
        <v>4</v>
      </c>
      <c r="H9" s="1" t="s">
        <v>109</v>
      </c>
      <c r="I9" s="1" t="s">
        <v>110</v>
      </c>
      <c r="J9" s="1" t="s">
        <v>94</v>
      </c>
      <c r="K9" s="1">
        <v>755</v>
      </c>
      <c r="L9" s="1">
        <v>3</v>
      </c>
      <c r="M9" s="1" t="s">
        <v>7</v>
      </c>
      <c r="N9" s="1" t="s">
        <v>111</v>
      </c>
      <c r="O9" s="1" t="s">
        <v>112</v>
      </c>
      <c r="P9" s="1" t="s">
        <v>9</v>
      </c>
      <c r="Q9" s="1">
        <v>0</v>
      </c>
      <c r="R9" s="1" t="s">
        <v>9</v>
      </c>
      <c r="S9" s="3" t="s">
        <v>113</v>
      </c>
      <c r="T9" s="4">
        <v>757</v>
      </c>
      <c r="U9" s="4" t="s">
        <v>114</v>
      </c>
      <c r="V9" s="5">
        <v>2500</v>
      </c>
      <c r="W9" s="4" t="s">
        <v>115</v>
      </c>
      <c r="X9" s="5">
        <v>1500</v>
      </c>
      <c r="Y9" s="4">
        <f t="shared" si="0"/>
        <v>1755</v>
      </c>
      <c r="Z9" s="4">
        <v>755</v>
      </c>
      <c r="AA9" s="1" t="s">
        <v>116</v>
      </c>
      <c r="AC9" s="1" t="s">
        <v>15</v>
      </c>
      <c r="AD9" s="6">
        <v>46080</v>
      </c>
      <c r="AE9" s="6">
        <v>46122</v>
      </c>
      <c r="AF9" s="1" t="s">
        <v>16</v>
      </c>
    </row>
    <row r="10" spans="1:32" x14ac:dyDescent="0.3">
      <c r="A10" s="1">
        <v>297</v>
      </c>
      <c r="B10" s="2">
        <v>45994.598252314798</v>
      </c>
      <c r="C10" s="1" t="s">
        <v>118</v>
      </c>
      <c r="D10" s="1" t="s">
        <v>119</v>
      </c>
      <c r="E10" s="1" t="s">
        <v>120</v>
      </c>
      <c r="F10" s="1" t="s">
        <v>121</v>
      </c>
      <c r="G10" s="1" t="s">
        <v>4</v>
      </c>
      <c r="H10" s="1" t="s">
        <v>122</v>
      </c>
      <c r="I10" s="1" t="s">
        <v>123</v>
      </c>
      <c r="J10" s="1" t="s">
        <v>123</v>
      </c>
      <c r="K10" s="1">
        <v>755</v>
      </c>
      <c r="L10" s="1">
        <v>1</v>
      </c>
      <c r="M10" s="1" t="s">
        <v>7</v>
      </c>
      <c r="N10" s="1" t="s">
        <v>124</v>
      </c>
      <c r="O10" s="1" t="s">
        <v>125</v>
      </c>
      <c r="P10" s="1" t="s">
        <v>9</v>
      </c>
      <c r="Q10" s="1">
        <v>0</v>
      </c>
      <c r="R10" s="1" t="s">
        <v>10</v>
      </c>
      <c r="S10" s="3" t="s">
        <v>126</v>
      </c>
      <c r="T10" s="4">
        <v>605</v>
      </c>
      <c r="U10" s="4" t="s">
        <v>127</v>
      </c>
      <c r="V10" s="5">
        <v>500</v>
      </c>
      <c r="W10" s="4" t="s">
        <v>128</v>
      </c>
      <c r="X10" s="5">
        <v>100</v>
      </c>
      <c r="Y10" s="4">
        <f t="shared" si="0"/>
        <v>1155</v>
      </c>
      <c r="Z10" s="4">
        <v>755</v>
      </c>
      <c r="AA10" s="1" t="s">
        <v>129</v>
      </c>
      <c r="AB10" s="1" t="s">
        <v>130</v>
      </c>
      <c r="AC10" s="1" t="s">
        <v>15</v>
      </c>
      <c r="AD10" s="6">
        <v>46080</v>
      </c>
      <c r="AE10" s="6">
        <v>46149</v>
      </c>
      <c r="AF10" s="1" t="s">
        <v>16</v>
      </c>
    </row>
    <row r="11" spans="1:32" ht="17.399999999999999" x14ac:dyDescent="0.4">
      <c r="A11" s="13">
        <v>850</v>
      </c>
      <c r="B11" s="14">
        <v>46143.612662036998</v>
      </c>
      <c r="C11" s="15" t="s">
        <v>131</v>
      </c>
      <c r="D11" s="15" t="s">
        <v>132</v>
      </c>
      <c r="E11" s="16" t="s">
        <v>133</v>
      </c>
      <c r="F11" s="16" t="s">
        <v>133</v>
      </c>
      <c r="G11" s="15" t="s">
        <v>4</v>
      </c>
      <c r="H11" s="15" t="s">
        <v>134</v>
      </c>
      <c r="I11" s="15" t="s">
        <v>123</v>
      </c>
      <c r="J11" s="15" t="s">
        <v>123</v>
      </c>
      <c r="K11" s="13">
        <v>850</v>
      </c>
      <c r="L11" s="15"/>
      <c r="M11" s="15" t="s">
        <v>20</v>
      </c>
      <c r="N11" s="15"/>
      <c r="O11" s="15"/>
      <c r="P11" s="15"/>
      <c r="Q11" s="16"/>
      <c r="R11" s="15"/>
      <c r="S11" s="15"/>
      <c r="T11" s="15"/>
      <c r="U11" s="15"/>
      <c r="V11" s="16"/>
      <c r="W11" s="16"/>
      <c r="X11" s="16"/>
      <c r="Y11" s="15"/>
      <c r="Z11" s="15"/>
      <c r="AA11" s="16"/>
      <c r="AB11" s="16"/>
      <c r="AC11" s="1" t="s">
        <v>15</v>
      </c>
      <c r="AD11" s="15" t="s">
        <v>30</v>
      </c>
      <c r="AE11" s="15" t="s">
        <v>31</v>
      </c>
      <c r="AF11" s="16" t="s">
        <v>16</v>
      </c>
    </row>
    <row r="12" spans="1:32" x14ac:dyDescent="0.3">
      <c r="A12" s="1">
        <v>8</v>
      </c>
      <c r="B12" s="2">
        <v>45914.582233796296</v>
      </c>
      <c r="C12" s="1" t="s">
        <v>135</v>
      </c>
      <c r="D12" s="1" t="s">
        <v>136</v>
      </c>
      <c r="E12" s="1" t="s">
        <v>137</v>
      </c>
      <c r="F12" s="1" t="s">
        <v>138</v>
      </c>
      <c r="G12" s="1" t="s">
        <v>4</v>
      </c>
      <c r="H12" s="1" t="s">
        <v>71</v>
      </c>
      <c r="I12" s="1" t="s">
        <v>139</v>
      </c>
      <c r="J12" s="1" t="s">
        <v>139</v>
      </c>
      <c r="K12" s="1">
        <v>755</v>
      </c>
      <c r="L12" s="1">
        <v>2</v>
      </c>
      <c r="M12" s="1" t="s">
        <v>7</v>
      </c>
      <c r="N12" s="1" t="s">
        <v>140</v>
      </c>
      <c r="O12" s="1" t="s">
        <v>141</v>
      </c>
      <c r="P12" s="1" t="s">
        <v>9</v>
      </c>
      <c r="Q12" s="1">
        <v>0</v>
      </c>
      <c r="R12" s="1" t="s">
        <v>10</v>
      </c>
      <c r="S12" s="3" t="s">
        <v>142</v>
      </c>
      <c r="T12" s="4">
        <v>605</v>
      </c>
      <c r="U12" s="4" t="s">
        <v>143</v>
      </c>
      <c r="V12" s="5">
        <v>2000</v>
      </c>
      <c r="W12" s="4" t="s">
        <v>76</v>
      </c>
      <c r="X12" s="5">
        <v>100</v>
      </c>
      <c r="Y12" s="4">
        <f>K12+V12-X12</f>
        <v>2655</v>
      </c>
      <c r="Z12" s="4">
        <v>755</v>
      </c>
      <c r="AA12" s="1" t="s">
        <v>144</v>
      </c>
      <c r="AB12" s="1" t="s">
        <v>56</v>
      </c>
      <c r="AC12" s="1" t="s">
        <v>15</v>
      </c>
      <c r="AD12" s="6">
        <v>46080</v>
      </c>
      <c r="AE12" s="6">
        <v>46083</v>
      </c>
      <c r="AF12" s="1" t="s">
        <v>16</v>
      </c>
    </row>
    <row r="13" spans="1:32" x14ac:dyDescent="0.3">
      <c r="A13" s="1">
        <v>466</v>
      </c>
      <c r="B13" s="2">
        <v>46020.8383680556</v>
      </c>
      <c r="C13" s="1" t="s">
        <v>145</v>
      </c>
      <c r="D13" s="1" t="s">
        <v>146</v>
      </c>
      <c r="E13" s="1" t="s">
        <v>147</v>
      </c>
      <c r="F13" s="1" t="s">
        <v>148</v>
      </c>
      <c r="G13" s="1" t="s">
        <v>4</v>
      </c>
      <c r="H13" s="1" t="s">
        <v>71</v>
      </c>
      <c r="I13" s="1" t="s">
        <v>139</v>
      </c>
      <c r="J13" s="1" t="s">
        <v>139</v>
      </c>
      <c r="K13" s="1">
        <v>814</v>
      </c>
      <c r="L13" s="1">
        <v>3</v>
      </c>
      <c r="M13" s="1" t="s">
        <v>49</v>
      </c>
      <c r="N13" s="1" t="s">
        <v>149</v>
      </c>
      <c r="O13" s="1" t="s">
        <v>150</v>
      </c>
      <c r="P13" s="1" t="s">
        <v>98</v>
      </c>
      <c r="Q13" s="1" t="s">
        <v>151</v>
      </c>
      <c r="R13" s="1" t="s">
        <v>10</v>
      </c>
      <c r="S13" s="3" t="s">
        <v>152</v>
      </c>
      <c r="T13" s="4">
        <v>649</v>
      </c>
      <c r="U13" s="4" t="s">
        <v>153</v>
      </c>
      <c r="V13" s="5" t="s">
        <v>114</v>
      </c>
      <c r="W13" s="4" t="s">
        <v>154</v>
      </c>
      <c r="X13" s="5" t="s">
        <v>155</v>
      </c>
      <c r="Y13" s="4">
        <f>K13+V13-X13</f>
        <v>2614</v>
      </c>
      <c r="Z13" s="1">
        <v>814</v>
      </c>
      <c r="AA13" s="1" t="s">
        <v>156</v>
      </c>
      <c r="AC13" s="1" t="s">
        <v>15</v>
      </c>
      <c r="AD13" s="6">
        <v>46080</v>
      </c>
      <c r="AE13" s="6">
        <v>46122</v>
      </c>
      <c r="AF13" s="1" t="s">
        <v>16</v>
      </c>
    </row>
    <row r="14" spans="1:32" x14ac:dyDescent="0.3">
      <c r="A14" s="1">
        <v>16</v>
      </c>
      <c r="B14" s="2">
        <v>45918.897534722222</v>
      </c>
      <c r="C14" s="1" t="s">
        <v>157</v>
      </c>
      <c r="D14" s="1" t="s">
        <v>158</v>
      </c>
      <c r="E14" s="1" t="s">
        <v>159</v>
      </c>
      <c r="F14" s="1" t="s">
        <v>160</v>
      </c>
      <c r="G14" s="1" t="s">
        <v>4</v>
      </c>
      <c r="H14" s="1" t="s">
        <v>18</v>
      </c>
      <c r="I14" s="1" t="s">
        <v>161</v>
      </c>
      <c r="J14" s="1" t="s">
        <v>139</v>
      </c>
      <c r="K14" s="1">
        <v>814</v>
      </c>
      <c r="L14" s="1">
        <v>1</v>
      </c>
      <c r="M14" s="1" t="s">
        <v>49</v>
      </c>
      <c r="N14" s="1" t="s">
        <v>162</v>
      </c>
      <c r="O14" s="1" t="s">
        <v>163</v>
      </c>
      <c r="P14" s="1" t="s">
        <v>98</v>
      </c>
      <c r="Q14" s="1" t="s">
        <v>164</v>
      </c>
      <c r="R14" s="1" t="s">
        <v>10</v>
      </c>
      <c r="S14" s="3" t="s">
        <v>165</v>
      </c>
      <c r="T14" s="4">
        <v>699</v>
      </c>
      <c r="U14" s="4" t="s">
        <v>166</v>
      </c>
      <c r="V14" s="5">
        <v>2500</v>
      </c>
      <c r="W14" s="4" t="s">
        <v>166</v>
      </c>
      <c r="X14" s="5">
        <v>2500</v>
      </c>
      <c r="Y14" s="4">
        <f>K14+V14-X14</f>
        <v>814</v>
      </c>
      <c r="Z14" s="4">
        <v>814</v>
      </c>
      <c r="AA14" s="1" t="s">
        <v>167</v>
      </c>
      <c r="AB14" s="1" t="s">
        <v>18</v>
      </c>
      <c r="AC14" s="1" t="s">
        <v>15</v>
      </c>
      <c r="AD14" s="6">
        <v>46080</v>
      </c>
      <c r="AE14" s="6">
        <v>46080</v>
      </c>
      <c r="AF14" s="1" t="s">
        <v>16</v>
      </c>
    </row>
    <row r="15" spans="1:32" x14ac:dyDescent="0.3">
      <c r="A15" s="1">
        <v>691</v>
      </c>
      <c r="B15" s="2">
        <v>46052.777581018498</v>
      </c>
      <c r="C15" s="1" t="s">
        <v>168</v>
      </c>
      <c r="D15" s="1" t="s">
        <v>169</v>
      </c>
      <c r="E15" s="1" t="s">
        <v>170</v>
      </c>
      <c r="F15" s="1" t="s">
        <v>171</v>
      </c>
      <c r="G15" s="1" t="s">
        <v>4</v>
      </c>
      <c r="H15" s="1" t="s">
        <v>71</v>
      </c>
      <c r="I15" s="1" t="s">
        <v>172</v>
      </c>
      <c r="J15" s="1" t="s">
        <v>172</v>
      </c>
      <c r="K15" s="1">
        <v>523</v>
      </c>
      <c r="L15" s="1">
        <v>1</v>
      </c>
      <c r="M15" s="1" t="s">
        <v>173</v>
      </c>
      <c r="N15" s="1" t="s">
        <v>174</v>
      </c>
      <c r="O15" s="1" t="s">
        <v>175</v>
      </c>
      <c r="P15" s="1" t="s">
        <v>98</v>
      </c>
      <c r="Q15" s="1" t="s">
        <v>176</v>
      </c>
      <c r="R15" s="1" t="s">
        <v>177</v>
      </c>
      <c r="S15" s="3" t="s">
        <v>178</v>
      </c>
      <c r="T15" s="4">
        <v>523</v>
      </c>
      <c r="U15" s="4" t="s">
        <v>179</v>
      </c>
      <c r="V15" s="5" t="s">
        <v>180</v>
      </c>
      <c r="W15" s="4" t="s">
        <v>181</v>
      </c>
      <c r="X15" s="5">
        <v>2000</v>
      </c>
      <c r="Y15" s="4">
        <f>K15+V15-X15</f>
        <v>661.73</v>
      </c>
      <c r="Z15" s="1">
        <v>523</v>
      </c>
      <c r="AA15" s="1" t="s">
        <v>182</v>
      </c>
      <c r="AC15" s="1" t="s">
        <v>15</v>
      </c>
      <c r="AD15" s="6">
        <v>46080</v>
      </c>
      <c r="AE15" s="6">
        <v>46125</v>
      </c>
      <c r="AF15" s="1" t="s">
        <v>16</v>
      </c>
    </row>
    <row r="16" spans="1:32" x14ac:dyDescent="0.3">
      <c r="A16" s="1">
        <v>66</v>
      </c>
      <c r="B16" s="2">
        <v>45946.981817129628</v>
      </c>
      <c r="C16" s="1" t="s">
        <v>183</v>
      </c>
      <c r="D16" s="1" t="s">
        <v>184</v>
      </c>
      <c r="E16" s="1" t="s">
        <v>185</v>
      </c>
      <c r="F16" s="1" t="s">
        <v>186</v>
      </c>
      <c r="G16" s="1" t="s">
        <v>4</v>
      </c>
      <c r="H16" s="1" t="s">
        <v>47</v>
      </c>
      <c r="I16" s="1" t="s">
        <v>187</v>
      </c>
      <c r="J16" s="1" t="s">
        <v>188</v>
      </c>
      <c r="K16" s="1">
        <v>407</v>
      </c>
      <c r="L16" s="1">
        <v>0</v>
      </c>
      <c r="M16" s="1" t="s">
        <v>20</v>
      </c>
      <c r="N16" s="1" t="s">
        <v>189</v>
      </c>
      <c r="O16" s="1" t="s">
        <v>190</v>
      </c>
      <c r="P16" s="1" t="s">
        <v>98</v>
      </c>
      <c r="Q16" s="1" t="s">
        <v>191</v>
      </c>
      <c r="R16" s="1" t="s">
        <v>10</v>
      </c>
      <c r="S16" s="3" t="s">
        <v>192</v>
      </c>
      <c r="T16" s="4">
        <v>631</v>
      </c>
      <c r="U16" s="4" t="s">
        <v>193</v>
      </c>
      <c r="V16" s="5">
        <v>2520</v>
      </c>
      <c r="W16" s="4" t="s">
        <v>194</v>
      </c>
      <c r="X16" s="5">
        <v>1000</v>
      </c>
      <c r="Y16" s="4">
        <f>K16+V16-X16</f>
        <v>1927</v>
      </c>
      <c r="Z16" s="1">
        <v>407</v>
      </c>
      <c r="AA16" s="1" t="s">
        <v>195</v>
      </c>
      <c r="AC16" s="1" t="s">
        <v>15</v>
      </c>
      <c r="AD16" s="6">
        <v>46080</v>
      </c>
      <c r="AE16" s="6">
        <v>46126</v>
      </c>
      <c r="AF16" s="1" t="s">
        <v>16</v>
      </c>
    </row>
    <row r="17" spans="1:32" ht="17.399999999999999" x14ac:dyDescent="0.4">
      <c r="A17" s="13">
        <v>846</v>
      </c>
      <c r="B17" s="14">
        <v>46143.420069444401</v>
      </c>
      <c r="C17" s="15" t="s">
        <v>196</v>
      </c>
      <c r="D17" s="15" t="s">
        <v>197</v>
      </c>
      <c r="E17" s="16" t="s">
        <v>198</v>
      </c>
      <c r="F17" s="17" t="s">
        <v>199</v>
      </c>
      <c r="G17" s="15" t="s">
        <v>17</v>
      </c>
      <c r="H17" s="15" t="s">
        <v>47</v>
      </c>
      <c r="I17" s="15" t="s">
        <v>200</v>
      </c>
      <c r="J17" s="15" t="s">
        <v>200</v>
      </c>
      <c r="K17" s="13">
        <v>846</v>
      </c>
      <c r="L17" s="15"/>
      <c r="M17" s="16" t="s">
        <v>201</v>
      </c>
      <c r="N17" s="16"/>
      <c r="O17" s="15"/>
      <c r="P17" s="15"/>
      <c r="Q17" s="15"/>
      <c r="R17" s="15"/>
      <c r="S17" s="16"/>
      <c r="T17" s="16"/>
      <c r="U17" s="16"/>
      <c r="V17" s="15"/>
      <c r="W17" s="15"/>
      <c r="X17" s="16"/>
      <c r="Y17" s="16"/>
      <c r="Z17" s="16"/>
      <c r="AA17" s="15"/>
      <c r="AB17" s="15"/>
      <c r="AC17" s="1" t="s">
        <v>15</v>
      </c>
      <c r="AD17" s="16" t="s">
        <v>202</v>
      </c>
      <c r="AE17" s="15" t="s">
        <v>203</v>
      </c>
      <c r="AF17" s="16" t="s">
        <v>16</v>
      </c>
    </row>
    <row r="18" spans="1:32" x14ac:dyDescent="0.3">
      <c r="A18" s="1">
        <v>440</v>
      </c>
      <c r="B18" s="2">
        <v>46019.355300925898</v>
      </c>
      <c r="C18" s="1" t="s">
        <v>204</v>
      </c>
      <c r="D18" s="1" t="s">
        <v>205</v>
      </c>
      <c r="E18" s="1" t="s">
        <v>206</v>
      </c>
      <c r="F18" s="1" t="s">
        <v>207</v>
      </c>
      <c r="G18" s="1" t="s">
        <v>4</v>
      </c>
      <c r="H18" s="1" t="s">
        <v>18</v>
      </c>
      <c r="I18" s="1" t="s">
        <v>208</v>
      </c>
      <c r="J18" s="1" t="s">
        <v>208</v>
      </c>
      <c r="K18" s="1">
        <v>814</v>
      </c>
      <c r="L18" s="1">
        <v>1</v>
      </c>
      <c r="M18" s="1" t="s">
        <v>49</v>
      </c>
      <c r="N18" s="1" t="s">
        <v>209</v>
      </c>
      <c r="O18" s="1" t="s">
        <v>210</v>
      </c>
      <c r="P18" s="1" t="s">
        <v>9</v>
      </c>
      <c r="Q18" s="1">
        <v>0</v>
      </c>
      <c r="R18" s="1" t="s">
        <v>10</v>
      </c>
      <c r="S18" s="3" t="s">
        <v>211</v>
      </c>
      <c r="T18" s="4">
        <v>649</v>
      </c>
      <c r="U18" s="4" t="s">
        <v>22</v>
      </c>
      <c r="V18" s="5">
        <v>3000</v>
      </c>
      <c r="W18" s="4" t="s">
        <v>194</v>
      </c>
      <c r="X18" s="5">
        <v>1000</v>
      </c>
      <c r="Y18" s="4">
        <f t="shared" ref="Y18:Y35" si="1">K18+V18-X18</f>
        <v>2814</v>
      </c>
      <c r="Z18" s="4">
        <v>814</v>
      </c>
      <c r="AA18" s="1" t="s">
        <v>212</v>
      </c>
      <c r="AB18" s="1" t="s">
        <v>18</v>
      </c>
      <c r="AC18" s="1" t="s">
        <v>15</v>
      </c>
      <c r="AD18" s="6">
        <v>46080</v>
      </c>
      <c r="AE18" s="6">
        <v>46093</v>
      </c>
      <c r="AF18" s="1" t="s">
        <v>16</v>
      </c>
    </row>
    <row r="19" spans="1:32" x14ac:dyDescent="0.3">
      <c r="A19" s="1">
        <v>575</v>
      </c>
      <c r="B19" s="2">
        <v>46025.454768518503</v>
      </c>
      <c r="C19" s="1" t="s">
        <v>214</v>
      </c>
      <c r="D19" s="1" t="s">
        <v>215</v>
      </c>
      <c r="E19" s="1" t="s">
        <v>216</v>
      </c>
      <c r="F19" s="1" t="s">
        <v>217</v>
      </c>
      <c r="G19" s="1" t="s">
        <v>4</v>
      </c>
      <c r="H19" s="1" t="s">
        <v>71</v>
      </c>
      <c r="I19" s="1" t="s">
        <v>208</v>
      </c>
      <c r="J19" s="1" t="s">
        <v>208</v>
      </c>
      <c r="K19" s="1">
        <v>814</v>
      </c>
      <c r="L19" s="1">
        <v>3</v>
      </c>
      <c r="M19" s="1" t="s">
        <v>49</v>
      </c>
      <c r="N19" s="1" t="s">
        <v>218</v>
      </c>
      <c r="O19" s="1" t="s">
        <v>219</v>
      </c>
      <c r="P19" s="1" t="s">
        <v>9</v>
      </c>
      <c r="Q19" s="1">
        <v>0</v>
      </c>
      <c r="R19" s="1" t="s">
        <v>9</v>
      </c>
      <c r="S19" s="3" t="s">
        <v>220</v>
      </c>
      <c r="T19" s="4">
        <v>714</v>
      </c>
      <c r="U19" s="4" t="s">
        <v>221</v>
      </c>
      <c r="V19" s="5">
        <v>2400</v>
      </c>
      <c r="W19" s="4" t="s">
        <v>222</v>
      </c>
      <c r="X19" s="5">
        <v>200</v>
      </c>
      <c r="Y19" s="4">
        <f t="shared" si="1"/>
        <v>3014</v>
      </c>
      <c r="Z19" s="4">
        <f>K19</f>
        <v>814</v>
      </c>
      <c r="AA19" s="1" t="s">
        <v>223</v>
      </c>
      <c r="AC19" s="1" t="s">
        <v>15</v>
      </c>
      <c r="AD19" s="6">
        <v>46098</v>
      </c>
      <c r="AE19" s="6">
        <v>46111</v>
      </c>
      <c r="AF19" s="1" t="s">
        <v>16</v>
      </c>
    </row>
    <row r="20" spans="1:32" x14ac:dyDescent="0.3">
      <c r="A20" s="1">
        <v>659</v>
      </c>
      <c r="B20" s="2">
        <v>46049.965439814798</v>
      </c>
      <c r="C20" s="1" t="s">
        <v>224</v>
      </c>
      <c r="D20" s="1" t="s">
        <v>225</v>
      </c>
      <c r="E20" s="1" t="s">
        <v>226</v>
      </c>
      <c r="F20" s="1" t="s">
        <v>227</v>
      </c>
      <c r="G20" s="1" t="s">
        <v>17</v>
      </c>
      <c r="H20" s="1" t="s">
        <v>228</v>
      </c>
      <c r="I20" s="1" t="s">
        <v>208</v>
      </c>
      <c r="J20" s="1" t="s">
        <v>208</v>
      </c>
      <c r="K20" s="1">
        <v>814</v>
      </c>
      <c r="L20" s="1">
        <v>4</v>
      </c>
      <c r="M20" s="1" t="s">
        <v>49</v>
      </c>
      <c r="N20" s="1" t="s">
        <v>229</v>
      </c>
      <c r="O20" s="1" t="s">
        <v>230</v>
      </c>
      <c r="P20" s="1" t="s">
        <v>9</v>
      </c>
      <c r="Q20" s="1">
        <v>0</v>
      </c>
      <c r="R20" s="1" t="s">
        <v>10</v>
      </c>
      <c r="S20" s="3" t="s">
        <v>231</v>
      </c>
      <c r="T20" s="4">
        <v>583</v>
      </c>
      <c r="U20" s="4" t="s">
        <v>232</v>
      </c>
      <c r="V20" s="5">
        <v>2000</v>
      </c>
      <c r="W20" s="4" t="s">
        <v>233</v>
      </c>
      <c r="X20" s="5">
        <v>800</v>
      </c>
      <c r="Y20" s="4">
        <f t="shared" si="1"/>
        <v>2014</v>
      </c>
      <c r="Z20" s="1">
        <v>814</v>
      </c>
      <c r="AA20" s="1" t="s">
        <v>234</v>
      </c>
      <c r="AC20" s="1" t="s">
        <v>15</v>
      </c>
      <c r="AD20" s="6">
        <v>46080</v>
      </c>
      <c r="AE20" s="6">
        <v>46127</v>
      </c>
      <c r="AF20" s="1" t="s">
        <v>16</v>
      </c>
    </row>
    <row r="21" spans="1:32" x14ac:dyDescent="0.3">
      <c r="A21" s="1">
        <v>761</v>
      </c>
      <c r="B21" s="2">
        <v>46080.613692129598</v>
      </c>
      <c r="C21" s="11" t="s">
        <v>235</v>
      </c>
      <c r="D21" s="11" t="s">
        <v>236</v>
      </c>
      <c r="E21" s="1" t="s">
        <v>237</v>
      </c>
      <c r="F21" s="1" t="s">
        <v>238</v>
      </c>
      <c r="G21" s="3" t="s">
        <v>17</v>
      </c>
      <c r="H21" s="3" t="s">
        <v>47</v>
      </c>
      <c r="I21" s="3" t="s">
        <v>239</v>
      </c>
      <c r="J21" s="1" t="s">
        <v>239</v>
      </c>
      <c r="K21" s="1">
        <v>755</v>
      </c>
      <c r="L21" s="1">
        <v>1</v>
      </c>
      <c r="M21" s="3" t="s">
        <v>7</v>
      </c>
      <c r="N21" s="7" t="s">
        <v>240</v>
      </c>
      <c r="O21" s="3" t="s">
        <v>241</v>
      </c>
      <c r="P21" s="3" t="s">
        <v>9</v>
      </c>
      <c r="R21" s="3" t="s">
        <v>9</v>
      </c>
      <c r="S21" s="7" t="s">
        <v>242</v>
      </c>
      <c r="T21" s="4">
        <v>650</v>
      </c>
      <c r="U21" s="7" t="s">
        <v>243</v>
      </c>
      <c r="V21" s="5">
        <v>2000</v>
      </c>
      <c r="W21" s="7" t="s">
        <v>194</v>
      </c>
      <c r="X21" s="5">
        <v>1000</v>
      </c>
      <c r="Y21" s="4">
        <f t="shared" si="1"/>
        <v>1755</v>
      </c>
      <c r="Z21" s="4">
        <f>K21</f>
        <v>755</v>
      </c>
      <c r="AA21" s="3" t="s">
        <v>244</v>
      </c>
      <c r="AB21" s="1" t="s">
        <v>56</v>
      </c>
      <c r="AC21" s="1" t="s">
        <v>15</v>
      </c>
      <c r="AD21" s="6">
        <v>46098</v>
      </c>
      <c r="AE21" s="6">
        <v>46098</v>
      </c>
      <c r="AF21" s="1" t="s">
        <v>16</v>
      </c>
    </row>
    <row r="22" spans="1:32" x14ac:dyDescent="0.3">
      <c r="A22" s="1">
        <v>758</v>
      </c>
      <c r="B22" s="2">
        <v>46080.588113425903</v>
      </c>
      <c r="C22" s="11" t="s">
        <v>245</v>
      </c>
      <c r="D22" s="11" t="s">
        <v>246</v>
      </c>
      <c r="E22" s="1" t="s">
        <v>247</v>
      </c>
      <c r="F22" s="1" t="s">
        <v>248</v>
      </c>
      <c r="G22" s="3" t="s">
        <v>4</v>
      </c>
      <c r="H22" s="3" t="s">
        <v>71</v>
      </c>
      <c r="I22" s="3" t="s">
        <v>239</v>
      </c>
      <c r="J22" s="1" t="s">
        <v>239</v>
      </c>
      <c r="K22" s="1">
        <v>755</v>
      </c>
      <c r="L22" s="1">
        <v>2</v>
      </c>
      <c r="M22" s="3" t="s">
        <v>249</v>
      </c>
      <c r="N22" s="3" t="s">
        <v>250</v>
      </c>
      <c r="O22" s="3" t="s">
        <v>251</v>
      </c>
      <c r="P22" s="3" t="s">
        <v>9</v>
      </c>
      <c r="S22" s="7" t="s">
        <v>252</v>
      </c>
      <c r="T22" s="3" t="s">
        <v>253</v>
      </c>
      <c r="U22" s="7" t="s">
        <v>254</v>
      </c>
      <c r="W22" s="7" t="s">
        <v>255</v>
      </c>
      <c r="Y22" s="4">
        <f t="shared" si="1"/>
        <v>755</v>
      </c>
      <c r="Z22" s="4">
        <f>K22</f>
        <v>755</v>
      </c>
      <c r="AA22" s="3" t="s">
        <v>256</v>
      </c>
      <c r="AB22" s="1" t="s">
        <v>56</v>
      </c>
      <c r="AC22" s="1" t="s">
        <v>15</v>
      </c>
      <c r="AD22" s="6">
        <v>46098</v>
      </c>
      <c r="AE22" s="6">
        <v>46100</v>
      </c>
      <c r="AF22" s="1" t="s">
        <v>16</v>
      </c>
    </row>
    <row r="23" spans="1:32" x14ac:dyDescent="0.3">
      <c r="A23" s="1">
        <v>420</v>
      </c>
      <c r="B23" s="2">
        <v>46015.809293981503</v>
      </c>
      <c r="C23" s="1" t="s">
        <v>257</v>
      </c>
      <c r="D23" s="1" t="s">
        <v>258</v>
      </c>
      <c r="E23" s="1" t="s">
        <v>259</v>
      </c>
      <c r="F23" s="1" t="s">
        <v>260</v>
      </c>
      <c r="G23" s="1" t="s">
        <v>4</v>
      </c>
      <c r="H23" s="1" t="s">
        <v>18</v>
      </c>
      <c r="I23" s="1" t="s">
        <v>261</v>
      </c>
      <c r="J23" s="1" t="s">
        <v>261</v>
      </c>
      <c r="K23" s="1">
        <v>814</v>
      </c>
      <c r="L23" s="1">
        <v>1</v>
      </c>
      <c r="M23" s="1" t="s">
        <v>49</v>
      </c>
      <c r="N23" s="1" t="s">
        <v>262</v>
      </c>
      <c r="O23" s="1" t="s">
        <v>263</v>
      </c>
      <c r="P23" s="1" t="s">
        <v>98</v>
      </c>
      <c r="Q23" s="1" t="s">
        <v>264</v>
      </c>
      <c r="R23" s="1" t="s">
        <v>9</v>
      </c>
      <c r="S23" s="3" t="s">
        <v>265</v>
      </c>
      <c r="T23" s="4">
        <v>814</v>
      </c>
      <c r="U23" s="4" t="s">
        <v>266</v>
      </c>
      <c r="V23" s="5" t="s">
        <v>267</v>
      </c>
      <c r="W23" s="4" t="s">
        <v>266</v>
      </c>
      <c r="X23" s="5" t="s">
        <v>267</v>
      </c>
      <c r="Y23" s="4">
        <f t="shared" si="1"/>
        <v>814</v>
      </c>
      <c r="Z23" s="4">
        <v>814</v>
      </c>
      <c r="AA23" s="1" t="s">
        <v>268</v>
      </c>
      <c r="AB23" s="1" t="s">
        <v>18</v>
      </c>
      <c r="AC23" s="1" t="s">
        <v>15</v>
      </c>
      <c r="AD23" s="6">
        <v>46080</v>
      </c>
      <c r="AE23" s="6">
        <v>46105</v>
      </c>
      <c r="AF23" s="1" t="s">
        <v>16</v>
      </c>
    </row>
    <row r="24" spans="1:32" x14ac:dyDescent="0.3">
      <c r="A24" s="1">
        <v>84</v>
      </c>
      <c r="B24" s="2">
        <v>45952.224363425928</v>
      </c>
      <c r="C24" s="1" t="s">
        <v>269</v>
      </c>
      <c r="D24" s="1" t="s">
        <v>270</v>
      </c>
      <c r="E24" s="1" t="s">
        <v>271</v>
      </c>
      <c r="F24" s="1" t="s">
        <v>272</v>
      </c>
      <c r="G24" s="1" t="s">
        <v>4</v>
      </c>
      <c r="H24" s="1" t="s">
        <v>18</v>
      </c>
      <c r="I24" s="1" t="s">
        <v>261</v>
      </c>
      <c r="J24" s="1" t="s">
        <v>261</v>
      </c>
      <c r="K24" s="1">
        <v>814</v>
      </c>
      <c r="L24" s="1">
        <v>2</v>
      </c>
      <c r="M24" s="1" t="s">
        <v>49</v>
      </c>
      <c r="N24" s="1" t="s">
        <v>273</v>
      </c>
      <c r="O24" s="1" t="s">
        <v>274</v>
      </c>
      <c r="P24" s="1" t="s">
        <v>9</v>
      </c>
      <c r="Q24" s="1">
        <v>0</v>
      </c>
      <c r="R24" s="1" t="s">
        <v>177</v>
      </c>
      <c r="S24" s="3" t="s">
        <v>275</v>
      </c>
      <c r="T24" s="4">
        <v>814</v>
      </c>
      <c r="U24" s="4" t="s">
        <v>276</v>
      </c>
      <c r="V24" s="5">
        <v>3700</v>
      </c>
      <c r="W24" s="4" t="s">
        <v>277</v>
      </c>
      <c r="X24" s="5">
        <v>2900</v>
      </c>
      <c r="Y24" s="4">
        <f t="shared" si="1"/>
        <v>1614</v>
      </c>
      <c r="Z24" s="4">
        <v>814</v>
      </c>
      <c r="AA24" s="1" t="s">
        <v>278</v>
      </c>
      <c r="AB24" s="1" t="s">
        <v>18</v>
      </c>
      <c r="AC24" s="1" t="s">
        <v>15</v>
      </c>
      <c r="AD24" s="6">
        <v>46080</v>
      </c>
      <c r="AE24" s="6">
        <v>46113</v>
      </c>
      <c r="AF24" s="1" t="s">
        <v>16</v>
      </c>
    </row>
    <row r="25" spans="1:32" x14ac:dyDescent="0.3">
      <c r="A25" s="1">
        <v>413</v>
      </c>
      <c r="B25" s="2">
        <v>46015.227916666699</v>
      </c>
      <c r="C25" s="1" t="s">
        <v>279</v>
      </c>
      <c r="D25" s="1" t="s">
        <v>280</v>
      </c>
      <c r="E25" s="1" t="s">
        <v>281</v>
      </c>
      <c r="F25" s="1" t="s">
        <v>282</v>
      </c>
      <c r="G25" s="1" t="s">
        <v>17</v>
      </c>
      <c r="H25" s="1" t="s">
        <v>27</v>
      </c>
      <c r="I25" s="1" t="s">
        <v>261</v>
      </c>
      <c r="J25" s="1" t="s">
        <v>261</v>
      </c>
      <c r="K25" s="1">
        <v>407</v>
      </c>
      <c r="L25" s="1">
        <v>3</v>
      </c>
      <c r="M25" s="1" t="s">
        <v>20</v>
      </c>
      <c r="N25" s="1" t="s">
        <v>283</v>
      </c>
      <c r="O25" s="1" t="s">
        <v>284</v>
      </c>
      <c r="P25" s="1" t="s">
        <v>9</v>
      </c>
      <c r="Q25" s="1">
        <v>0</v>
      </c>
      <c r="R25" s="1" t="s">
        <v>177</v>
      </c>
      <c r="S25" s="3" t="s">
        <v>285</v>
      </c>
      <c r="T25" s="4">
        <v>407</v>
      </c>
      <c r="U25" s="4" t="s">
        <v>286</v>
      </c>
      <c r="V25" s="5" t="s">
        <v>287</v>
      </c>
      <c r="W25" s="4" t="s">
        <v>288</v>
      </c>
      <c r="X25" s="5" t="s">
        <v>194</v>
      </c>
      <c r="Y25" s="4">
        <f t="shared" si="1"/>
        <v>1557</v>
      </c>
      <c r="Z25" s="4">
        <f>K25</f>
        <v>407</v>
      </c>
      <c r="AA25" s="1" t="s">
        <v>289</v>
      </c>
      <c r="AB25" s="1" t="s">
        <v>130</v>
      </c>
      <c r="AC25" s="1" t="s">
        <v>15</v>
      </c>
      <c r="AD25" s="6">
        <v>46098</v>
      </c>
      <c r="AE25" s="6">
        <v>46098</v>
      </c>
      <c r="AF25" s="1" t="s">
        <v>16</v>
      </c>
    </row>
    <row r="26" spans="1:32" x14ac:dyDescent="0.3">
      <c r="A26" s="1">
        <v>288</v>
      </c>
      <c r="B26" s="2">
        <v>45992.114953703698</v>
      </c>
      <c r="C26" s="1" t="s">
        <v>291</v>
      </c>
      <c r="D26" s="1" t="s">
        <v>292</v>
      </c>
      <c r="E26" s="1" t="s">
        <v>293</v>
      </c>
      <c r="F26" s="1" t="s">
        <v>294</v>
      </c>
      <c r="G26" s="1" t="s">
        <v>4</v>
      </c>
      <c r="H26" s="1" t="s">
        <v>295</v>
      </c>
      <c r="I26" s="1" t="s">
        <v>261</v>
      </c>
      <c r="J26" s="1" t="s">
        <v>261</v>
      </c>
      <c r="K26" s="1">
        <v>755</v>
      </c>
      <c r="M26" s="1" t="s">
        <v>7</v>
      </c>
      <c r="N26" s="1" t="s">
        <v>296</v>
      </c>
      <c r="O26" s="1" t="s">
        <v>297</v>
      </c>
      <c r="P26" s="1" t="s">
        <v>9</v>
      </c>
      <c r="Q26" s="1">
        <v>0</v>
      </c>
      <c r="R26" s="1" t="s">
        <v>10</v>
      </c>
      <c r="S26" s="3" t="s">
        <v>253</v>
      </c>
      <c r="T26" s="4">
        <v>755</v>
      </c>
      <c r="U26" s="4" t="s">
        <v>298</v>
      </c>
      <c r="V26" s="5" t="s">
        <v>299</v>
      </c>
      <c r="W26" s="4" t="s">
        <v>300</v>
      </c>
      <c r="X26" s="5" t="s">
        <v>301</v>
      </c>
      <c r="Y26" s="4">
        <f t="shared" si="1"/>
        <v>2629.79</v>
      </c>
      <c r="AA26" s="1" t="s">
        <v>302</v>
      </c>
      <c r="AC26" s="1" t="s">
        <v>15</v>
      </c>
      <c r="AD26" s="6">
        <v>46080</v>
      </c>
      <c r="AE26" s="6">
        <v>46148</v>
      </c>
      <c r="AF26" s="1" t="s">
        <v>16</v>
      </c>
    </row>
    <row r="27" spans="1:32" x14ac:dyDescent="0.3">
      <c r="A27" s="1">
        <v>602</v>
      </c>
      <c r="B27" s="2">
        <v>46036.363263888903</v>
      </c>
      <c r="C27" s="1" t="s">
        <v>303</v>
      </c>
      <c r="D27" s="1" t="s">
        <v>304</v>
      </c>
      <c r="E27" s="1" t="s">
        <v>305</v>
      </c>
      <c r="F27" s="1" t="s">
        <v>306</v>
      </c>
      <c r="G27" s="1" t="s">
        <v>17</v>
      </c>
      <c r="H27" s="1" t="s">
        <v>71</v>
      </c>
      <c r="I27" s="1" t="s">
        <v>261</v>
      </c>
      <c r="J27" s="1" t="s">
        <v>261</v>
      </c>
      <c r="K27" s="1">
        <v>755</v>
      </c>
      <c r="M27" s="1" t="s">
        <v>7</v>
      </c>
      <c r="N27" s="1" t="s">
        <v>307</v>
      </c>
      <c r="O27" s="1" t="s">
        <v>308</v>
      </c>
      <c r="P27" s="1" t="s">
        <v>9</v>
      </c>
      <c r="Q27" s="1">
        <v>0</v>
      </c>
      <c r="R27" s="1" t="s">
        <v>10</v>
      </c>
      <c r="S27" s="3" t="s">
        <v>309</v>
      </c>
      <c r="T27" s="4">
        <v>814</v>
      </c>
      <c r="U27" s="4" t="s">
        <v>310</v>
      </c>
      <c r="V27" s="5">
        <v>2800</v>
      </c>
      <c r="W27" s="4" t="s">
        <v>311</v>
      </c>
      <c r="X27" s="5">
        <v>360</v>
      </c>
      <c r="Y27" s="4">
        <f t="shared" si="1"/>
        <v>3195</v>
      </c>
      <c r="AA27" s="1" t="s">
        <v>312</v>
      </c>
      <c r="AC27" s="1" t="s">
        <v>15</v>
      </c>
      <c r="AD27" s="6">
        <v>46080</v>
      </c>
      <c r="AE27" s="6">
        <v>46154</v>
      </c>
      <c r="AF27" s="1" t="s">
        <v>16</v>
      </c>
    </row>
    <row r="28" spans="1:32" x14ac:dyDescent="0.3">
      <c r="A28" s="1">
        <v>3</v>
      </c>
      <c r="B28" s="2">
        <v>45911.584201388891</v>
      </c>
      <c r="C28" s="1" t="s">
        <v>313</v>
      </c>
      <c r="D28" s="1" t="s">
        <v>314</v>
      </c>
      <c r="E28" s="1" t="s">
        <v>315</v>
      </c>
      <c r="F28" s="1" t="s">
        <v>316</v>
      </c>
      <c r="G28" s="1" t="s">
        <v>17</v>
      </c>
      <c r="H28" s="1" t="s">
        <v>47</v>
      </c>
      <c r="I28" s="1" t="s">
        <v>317</v>
      </c>
      <c r="J28" s="1" t="s">
        <v>261</v>
      </c>
      <c r="K28" s="1">
        <v>407</v>
      </c>
      <c r="L28" s="1">
        <v>2</v>
      </c>
      <c r="M28" s="1" t="s">
        <v>20</v>
      </c>
      <c r="N28" s="1" t="s">
        <v>318</v>
      </c>
      <c r="O28" s="1" t="s">
        <v>319</v>
      </c>
      <c r="P28" s="1" t="s">
        <v>9</v>
      </c>
      <c r="Q28" s="1" t="s">
        <v>320</v>
      </c>
      <c r="R28" s="1" t="s">
        <v>10</v>
      </c>
      <c r="S28" s="3" t="s">
        <v>321</v>
      </c>
      <c r="T28" s="4">
        <v>588</v>
      </c>
      <c r="U28" s="4" t="s">
        <v>322</v>
      </c>
      <c r="V28" s="5">
        <v>3000</v>
      </c>
      <c r="W28" s="4" t="s">
        <v>323</v>
      </c>
      <c r="Y28" s="4">
        <f t="shared" si="1"/>
        <v>3407</v>
      </c>
      <c r="Z28" s="4">
        <f>K28</f>
        <v>407</v>
      </c>
      <c r="AA28" s="1" t="s">
        <v>324</v>
      </c>
      <c r="AC28" s="1" t="s">
        <v>15</v>
      </c>
      <c r="AD28" s="6">
        <v>46098</v>
      </c>
      <c r="AE28" s="6">
        <v>46115</v>
      </c>
      <c r="AF28" s="1" t="s">
        <v>16</v>
      </c>
    </row>
    <row r="29" spans="1:32" x14ac:dyDescent="0.3">
      <c r="A29" s="1">
        <v>698</v>
      </c>
      <c r="B29" s="2">
        <v>46053.227442129602</v>
      </c>
      <c r="C29" s="1" t="s">
        <v>325</v>
      </c>
      <c r="D29" s="1" t="s">
        <v>326</v>
      </c>
      <c r="E29" s="1" t="s">
        <v>327</v>
      </c>
      <c r="F29" s="1" t="s">
        <v>328</v>
      </c>
      <c r="G29" s="1" t="s">
        <v>17</v>
      </c>
      <c r="H29" s="1" t="s">
        <v>71</v>
      </c>
      <c r="I29" s="1" t="s">
        <v>261</v>
      </c>
      <c r="J29" s="1" t="s">
        <v>261</v>
      </c>
      <c r="K29" s="1">
        <v>755</v>
      </c>
      <c r="M29" s="1" t="s">
        <v>7</v>
      </c>
      <c r="N29" s="1" t="s">
        <v>329</v>
      </c>
      <c r="O29" s="1" t="s">
        <v>330</v>
      </c>
      <c r="P29" s="1" t="s">
        <v>9</v>
      </c>
      <c r="Q29" s="1">
        <v>0</v>
      </c>
      <c r="R29" s="1" t="s">
        <v>10</v>
      </c>
      <c r="S29" s="3" t="s">
        <v>331</v>
      </c>
      <c r="T29" s="4">
        <v>755</v>
      </c>
      <c r="U29" s="4" t="s">
        <v>332</v>
      </c>
      <c r="V29" s="5">
        <v>2000</v>
      </c>
      <c r="W29" s="4" t="s">
        <v>333</v>
      </c>
      <c r="X29" s="5">
        <v>500</v>
      </c>
      <c r="Y29" s="4">
        <f t="shared" si="1"/>
        <v>2255</v>
      </c>
      <c r="AA29" s="1" t="s">
        <v>334</v>
      </c>
      <c r="AC29" s="1" t="s">
        <v>15</v>
      </c>
      <c r="AD29" s="6">
        <v>46080</v>
      </c>
      <c r="AE29" s="6">
        <v>46168</v>
      </c>
      <c r="AF29" s="1" t="s">
        <v>16</v>
      </c>
    </row>
    <row r="30" spans="1:32" x14ac:dyDescent="0.3">
      <c r="A30" s="1">
        <v>611</v>
      </c>
      <c r="B30" s="2">
        <v>46037.885578703703</v>
      </c>
      <c r="C30" s="1" t="s">
        <v>335</v>
      </c>
      <c r="D30" s="1" t="s">
        <v>336</v>
      </c>
      <c r="E30" s="1" t="s">
        <v>337</v>
      </c>
      <c r="F30" s="1" t="s">
        <v>338</v>
      </c>
      <c r="G30" s="1" t="s">
        <v>4</v>
      </c>
      <c r="H30" s="1" t="s">
        <v>27</v>
      </c>
      <c r="I30" s="1" t="s">
        <v>261</v>
      </c>
      <c r="J30" s="1" t="s">
        <v>261</v>
      </c>
      <c r="K30" s="1">
        <v>755</v>
      </c>
      <c r="L30" s="1">
        <v>4</v>
      </c>
      <c r="M30" s="1" t="s">
        <v>7</v>
      </c>
      <c r="N30" s="1" t="s">
        <v>339</v>
      </c>
      <c r="O30" s="1" t="s">
        <v>340</v>
      </c>
      <c r="P30" s="1" t="s">
        <v>98</v>
      </c>
      <c r="Q30" s="1" t="s">
        <v>341</v>
      </c>
      <c r="R30" s="1" t="s">
        <v>177</v>
      </c>
      <c r="S30" s="3" t="s">
        <v>342</v>
      </c>
      <c r="T30" s="4">
        <v>755</v>
      </c>
      <c r="U30" s="4" t="s">
        <v>343</v>
      </c>
      <c r="V30" s="5" t="s">
        <v>344</v>
      </c>
      <c r="W30" s="4" t="s">
        <v>345</v>
      </c>
      <c r="X30" s="5" t="s">
        <v>346</v>
      </c>
      <c r="Y30" s="4">
        <f t="shared" si="1"/>
        <v>1077</v>
      </c>
      <c r="Z30" s="1">
        <v>755</v>
      </c>
      <c r="AA30" s="1" t="s">
        <v>347</v>
      </c>
      <c r="AB30" s="1" t="s">
        <v>130</v>
      </c>
      <c r="AC30" s="1" t="s">
        <v>15</v>
      </c>
      <c r="AD30" s="6">
        <v>46080</v>
      </c>
      <c r="AE30" s="6">
        <v>46167</v>
      </c>
      <c r="AF30" s="1" t="s">
        <v>16</v>
      </c>
    </row>
    <row r="31" spans="1:32" x14ac:dyDescent="0.3">
      <c r="A31" s="1">
        <v>157</v>
      </c>
      <c r="B31" s="2">
        <v>45982.493391203701</v>
      </c>
      <c r="C31" s="1" t="s">
        <v>348</v>
      </c>
      <c r="D31" s="1" t="s">
        <v>349</v>
      </c>
      <c r="E31" s="1" t="s">
        <v>350</v>
      </c>
      <c r="F31" s="1" t="s">
        <v>351</v>
      </c>
      <c r="G31" s="1" t="s">
        <v>17</v>
      </c>
      <c r="H31" s="1" t="s">
        <v>27</v>
      </c>
      <c r="I31" s="1" t="s">
        <v>261</v>
      </c>
      <c r="J31" s="1" t="s">
        <v>261</v>
      </c>
      <c r="K31" s="1">
        <v>755</v>
      </c>
      <c r="L31" s="1">
        <v>5</v>
      </c>
      <c r="M31" s="1" t="s">
        <v>7</v>
      </c>
      <c r="N31" s="1" t="s">
        <v>352</v>
      </c>
      <c r="O31" s="1" t="s">
        <v>353</v>
      </c>
      <c r="P31" s="1" t="s">
        <v>9</v>
      </c>
      <c r="Q31" s="1">
        <v>0</v>
      </c>
      <c r="R31" s="1" t="s">
        <v>177</v>
      </c>
      <c r="S31" s="3" t="s">
        <v>354</v>
      </c>
      <c r="T31" s="4">
        <v>325</v>
      </c>
      <c r="U31" s="4" t="s">
        <v>355</v>
      </c>
      <c r="V31" s="5" t="s">
        <v>356</v>
      </c>
      <c r="W31" s="4" t="s">
        <v>357</v>
      </c>
      <c r="X31" s="5" t="s">
        <v>358</v>
      </c>
      <c r="Y31" s="4">
        <f t="shared" si="1"/>
        <v>1543.4</v>
      </c>
      <c r="Z31" s="1">
        <v>755</v>
      </c>
      <c r="AA31" s="1" t="s">
        <v>359</v>
      </c>
      <c r="AB31" s="1" t="s">
        <v>130</v>
      </c>
      <c r="AC31" s="1" t="s">
        <v>15</v>
      </c>
      <c r="AD31" s="6">
        <v>46080</v>
      </c>
      <c r="AE31" s="6">
        <v>46167</v>
      </c>
      <c r="AF31" s="1" t="s">
        <v>16</v>
      </c>
    </row>
    <row r="32" spans="1:32" x14ac:dyDescent="0.3">
      <c r="A32" s="1">
        <v>839</v>
      </c>
      <c r="B32" s="2">
        <v>46134.439942129597</v>
      </c>
      <c r="C32" s="3" t="s">
        <v>362</v>
      </c>
      <c r="D32" s="3" t="s">
        <v>363</v>
      </c>
      <c r="E32" s="7" t="s">
        <v>364</v>
      </c>
      <c r="F32" s="3" t="s">
        <v>365</v>
      </c>
      <c r="G32" s="3" t="s">
        <v>17</v>
      </c>
      <c r="H32" s="3" t="s">
        <v>47</v>
      </c>
      <c r="I32" s="3" t="s">
        <v>366</v>
      </c>
      <c r="J32" s="3" t="s">
        <v>366</v>
      </c>
      <c r="K32" s="1">
        <v>319</v>
      </c>
      <c r="M32" s="3" t="s">
        <v>20</v>
      </c>
      <c r="N32" s="7" t="s">
        <v>367</v>
      </c>
      <c r="O32" s="3" t="s">
        <v>213</v>
      </c>
      <c r="P32" s="3" t="s">
        <v>9</v>
      </c>
      <c r="Q32" s="3"/>
      <c r="R32" s="3" t="s">
        <v>10</v>
      </c>
      <c r="S32" s="7" t="s">
        <v>368</v>
      </c>
      <c r="T32" s="1">
        <v>54</v>
      </c>
      <c r="U32" s="7" t="s">
        <v>114</v>
      </c>
      <c r="V32" s="1">
        <v>2500</v>
      </c>
      <c r="W32" s="7" t="s">
        <v>194</v>
      </c>
      <c r="X32" s="7" t="s">
        <v>194</v>
      </c>
      <c r="Y32" s="4">
        <f t="shared" si="1"/>
        <v>1819</v>
      </c>
      <c r="Z32" s="3"/>
      <c r="AA32" s="3" t="s">
        <v>369</v>
      </c>
      <c r="AB32" s="7"/>
      <c r="AC32" s="1" t="s">
        <v>15</v>
      </c>
      <c r="AD32" s="6">
        <v>46080</v>
      </c>
      <c r="AE32" s="6">
        <v>46161</v>
      </c>
      <c r="AF32" s="1" t="s">
        <v>16</v>
      </c>
    </row>
    <row r="33" spans="1:32" x14ac:dyDescent="0.3">
      <c r="A33" s="1">
        <v>543</v>
      </c>
      <c r="B33" s="2">
        <v>46022.897604166697</v>
      </c>
      <c r="C33" s="1" t="s">
        <v>370</v>
      </c>
      <c r="D33" s="1" t="s">
        <v>371</v>
      </c>
      <c r="E33" s="1" t="s">
        <v>372</v>
      </c>
      <c r="F33" s="1" t="s">
        <v>373</v>
      </c>
      <c r="G33" s="1" t="s">
        <v>4</v>
      </c>
      <c r="H33" s="1" t="s">
        <v>47</v>
      </c>
      <c r="I33" s="1" t="s">
        <v>366</v>
      </c>
      <c r="J33" s="1" t="s">
        <v>374</v>
      </c>
      <c r="K33" s="1">
        <v>583</v>
      </c>
      <c r="L33" s="1">
        <v>1</v>
      </c>
      <c r="M33" s="1" t="s">
        <v>7</v>
      </c>
      <c r="N33" s="1" t="s">
        <v>375</v>
      </c>
      <c r="O33" s="1" t="s">
        <v>376</v>
      </c>
      <c r="P33" s="1" t="s">
        <v>9</v>
      </c>
      <c r="Q33" s="1">
        <v>0</v>
      </c>
      <c r="R33" s="1" t="s">
        <v>10</v>
      </c>
      <c r="S33" s="3" t="s">
        <v>377</v>
      </c>
      <c r="T33" s="4">
        <v>464</v>
      </c>
      <c r="U33" s="4" t="s">
        <v>267</v>
      </c>
      <c r="V33" s="5">
        <v>1600</v>
      </c>
      <c r="W33" s="4" t="s">
        <v>75</v>
      </c>
      <c r="X33" s="5">
        <v>500</v>
      </c>
      <c r="Y33" s="4">
        <f t="shared" si="1"/>
        <v>1683</v>
      </c>
      <c r="Z33" s="4">
        <v>583</v>
      </c>
      <c r="AA33" s="1" t="s">
        <v>378</v>
      </c>
      <c r="AB33" s="1" t="s">
        <v>56</v>
      </c>
      <c r="AC33" s="1" t="s">
        <v>15</v>
      </c>
      <c r="AD33" s="6">
        <v>46080</v>
      </c>
      <c r="AE33" s="6">
        <v>46126</v>
      </c>
      <c r="AF33" s="1" t="s">
        <v>16</v>
      </c>
    </row>
    <row r="34" spans="1:32" x14ac:dyDescent="0.3">
      <c r="A34" s="1">
        <v>235</v>
      </c>
      <c r="B34" s="2">
        <v>45984.695844907401</v>
      </c>
      <c r="C34" s="1" t="s">
        <v>379</v>
      </c>
      <c r="D34" s="1" t="s">
        <v>380</v>
      </c>
      <c r="E34" s="1" t="s">
        <v>381</v>
      </c>
      <c r="F34" s="1" t="s">
        <v>382</v>
      </c>
      <c r="G34" s="1" t="s">
        <v>17</v>
      </c>
      <c r="H34" s="1" t="s">
        <v>18</v>
      </c>
      <c r="I34" s="1" t="s">
        <v>366</v>
      </c>
      <c r="J34" s="1" t="s">
        <v>374</v>
      </c>
      <c r="K34" s="1">
        <v>755</v>
      </c>
      <c r="L34" s="1">
        <v>3</v>
      </c>
      <c r="M34" s="1" t="s">
        <v>49</v>
      </c>
      <c r="N34" s="1" t="s">
        <v>383</v>
      </c>
      <c r="O34" s="1" t="s">
        <v>384</v>
      </c>
      <c r="P34" s="1" t="s">
        <v>98</v>
      </c>
      <c r="Q34" s="1" t="s">
        <v>385</v>
      </c>
      <c r="R34" s="1" t="s">
        <v>10</v>
      </c>
      <c r="S34" s="3" t="s">
        <v>386</v>
      </c>
      <c r="T34" s="4">
        <v>755</v>
      </c>
      <c r="U34" s="4" t="s">
        <v>387</v>
      </c>
      <c r="V34" s="5">
        <v>3827</v>
      </c>
      <c r="W34" s="4" t="s">
        <v>388</v>
      </c>
      <c r="X34" s="5">
        <v>1000</v>
      </c>
      <c r="Y34" s="4">
        <f t="shared" si="1"/>
        <v>3582</v>
      </c>
      <c r="Z34" s="4">
        <v>755</v>
      </c>
      <c r="AA34" s="1" t="s">
        <v>389</v>
      </c>
      <c r="AB34" s="1" t="s">
        <v>18</v>
      </c>
      <c r="AC34" s="1" t="s">
        <v>15</v>
      </c>
      <c r="AD34" s="6">
        <v>46080</v>
      </c>
      <c r="AE34" s="6">
        <v>46090</v>
      </c>
      <c r="AF34" s="1" t="s">
        <v>16</v>
      </c>
    </row>
    <row r="35" spans="1:32" x14ac:dyDescent="0.3">
      <c r="A35" s="1">
        <v>610</v>
      </c>
      <c r="B35" s="2">
        <v>46037.3809259259</v>
      </c>
      <c r="C35" s="1" t="s">
        <v>390</v>
      </c>
      <c r="D35" s="1" t="s">
        <v>391</v>
      </c>
      <c r="E35" s="1" t="s">
        <v>392</v>
      </c>
      <c r="F35" s="1" t="s">
        <v>393</v>
      </c>
      <c r="G35" s="1" t="s">
        <v>4</v>
      </c>
      <c r="H35" s="1" t="s">
        <v>71</v>
      </c>
      <c r="I35" s="1" t="s">
        <v>366</v>
      </c>
      <c r="J35" s="1" t="s">
        <v>374</v>
      </c>
      <c r="K35" s="1">
        <v>755</v>
      </c>
      <c r="M35" s="1" t="s">
        <v>49</v>
      </c>
      <c r="N35" s="1" t="s">
        <v>394</v>
      </c>
      <c r="O35" s="1" t="s">
        <v>228</v>
      </c>
      <c r="P35" s="1" t="s">
        <v>9</v>
      </c>
      <c r="Q35" s="1">
        <v>0</v>
      </c>
      <c r="R35" s="1" t="s">
        <v>177</v>
      </c>
      <c r="S35" s="3" t="s">
        <v>395</v>
      </c>
      <c r="T35" s="4">
        <v>755</v>
      </c>
      <c r="U35" s="4" t="s">
        <v>396</v>
      </c>
      <c r="V35" s="5">
        <v>2250</v>
      </c>
      <c r="W35" s="4" t="s">
        <v>397</v>
      </c>
      <c r="X35" s="5">
        <v>1000</v>
      </c>
      <c r="Y35" s="4">
        <f t="shared" si="1"/>
        <v>2005</v>
      </c>
      <c r="AA35" s="1" t="s">
        <v>398</v>
      </c>
      <c r="AC35" s="1" t="s">
        <v>15</v>
      </c>
      <c r="AD35" s="6">
        <v>46080</v>
      </c>
      <c r="AE35" s="6">
        <v>46148</v>
      </c>
      <c r="AF35" s="1" t="s">
        <v>16</v>
      </c>
    </row>
    <row r="36" spans="1:32" x14ac:dyDescent="0.3">
      <c r="A36" s="1">
        <v>154</v>
      </c>
      <c r="B36" s="2">
        <v>45982.490636574097</v>
      </c>
      <c r="C36" s="1" t="s">
        <v>401</v>
      </c>
      <c r="D36" s="1" t="s">
        <v>402</v>
      </c>
      <c r="E36" s="1" t="s">
        <v>403</v>
      </c>
      <c r="F36" s="1" t="s">
        <v>404</v>
      </c>
      <c r="G36" s="1" t="s">
        <v>17</v>
      </c>
      <c r="H36" s="1" t="s">
        <v>18</v>
      </c>
      <c r="I36" s="1" t="s">
        <v>405</v>
      </c>
      <c r="J36" s="1" t="s">
        <v>405</v>
      </c>
      <c r="K36" s="1">
        <v>583</v>
      </c>
      <c r="L36" s="1">
        <v>1</v>
      </c>
      <c r="M36" s="1" t="s">
        <v>7</v>
      </c>
      <c r="N36" s="1" t="s">
        <v>406</v>
      </c>
      <c r="O36" s="1" t="s">
        <v>407</v>
      </c>
      <c r="P36" s="1" t="s">
        <v>98</v>
      </c>
      <c r="Q36" s="1" t="s">
        <v>408</v>
      </c>
      <c r="R36" s="1" t="s">
        <v>10</v>
      </c>
      <c r="S36" s="3" t="s">
        <v>231</v>
      </c>
      <c r="T36" s="4">
        <v>583</v>
      </c>
      <c r="U36" s="4" t="s">
        <v>243</v>
      </c>
      <c r="V36" s="5">
        <v>2000</v>
      </c>
      <c r="W36" s="4" t="s">
        <v>409</v>
      </c>
      <c r="X36" s="5">
        <v>200</v>
      </c>
      <c r="Y36" s="4">
        <f t="shared" ref="Y36:Y74" si="2">K36+V36-X36</f>
        <v>2383</v>
      </c>
      <c r="Z36" s="4">
        <v>583</v>
      </c>
      <c r="AA36" s="1" t="s">
        <v>410</v>
      </c>
      <c r="AB36" s="1" t="s">
        <v>18</v>
      </c>
      <c r="AC36" s="1" t="s">
        <v>15</v>
      </c>
      <c r="AD36" s="6">
        <v>46080</v>
      </c>
      <c r="AE36" s="6">
        <v>46084</v>
      </c>
      <c r="AF36" s="1" t="s">
        <v>16</v>
      </c>
    </row>
    <row r="37" spans="1:32" x14ac:dyDescent="0.3">
      <c r="A37" s="1">
        <v>264</v>
      </c>
      <c r="B37" s="2">
        <v>45988.710567129601</v>
      </c>
      <c r="C37" s="1" t="s">
        <v>411</v>
      </c>
      <c r="D37" s="1" t="s">
        <v>412</v>
      </c>
      <c r="E37" s="1" t="s">
        <v>413</v>
      </c>
      <c r="F37" s="1" t="s">
        <v>414</v>
      </c>
      <c r="G37" s="1" t="s">
        <v>17</v>
      </c>
      <c r="H37" s="1" t="s">
        <v>71</v>
      </c>
      <c r="I37" s="1" t="s">
        <v>405</v>
      </c>
      <c r="J37" s="1" t="s">
        <v>405</v>
      </c>
      <c r="K37" s="1">
        <v>583</v>
      </c>
      <c r="L37" s="1">
        <v>2</v>
      </c>
      <c r="M37" s="1" t="s">
        <v>7</v>
      </c>
      <c r="N37" s="1" t="s">
        <v>415</v>
      </c>
      <c r="O37" s="1" t="s">
        <v>416</v>
      </c>
      <c r="P37" s="1" t="s">
        <v>98</v>
      </c>
      <c r="Q37" s="1" t="s">
        <v>417</v>
      </c>
      <c r="R37" s="1" t="s">
        <v>10</v>
      </c>
      <c r="S37" s="3" t="s">
        <v>418</v>
      </c>
      <c r="T37" s="4">
        <v>327</v>
      </c>
      <c r="U37" s="4" t="s">
        <v>419</v>
      </c>
      <c r="V37" s="5">
        <v>2000</v>
      </c>
      <c r="W37" s="4" t="s">
        <v>420</v>
      </c>
      <c r="X37" s="5">
        <v>50</v>
      </c>
      <c r="Y37" s="4">
        <f t="shared" si="2"/>
        <v>2533</v>
      </c>
      <c r="Z37" s="4">
        <v>583</v>
      </c>
      <c r="AA37" s="1" t="s">
        <v>421</v>
      </c>
      <c r="AB37" s="1" t="s">
        <v>56</v>
      </c>
      <c r="AC37" s="1" t="s">
        <v>15</v>
      </c>
      <c r="AD37" s="6">
        <v>46080</v>
      </c>
      <c r="AE37" s="6">
        <v>46083</v>
      </c>
      <c r="AF37" s="1" t="s">
        <v>16</v>
      </c>
    </row>
    <row r="38" spans="1:32" x14ac:dyDescent="0.3">
      <c r="A38" s="1">
        <v>517</v>
      </c>
      <c r="B38" s="2">
        <v>46022.586018518501</v>
      </c>
      <c r="C38" s="1" t="s">
        <v>422</v>
      </c>
      <c r="D38" s="1" t="s">
        <v>423</v>
      </c>
      <c r="E38" s="1" t="s">
        <v>424</v>
      </c>
      <c r="F38" s="1" t="s">
        <v>425</v>
      </c>
      <c r="G38" s="1" t="s">
        <v>17</v>
      </c>
      <c r="H38" s="1" t="s">
        <v>47</v>
      </c>
      <c r="I38" s="1" t="s">
        <v>405</v>
      </c>
      <c r="J38" s="1" t="s">
        <v>405</v>
      </c>
      <c r="K38" s="1">
        <v>755</v>
      </c>
      <c r="L38" s="1">
        <v>3</v>
      </c>
      <c r="M38" s="1" t="s">
        <v>49</v>
      </c>
      <c r="N38" s="1" t="s">
        <v>426</v>
      </c>
      <c r="O38" s="1" t="s">
        <v>427</v>
      </c>
      <c r="P38" s="1" t="s">
        <v>98</v>
      </c>
      <c r="Q38" s="1" t="s">
        <v>428</v>
      </c>
      <c r="R38" s="1" t="s">
        <v>10</v>
      </c>
      <c r="S38" s="3" t="s">
        <v>429</v>
      </c>
      <c r="T38" s="4">
        <v>333</v>
      </c>
      <c r="U38" s="4" t="s">
        <v>430</v>
      </c>
      <c r="V38" s="5">
        <v>2040</v>
      </c>
      <c r="W38" s="4" t="s">
        <v>431</v>
      </c>
      <c r="X38" s="5">
        <v>2040</v>
      </c>
      <c r="Y38" s="4">
        <f t="shared" si="2"/>
        <v>755</v>
      </c>
      <c r="Z38" s="4">
        <v>755</v>
      </c>
      <c r="AA38" s="1" t="s">
        <v>432</v>
      </c>
      <c r="AC38" s="1" t="s">
        <v>15</v>
      </c>
      <c r="AD38" s="6">
        <v>46080</v>
      </c>
      <c r="AE38" s="6">
        <v>46125</v>
      </c>
      <c r="AF38" s="1" t="s">
        <v>16</v>
      </c>
    </row>
    <row r="39" spans="1:32" x14ac:dyDescent="0.3">
      <c r="A39" s="1">
        <v>293</v>
      </c>
      <c r="B39" s="2">
        <v>45993.632430555597</v>
      </c>
      <c r="C39" s="1" t="s">
        <v>433</v>
      </c>
      <c r="D39" s="1" t="s">
        <v>434</v>
      </c>
      <c r="E39" s="1" t="s">
        <v>435</v>
      </c>
      <c r="F39" s="1" t="s">
        <v>436</v>
      </c>
      <c r="G39" s="1" t="s">
        <v>4</v>
      </c>
      <c r="H39" s="1" t="s">
        <v>71</v>
      </c>
      <c r="I39" s="1" t="s">
        <v>405</v>
      </c>
      <c r="J39" s="1" t="s">
        <v>405</v>
      </c>
      <c r="K39" s="1">
        <v>583</v>
      </c>
      <c r="L39" s="1">
        <v>4</v>
      </c>
      <c r="M39" s="1" t="s">
        <v>7</v>
      </c>
      <c r="N39" s="1" t="s">
        <v>437</v>
      </c>
      <c r="O39" s="1" t="s">
        <v>438</v>
      </c>
      <c r="P39" s="1" t="s">
        <v>98</v>
      </c>
      <c r="Q39" s="1" t="s">
        <v>439</v>
      </c>
      <c r="R39" s="1" t="s">
        <v>10</v>
      </c>
      <c r="S39" s="3" t="s">
        <v>440</v>
      </c>
      <c r="T39" s="4">
        <v>328</v>
      </c>
      <c r="U39" s="4" t="s">
        <v>332</v>
      </c>
      <c r="V39" s="5">
        <v>2000</v>
      </c>
      <c r="W39" s="4" t="s">
        <v>441</v>
      </c>
      <c r="X39" s="5">
        <v>250</v>
      </c>
      <c r="Y39" s="4">
        <f t="shared" si="2"/>
        <v>2333</v>
      </c>
      <c r="Z39" s="4">
        <v>583</v>
      </c>
      <c r="AA39" s="1" t="s">
        <v>442</v>
      </c>
      <c r="AC39" s="1" t="s">
        <v>15</v>
      </c>
      <c r="AD39" s="6">
        <v>46080</v>
      </c>
      <c r="AE39" s="6">
        <v>46123</v>
      </c>
      <c r="AF39" s="1" t="s">
        <v>16</v>
      </c>
    </row>
    <row r="40" spans="1:32" x14ac:dyDescent="0.3">
      <c r="A40" s="1">
        <v>243</v>
      </c>
      <c r="B40" s="2">
        <v>45985.408738425896</v>
      </c>
      <c r="C40" s="1" t="s">
        <v>443</v>
      </c>
      <c r="D40" s="1" t="s">
        <v>444</v>
      </c>
      <c r="E40" s="1" t="s">
        <v>445</v>
      </c>
      <c r="F40" s="1" t="s">
        <v>446</v>
      </c>
      <c r="G40" s="1" t="s">
        <v>17</v>
      </c>
      <c r="H40" s="1" t="s">
        <v>71</v>
      </c>
      <c r="I40" s="1" t="s">
        <v>405</v>
      </c>
      <c r="J40" s="1" t="s">
        <v>405</v>
      </c>
      <c r="K40" s="1">
        <v>755</v>
      </c>
      <c r="M40" s="1" t="s">
        <v>49</v>
      </c>
      <c r="N40" s="1" t="s">
        <v>447</v>
      </c>
      <c r="O40" s="1" t="s">
        <v>448</v>
      </c>
      <c r="P40" s="1" t="s">
        <v>98</v>
      </c>
      <c r="Q40" s="1" t="s">
        <v>449</v>
      </c>
      <c r="R40" s="1" t="s">
        <v>10</v>
      </c>
      <c r="S40" s="3" t="s">
        <v>450</v>
      </c>
      <c r="T40" s="4">
        <v>324</v>
      </c>
      <c r="U40" s="4" t="s">
        <v>243</v>
      </c>
      <c r="V40" s="5">
        <v>2000</v>
      </c>
      <c r="W40" s="4" t="s">
        <v>115</v>
      </c>
      <c r="X40" s="5">
        <v>1500</v>
      </c>
      <c r="Y40" s="4">
        <f t="shared" si="2"/>
        <v>1255</v>
      </c>
      <c r="AA40" s="1" t="s">
        <v>451</v>
      </c>
      <c r="AC40" s="1" t="s">
        <v>15</v>
      </c>
      <c r="AD40" s="6">
        <v>46080</v>
      </c>
      <c r="AE40" s="6">
        <v>46149</v>
      </c>
      <c r="AF40" s="1" t="s">
        <v>16</v>
      </c>
    </row>
    <row r="41" spans="1:32" x14ac:dyDescent="0.3">
      <c r="A41" s="1">
        <v>244</v>
      </c>
      <c r="B41" s="2">
        <v>45985.762268518498</v>
      </c>
      <c r="C41" s="1" t="s">
        <v>452</v>
      </c>
      <c r="D41" s="1" t="s">
        <v>453</v>
      </c>
      <c r="E41" s="1" t="s">
        <v>454</v>
      </c>
      <c r="F41" s="1" t="s">
        <v>455</v>
      </c>
      <c r="G41" s="1" t="s">
        <v>4</v>
      </c>
      <c r="H41" s="1" t="s">
        <v>71</v>
      </c>
      <c r="I41" s="1" t="s">
        <v>405</v>
      </c>
      <c r="J41" s="1" t="s">
        <v>405</v>
      </c>
      <c r="K41" s="1">
        <v>583</v>
      </c>
      <c r="M41" s="1" t="s">
        <v>7</v>
      </c>
      <c r="N41" s="1" t="s">
        <v>456</v>
      </c>
      <c r="O41" s="1" t="s">
        <v>141</v>
      </c>
      <c r="P41" s="1" t="s">
        <v>9</v>
      </c>
      <c r="Q41" s="1">
        <v>0</v>
      </c>
      <c r="R41" s="1" t="s">
        <v>10</v>
      </c>
      <c r="S41" s="3" t="s">
        <v>457</v>
      </c>
      <c r="T41" s="4">
        <v>325</v>
      </c>
      <c r="U41" s="4" t="s">
        <v>243</v>
      </c>
      <c r="V41" s="5">
        <v>2000</v>
      </c>
      <c r="W41" s="4" t="s">
        <v>75</v>
      </c>
      <c r="X41" s="5">
        <v>500</v>
      </c>
      <c r="Y41" s="4">
        <f t="shared" si="2"/>
        <v>2083</v>
      </c>
      <c r="AA41" s="1" t="s">
        <v>458</v>
      </c>
      <c r="AC41" s="1" t="s">
        <v>15</v>
      </c>
      <c r="AD41" s="6">
        <v>46080</v>
      </c>
      <c r="AE41" s="6">
        <v>46148</v>
      </c>
      <c r="AF41" s="1" t="s">
        <v>16</v>
      </c>
    </row>
    <row r="42" spans="1:32" x14ac:dyDescent="0.3">
      <c r="A42" s="1">
        <v>536</v>
      </c>
      <c r="B42" s="2">
        <v>46022.831006944398</v>
      </c>
      <c r="C42" s="1" t="s">
        <v>459</v>
      </c>
      <c r="D42" s="1" t="s">
        <v>460</v>
      </c>
      <c r="E42" s="1" t="s">
        <v>461</v>
      </c>
      <c r="F42" s="1" t="s">
        <v>462</v>
      </c>
      <c r="G42" s="1" t="s">
        <v>17</v>
      </c>
      <c r="H42" s="1" t="s">
        <v>71</v>
      </c>
      <c r="I42" s="1" t="s">
        <v>463</v>
      </c>
      <c r="J42" s="1" t="s">
        <v>463</v>
      </c>
      <c r="K42" s="1">
        <v>407</v>
      </c>
      <c r="L42" s="1">
        <v>1</v>
      </c>
      <c r="M42" s="1" t="s">
        <v>20</v>
      </c>
      <c r="N42" s="1" t="s">
        <v>464</v>
      </c>
      <c r="O42" s="1" t="s">
        <v>465</v>
      </c>
      <c r="P42" s="1" t="s">
        <v>9</v>
      </c>
      <c r="Q42" s="1">
        <v>0</v>
      </c>
      <c r="R42" s="1" t="s">
        <v>9</v>
      </c>
      <c r="S42" s="3" t="s">
        <v>466</v>
      </c>
      <c r="T42" s="4">
        <v>355</v>
      </c>
      <c r="U42" s="4" t="s">
        <v>467</v>
      </c>
      <c r="V42" s="5">
        <v>600</v>
      </c>
      <c r="W42" s="4" t="s">
        <v>468</v>
      </c>
      <c r="X42" s="5">
        <v>150</v>
      </c>
      <c r="Y42" s="4">
        <f t="shared" si="2"/>
        <v>857</v>
      </c>
      <c r="Z42" s="4">
        <v>407</v>
      </c>
      <c r="AA42" s="1" t="s">
        <v>469</v>
      </c>
      <c r="AB42" s="1" t="s">
        <v>56</v>
      </c>
      <c r="AC42" s="1" t="s">
        <v>15</v>
      </c>
      <c r="AD42" s="6">
        <v>46080</v>
      </c>
      <c r="AE42" s="6">
        <v>46080</v>
      </c>
      <c r="AF42" s="1" t="s">
        <v>16</v>
      </c>
    </row>
    <row r="43" spans="1:32" x14ac:dyDescent="0.3">
      <c r="A43" s="1">
        <v>483</v>
      </c>
      <c r="B43" s="2">
        <v>46021.886909722198</v>
      </c>
      <c r="C43" s="1" t="s">
        <v>470</v>
      </c>
      <c r="D43" s="1" t="s">
        <v>471</v>
      </c>
      <c r="E43" s="1" t="s">
        <v>472</v>
      </c>
      <c r="F43" s="1" t="s">
        <v>473</v>
      </c>
      <c r="G43" s="1" t="s">
        <v>4</v>
      </c>
      <c r="H43" s="1" t="s">
        <v>71</v>
      </c>
      <c r="I43" s="1" t="s">
        <v>463</v>
      </c>
      <c r="J43" s="1" t="s">
        <v>463</v>
      </c>
      <c r="K43" s="1">
        <v>407</v>
      </c>
      <c r="L43" s="1">
        <v>2</v>
      </c>
      <c r="M43" s="1" t="s">
        <v>20</v>
      </c>
      <c r="N43" s="1" t="s">
        <v>474</v>
      </c>
      <c r="O43" s="1" t="s">
        <v>475</v>
      </c>
      <c r="P43" s="1" t="s">
        <v>9</v>
      </c>
      <c r="Q43" s="1">
        <v>0</v>
      </c>
      <c r="R43" s="1" t="s">
        <v>9</v>
      </c>
      <c r="S43" s="3" t="s">
        <v>476</v>
      </c>
      <c r="T43" s="4">
        <v>343</v>
      </c>
      <c r="U43" s="4" t="s">
        <v>477</v>
      </c>
      <c r="V43" s="5">
        <v>450</v>
      </c>
      <c r="W43" s="4" t="s">
        <v>128</v>
      </c>
      <c r="X43" s="5">
        <v>100</v>
      </c>
      <c r="Y43" s="4">
        <f t="shared" si="2"/>
        <v>757</v>
      </c>
      <c r="Z43" s="4">
        <v>407</v>
      </c>
      <c r="AA43" s="1" t="s">
        <v>478</v>
      </c>
      <c r="AB43" s="1" t="s">
        <v>56</v>
      </c>
      <c r="AC43" s="1" t="s">
        <v>15</v>
      </c>
      <c r="AD43" s="6">
        <v>46080</v>
      </c>
      <c r="AE43" s="6">
        <v>46083</v>
      </c>
      <c r="AF43" s="1" t="s">
        <v>16</v>
      </c>
    </row>
    <row r="44" spans="1:32" x14ac:dyDescent="0.3">
      <c r="A44" s="1">
        <v>547</v>
      </c>
      <c r="B44" s="2">
        <v>46022.029502314799</v>
      </c>
      <c r="C44" s="1" t="s">
        <v>479</v>
      </c>
      <c r="D44" s="1" t="s">
        <v>480</v>
      </c>
      <c r="E44" s="1" t="s">
        <v>481</v>
      </c>
      <c r="F44" s="1" t="s">
        <v>482</v>
      </c>
      <c r="G44" s="1" t="s">
        <v>17</v>
      </c>
      <c r="H44" s="1" t="s">
        <v>71</v>
      </c>
      <c r="I44" s="1" t="s">
        <v>463</v>
      </c>
      <c r="J44" s="1" t="s">
        <v>463</v>
      </c>
      <c r="K44" s="1">
        <v>407</v>
      </c>
      <c r="L44" s="1">
        <v>3</v>
      </c>
      <c r="M44" s="1" t="s">
        <v>20</v>
      </c>
      <c r="N44" s="1" t="s">
        <v>189</v>
      </c>
      <c r="O44" s="1" t="s">
        <v>475</v>
      </c>
      <c r="P44" s="1" t="s">
        <v>9</v>
      </c>
      <c r="Q44" s="1">
        <v>0</v>
      </c>
      <c r="R44" s="1" t="s">
        <v>9</v>
      </c>
      <c r="S44" s="3" t="s">
        <v>483</v>
      </c>
      <c r="T44" s="4">
        <v>350</v>
      </c>
      <c r="U44" s="4" t="s">
        <v>484</v>
      </c>
      <c r="V44" s="5">
        <v>500</v>
      </c>
      <c r="W44" s="4" t="s">
        <v>76</v>
      </c>
      <c r="X44" s="5">
        <v>100</v>
      </c>
      <c r="Y44" s="4">
        <f t="shared" si="2"/>
        <v>807</v>
      </c>
      <c r="Z44" s="4">
        <v>407</v>
      </c>
      <c r="AA44" s="1" t="s">
        <v>485</v>
      </c>
      <c r="AB44" s="1" t="s">
        <v>56</v>
      </c>
      <c r="AC44" s="1" t="s">
        <v>15</v>
      </c>
      <c r="AD44" s="6">
        <v>46080</v>
      </c>
      <c r="AE44" s="6">
        <v>46090</v>
      </c>
      <c r="AF44" s="1" t="s">
        <v>16</v>
      </c>
    </row>
    <row r="45" spans="1:32" x14ac:dyDescent="0.3">
      <c r="A45" s="1">
        <v>537</v>
      </c>
      <c r="B45" s="2">
        <v>46022.8364814815</v>
      </c>
      <c r="C45" s="1" t="s">
        <v>486</v>
      </c>
      <c r="D45" s="1" t="s">
        <v>487</v>
      </c>
      <c r="E45" s="1" t="s">
        <v>488</v>
      </c>
      <c r="F45" s="1" t="s">
        <v>489</v>
      </c>
      <c r="G45" s="1" t="s">
        <v>4</v>
      </c>
      <c r="H45" s="1" t="s">
        <v>47</v>
      </c>
      <c r="I45" s="1" t="s">
        <v>463</v>
      </c>
      <c r="J45" s="1" t="s">
        <v>463</v>
      </c>
      <c r="K45" s="1">
        <v>407</v>
      </c>
      <c r="L45" s="1">
        <v>4</v>
      </c>
      <c r="M45" s="1" t="s">
        <v>20</v>
      </c>
      <c r="N45" s="1" t="s">
        <v>490</v>
      </c>
      <c r="O45" s="1" t="s">
        <v>491</v>
      </c>
      <c r="P45" s="1" t="s">
        <v>9</v>
      </c>
      <c r="Q45" s="1">
        <v>0</v>
      </c>
      <c r="R45" s="1" t="s">
        <v>9</v>
      </c>
      <c r="S45" s="3" t="s">
        <v>492</v>
      </c>
      <c r="T45" s="4">
        <v>356</v>
      </c>
      <c r="U45" s="4" t="s">
        <v>493</v>
      </c>
      <c r="V45" s="5">
        <v>700</v>
      </c>
      <c r="W45" s="4" t="s">
        <v>494</v>
      </c>
      <c r="X45" s="5">
        <v>150</v>
      </c>
      <c r="Y45" s="4">
        <f t="shared" si="2"/>
        <v>957</v>
      </c>
      <c r="Z45" s="4">
        <v>407</v>
      </c>
      <c r="AA45" s="1" t="s">
        <v>495</v>
      </c>
      <c r="AB45" s="1" t="s">
        <v>56</v>
      </c>
      <c r="AC45" s="1" t="s">
        <v>15</v>
      </c>
      <c r="AD45" s="6">
        <v>46080</v>
      </c>
      <c r="AE45" s="6">
        <v>46083</v>
      </c>
      <c r="AF45" s="1" t="s">
        <v>16</v>
      </c>
    </row>
    <row r="46" spans="1:32" x14ac:dyDescent="0.3">
      <c r="A46" s="1">
        <v>742</v>
      </c>
      <c r="B46" s="2">
        <v>46062.287453703699</v>
      </c>
      <c r="C46" s="1" t="s">
        <v>496</v>
      </c>
      <c r="D46" s="1" t="s">
        <v>497</v>
      </c>
      <c r="E46" s="1" t="s">
        <v>498</v>
      </c>
      <c r="F46" s="1" t="s">
        <v>499</v>
      </c>
      <c r="G46" s="1" t="s">
        <v>17</v>
      </c>
      <c r="H46" s="1" t="s">
        <v>47</v>
      </c>
      <c r="I46" s="1" t="s">
        <v>463</v>
      </c>
      <c r="J46" s="1" t="s">
        <v>463</v>
      </c>
      <c r="K46" s="1">
        <v>814</v>
      </c>
      <c r="L46" s="1">
        <v>5</v>
      </c>
      <c r="M46" s="1" t="s">
        <v>49</v>
      </c>
      <c r="N46" s="1" t="s">
        <v>500</v>
      </c>
      <c r="O46" s="1" t="s">
        <v>501</v>
      </c>
      <c r="P46" s="1" t="s">
        <v>98</v>
      </c>
      <c r="Q46" s="1" t="s">
        <v>502</v>
      </c>
      <c r="R46" s="1" t="s">
        <v>10</v>
      </c>
      <c r="S46" s="3" t="s">
        <v>211</v>
      </c>
      <c r="T46" s="4">
        <v>649</v>
      </c>
      <c r="U46" s="4" t="s">
        <v>503</v>
      </c>
      <c r="V46" s="5" t="s">
        <v>504</v>
      </c>
      <c r="W46" s="4" t="s">
        <v>505</v>
      </c>
      <c r="X46" s="5">
        <v>400</v>
      </c>
      <c r="Y46" s="4">
        <f t="shared" si="2"/>
        <v>1054</v>
      </c>
      <c r="Z46" s="1">
        <v>814</v>
      </c>
      <c r="AA46" s="1" t="s">
        <v>506</v>
      </c>
      <c r="AB46" s="1" t="s">
        <v>56</v>
      </c>
      <c r="AC46" s="1" t="s">
        <v>15</v>
      </c>
      <c r="AD46" s="6">
        <v>46080</v>
      </c>
      <c r="AE46" s="6">
        <v>46092</v>
      </c>
      <c r="AF46" s="1" t="s">
        <v>16</v>
      </c>
    </row>
    <row r="47" spans="1:32" x14ac:dyDescent="0.3">
      <c r="A47" s="1">
        <v>493</v>
      </c>
      <c r="B47" s="2">
        <v>46022.016562500001</v>
      </c>
      <c r="C47" s="1" t="s">
        <v>507</v>
      </c>
      <c r="D47" s="1" t="s">
        <v>508</v>
      </c>
      <c r="E47" s="1" t="s">
        <v>509</v>
      </c>
      <c r="F47" s="1" t="s">
        <v>510</v>
      </c>
      <c r="G47" s="1" t="s">
        <v>4</v>
      </c>
      <c r="H47" s="1" t="s">
        <v>71</v>
      </c>
      <c r="I47" s="1" t="s">
        <v>463</v>
      </c>
      <c r="J47" s="1" t="s">
        <v>463</v>
      </c>
      <c r="K47" s="1">
        <v>407</v>
      </c>
      <c r="L47" s="1">
        <v>6</v>
      </c>
      <c r="M47" s="1" t="s">
        <v>20</v>
      </c>
      <c r="N47" s="1" t="s">
        <v>189</v>
      </c>
      <c r="O47" s="1" t="s">
        <v>511</v>
      </c>
      <c r="P47" s="1" t="s">
        <v>9</v>
      </c>
      <c r="Q47" s="1">
        <v>0</v>
      </c>
      <c r="R47" s="1" t="s">
        <v>9</v>
      </c>
      <c r="S47" s="3" t="s">
        <v>512</v>
      </c>
      <c r="T47" s="4">
        <v>349</v>
      </c>
      <c r="U47" s="4" t="s">
        <v>513</v>
      </c>
      <c r="V47" s="5">
        <v>300</v>
      </c>
      <c r="W47" s="4" t="s">
        <v>76</v>
      </c>
      <c r="X47" s="5">
        <v>100</v>
      </c>
      <c r="Y47" s="4">
        <f t="shared" si="2"/>
        <v>607</v>
      </c>
      <c r="Z47" s="1">
        <v>407</v>
      </c>
      <c r="AA47" s="1" t="s">
        <v>514</v>
      </c>
      <c r="AC47" s="1" t="s">
        <v>15</v>
      </c>
      <c r="AD47" s="6">
        <v>46080</v>
      </c>
      <c r="AE47" s="6">
        <v>46125</v>
      </c>
      <c r="AF47" s="1" t="s">
        <v>16</v>
      </c>
    </row>
    <row r="48" spans="1:32" x14ac:dyDescent="0.3">
      <c r="A48" s="1">
        <v>484</v>
      </c>
      <c r="B48" s="2">
        <v>46021.908888888902</v>
      </c>
      <c r="C48" s="1" t="s">
        <v>527</v>
      </c>
      <c r="D48" s="1" t="s">
        <v>528</v>
      </c>
      <c r="E48" s="1" t="s">
        <v>529</v>
      </c>
      <c r="F48" s="1" t="s">
        <v>530</v>
      </c>
      <c r="G48" s="1" t="s">
        <v>4</v>
      </c>
      <c r="H48" s="1" t="s">
        <v>71</v>
      </c>
      <c r="I48" s="1" t="s">
        <v>463</v>
      </c>
      <c r="J48" s="1" t="s">
        <v>463</v>
      </c>
      <c r="K48" s="1">
        <v>407</v>
      </c>
      <c r="L48" s="1">
        <v>7</v>
      </c>
      <c r="M48" s="1" t="s">
        <v>20</v>
      </c>
      <c r="N48" s="1" t="s">
        <v>474</v>
      </c>
      <c r="O48" s="1" t="s">
        <v>531</v>
      </c>
      <c r="P48" s="1" t="s">
        <v>9</v>
      </c>
      <c r="Q48" s="1">
        <v>0</v>
      </c>
      <c r="R48" s="1" t="s">
        <v>9</v>
      </c>
      <c r="S48" s="3" t="s">
        <v>532</v>
      </c>
      <c r="T48" s="4">
        <v>344</v>
      </c>
      <c r="U48" s="4" t="s">
        <v>533</v>
      </c>
      <c r="V48" s="5">
        <v>450</v>
      </c>
      <c r="W48" s="4" t="s">
        <v>516</v>
      </c>
      <c r="X48" s="5">
        <v>100</v>
      </c>
      <c r="Y48" s="4">
        <f t="shared" si="2"/>
        <v>757</v>
      </c>
      <c r="Z48" s="1">
        <v>407</v>
      </c>
      <c r="AA48" s="1" t="s">
        <v>534</v>
      </c>
      <c r="AC48" s="1" t="s">
        <v>15</v>
      </c>
      <c r="AD48" s="6">
        <v>46080</v>
      </c>
      <c r="AE48" s="6">
        <v>46148</v>
      </c>
      <c r="AF48" s="1" t="s">
        <v>16</v>
      </c>
    </row>
    <row r="49" spans="1:32" x14ac:dyDescent="0.3">
      <c r="A49" s="1">
        <v>490</v>
      </c>
      <c r="B49" s="2">
        <v>46021.977384259299</v>
      </c>
      <c r="C49" s="1" t="s">
        <v>535</v>
      </c>
      <c r="D49" s="1" t="s">
        <v>536</v>
      </c>
      <c r="E49" s="1" t="s">
        <v>537</v>
      </c>
      <c r="F49" s="1" t="s">
        <v>538</v>
      </c>
      <c r="G49" s="1" t="s">
        <v>4</v>
      </c>
      <c r="H49" s="1" t="s">
        <v>71</v>
      </c>
      <c r="I49" s="1" t="s">
        <v>463</v>
      </c>
      <c r="J49" s="1" t="s">
        <v>463</v>
      </c>
      <c r="K49" s="1">
        <v>407</v>
      </c>
      <c r="L49" s="1">
        <v>8</v>
      </c>
      <c r="M49" s="1" t="s">
        <v>20</v>
      </c>
      <c r="N49" s="1" t="s">
        <v>539</v>
      </c>
      <c r="O49" s="1" t="s">
        <v>511</v>
      </c>
      <c r="P49" s="1" t="s">
        <v>9</v>
      </c>
      <c r="Q49" s="1">
        <v>0</v>
      </c>
      <c r="R49" s="1" t="s">
        <v>9</v>
      </c>
      <c r="S49" s="3" t="s">
        <v>540</v>
      </c>
      <c r="T49" s="4">
        <v>346</v>
      </c>
      <c r="U49" s="4" t="s">
        <v>513</v>
      </c>
      <c r="V49" s="5">
        <v>300</v>
      </c>
      <c r="W49" s="4" t="s">
        <v>76</v>
      </c>
      <c r="X49" s="5">
        <v>100</v>
      </c>
      <c r="Y49" s="4">
        <f t="shared" si="2"/>
        <v>607</v>
      </c>
      <c r="Z49" s="1">
        <v>407</v>
      </c>
      <c r="AA49" s="1" t="s">
        <v>541</v>
      </c>
      <c r="AC49" s="1" t="s">
        <v>15</v>
      </c>
      <c r="AD49" s="6">
        <v>46080</v>
      </c>
      <c r="AE49" s="6">
        <v>46125</v>
      </c>
      <c r="AF49" s="1" t="s">
        <v>16</v>
      </c>
    </row>
    <row r="50" spans="1:32" x14ac:dyDescent="0.3">
      <c r="A50" s="1">
        <v>545</v>
      </c>
      <c r="B50" s="2">
        <v>46022.921435185199</v>
      </c>
      <c r="C50" s="1" t="s">
        <v>542</v>
      </c>
      <c r="D50" s="1" t="s">
        <v>543</v>
      </c>
      <c r="E50" s="1" t="s">
        <v>544</v>
      </c>
      <c r="F50" s="1" t="s">
        <v>545</v>
      </c>
      <c r="G50" s="1" t="s">
        <v>4</v>
      </c>
      <c r="H50" s="1" t="s">
        <v>71</v>
      </c>
      <c r="I50" s="1" t="s">
        <v>463</v>
      </c>
      <c r="J50" s="1" t="s">
        <v>463</v>
      </c>
      <c r="K50" s="1">
        <v>407</v>
      </c>
      <c r="L50" s="1">
        <v>9</v>
      </c>
      <c r="M50" s="1" t="s">
        <v>20</v>
      </c>
      <c r="N50" s="1" t="s">
        <v>474</v>
      </c>
      <c r="O50" s="1" t="s">
        <v>213</v>
      </c>
      <c r="P50" s="1" t="s">
        <v>9</v>
      </c>
      <c r="Q50" s="1">
        <v>0</v>
      </c>
      <c r="R50" s="1" t="s">
        <v>9</v>
      </c>
      <c r="S50" s="3" t="s">
        <v>546</v>
      </c>
      <c r="T50" s="4">
        <v>359</v>
      </c>
      <c r="U50" s="4" t="s">
        <v>547</v>
      </c>
      <c r="V50" s="5">
        <v>300</v>
      </c>
      <c r="W50" s="4" t="s">
        <v>128</v>
      </c>
      <c r="X50" s="5">
        <v>100</v>
      </c>
      <c r="Y50" s="4">
        <f t="shared" si="2"/>
        <v>607</v>
      </c>
      <c r="Z50" s="1">
        <v>407</v>
      </c>
      <c r="AA50" s="1" t="s">
        <v>548</v>
      </c>
      <c r="AC50" s="1" t="s">
        <v>15</v>
      </c>
      <c r="AD50" s="6">
        <v>46080</v>
      </c>
      <c r="AE50" s="6">
        <v>46122</v>
      </c>
      <c r="AF50" s="1" t="s">
        <v>16</v>
      </c>
    </row>
    <row r="51" spans="1:32" x14ac:dyDescent="0.3">
      <c r="A51" s="1">
        <v>526</v>
      </c>
      <c r="B51" s="2">
        <v>46022.715023148201</v>
      </c>
      <c r="C51" s="1" t="s">
        <v>549</v>
      </c>
      <c r="D51" s="1" t="s">
        <v>550</v>
      </c>
      <c r="E51" s="1" t="s">
        <v>551</v>
      </c>
      <c r="F51" s="1" t="s">
        <v>499</v>
      </c>
      <c r="G51" s="1" t="s">
        <v>4</v>
      </c>
      <c r="H51" s="1" t="s">
        <v>71</v>
      </c>
      <c r="I51" s="1" t="s">
        <v>463</v>
      </c>
      <c r="J51" s="1" t="s">
        <v>463</v>
      </c>
      <c r="K51" s="1">
        <v>407</v>
      </c>
      <c r="L51" s="1">
        <v>10</v>
      </c>
      <c r="M51" s="1" t="s">
        <v>552</v>
      </c>
      <c r="N51" s="1" t="s">
        <v>553</v>
      </c>
      <c r="O51" s="1" t="s">
        <v>554</v>
      </c>
      <c r="P51" s="1" t="s">
        <v>9</v>
      </c>
      <c r="Q51" s="1">
        <v>0</v>
      </c>
      <c r="R51" s="1" t="s">
        <v>9</v>
      </c>
      <c r="S51" s="3" t="s">
        <v>555</v>
      </c>
      <c r="T51" s="4">
        <v>353</v>
      </c>
      <c r="U51" s="4" t="s">
        <v>75</v>
      </c>
      <c r="V51" s="5">
        <v>500</v>
      </c>
      <c r="W51" s="4" t="s">
        <v>556</v>
      </c>
      <c r="X51" s="5">
        <v>250</v>
      </c>
      <c r="Y51" s="4">
        <f t="shared" si="2"/>
        <v>657</v>
      </c>
      <c r="Z51" s="1">
        <v>407</v>
      </c>
      <c r="AA51" s="1" t="s">
        <v>557</v>
      </c>
      <c r="AC51" s="1" t="s">
        <v>15</v>
      </c>
      <c r="AD51" s="6">
        <v>46080</v>
      </c>
      <c r="AE51" s="6">
        <v>46124</v>
      </c>
      <c r="AF51" s="1" t="s">
        <v>16</v>
      </c>
    </row>
    <row r="52" spans="1:32" x14ac:dyDescent="0.3">
      <c r="A52" s="1">
        <v>472</v>
      </c>
      <c r="B52" s="2">
        <v>46021.633240740703</v>
      </c>
      <c r="C52" s="1" t="s">
        <v>558</v>
      </c>
      <c r="D52" s="1" t="s">
        <v>559</v>
      </c>
      <c r="E52" s="1" t="s">
        <v>560</v>
      </c>
      <c r="F52" s="1" t="s">
        <v>561</v>
      </c>
      <c r="G52" s="1" t="s">
        <v>17</v>
      </c>
      <c r="H52" s="1" t="s">
        <v>71</v>
      </c>
      <c r="I52" s="1" t="s">
        <v>463</v>
      </c>
      <c r="J52" s="1" t="s">
        <v>463</v>
      </c>
      <c r="K52" s="1">
        <v>407</v>
      </c>
      <c r="L52" s="1">
        <v>11</v>
      </c>
      <c r="M52" s="1" t="s">
        <v>20</v>
      </c>
      <c r="N52" s="1" t="s">
        <v>189</v>
      </c>
      <c r="O52" s="1" t="s">
        <v>531</v>
      </c>
      <c r="P52" s="1" t="s">
        <v>9</v>
      </c>
      <c r="Q52" s="1">
        <v>0</v>
      </c>
      <c r="R52" s="1" t="s">
        <v>9</v>
      </c>
      <c r="S52" s="3" t="s">
        <v>562</v>
      </c>
      <c r="T52" s="4">
        <v>338</v>
      </c>
      <c r="U52" s="4" t="s">
        <v>547</v>
      </c>
      <c r="V52" s="5">
        <v>300</v>
      </c>
      <c r="W52" s="4" t="s">
        <v>128</v>
      </c>
      <c r="X52" s="5">
        <v>100</v>
      </c>
      <c r="Y52" s="4">
        <f t="shared" si="2"/>
        <v>607</v>
      </c>
      <c r="Z52" s="1">
        <v>407</v>
      </c>
      <c r="AA52" s="1" t="s">
        <v>563</v>
      </c>
      <c r="AC52" s="1" t="s">
        <v>15</v>
      </c>
      <c r="AD52" s="6">
        <v>46080</v>
      </c>
      <c r="AE52" s="6">
        <v>46123</v>
      </c>
      <c r="AF52" s="1" t="s">
        <v>16</v>
      </c>
    </row>
    <row r="53" spans="1:32" x14ac:dyDescent="0.3">
      <c r="A53" s="1">
        <v>487</v>
      </c>
      <c r="B53" s="2">
        <v>46021.8809259259</v>
      </c>
      <c r="C53" s="1" t="s">
        <v>564</v>
      </c>
      <c r="D53" s="1" t="s">
        <v>565</v>
      </c>
      <c r="E53" s="1" t="s">
        <v>566</v>
      </c>
      <c r="F53" s="1" t="s">
        <v>567</v>
      </c>
      <c r="G53" s="1" t="s">
        <v>17</v>
      </c>
      <c r="H53" s="1" t="s">
        <v>71</v>
      </c>
      <c r="I53" s="1" t="s">
        <v>463</v>
      </c>
      <c r="J53" s="1" t="s">
        <v>463</v>
      </c>
      <c r="K53" s="1">
        <v>407</v>
      </c>
      <c r="L53" s="1">
        <v>12</v>
      </c>
      <c r="M53" s="1" t="s">
        <v>20</v>
      </c>
      <c r="N53" s="1" t="s">
        <v>474</v>
      </c>
      <c r="O53" s="1" t="s">
        <v>511</v>
      </c>
      <c r="P53" s="1" t="s">
        <v>9</v>
      </c>
      <c r="Q53" s="1">
        <v>0</v>
      </c>
      <c r="R53" s="1" t="s">
        <v>9</v>
      </c>
      <c r="S53" s="3" t="s">
        <v>568</v>
      </c>
      <c r="T53" s="4">
        <v>341</v>
      </c>
      <c r="U53" s="4" t="s">
        <v>513</v>
      </c>
      <c r="V53" s="5">
        <v>300</v>
      </c>
      <c r="W53" s="4" t="s">
        <v>76</v>
      </c>
      <c r="X53" s="5">
        <v>100</v>
      </c>
      <c r="Y53" s="4">
        <f t="shared" si="2"/>
        <v>607</v>
      </c>
      <c r="Z53" s="1">
        <v>407</v>
      </c>
      <c r="AA53" s="1" t="s">
        <v>569</v>
      </c>
      <c r="AC53" s="1" t="s">
        <v>15</v>
      </c>
      <c r="AD53" s="6">
        <v>46080</v>
      </c>
      <c r="AE53" s="6">
        <v>46122</v>
      </c>
      <c r="AF53" s="1" t="s">
        <v>16</v>
      </c>
    </row>
    <row r="54" spans="1:32" x14ac:dyDescent="0.3">
      <c r="A54" s="1">
        <v>471</v>
      </c>
      <c r="B54" s="2">
        <v>46021.612962963001</v>
      </c>
      <c r="C54" s="1" t="s">
        <v>570</v>
      </c>
      <c r="D54" s="1" t="s">
        <v>571</v>
      </c>
      <c r="E54" s="1" t="s">
        <v>572</v>
      </c>
      <c r="F54" s="1" t="s">
        <v>573</v>
      </c>
      <c r="G54" s="1" t="s">
        <v>17</v>
      </c>
      <c r="H54" s="1" t="s">
        <v>71</v>
      </c>
      <c r="I54" s="1" t="s">
        <v>463</v>
      </c>
      <c r="J54" s="1" t="s">
        <v>463</v>
      </c>
      <c r="K54" s="1">
        <v>407</v>
      </c>
      <c r="L54" s="1">
        <v>13</v>
      </c>
      <c r="M54" s="1" t="s">
        <v>20</v>
      </c>
      <c r="N54" s="1" t="s">
        <v>574</v>
      </c>
      <c r="O54" s="1" t="s">
        <v>575</v>
      </c>
      <c r="P54" s="1" t="s">
        <v>9</v>
      </c>
      <c r="Q54" s="1">
        <v>0</v>
      </c>
      <c r="R54" s="1" t="s">
        <v>9</v>
      </c>
      <c r="S54" s="3" t="s">
        <v>576</v>
      </c>
      <c r="T54" s="4">
        <v>336</v>
      </c>
      <c r="U54" s="4" t="s">
        <v>513</v>
      </c>
      <c r="V54" s="5">
        <v>300</v>
      </c>
      <c r="W54" s="4" t="s">
        <v>76</v>
      </c>
      <c r="X54" s="5">
        <v>100</v>
      </c>
      <c r="Y54" s="4">
        <f t="shared" si="2"/>
        <v>607</v>
      </c>
      <c r="Z54" s="1">
        <v>407</v>
      </c>
      <c r="AA54" s="1" t="s">
        <v>577</v>
      </c>
      <c r="AC54" s="1" t="s">
        <v>15</v>
      </c>
      <c r="AD54" s="6">
        <v>46080</v>
      </c>
      <c r="AE54" s="6">
        <v>46122</v>
      </c>
      <c r="AF54" s="1" t="s">
        <v>16</v>
      </c>
    </row>
    <row r="55" spans="1:32" x14ac:dyDescent="0.3">
      <c r="A55" s="1">
        <v>566</v>
      </c>
      <c r="B55" s="2">
        <v>46023.983692129601</v>
      </c>
      <c r="C55" s="1" t="s">
        <v>578</v>
      </c>
      <c r="D55" s="1" t="s">
        <v>579</v>
      </c>
      <c r="E55" s="1" t="s">
        <v>580</v>
      </c>
      <c r="F55" s="1" t="s">
        <v>581</v>
      </c>
      <c r="G55" s="1" t="s">
        <v>17</v>
      </c>
      <c r="H55" s="1" t="s">
        <v>71</v>
      </c>
      <c r="I55" s="1" t="s">
        <v>463</v>
      </c>
      <c r="J55" s="1" t="s">
        <v>463</v>
      </c>
      <c r="K55" s="1">
        <v>407</v>
      </c>
      <c r="L55" s="1">
        <v>14</v>
      </c>
      <c r="M55" s="1" t="s">
        <v>20</v>
      </c>
      <c r="N55" s="1" t="s">
        <v>474</v>
      </c>
      <c r="O55" s="1" t="s">
        <v>213</v>
      </c>
      <c r="P55" s="1" t="s">
        <v>9</v>
      </c>
      <c r="Q55" s="1">
        <v>0</v>
      </c>
      <c r="R55" s="1" t="s">
        <v>9</v>
      </c>
      <c r="S55" s="3" t="s">
        <v>582</v>
      </c>
      <c r="T55" s="4">
        <v>361</v>
      </c>
      <c r="U55" s="4" t="s">
        <v>409</v>
      </c>
      <c r="V55" s="5">
        <v>200</v>
      </c>
      <c r="W55" s="4" t="s">
        <v>409</v>
      </c>
      <c r="X55" s="5">
        <v>200</v>
      </c>
      <c r="Y55" s="4">
        <f t="shared" si="2"/>
        <v>407</v>
      </c>
      <c r="Z55" s="1">
        <v>407</v>
      </c>
      <c r="AA55" s="1" t="s">
        <v>583</v>
      </c>
      <c r="AC55" s="1" t="s">
        <v>15</v>
      </c>
      <c r="AD55" s="6">
        <v>46080</v>
      </c>
      <c r="AE55" s="6">
        <v>46122</v>
      </c>
      <c r="AF55" s="1" t="s">
        <v>16</v>
      </c>
    </row>
    <row r="56" spans="1:32" x14ac:dyDescent="0.3">
      <c r="A56" s="1">
        <v>478</v>
      </c>
      <c r="B56" s="2">
        <v>46021.831215277802</v>
      </c>
      <c r="C56" s="1" t="s">
        <v>584</v>
      </c>
      <c r="D56" s="1" t="s">
        <v>585</v>
      </c>
      <c r="E56" s="1" t="s">
        <v>586</v>
      </c>
      <c r="F56" s="1" t="s">
        <v>587</v>
      </c>
      <c r="G56" s="1" t="s">
        <v>17</v>
      </c>
      <c r="H56" s="1" t="s">
        <v>71</v>
      </c>
      <c r="I56" s="1" t="s">
        <v>463</v>
      </c>
      <c r="J56" s="1" t="s">
        <v>463</v>
      </c>
      <c r="K56" s="1">
        <v>407</v>
      </c>
      <c r="L56" s="1">
        <v>15</v>
      </c>
      <c r="M56" s="1" t="s">
        <v>20</v>
      </c>
      <c r="N56" s="1" t="s">
        <v>189</v>
      </c>
      <c r="O56" s="1" t="s">
        <v>588</v>
      </c>
      <c r="P56" s="1" t="s">
        <v>9</v>
      </c>
      <c r="Q56" s="1">
        <v>0</v>
      </c>
      <c r="R56" s="1" t="s">
        <v>9</v>
      </c>
      <c r="S56" s="3" t="s">
        <v>589</v>
      </c>
      <c r="T56" s="4">
        <v>339</v>
      </c>
      <c r="U56" s="4" t="s">
        <v>590</v>
      </c>
      <c r="V56" s="5" t="s">
        <v>194</v>
      </c>
      <c r="W56" s="4" t="s">
        <v>128</v>
      </c>
      <c r="X56" s="5">
        <v>100</v>
      </c>
      <c r="Y56" s="4">
        <f t="shared" si="2"/>
        <v>1307</v>
      </c>
      <c r="Z56" s="1">
        <v>407</v>
      </c>
      <c r="AA56" s="1" t="s">
        <v>591</v>
      </c>
      <c r="AC56" s="1" t="s">
        <v>15</v>
      </c>
      <c r="AD56" s="6">
        <v>46080</v>
      </c>
      <c r="AE56" s="6">
        <v>46123</v>
      </c>
      <c r="AF56" s="1" t="s">
        <v>16</v>
      </c>
    </row>
    <row r="57" spans="1:32" x14ac:dyDescent="0.3">
      <c r="A57" s="1">
        <v>650</v>
      </c>
      <c r="B57" s="2">
        <v>46048.375868055598</v>
      </c>
      <c r="C57" s="1" t="s">
        <v>592</v>
      </c>
      <c r="D57" s="1" t="s">
        <v>593</v>
      </c>
      <c r="E57" s="1" t="s">
        <v>594</v>
      </c>
      <c r="F57" s="1" t="s">
        <v>595</v>
      </c>
      <c r="G57" s="1" t="s">
        <v>17</v>
      </c>
      <c r="H57" s="1" t="s">
        <v>596</v>
      </c>
      <c r="I57" s="1" t="s">
        <v>463</v>
      </c>
      <c r="J57" s="1" t="s">
        <v>463</v>
      </c>
      <c r="K57" s="1">
        <v>814</v>
      </c>
      <c r="L57" s="1">
        <v>16</v>
      </c>
      <c r="M57" s="1" t="s">
        <v>49</v>
      </c>
      <c r="N57" s="1" t="s">
        <v>500</v>
      </c>
      <c r="O57" s="1" t="s">
        <v>597</v>
      </c>
      <c r="P57" s="1" t="s">
        <v>9</v>
      </c>
      <c r="Q57" s="1">
        <v>0</v>
      </c>
      <c r="R57" s="1" t="s">
        <v>10</v>
      </c>
      <c r="S57" s="3" t="s">
        <v>598</v>
      </c>
      <c r="T57" s="4">
        <v>1067</v>
      </c>
      <c r="U57" s="4" t="s">
        <v>523</v>
      </c>
      <c r="V57" s="5">
        <v>2500</v>
      </c>
      <c r="W57" s="4" t="s">
        <v>12</v>
      </c>
      <c r="X57" s="5">
        <v>1000</v>
      </c>
      <c r="Y57" s="4">
        <f t="shared" si="2"/>
        <v>2314</v>
      </c>
      <c r="Z57" s="1">
        <v>814</v>
      </c>
      <c r="AA57" s="1" t="s">
        <v>599</v>
      </c>
      <c r="AC57" s="1" t="s">
        <v>15</v>
      </c>
      <c r="AD57" s="6">
        <v>46080</v>
      </c>
      <c r="AE57" s="6">
        <v>46122</v>
      </c>
      <c r="AF57" s="1" t="s">
        <v>16</v>
      </c>
    </row>
    <row r="58" spans="1:32" x14ac:dyDescent="0.3">
      <c r="A58" s="1">
        <v>549</v>
      </c>
      <c r="B58" s="2">
        <v>46022.970902777801</v>
      </c>
      <c r="C58" s="1" t="s">
        <v>600</v>
      </c>
      <c r="D58" s="1" t="s">
        <v>601</v>
      </c>
      <c r="E58" s="1" t="s">
        <v>602</v>
      </c>
      <c r="F58" s="1" t="s">
        <v>603</v>
      </c>
      <c r="G58" s="1" t="s">
        <v>4</v>
      </c>
      <c r="H58" s="1" t="s">
        <v>71</v>
      </c>
      <c r="I58" s="1" t="s">
        <v>463</v>
      </c>
      <c r="J58" s="1" t="s">
        <v>463</v>
      </c>
      <c r="K58" s="1">
        <v>407</v>
      </c>
      <c r="L58" s="1">
        <v>17</v>
      </c>
      <c r="M58" s="1" t="s">
        <v>20</v>
      </c>
      <c r="N58" s="1" t="s">
        <v>604</v>
      </c>
      <c r="O58" s="1" t="s">
        <v>605</v>
      </c>
      <c r="P58" s="1" t="s">
        <v>9</v>
      </c>
      <c r="Q58" s="1">
        <v>0</v>
      </c>
      <c r="R58" s="1" t="s">
        <v>9</v>
      </c>
      <c r="S58" s="3" t="s">
        <v>606</v>
      </c>
      <c r="T58" s="4">
        <v>360</v>
      </c>
      <c r="U58" s="4" t="s">
        <v>517</v>
      </c>
      <c r="V58" s="5">
        <v>330</v>
      </c>
      <c r="W58" s="4" t="s">
        <v>76</v>
      </c>
      <c r="X58" s="5">
        <v>100</v>
      </c>
      <c r="Y58" s="4">
        <f t="shared" si="2"/>
        <v>637</v>
      </c>
      <c r="Z58" s="1">
        <v>407</v>
      </c>
      <c r="AA58" s="1" t="s">
        <v>607</v>
      </c>
      <c r="AC58" s="1" t="s">
        <v>15</v>
      </c>
      <c r="AD58" s="6">
        <v>46080</v>
      </c>
      <c r="AE58" s="6">
        <v>46125</v>
      </c>
      <c r="AF58" s="1" t="s">
        <v>16</v>
      </c>
    </row>
    <row r="59" spans="1:32" x14ac:dyDescent="0.3">
      <c r="A59" s="1">
        <v>470</v>
      </c>
      <c r="B59" s="2">
        <v>46021.619965277801</v>
      </c>
      <c r="C59" s="1" t="s">
        <v>608</v>
      </c>
      <c r="D59" s="1" t="s">
        <v>609</v>
      </c>
      <c r="E59" s="1" t="s">
        <v>610</v>
      </c>
      <c r="F59" s="1" t="s">
        <v>611</v>
      </c>
      <c r="G59" s="1" t="s">
        <v>4</v>
      </c>
      <c r="H59" s="1" t="s">
        <v>71</v>
      </c>
      <c r="I59" s="1" t="s">
        <v>463</v>
      </c>
      <c r="J59" s="1" t="s">
        <v>463</v>
      </c>
      <c r="K59" s="1">
        <v>407</v>
      </c>
      <c r="M59" s="1" t="s">
        <v>20</v>
      </c>
      <c r="N59" s="1" t="s">
        <v>189</v>
      </c>
      <c r="O59" s="1" t="s">
        <v>465</v>
      </c>
      <c r="P59" s="1" t="s">
        <v>9</v>
      </c>
      <c r="Q59" s="1">
        <v>0</v>
      </c>
      <c r="R59" s="1" t="s">
        <v>9</v>
      </c>
      <c r="S59" s="3" t="s">
        <v>612</v>
      </c>
      <c r="T59" s="4">
        <v>337</v>
      </c>
      <c r="U59" s="4" t="s">
        <v>420</v>
      </c>
      <c r="V59" s="5">
        <v>50</v>
      </c>
      <c r="W59" s="4" t="s">
        <v>420</v>
      </c>
      <c r="X59" s="5">
        <v>50</v>
      </c>
      <c r="Y59" s="4">
        <f t="shared" si="2"/>
        <v>407</v>
      </c>
      <c r="AA59" s="1" t="s">
        <v>613</v>
      </c>
      <c r="AC59" s="1" t="s">
        <v>614</v>
      </c>
      <c r="AD59" s="6">
        <v>46080</v>
      </c>
      <c r="AE59" s="6">
        <v>46151</v>
      </c>
      <c r="AF59" s="1" t="s">
        <v>16</v>
      </c>
    </row>
    <row r="60" spans="1:32" x14ac:dyDescent="0.3">
      <c r="A60" s="1">
        <v>481</v>
      </c>
      <c r="B60" s="2">
        <v>46021.847083333298</v>
      </c>
      <c r="C60" s="1" t="s">
        <v>615</v>
      </c>
      <c r="D60" s="1" t="s">
        <v>616</v>
      </c>
      <c r="E60" s="1" t="s">
        <v>617</v>
      </c>
      <c r="F60" s="1" t="s">
        <v>618</v>
      </c>
      <c r="G60" s="1" t="s">
        <v>17</v>
      </c>
      <c r="H60" s="1" t="s">
        <v>71</v>
      </c>
      <c r="I60" s="1" t="s">
        <v>463</v>
      </c>
      <c r="J60" s="1" t="s">
        <v>463</v>
      </c>
      <c r="K60" s="1">
        <v>407</v>
      </c>
      <c r="M60" s="1" t="s">
        <v>20</v>
      </c>
      <c r="N60" s="1" t="s">
        <v>474</v>
      </c>
      <c r="O60" s="1" t="s">
        <v>213</v>
      </c>
      <c r="P60" s="1" t="s">
        <v>9</v>
      </c>
      <c r="Q60" s="1">
        <v>0</v>
      </c>
      <c r="R60" s="1" t="s">
        <v>177</v>
      </c>
      <c r="S60" s="3" t="s">
        <v>619</v>
      </c>
      <c r="T60" s="4">
        <v>340</v>
      </c>
      <c r="U60" s="4" t="s">
        <v>620</v>
      </c>
      <c r="V60" s="5">
        <v>800</v>
      </c>
      <c r="W60" s="4" t="s">
        <v>621</v>
      </c>
      <c r="X60" s="5">
        <v>60</v>
      </c>
      <c r="Y60" s="4">
        <f t="shared" si="2"/>
        <v>1147</v>
      </c>
      <c r="AA60" s="1" t="s">
        <v>622</v>
      </c>
      <c r="AC60" s="1" t="s">
        <v>15</v>
      </c>
      <c r="AD60" s="6">
        <v>46080</v>
      </c>
      <c r="AE60" s="6">
        <v>46148</v>
      </c>
      <c r="AF60" s="1" t="s">
        <v>16</v>
      </c>
    </row>
    <row r="61" spans="1:32" x14ac:dyDescent="0.3">
      <c r="A61" s="1">
        <v>489</v>
      </c>
      <c r="B61" s="2">
        <v>46021.9665046296</v>
      </c>
      <c r="C61" s="1" t="s">
        <v>623</v>
      </c>
      <c r="D61" s="1" t="s">
        <v>624</v>
      </c>
      <c r="E61" s="1" t="s">
        <v>625</v>
      </c>
      <c r="F61" s="1" t="s">
        <v>626</v>
      </c>
      <c r="G61" s="1" t="s">
        <v>17</v>
      </c>
      <c r="H61" s="1" t="s">
        <v>71</v>
      </c>
      <c r="I61" s="1" t="s">
        <v>463</v>
      </c>
      <c r="J61" s="1" t="s">
        <v>463</v>
      </c>
      <c r="K61" s="1">
        <v>407</v>
      </c>
      <c r="M61" s="1" t="s">
        <v>20</v>
      </c>
      <c r="N61" s="1" t="s">
        <v>604</v>
      </c>
      <c r="O61" s="1" t="s">
        <v>511</v>
      </c>
      <c r="P61" s="1" t="s">
        <v>9</v>
      </c>
      <c r="Q61" s="1">
        <v>0</v>
      </c>
      <c r="R61" s="1" t="s">
        <v>9</v>
      </c>
      <c r="S61" s="3" t="s">
        <v>627</v>
      </c>
      <c r="T61" s="4">
        <v>345</v>
      </c>
      <c r="U61" s="4" t="s">
        <v>513</v>
      </c>
      <c r="V61" s="5">
        <v>300</v>
      </c>
      <c r="W61" s="4" t="s">
        <v>76</v>
      </c>
      <c r="X61" s="5">
        <v>100</v>
      </c>
      <c r="Y61" s="4">
        <f t="shared" si="2"/>
        <v>607</v>
      </c>
      <c r="AA61" s="1" t="s">
        <v>628</v>
      </c>
      <c r="AC61" s="1" t="s">
        <v>15</v>
      </c>
      <c r="AD61" s="6">
        <v>46080</v>
      </c>
      <c r="AE61" s="6">
        <v>46151</v>
      </c>
      <c r="AF61" s="1" t="s">
        <v>16</v>
      </c>
    </row>
    <row r="62" spans="1:32" x14ac:dyDescent="0.3">
      <c r="A62" s="1">
        <v>492</v>
      </c>
      <c r="B62" s="2">
        <v>46022.0011689815</v>
      </c>
      <c r="C62" s="1" t="s">
        <v>629</v>
      </c>
      <c r="D62" s="1" t="s">
        <v>630</v>
      </c>
      <c r="E62" s="1" t="s">
        <v>631</v>
      </c>
      <c r="F62" s="1" t="s">
        <v>632</v>
      </c>
      <c r="G62" s="1" t="s">
        <v>4</v>
      </c>
      <c r="H62" s="1" t="s">
        <v>71</v>
      </c>
      <c r="I62" s="1" t="s">
        <v>463</v>
      </c>
      <c r="J62" s="1" t="s">
        <v>463</v>
      </c>
      <c r="K62" s="1">
        <v>407</v>
      </c>
      <c r="M62" s="1" t="s">
        <v>20</v>
      </c>
      <c r="N62" s="1" t="s">
        <v>633</v>
      </c>
      <c r="O62" s="1" t="s">
        <v>634</v>
      </c>
      <c r="P62" s="1" t="s">
        <v>9</v>
      </c>
      <c r="Q62" s="1">
        <v>0</v>
      </c>
      <c r="R62" s="1" t="s">
        <v>9</v>
      </c>
      <c r="S62" s="3" t="s">
        <v>635</v>
      </c>
      <c r="T62" s="4">
        <v>348</v>
      </c>
      <c r="U62" s="4" t="s">
        <v>520</v>
      </c>
      <c r="V62" s="5">
        <v>300</v>
      </c>
      <c r="W62" s="4" t="s">
        <v>516</v>
      </c>
      <c r="X62" s="5">
        <v>100</v>
      </c>
      <c r="Y62" s="4">
        <f t="shared" si="2"/>
        <v>607</v>
      </c>
      <c r="AA62" s="1" t="s">
        <v>636</v>
      </c>
      <c r="AC62" s="1" t="s">
        <v>15</v>
      </c>
      <c r="AD62" s="6">
        <v>46080</v>
      </c>
      <c r="AE62" s="6">
        <v>46149</v>
      </c>
      <c r="AF62" s="1" t="s">
        <v>16</v>
      </c>
    </row>
    <row r="63" spans="1:32" x14ac:dyDescent="0.3">
      <c r="A63" s="1">
        <v>511</v>
      </c>
      <c r="B63" s="2">
        <v>46021.886712963002</v>
      </c>
      <c r="C63" s="1" t="s">
        <v>637</v>
      </c>
      <c r="D63" s="1" t="s">
        <v>638</v>
      </c>
      <c r="E63" s="1" t="s">
        <v>639</v>
      </c>
      <c r="F63" s="1" t="s">
        <v>640</v>
      </c>
      <c r="G63" s="1" t="s">
        <v>17</v>
      </c>
      <c r="H63" s="1" t="s">
        <v>71</v>
      </c>
      <c r="I63" s="1" t="s">
        <v>463</v>
      </c>
      <c r="J63" s="1" t="s">
        <v>463</v>
      </c>
      <c r="K63" s="1">
        <v>407</v>
      </c>
      <c r="M63" s="1" t="s">
        <v>20</v>
      </c>
      <c r="N63" s="1" t="s">
        <v>641</v>
      </c>
      <c r="O63" s="1" t="s">
        <v>213</v>
      </c>
      <c r="P63" s="1" t="s">
        <v>9</v>
      </c>
      <c r="Q63" s="1">
        <v>0</v>
      </c>
      <c r="R63" s="1" t="s">
        <v>9</v>
      </c>
      <c r="S63" s="3" t="s">
        <v>642</v>
      </c>
      <c r="T63" s="4">
        <v>342</v>
      </c>
      <c r="U63" s="4" t="s">
        <v>400</v>
      </c>
      <c r="V63" s="5">
        <v>200</v>
      </c>
      <c r="W63" s="4" t="s">
        <v>400</v>
      </c>
      <c r="X63" s="5">
        <v>200</v>
      </c>
      <c r="Y63" s="4">
        <f t="shared" si="2"/>
        <v>407</v>
      </c>
      <c r="AA63" s="1" t="s">
        <v>643</v>
      </c>
      <c r="AC63" s="1" t="s">
        <v>15</v>
      </c>
      <c r="AD63" s="6">
        <v>46080</v>
      </c>
      <c r="AE63" s="6">
        <v>46148</v>
      </c>
      <c r="AF63" s="1" t="s">
        <v>16</v>
      </c>
    </row>
    <row r="64" spans="1:32" x14ac:dyDescent="0.3">
      <c r="A64" s="1">
        <v>512</v>
      </c>
      <c r="B64" s="2">
        <v>46022.417453703703</v>
      </c>
      <c r="C64" s="1" t="s">
        <v>644</v>
      </c>
      <c r="D64" s="1" t="s">
        <v>645</v>
      </c>
      <c r="E64" s="1" t="s">
        <v>646</v>
      </c>
      <c r="F64" s="1" t="s">
        <v>647</v>
      </c>
      <c r="G64" s="1" t="s">
        <v>4</v>
      </c>
      <c r="H64" s="1" t="s">
        <v>71</v>
      </c>
      <c r="I64" s="1" t="s">
        <v>463</v>
      </c>
      <c r="J64" s="1" t="s">
        <v>463</v>
      </c>
      <c r="K64" s="1">
        <v>407</v>
      </c>
      <c r="M64" s="1" t="s">
        <v>20</v>
      </c>
      <c r="N64" s="1" t="s">
        <v>648</v>
      </c>
      <c r="O64" s="1" t="s">
        <v>634</v>
      </c>
      <c r="P64" s="1" t="s">
        <v>9</v>
      </c>
      <c r="Q64" s="1">
        <v>0</v>
      </c>
      <c r="R64" s="1" t="s">
        <v>9</v>
      </c>
      <c r="S64" s="3" t="s">
        <v>649</v>
      </c>
      <c r="T64" s="4">
        <v>351</v>
      </c>
      <c r="U64" s="4" t="s">
        <v>520</v>
      </c>
      <c r="V64" s="5">
        <v>300</v>
      </c>
      <c r="W64" s="4" t="s">
        <v>516</v>
      </c>
      <c r="X64" s="5">
        <v>100</v>
      </c>
      <c r="Y64" s="4">
        <f t="shared" si="2"/>
        <v>607</v>
      </c>
      <c r="AA64" s="1" t="s">
        <v>650</v>
      </c>
      <c r="AC64" s="1" t="s">
        <v>15</v>
      </c>
      <c r="AD64" s="6">
        <v>46080</v>
      </c>
      <c r="AE64" s="6">
        <v>46151</v>
      </c>
      <c r="AF64" s="1" t="s">
        <v>16</v>
      </c>
    </row>
    <row r="65" spans="1:32" x14ac:dyDescent="0.3">
      <c r="A65" s="1">
        <v>519</v>
      </c>
      <c r="B65" s="2">
        <v>46022.646655092598</v>
      </c>
      <c r="C65" s="1" t="s">
        <v>651</v>
      </c>
      <c r="D65" s="1" t="s">
        <v>652</v>
      </c>
      <c r="E65" s="1" t="s">
        <v>653</v>
      </c>
      <c r="F65" s="1" t="s">
        <v>654</v>
      </c>
      <c r="G65" s="1" t="s">
        <v>17</v>
      </c>
      <c r="H65" s="1" t="s">
        <v>71</v>
      </c>
      <c r="I65" s="1" t="s">
        <v>463</v>
      </c>
      <c r="J65" s="1" t="s">
        <v>463</v>
      </c>
      <c r="K65" s="1">
        <v>407</v>
      </c>
      <c r="M65" s="1" t="s">
        <v>20</v>
      </c>
      <c r="N65" s="1" t="s">
        <v>655</v>
      </c>
      <c r="O65" s="1" t="s">
        <v>634</v>
      </c>
      <c r="P65" s="1" t="s">
        <v>9</v>
      </c>
      <c r="Q65" s="1">
        <v>0</v>
      </c>
      <c r="R65" s="1" t="s">
        <v>9</v>
      </c>
      <c r="S65" s="3" t="s">
        <v>656</v>
      </c>
      <c r="T65" s="4">
        <v>352</v>
      </c>
      <c r="U65" s="4" t="s">
        <v>657</v>
      </c>
      <c r="V65" s="5">
        <v>300</v>
      </c>
      <c r="W65" s="4" t="s">
        <v>658</v>
      </c>
      <c r="X65" s="5" t="s">
        <v>659</v>
      </c>
      <c r="Y65" s="4">
        <f t="shared" si="2"/>
        <v>557</v>
      </c>
      <c r="AA65" s="1" t="s">
        <v>660</v>
      </c>
      <c r="AC65" s="1" t="s">
        <v>15</v>
      </c>
      <c r="AD65" s="6">
        <v>46080</v>
      </c>
      <c r="AE65" s="6">
        <v>46148</v>
      </c>
      <c r="AF65" s="1" t="s">
        <v>16</v>
      </c>
    </row>
    <row r="66" spans="1:32" x14ac:dyDescent="0.3">
      <c r="A66" s="1">
        <v>535</v>
      </c>
      <c r="B66" s="2">
        <v>46022.815405092602</v>
      </c>
      <c r="C66" s="1" t="s">
        <v>661</v>
      </c>
      <c r="D66" s="1" t="s">
        <v>662</v>
      </c>
      <c r="E66" s="1" t="s">
        <v>663</v>
      </c>
      <c r="F66" s="1" t="s">
        <v>664</v>
      </c>
      <c r="G66" s="1" t="s">
        <v>4</v>
      </c>
      <c r="H66" s="1" t="s">
        <v>71</v>
      </c>
      <c r="I66" s="1" t="s">
        <v>463</v>
      </c>
      <c r="J66" s="1" t="s">
        <v>463</v>
      </c>
      <c r="K66" s="1">
        <v>407</v>
      </c>
      <c r="M66" s="1" t="s">
        <v>20</v>
      </c>
      <c r="N66" s="1" t="s">
        <v>665</v>
      </c>
      <c r="O66" s="1" t="s">
        <v>666</v>
      </c>
      <c r="P66" s="1" t="s">
        <v>9</v>
      </c>
      <c r="Q66" s="1">
        <v>0</v>
      </c>
      <c r="R66" s="1" t="s">
        <v>9</v>
      </c>
      <c r="S66" s="3" t="s">
        <v>667</v>
      </c>
      <c r="T66" s="4">
        <v>354</v>
      </c>
      <c r="U66" s="4" t="s">
        <v>520</v>
      </c>
      <c r="V66" s="5">
        <v>300</v>
      </c>
      <c r="W66" s="4" t="s">
        <v>516</v>
      </c>
      <c r="X66" s="5">
        <v>100</v>
      </c>
      <c r="Y66" s="4">
        <f t="shared" si="2"/>
        <v>607</v>
      </c>
      <c r="AA66" s="1" t="s">
        <v>668</v>
      </c>
      <c r="AC66" s="1" t="s">
        <v>15</v>
      </c>
      <c r="AD66" s="6">
        <v>46080</v>
      </c>
      <c r="AE66" s="6">
        <v>46151</v>
      </c>
      <c r="AF66" s="1" t="s">
        <v>16</v>
      </c>
    </row>
    <row r="67" spans="1:32" x14ac:dyDescent="0.3">
      <c r="A67" s="18">
        <v>570</v>
      </c>
      <c r="B67" s="19">
        <v>46024.979571759301</v>
      </c>
      <c r="C67" s="1" t="s">
        <v>669</v>
      </c>
      <c r="D67" s="1" t="s">
        <v>670</v>
      </c>
      <c r="E67" s="1" t="s">
        <v>671</v>
      </c>
      <c r="F67" s="1" t="s">
        <v>672</v>
      </c>
      <c r="G67" s="20" t="s">
        <v>4</v>
      </c>
      <c r="H67" s="20" t="s">
        <v>71</v>
      </c>
      <c r="I67" s="20" t="s">
        <v>463</v>
      </c>
      <c r="J67" s="1" t="s">
        <v>463</v>
      </c>
      <c r="K67" s="1">
        <v>814</v>
      </c>
      <c r="M67" s="20" t="s">
        <v>49</v>
      </c>
      <c r="N67" s="20" t="s">
        <v>673</v>
      </c>
      <c r="O67" s="20" t="s">
        <v>465</v>
      </c>
      <c r="P67" s="20" t="s">
        <v>9</v>
      </c>
      <c r="Q67" s="1">
        <v>0</v>
      </c>
      <c r="R67" s="20" t="s">
        <v>9</v>
      </c>
      <c r="S67" s="21" t="s">
        <v>674</v>
      </c>
      <c r="T67" s="4">
        <v>363</v>
      </c>
      <c r="U67" s="22" t="s">
        <v>75</v>
      </c>
      <c r="V67" s="5">
        <v>500</v>
      </c>
      <c r="W67" s="22" t="s">
        <v>675</v>
      </c>
      <c r="X67" s="5">
        <v>450</v>
      </c>
      <c r="Y67" s="4">
        <f t="shared" si="2"/>
        <v>864</v>
      </c>
      <c r="AA67" s="20" t="s">
        <v>676</v>
      </c>
      <c r="AC67" s="1" t="s">
        <v>614</v>
      </c>
      <c r="AD67" s="6">
        <v>46080</v>
      </c>
      <c r="AE67" s="6">
        <v>46148</v>
      </c>
      <c r="AF67" s="1" t="s">
        <v>16</v>
      </c>
    </row>
    <row r="68" spans="1:32" x14ac:dyDescent="0.3">
      <c r="A68" s="1">
        <v>571</v>
      </c>
      <c r="B68" s="2">
        <v>46024.963958333297</v>
      </c>
      <c r="C68" s="1" t="s">
        <v>677</v>
      </c>
      <c r="D68" s="1" t="s">
        <v>678</v>
      </c>
      <c r="E68" s="1" t="s">
        <v>679</v>
      </c>
      <c r="F68" s="1" t="s">
        <v>680</v>
      </c>
      <c r="G68" s="1" t="s">
        <v>17</v>
      </c>
      <c r="H68" s="1" t="s">
        <v>71</v>
      </c>
      <c r="I68" s="1" t="s">
        <v>463</v>
      </c>
      <c r="J68" s="1" t="s">
        <v>463</v>
      </c>
      <c r="K68" s="1">
        <v>814</v>
      </c>
      <c r="M68" s="1" t="s">
        <v>49</v>
      </c>
      <c r="N68" s="1" t="s">
        <v>681</v>
      </c>
      <c r="O68" s="1" t="s">
        <v>465</v>
      </c>
      <c r="P68" s="1" t="s">
        <v>9</v>
      </c>
      <c r="Q68" s="1">
        <v>0</v>
      </c>
      <c r="R68" s="1" t="s">
        <v>10</v>
      </c>
      <c r="S68" s="3" t="s">
        <v>682</v>
      </c>
      <c r="T68" s="4">
        <v>362</v>
      </c>
      <c r="U68" s="4" t="s">
        <v>75</v>
      </c>
      <c r="V68" s="5">
        <v>500</v>
      </c>
      <c r="W68" s="4" t="s">
        <v>675</v>
      </c>
      <c r="X68" s="5">
        <v>450</v>
      </c>
      <c r="Y68" s="4">
        <f t="shared" si="2"/>
        <v>864</v>
      </c>
      <c r="AA68" s="1" t="s">
        <v>683</v>
      </c>
      <c r="AC68" s="1" t="s">
        <v>15</v>
      </c>
      <c r="AD68" s="6">
        <v>46080</v>
      </c>
      <c r="AE68" s="6">
        <v>46148</v>
      </c>
      <c r="AF68" s="1" t="s">
        <v>16</v>
      </c>
    </row>
    <row r="69" spans="1:32" x14ac:dyDescent="0.3">
      <c r="A69" s="18">
        <v>477</v>
      </c>
      <c r="B69" s="19">
        <v>46021.691192129598</v>
      </c>
      <c r="C69" s="1" t="s">
        <v>684</v>
      </c>
      <c r="D69" s="1" t="s">
        <v>685</v>
      </c>
      <c r="E69" s="1" t="s">
        <v>686</v>
      </c>
      <c r="F69" s="1" t="s">
        <v>687</v>
      </c>
      <c r="G69" s="1" t="s">
        <v>17</v>
      </c>
      <c r="H69" s="1" t="s">
        <v>47</v>
      </c>
      <c r="I69" s="1" t="s">
        <v>688</v>
      </c>
      <c r="J69" s="1" t="s">
        <v>688</v>
      </c>
      <c r="K69" s="1">
        <v>814</v>
      </c>
      <c r="L69" s="1">
        <v>1</v>
      </c>
      <c r="M69" s="1" t="s">
        <v>49</v>
      </c>
      <c r="N69" s="1" t="s">
        <v>689</v>
      </c>
      <c r="O69" s="1" t="s">
        <v>42</v>
      </c>
      <c r="P69" s="1" t="s">
        <v>9</v>
      </c>
      <c r="Q69" s="1">
        <v>0</v>
      </c>
      <c r="R69" s="1" t="s">
        <v>10</v>
      </c>
      <c r="S69" s="3" t="s">
        <v>690</v>
      </c>
      <c r="T69" s="4">
        <v>364</v>
      </c>
      <c r="U69" s="4" t="s">
        <v>166</v>
      </c>
      <c r="V69" s="5">
        <v>2500</v>
      </c>
      <c r="W69" s="4" t="s">
        <v>332</v>
      </c>
      <c r="X69" s="5">
        <v>2000</v>
      </c>
      <c r="Y69" s="4">
        <f t="shared" si="2"/>
        <v>1314</v>
      </c>
      <c r="Z69" s="4">
        <v>814</v>
      </c>
      <c r="AA69" s="1" t="s">
        <v>691</v>
      </c>
      <c r="AB69" s="1" t="s">
        <v>56</v>
      </c>
      <c r="AC69" s="1" t="s">
        <v>15</v>
      </c>
      <c r="AD69" s="6">
        <v>46080</v>
      </c>
      <c r="AE69" s="6">
        <v>46094</v>
      </c>
      <c r="AF69" s="1" t="s">
        <v>16</v>
      </c>
    </row>
    <row r="70" spans="1:32" x14ac:dyDescent="0.3">
      <c r="A70" s="1">
        <v>779</v>
      </c>
      <c r="B70" s="2">
        <v>46086.3441087963</v>
      </c>
      <c r="C70" s="11" t="s">
        <v>692</v>
      </c>
      <c r="D70" s="11" t="s">
        <v>693</v>
      </c>
      <c r="E70" s="1" t="s">
        <v>694</v>
      </c>
      <c r="F70" s="1" t="s">
        <v>695</v>
      </c>
      <c r="G70" s="3" t="s">
        <v>17</v>
      </c>
      <c r="H70" s="3" t="s">
        <v>71</v>
      </c>
      <c r="I70" s="3" t="s">
        <v>688</v>
      </c>
      <c r="J70" s="1" t="s">
        <v>688</v>
      </c>
      <c r="K70" s="1">
        <v>755</v>
      </c>
      <c r="L70" s="1">
        <v>2</v>
      </c>
      <c r="M70" s="3" t="s">
        <v>49</v>
      </c>
      <c r="N70" s="7" t="s">
        <v>696</v>
      </c>
      <c r="O70" s="3" t="s">
        <v>697</v>
      </c>
      <c r="P70" s="3" t="s">
        <v>9</v>
      </c>
      <c r="R70" s="3" t="s">
        <v>177</v>
      </c>
      <c r="S70" s="7" t="s">
        <v>698</v>
      </c>
      <c r="T70" s="4">
        <v>666</v>
      </c>
      <c r="U70" s="7" t="s">
        <v>699</v>
      </c>
      <c r="V70" s="5">
        <v>1500</v>
      </c>
      <c r="W70" s="7" t="s">
        <v>400</v>
      </c>
      <c r="X70" s="5">
        <v>200</v>
      </c>
      <c r="Y70" s="4">
        <f t="shared" si="2"/>
        <v>2055</v>
      </c>
      <c r="Z70" s="4">
        <f>K70</f>
        <v>755</v>
      </c>
      <c r="AA70" s="3" t="s">
        <v>700</v>
      </c>
      <c r="AB70" s="1" t="s">
        <v>56</v>
      </c>
      <c r="AC70" s="1" t="s">
        <v>15</v>
      </c>
      <c r="AD70" s="6">
        <v>46098</v>
      </c>
      <c r="AE70" s="6">
        <v>46105</v>
      </c>
      <c r="AF70" s="1" t="s">
        <v>16</v>
      </c>
    </row>
    <row r="71" spans="1:32" x14ac:dyDescent="0.3">
      <c r="A71" s="1">
        <v>448</v>
      </c>
      <c r="B71" s="2">
        <v>46020.356793981497</v>
      </c>
      <c r="C71" s="1" t="s">
        <v>701</v>
      </c>
      <c r="D71" s="1" t="s">
        <v>702</v>
      </c>
      <c r="E71" s="1" t="s">
        <v>703</v>
      </c>
      <c r="F71" s="1" t="s">
        <v>704</v>
      </c>
      <c r="G71" s="1" t="s">
        <v>17</v>
      </c>
      <c r="H71" s="1" t="s">
        <v>47</v>
      </c>
      <c r="I71" s="1" t="s">
        <v>705</v>
      </c>
      <c r="J71" s="1" t="s">
        <v>706</v>
      </c>
      <c r="K71" s="1">
        <v>583</v>
      </c>
      <c r="L71" s="1">
        <v>1</v>
      </c>
      <c r="M71" s="1" t="s">
        <v>7</v>
      </c>
      <c r="N71" s="1" t="s">
        <v>707</v>
      </c>
      <c r="O71" s="1" t="s">
        <v>708</v>
      </c>
      <c r="P71" s="1" t="s">
        <v>98</v>
      </c>
      <c r="Q71" s="1" t="s">
        <v>709</v>
      </c>
      <c r="R71" s="1" t="s">
        <v>10</v>
      </c>
      <c r="S71" s="3" t="s">
        <v>710</v>
      </c>
      <c r="T71" s="4">
        <v>367</v>
      </c>
      <c r="U71" s="4" t="s">
        <v>711</v>
      </c>
      <c r="V71" s="5">
        <v>2945</v>
      </c>
      <c r="W71" s="4" t="s">
        <v>712</v>
      </c>
      <c r="X71" s="5">
        <v>500</v>
      </c>
      <c r="Y71" s="4">
        <f t="shared" si="2"/>
        <v>3028</v>
      </c>
      <c r="Z71" s="4">
        <v>583</v>
      </c>
      <c r="AA71" s="1" t="s">
        <v>713</v>
      </c>
      <c r="AB71" s="1" t="s">
        <v>56</v>
      </c>
      <c r="AC71" s="1" t="s">
        <v>15</v>
      </c>
      <c r="AD71" s="6">
        <v>46080</v>
      </c>
      <c r="AE71" s="6">
        <v>46082</v>
      </c>
      <c r="AF71" s="1" t="s">
        <v>16</v>
      </c>
    </row>
    <row r="72" spans="1:32" x14ac:dyDescent="0.3">
      <c r="A72" s="1">
        <v>87</v>
      </c>
      <c r="B72" s="2">
        <v>45952.577256944445</v>
      </c>
      <c r="C72" s="1" t="s">
        <v>714</v>
      </c>
      <c r="D72" s="1" t="s">
        <v>715</v>
      </c>
      <c r="E72" s="1" t="s">
        <v>716</v>
      </c>
      <c r="F72" s="1" t="s">
        <v>717</v>
      </c>
      <c r="G72" s="1" t="s">
        <v>17</v>
      </c>
      <c r="H72" s="1" t="s">
        <v>47</v>
      </c>
      <c r="I72" s="1" t="s">
        <v>718</v>
      </c>
      <c r="J72" s="1" t="s">
        <v>718</v>
      </c>
      <c r="K72" s="1">
        <v>583</v>
      </c>
      <c r="L72" s="1">
        <v>1</v>
      </c>
      <c r="M72" s="1" t="s">
        <v>7</v>
      </c>
      <c r="N72" s="1" t="s">
        <v>719</v>
      </c>
      <c r="O72" s="1" t="s">
        <v>720</v>
      </c>
      <c r="P72" s="1" t="s">
        <v>98</v>
      </c>
      <c r="Q72" s="1" t="s">
        <v>721</v>
      </c>
      <c r="R72" s="1" t="s">
        <v>10</v>
      </c>
      <c r="S72" s="3" t="s">
        <v>722</v>
      </c>
      <c r="T72" s="4">
        <v>370</v>
      </c>
      <c r="U72" s="4" t="s">
        <v>243</v>
      </c>
      <c r="V72" s="5">
        <v>2000</v>
      </c>
      <c r="W72" s="4" t="s">
        <v>194</v>
      </c>
      <c r="X72" s="5">
        <v>1000</v>
      </c>
      <c r="Y72" s="4">
        <f t="shared" si="2"/>
        <v>1583</v>
      </c>
      <c r="Z72" s="4">
        <v>583</v>
      </c>
      <c r="AA72" s="1" t="s">
        <v>723</v>
      </c>
      <c r="AB72" s="1" t="s">
        <v>56</v>
      </c>
      <c r="AC72" s="1" t="s">
        <v>15</v>
      </c>
      <c r="AD72" s="6">
        <v>46080</v>
      </c>
      <c r="AE72" s="6">
        <v>46086</v>
      </c>
      <c r="AF72" s="1" t="s">
        <v>16</v>
      </c>
    </row>
    <row r="73" spans="1:32" x14ac:dyDescent="0.3">
      <c r="A73" s="1">
        <v>355</v>
      </c>
      <c r="B73" s="2">
        <v>46007.847581018497</v>
      </c>
      <c r="C73" s="1" t="s">
        <v>724</v>
      </c>
      <c r="D73" s="1" t="s">
        <v>725</v>
      </c>
      <c r="E73" s="1" t="s">
        <v>726</v>
      </c>
      <c r="F73" s="1" t="s">
        <v>727</v>
      </c>
      <c r="G73" s="1" t="s">
        <v>4</v>
      </c>
      <c r="H73" s="1" t="s">
        <v>71</v>
      </c>
      <c r="I73" s="1" t="s">
        <v>718</v>
      </c>
      <c r="J73" s="1" t="s">
        <v>718</v>
      </c>
      <c r="K73" s="1">
        <v>319</v>
      </c>
      <c r="L73" s="1">
        <v>2</v>
      </c>
      <c r="M73" s="1" t="s">
        <v>20</v>
      </c>
      <c r="N73" s="1" t="s">
        <v>728</v>
      </c>
      <c r="O73" s="1" t="s">
        <v>729</v>
      </c>
      <c r="P73" s="1" t="s">
        <v>9</v>
      </c>
      <c r="Q73" s="1">
        <v>0</v>
      </c>
      <c r="R73" s="1" t="s">
        <v>10</v>
      </c>
      <c r="S73" s="3" t="s">
        <v>730</v>
      </c>
      <c r="T73" s="4">
        <v>372</v>
      </c>
      <c r="U73" s="4" t="s">
        <v>115</v>
      </c>
      <c r="V73" s="5">
        <v>1500</v>
      </c>
      <c r="W73" s="4" t="s">
        <v>233</v>
      </c>
      <c r="X73" s="5">
        <v>800</v>
      </c>
      <c r="Y73" s="4">
        <f t="shared" si="2"/>
        <v>1019</v>
      </c>
      <c r="Z73" s="4">
        <v>319</v>
      </c>
      <c r="AA73" s="1" t="s">
        <v>731</v>
      </c>
      <c r="AB73" s="1" t="s">
        <v>56</v>
      </c>
      <c r="AC73" s="1" t="s">
        <v>15</v>
      </c>
      <c r="AD73" s="6">
        <v>46080</v>
      </c>
      <c r="AE73" s="6">
        <v>46092</v>
      </c>
      <c r="AF73" s="1" t="s">
        <v>16</v>
      </c>
    </row>
    <row r="74" spans="1:32" x14ac:dyDescent="0.3">
      <c r="A74" s="1">
        <v>106</v>
      </c>
      <c r="B74" s="2">
        <v>45958.453402777799</v>
      </c>
      <c r="C74" s="1" t="s">
        <v>732</v>
      </c>
      <c r="D74" s="1" t="s">
        <v>733</v>
      </c>
      <c r="E74" s="1" t="s">
        <v>734</v>
      </c>
      <c r="F74" s="1" t="s">
        <v>735</v>
      </c>
      <c r="G74" s="1" t="s">
        <v>4</v>
      </c>
      <c r="H74" s="1" t="s">
        <v>71</v>
      </c>
      <c r="I74" s="1" t="s">
        <v>718</v>
      </c>
      <c r="J74" s="1" t="s">
        <v>718</v>
      </c>
      <c r="K74" s="1">
        <v>319</v>
      </c>
      <c r="M74" s="1" t="s">
        <v>20</v>
      </c>
      <c r="N74" s="1" t="s">
        <v>736</v>
      </c>
      <c r="O74" s="1" t="s">
        <v>737</v>
      </c>
      <c r="P74" s="1" t="s">
        <v>9</v>
      </c>
      <c r="Q74" s="1" t="s">
        <v>738</v>
      </c>
      <c r="R74" s="1" t="s">
        <v>10</v>
      </c>
      <c r="S74" s="3" t="s">
        <v>739</v>
      </c>
      <c r="T74" s="4">
        <v>371</v>
      </c>
      <c r="U74" s="4" t="s">
        <v>419</v>
      </c>
      <c r="V74" s="5">
        <v>2000</v>
      </c>
      <c r="W74" s="4" t="s">
        <v>12</v>
      </c>
      <c r="X74" s="5">
        <v>1000</v>
      </c>
      <c r="Y74" s="4">
        <f t="shared" si="2"/>
        <v>1319</v>
      </c>
      <c r="AA74" s="1" t="s">
        <v>740</v>
      </c>
      <c r="AC74" s="1" t="s">
        <v>15</v>
      </c>
      <c r="AD74" s="6">
        <v>46080</v>
      </c>
      <c r="AE74" s="6">
        <v>46161</v>
      </c>
      <c r="AF74" s="1" t="s">
        <v>16</v>
      </c>
    </row>
    <row r="75" spans="1:32" ht="17.399999999999999" x14ac:dyDescent="0.4">
      <c r="A75" s="13">
        <v>868</v>
      </c>
      <c r="B75" s="14">
        <v>46156.678993055597</v>
      </c>
      <c r="C75" s="15" t="s">
        <v>742</v>
      </c>
      <c r="D75" s="15" t="s">
        <v>743</v>
      </c>
      <c r="E75" s="16" t="s">
        <v>744</v>
      </c>
      <c r="F75" s="17" t="s">
        <v>745</v>
      </c>
      <c r="G75" s="15" t="s">
        <v>17</v>
      </c>
      <c r="H75" s="15" t="s">
        <v>71</v>
      </c>
      <c r="I75" s="15" t="s">
        <v>718</v>
      </c>
      <c r="J75" s="15" t="s">
        <v>718</v>
      </c>
      <c r="K75" s="1">
        <v>755</v>
      </c>
      <c r="M75" s="15" t="s">
        <v>49</v>
      </c>
      <c r="N75" s="16" t="s">
        <v>746</v>
      </c>
      <c r="O75" s="15" t="s">
        <v>747</v>
      </c>
      <c r="P75" s="15" t="s">
        <v>9</v>
      </c>
      <c r="Q75" s="16"/>
      <c r="R75" s="15" t="s">
        <v>10</v>
      </c>
      <c r="S75" s="1"/>
      <c r="T75" s="1"/>
      <c r="U75" s="16" t="s">
        <v>748</v>
      </c>
      <c r="V75" s="16" t="s">
        <v>114</v>
      </c>
      <c r="W75" s="16" t="s">
        <v>194</v>
      </c>
      <c r="X75" s="1"/>
      <c r="Y75" s="16"/>
      <c r="Z75" s="16"/>
      <c r="AA75" s="15" t="s">
        <v>749</v>
      </c>
      <c r="AB75" s="15"/>
      <c r="AC75" s="16" t="s">
        <v>15</v>
      </c>
      <c r="AD75" s="16" t="s">
        <v>203</v>
      </c>
      <c r="AE75" s="15" t="s">
        <v>750</v>
      </c>
      <c r="AF75" s="1" t="s">
        <v>16</v>
      </c>
    </row>
    <row r="76" spans="1:32" x14ac:dyDescent="0.3">
      <c r="A76" s="1">
        <v>868</v>
      </c>
      <c r="B76" s="2">
        <v>46156.678993055597</v>
      </c>
      <c r="C76" s="1" t="s">
        <v>742</v>
      </c>
      <c r="D76" s="1" t="s">
        <v>743</v>
      </c>
      <c r="E76" s="1" t="s">
        <v>744</v>
      </c>
      <c r="F76" s="1" t="s">
        <v>745</v>
      </c>
      <c r="G76" s="1" t="s">
        <v>17</v>
      </c>
      <c r="H76" s="1" t="s">
        <v>71</v>
      </c>
      <c r="I76" s="1" t="s">
        <v>718</v>
      </c>
      <c r="J76" s="1" t="s">
        <v>718</v>
      </c>
      <c r="K76" s="1">
        <v>755</v>
      </c>
      <c r="L76" s="1" t="s">
        <v>751</v>
      </c>
      <c r="M76" s="1" t="s">
        <v>49</v>
      </c>
      <c r="N76" s="1" t="s">
        <v>746</v>
      </c>
      <c r="O76" s="1" t="s">
        <v>747</v>
      </c>
      <c r="P76" s="3" t="s">
        <v>9</v>
      </c>
      <c r="Q76" s="4"/>
      <c r="R76" s="4" t="s">
        <v>10</v>
      </c>
      <c r="S76" s="5" t="s">
        <v>748</v>
      </c>
      <c r="T76" s="4" t="s">
        <v>114</v>
      </c>
      <c r="U76" s="5" t="s">
        <v>194</v>
      </c>
      <c r="V76" s="4" t="s">
        <v>749</v>
      </c>
      <c r="X76" s="1"/>
      <c r="Y76" s="1"/>
      <c r="Z76" s="1"/>
      <c r="AC76" s="1" t="s">
        <v>15</v>
      </c>
      <c r="AD76" s="6">
        <v>46161</v>
      </c>
      <c r="AE76" s="6">
        <v>46162</v>
      </c>
      <c r="AF76" s="1" t="s">
        <v>16</v>
      </c>
    </row>
    <row r="77" spans="1:32" x14ac:dyDescent="0.3">
      <c r="A77" s="1">
        <v>657</v>
      </c>
      <c r="B77" s="2">
        <v>46049.651597222197</v>
      </c>
      <c r="C77" s="1" t="s">
        <v>754</v>
      </c>
      <c r="D77" s="1" t="s">
        <v>755</v>
      </c>
      <c r="E77" s="1" t="s">
        <v>756</v>
      </c>
      <c r="F77" s="1" t="s">
        <v>757</v>
      </c>
      <c r="G77" s="1" t="s">
        <v>4</v>
      </c>
      <c r="H77" s="1" t="s">
        <v>71</v>
      </c>
      <c r="I77" s="1" t="s">
        <v>758</v>
      </c>
      <c r="J77" s="1" t="s">
        <v>758</v>
      </c>
      <c r="K77" s="1">
        <v>407</v>
      </c>
      <c r="L77" s="1">
        <v>0</v>
      </c>
      <c r="M77" s="1" t="s">
        <v>759</v>
      </c>
      <c r="N77" s="1" t="s">
        <v>760</v>
      </c>
      <c r="O77" s="1" t="s">
        <v>761</v>
      </c>
      <c r="P77" s="1" t="s">
        <v>9</v>
      </c>
      <c r="Q77" s="1">
        <v>0</v>
      </c>
      <c r="R77" s="1" t="s">
        <v>177</v>
      </c>
      <c r="S77" s="3" t="s">
        <v>762</v>
      </c>
      <c r="T77" s="4">
        <v>649</v>
      </c>
      <c r="U77" s="4" t="s">
        <v>763</v>
      </c>
      <c r="V77" s="5">
        <v>400</v>
      </c>
      <c r="W77" s="4" t="s">
        <v>763</v>
      </c>
      <c r="X77" s="5">
        <v>400</v>
      </c>
      <c r="Y77" s="4">
        <f t="shared" ref="Y77:Y86" si="3">K77+V77-X77</f>
        <v>407</v>
      </c>
      <c r="Z77" s="1">
        <v>407</v>
      </c>
      <c r="AA77" s="1" t="s">
        <v>764</v>
      </c>
      <c r="AC77" s="1" t="s">
        <v>15</v>
      </c>
      <c r="AD77" s="6">
        <v>46080</v>
      </c>
      <c r="AE77" s="6">
        <v>46122</v>
      </c>
      <c r="AF77" s="1" t="s">
        <v>16</v>
      </c>
    </row>
    <row r="78" spans="1:32" x14ac:dyDescent="0.3">
      <c r="A78" s="1">
        <v>689</v>
      </c>
      <c r="B78" s="2">
        <v>46052.438078703701</v>
      </c>
      <c r="C78" s="1" t="s">
        <v>765</v>
      </c>
      <c r="D78" s="1" t="s">
        <v>766</v>
      </c>
      <c r="E78" s="1" t="s">
        <v>767</v>
      </c>
      <c r="F78" s="1" t="s">
        <v>768</v>
      </c>
      <c r="G78" s="1" t="s">
        <v>4</v>
      </c>
      <c r="H78" s="1" t="s">
        <v>228</v>
      </c>
      <c r="I78" s="1" t="s">
        <v>769</v>
      </c>
      <c r="J78" s="1" t="s">
        <v>770</v>
      </c>
      <c r="K78" s="1">
        <v>407</v>
      </c>
      <c r="M78" s="1" t="s">
        <v>771</v>
      </c>
      <c r="N78" s="1" t="s">
        <v>772</v>
      </c>
      <c r="O78" s="1" t="s">
        <v>773</v>
      </c>
      <c r="P78" s="1" t="s">
        <v>9</v>
      </c>
      <c r="Q78" s="1">
        <v>0</v>
      </c>
      <c r="R78" s="1" t="s">
        <v>10</v>
      </c>
      <c r="S78" s="3" t="s">
        <v>377</v>
      </c>
      <c r="T78" s="4">
        <v>464</v>
      </c>
      <c r="U78" s="4" t="s">
        <v>774</v>
      </c>
      <c r="V78" s="5">
        <v>1400</v>
      </c>
      <c r="W78" s="4" t="s">
        <v>75</v>
      </c>
      <c r="X78" s="5">
        <v>500</v>
      </c>
      <c r="Y78" s="4">
        <f t="shared" si="3"/>
        <v>1307</v>
      </c>
      <c r="Z78" s="1">
        <v>407</v>
      </c>
      <c r="AA78" s="1" t="s">
        <v>775</v>
      </c>
      <c r="AC78" s="1" t="s">
        <v>15</v>
      </c>
      <c r="AD78" s="6">
        <v>46080</v>
      </c>
      <c r="AE78" s="6">
        <v>46110</v>
      </c>
      <c r="AF78" s="1" t="s">
        <v>16</v>
      </c>
    </row>
    <row r="79" spans="1:32" x14ac:dyDescent="0.3">
      <c r="A79" s="1">
        <v>62</v>
      </c>
      <c r="B79" s="2">
        <v>45943.584513888891</v>
      </c>
      <c r="C79" s="11" t="s">
        <v>776</v>
      </c>
      <c r="D79" s="11" t="s">
        <v>777</v>
      </c>
      <c r="E79" s="1" t="s">
        <v>778</v>
      </c>
      <c r="F79" s="1" t="s">
        <v>779</v>
      </c>
      <c r="G79" s="1" t="s">
        <v>4</v>
      </c>
      <c r="H79" s="1" t="s">
        <v>47</v>
      </c>
      <c r="I79" s="1" t="s">
        <v>780</v>
      </c>
      <c r="J79" s="1" t="s">
        <v>780</v>
      </c>
      <c r="K79" s="1">
        <v>583</v>
      </c>
      <c r="L79" s="1">
        <v>2</v>
      </c>
      <c r="M79" s="1" t="s">
        <v>20</v>
      </c>
      <c r="N79" s="1" t="s">
        <v>781</v>
      </c>
      <c r="O79" s="1" t="s">
        <v>782</v>
      </c>
      <c r="P79" s="1" t="s">
        <v>9</v>
      </c>
      <c r="R79" s="1" t="s">
        <v>10</v>
      </c>
      <c r="S79" s="7" t="s">
        <v>783</v>
      </c>
      <c r="T79" s="4">
        <v>373</v>
      </c>
      <c r="U79" s="1" t="s">
        <v>784</v>
      </c>
      <c r="V79" s="5">
        <v>433</v>
      </c>
      <c r="W79" s="1" t="s">
        <v>785</v>
      </c>
      <c r="X79" s="5">
        <v>300</v>
      </c>
      <c r="Y79" s="4">
        <f t="shared" si="3"/>
        <v>716</v>
      </c>
      <c r="Z79" s="4">
        <f>K79</f>
        <v>583</v>
      </c>
      <c r="AA79" s="1" t="s">
        <v>786</v>
      </c>
      <c r="AB79" s="1" t="s">
        <v>56</v>
      </c>
      <c r="AC79" s="1" t="s">
        <v>15</v>
      </c>
      <c r="AD79" s="6">
        <v>46098</v>
      </c>
      <c r="AE79" s="6">
        <v>46103</v>
      </c>
      <c r="AF79" s="1" t="s">
        <v>16</v>
      </c>
    </row>
    <row r="80" spans="1:32" x14ac:dyDescent="0.3">
      <c r="A80" s="1">
        <v>171</v>
      </c>
      <c r="B80" s="2">
        <v>45982.583611111098</v>
      </c>
      <c r="C80" s="11" t="s">
        <v>787</v>
      </c>
      <c r="D80" s="11" t="s">
        <v>788</v>
      </c>
      <c r="E80" s="1" t="s">
        <v>789</v>
      </c>
      <c r="F80" s="1" t="s">
        <v>790</v>
      </c>
      <c r="J80" s="1" t="s">
        <v>780</v>
      </c>
      <c r="K80" s="1">
        <v>583</v>
      </c>
      <c r="L80" s="1">
        <v>1</v>
      </c>
      <c r="M80" s="3" t="s">
        <v>7</v>
      </c>
      <c r="N80" s="3" t="s">
        <v>791</v>
      </c>
      <c r="O80" s="3" t="s">
        <v>792</v>
      </c>
      <c r="P80" s="3" t="s">
        <v>9</v>
      </c>
      <c r="R80" s="3" t="s">
        <v>10</v>
      </c>
      <c r="S80" s="7" t="s">
        <v>468</v>
      </c>
      <c r="T80" s="4">
        <v>150</v>
      </c>
      <c r="U80" s="7" t="s">
        <v>523</v>
      </c>
      <c r="V80" s="5">
        <v>2500</v>
      </c>
      <c r="W80" s="7" t="s">
        <v>712</v>
      </c>
      <c r="X80" s="5">
        <v>500</v>
      </c>
      <c r="Y80" s="4">
        <f t="shared" si="3"/>
        <v>2583</v>
      </c>
      <c r="Z80" s="4">
        <f>K80</f>
        <v>583</v>
      </c>
      <c r="AA80" s="3" t="s">
        <v>793</v>
      </c>
      <c r="AB80" s="1" t="s">
        <v>56</v>
      </c>
      <c r="AC80" s="1" t="s">
        <v>15</v>
      </c>
      <c r="AD80" s="6">
        <v>46098</v>
      </c>
      <c r="AE80" s="6">
        <v>46100</v>
      </c>
      <c r="AF80" s="1" t="s">
        <v>16</v>
      </c>
    </row>
    <row r="81" spans="1:32" x14ac:dyDescent="0.3">
      <c r="A81" s="1">
        <v>773</v>
      </c>
      <c r="B81" s="2">
        <v>46084.140439814801</v>
      </c>
      <c r="C81" s="11" t="s">
        <v>794</v>
      </c>
      <c r="D81" s="11" t="s">
        <v>795</v>
      </c>
      <c r="E81" s="1" t="s">
        <v>796</v>
      </c>
      <c r="F81" s="1" t="s">
        <v>797</v>
      </c>
      <c r="G81" s="3" t="s">
        <v>17</v>
      </c>
      <c r="H81" s="3" t="s">
        <v>47</v>
      </c>
      <c r="I81" s="3" t="s">
        <v>798</v>
      </c>
      <c r="J81" s="11" t="s">
        <v>798</v>
      </c>
      <c r="K81" s="1">
        <v>583</v>
      </c>
      <c r="L81" s="1">
        <v>1</v>
      </c>
      <c r="M81" s="3" t="s">
        <v>49</v>
      </c>
      <c r="N81" s="7" t="s">
        <v>799</v>
      </c>
      <c r="O81" s="3" t="s">
        <v>800</v>
      </c>
      <c r="P81" s="3" t="s">
        <v>9</v>
      </c>
      <c r="R81" s="3" t="s">
        <v>10</v>
      </c>
      <c r="S81" s="7" t="s">
        <v>75</v>
      </c>
      <c r="T81" s="1">
        <v>500</v>
      </c>
      <c r="U81" s="7" t="s">
        <v>243</v>
      </c>
      <c r="V81" s="5">
        <v>2000</v>
      </c>
      <c r="W81" s="7" t="s">
        <v>801</v>
      </c>
      <c r="X81" s="1">
        <v>1250</v>
      </c>
      <c r="Y81" s="4">
        <f t="shared" si="3"/>
        <v>1333</v>
      </c>
      <c r="Z81" s="4">
        <f>K81</f>
        <v>583</v>
      </c>
      <c r="AA81" s="3" t="s">
        <v>802</v>
      </c>
      <c r="AB81" s="1" t="s">
        <v>56</v>
      </c>
      <c r="AC81" s="1" t="s">
        <v>15</v>
      </c>
      <c r="AD81" s="6">
        <v>46098</v>
      </c>
      <c r="AE81" s="6">
        <v>46098</v>
      </c>
      <c r="AF81" s="1" t="s">
        <v>16</v>
      </c>
    </row>
    <row r="82" spans="1:32" x14ac:dyDescent="0.3">
      <c r="A82" s="1">
        <v>319</v>
      </c>
      <c r="B82" s="2">
        <v>46000.740833333301</v>
      </c>
      <c r="C82" s="1" t="s">
        <v>803</v>
      </c>
      <c r="D82" s="1" t="s">
        <v>804</v>
      </c>
      <c r="E82" s="1" t="s">
        <v>805</v>
      </c>
      <c r="F82" s="1" t="s">
        <v>806</v>
      </c>
      <c r="G82" s="1" t="s">
        <v>4</v>
      </c>
      <c r="H82" s="1" t="s">
        <v>71</v>
      </c>
      <c r="I82" s="1" t="s">
        <v>780</v>
      </c>
      <c r="J82" s="1" t="s">
        <v>807</v>
      </c>
      <c r="K82" s="1">
        <v>319</v>
      </c>
      <c r="M82" s="1" t="s">
        <v>808</v>
      </c>
      <c r="N82" s="1" t="s">
        <v>809</v>
      </c>
      <c r="O82" s="1" t="s">
        <v>213</v>
      </c>
      <c r="P82" s="1" t="s">
        <v>9</v>
      </c>
      <c r="Q82" s="1">
        <v>0</v>
      </c>
      <c r="R82" s="1" t="s">
        <v>10</v>
      </c>
      <c r="S82" s="3" t="s">
        <v>810</v>
      </c>
      <c r="T82" s="4">
        <v>375</v>
      </c>
      <c r="U82" s="4" t="s">
        <v>12</v>
      </c>
      <c r="V82" s="5">
        <v>1000</v>
      </c>
      <c r="W82" s="4" t="s">
        <v>12</v>
      </c>
      <c r="X82" s="5">
        <v>1000</v>
      </c>
      <c r="Y82" s="4">
        <f t="shared" si="3"/>
        <v>319</v>
      </c>
      <c r="AA82" s="1" t="s">
        <v>811</v>
      </c>
      <c r="AC82" s="1" t="s">
        <v>15</v>
      </c>
      <c r="AD82" s="6">
        <v>46080</v>
      </c>
      <c r="AE82" s="6">
        <v>46148</v>
      </c>
      <c r="AF82" s="1" t="s">
        <v>16</v>
      </c>
    </row>
    <row r="83" spans="1:32" x14ac:dyDescent="0.3">
      <c r="A83" s="1">
        <v>424</v>
      </c>
      <c r="B83" s="2">
        <v>46017.797870370399</v>
      </c>
      <c r="C83" s="1" t="s">
        <v>812</v>
      </c>
      <c r="D83" s="1" t="s">
        <v>813</v>
      </c>
      <c r="E83" s="1" t="s">
        <v>814</v>
      </c>
      <c r="F83" s="1" t="s">
        <v>815</v>
      </c>
      <c r="G83" s="1" t="s">
        <v>4</v>
      </c>
      <c r="H83" s="1" t="s">
        <v>71</v>
      </c>
      <c r="I83" s="1" t="s">
        <v>798</v>
      </c>
      <c r="J83" s="1" t="s">
        <v>807</v>
      </c>
      <c r="K83" s="1">
        <v>755</v>
      </c>
      <c r="L83" s="1">
        <v>2</v>
      </c>
      <c r="M83" s="1" t="s">
        <v>49</v>
      </c>
      <c r="N83" s="1" t="s">
        <v>816</v>
      </c>
      <c r="O83" s="1" t="s">
        <v>817</v>
      </c>
      <c r="P83" s="1" t="s">
        <v>98</v>
      </c>
      <c r="Q83" s="1" t="s">
        <v>818</v>
      </c>
      <c r="R83" s="1" t="s">
        <v>10</v>
      </c>
      <c r="S83" s="3" t="s">
        <v>819</v>
      </c>
      <c r="T83" s="4">
        <v>393</v>
      </c>
      <c r="U83" s="4" t="s">
        <v>820</v>
      </c>
      <c r="V83" s="5">
        <v>2000</v>
      </c>
      <c r="W83" s="4" t="s">
        <v>821</v>
      </c>
      <c r="X83" s="5">
        <v>2000</v>
      </c>
      <c r="Y83" s="4">
        <f t="shared" si="3"/>
        <v>755</v>
      </c>
      <c r="Z83" s="4">
        <v>755</v>
      </c>
      <c r="AA83" s="1" t="s">
        <v>822</v>
      </c>
      <c r="AB83" s="1" t="s">
        <v>56</v>
      </c>
      <c r="AC83" s="1" t="s">
        <v>15</v>
      </c>
      <c r="AD83" s="6">
        <v>46080</v>
      </c>
      <c r="AE83" s="6">
        <v>46142</v>
      </c>
      <c r="AF83" s="1" t="s">
        <v>16</v>
      </c>
    </row>
    <row r="84" spans="1:32" x14ac:dyDescent="0.3">
      <c r="A84" s="1">
        <v>257</v>
      </c>
      <c r="B84" s="2">
        <v>45986.8578935185</v>
      </c>
      <c r="C84" s="1" t="s">
        <v>823</v>
      </c>
      <c r="D84" s="1" t="s">
        <v>824</v>
      </c>
      <c r="E84" s="1" t="s">
        <v>825</v>
      </c>
      <c r="F84" s="1" t="s">
        <v>826</v>
      </c>
      <c r="G84" s="1" t="s">
        <v>4</v>
      </c>
      <c r="H84" s="1" t="s">
        <v>71</v>
      </c>
      <c r="I84" s="1" t="s">
        <v>798</v>
      </c>
      <c r="J84" s="1" t="s">
        <v>807</v>
      </c>
      <c r="K84" s="1">
        <v>755</v>
      </c>
      <c r="L84" s="1">
        <v>4</v>
      </c>
      <c r="M84" s="1" t="s">
        <v>49</v>
      </c>
      <c r="N84" s="1" t="s">
        <v>827</v>
      </c>
      <c r="O84" s="1" t="s">
        <v>828</v>
      </c>
      <c r="P84" s="1" t="s">
        <v>98</v>
      </c>
      <c r="Q84" s="1" t="s">
        <v>829</v>
      </c>
      <c r="R84" s="1" t="s">
        <v>10</v>
      </c>
      <c r="S84" s="3" t="s">
        <v>830</v>
      </c>
      <c r="T84" s="4">
        <v>382</v>
      </c>
      <c r="U84" s="4" t="s">
        <v>831</v>
      </c>
      <c r="V84" s="5">
        <v>1800</v>
      </c>
      <c r="W84" s="4" t="s">
        <v>832</v>
      </c>
      <c r="X84" s="5">
        <v>100</v>
      </c>
      <c r="Y84" s="4">
        <f t="shared" si="3"/>
        <v>2455</v>
      </c>
      <c r="Z84" s="4">
        <v>755</v>
      </c>
      <c r="AA84" s="1" t="s">
        <v>833</v>
      </c>
      <c r="AC84" s="1" t="s">
        <v>15</v>
      </c>
      <c r="AD84" s="6">
        <v>46080</v>
      </c>
      <c r="AE84" s="6">
        <v>46126</v>
      </c>
      <c r="AF84" s="1" t="s">
        <v>16</v>
      </c>
    </row>
    <row r="85" spans="1:32" x14ac:dyDescent="0.3">
      <c r="A85" s="1">
        <v>228</v>
      </c>
      <c r="B85" s="2">
        <v>45984.537662037001</v>
      </c>
      <c r="C85" s="1" t="s">
        <v>834</v>
      </c>
      <c r="D85" s="1" t="s">
        <v>835</v>
      </c>
      <c r="E85" s="1" t="s">
        <v>836</v>
      </c>
      <c r="F85" s="1" t="s">
        <v>837</v>
      </c>
      <c r="G85" s="1" t="s">
        <v>17</v>
      </c>
      <c r="H85" s="1" t="s">
        <v>71</v>
      </c>
      <c r="I85" s="1" t="s">
        <v>798</v>
      </c>
      <c r="J85" s="1" t="s">
        <v>807</v>
      </c>
      <c r="K85" s="1">
        <v>583</v>
      </c>
      <c r="M85" s="1" t="s">
        <v>7</v>
      </c>
      <c r="N85" s="1" t="s">
        <v>838</v>
      </c>
      <c r="O85" s="1" t="s">
        <v>839</v>
      </c>
      <c r="P85" s="1" t="s">
        <v>98</v>
      </c>
      <c r="Q85" s="1" t="s">
        <v>840</v>
      </c>
      <c r="R85" s="1" t="s">
        <v>10</v>
      </c>
      <c r="S85" s="3" t="s">
        <v>841</v>
      </c>
      <c r="T85" s="4">
        <v>379</v>
      </c>
      <c r="U85" s="4" t="s">
        <v>842</v>
      </c>
      <c r="W85" s="4" t="s">
        <v>525</v>
      </c>
      <c r="X85" s="5">
        <v>200</v>
      </c>
      <c r="Y85" s="4">
        <f t="shared" si="3"/>
        <v>383</v>
      </c>
      <c r="AA85" s="1" t="s">
        <v>843</v>
      </c>
      <c r="AC85" s="1" t="s">
        <v>15</v>
      </c>
      <c r="AD85" s="6">
        <v>46080</v>
      </c>
      <c r="AE85" s="6">
        <v>46148</v>
      </c>
      <c r="AF85" s="1" t="s">
        <v>16</v>
      </c>
    </row>
    <row r="86" spans="1:32" x14ac:dyDescent="0.3">
      <c r="A86" s="1">
        <v>255</v>
      </c>
      <c r="B86" s="2">
        <v>45986.857175925899</v>
      </c>
      <c r="C86" s="1" t="s">
        <v>844</v>
      </c>
      <c r="D86" s="1" t="s">
        <v>845</v>
      </c>
      <c r="E86" s="1" t="s">
        <v>846</v>
      </c>
      <c r="F86" s="1" t="s">
        <v>847</v>
      </c>
      <c r="G86" s="1" t="s">
        <v>17</v>
      </c>
      <c r="H86" s="1" t="s">
        <v>27</v>
      </c>
      <c r="I86" s="1" t="s">
        <v>798</v>
      </c>
      <c r="J86" s="1" t="s">
        <v>807</v>
      </c>
      <c r="K86" s="1">
        <v>583</v>
      </c>
      <c r="M86" s="1" t="s">
        <v>7</v>
      </c>
      <c r="N86" s="1" t="s">
        <v>848</v>
      </c>
      <c r="O86" s="1" t="s">
        <v>849</v>
      </c>
      <c r="P86" s="1" t="s">
        <v>98</v>
      </c>
      <c r="Q86" s="1" t="s">
        <v>850</v>
      </c>
      <c r="R86" s="1" t="s">
        <v>10</v>
      </c>
      <c r="S86" s="3" t="s">
        <v>851</v>
      </c>
      <c r="T86" s="4">
        <v>381</v>
      </c>
      <c r="U86" s="4" t="s">
        <v>852</v>
      </c>
      <c r="V86" s="5">
        <v>2000</v>
      </c>
      <c r="W86" s="4" t="s">
        <v>522</v>
      </c>
      <c r="X86" s="5">
        <v>500</v>
      </c>
      <c r="Y86" s="4">
        <f t="shared" si="3"/>
        <v>2083</v>
      </c>
      <c r="AA86" s="1" t="s">
        <v>853</v>
      </c>
      <c r="AB86" s="1" t="s">
        <v>130</v>
      </c>
      <c r="AC86" s="1" t="s">
        <v>15</v>
      </c>
      <c r="AD86" s="6">
        <v>46080</v>
      </c>
      <c r="AE86" s="6">
        <v>46148</v>
      </c>
      <c r="AF86" s="1" t="s">
        <v>16</v>
      </c>
    </row>
    <row r="87" spans="1:32" x14ac:dyDescent="0.3">
      <c r="A87" s="1">
        <v>203</v>
      </c>
      <c r="B87" s="2">
        <v>45983.395844907398</v>
      </c>
      <c r="C87" s="1" t="s">
        <v>854</v>
      </c>
      <c r="D87" s="1" t="s">
        <v>855</v>
      </c>
      <c r="E87" s="1" t="s">
        <v>856</v>
      </c>
      <c r="F87" s="1" t="s">
        <v>857</v>
      </c>
      <c r="G87" s="1" t="s">
        <v>4</v>
      </c>
      <c r="H87" s="1" t="s">
        <v>71</v>
      </c>
      <c r="I87" s="1" t="s">
        <v>858</v>
      </c>
      <c r="J87" s="1" t="s">
        <v>807</v>
      </c>
      <c r="K87" s="1">
        <v>755</v>
      </c>
      <c r="L87" s="1">
        <v>5</v>
      </c>
      <c r="M87" s="1" t="s">
        <v>49</v>
      </c>
      <c r="N87" s="1" t="s">
        <v>859</v>
      </c>
      <c r="O87" s="1" t="s">
        <v>465</v>
      </c>
      <c r="P87" s="1" t="s">
        <v>98</v>
      </c>
      <c r="Q87" s="1" t="s">
        <v>860</v>
      </c>
      <c r="R87" s="1" t="s">
        <v>10</v>
      </c>
      <c r="S87" s="3" t="s">
        <v>861</v>
      </c>
      <c r="T87" s="4">
        <v>620</v>
      </c>
      <c r="U87" s="4" t="s">
        <v>862</v>
      </c>
      <c r="V87" s="5" t="s">
        <v>863</v>
      </c>
      <c r="W87" s="4" t="s">
        <v>75</v>
      </c>
      <c r="X87" s="5">
        <v>500</v>
      </c>
      <c r="Y87" s="4">
        <f t="shared" ref="Y87:Y111" si="4">K87+V87-X87</f>
        <v>305</v>
      </c>
      <c r="Z87" s="1">
        <v>755</v>
      </c>
      <c r="AA87" s="1" t="s">
        <v>864</v>
      </c>
      <c r="AC87" s="1" t="s">
        <v>15</v>
      </c>
      <c r="AD87" s="6">
        <v>46080</v>
      </c>
      <c r="AE87" s="6">
        <v>46124</v>
      </c>
      <c r="AF87" s="1" t="s">
        <v>16</v>
      </c>
    </row>
    <row r="88" spans="1:32" x14ac:dyDescent="0.3">
      <c r="A88" s="1">
        <v>406</v>
      </c>
      <c r="B88" s="2">
        <v>46013.8054976852</v>
      </c>
      <c r="C88" s="1" t="s">
        <v>867</v>
      </c>
      <c r="D88" s="1" t="s">
        <v>868</v>
      </c>
      <c r="E88" s="1" t="s">
        <v>869</v>
      </c>
      <c r="F88" s="1" t="s">
        <v>870</v>
      </c>
      <c r="G88" s="1" t="s">
        <v>4</v>
      </c>
      <c r="H88" s="1" t="s">
        <v>71</v>
      </c>
      <c r="I88" s="1" t="s">
        <v>871</v>
      </c>
      <c r="J88" s="1" t="s">
        <v>871</v>
      </c>
      <c r="K88" s="1">
        <v>755</v>
      </c>
      <c r="L88" s="1">
        <v>2</v>
      </c>
      <c r="M88" s="1" t="s">
        <v>7</v>
      </c>
      <c r="N88" s="1" t="s">
        <v>872</v>
      </c>
      <c r="O88" s="1" t="s">
        <v>873</v>
      </c>
      <c r="P88" s="1" t="s">
        <v>9</v>
      </c>
      <c r="Q88" s="1">
        <v>0</v>
      </c>
      <c r="R88" s="1" t="s">
        <v>177</v>
      </c>
      <c r="S88" s="3" t="s">
        <v>874</v>
      </c>
      <c r="T88" s="4">
        <v>397</v>
      </c>
      <c r="U88" s="4" t="s">
        <v>875</v>
      </c>
      <c r="V88" s="5" t="s">
        <v>876</v>
      </c>
      <c r="W88" s="4" t="s">
        <v>877</v>
      </c>
      <c r="X88" s="5" t="s">
        <v>194</v>
      </c>
      <c r="Y88" s="4">
        <f t="shared" si="4"/>
        <v>2163</v>
      </c>
      <c r="Z88" s="4">
        <v>755</v>
      </c>
      <c r="AA88" s="1" t="s">
        <v>878</v>
      </c>
      <c r="AB88" s="1" t="s">
        <v>56</v>
      </c>
      <c r="AC88" s="1" t="s">
        <v>15</v>
      </c>
      <c r="AD88" s="6">
        <v>46080</v>
      </c>
      <c r="AE88" s="6">
        <v>46081</v>
      </c>
      <c r="AF88" s="1" t="s">
        <v>16</v>
      </c>
    </row>
    <row r="89" spans="1:32" x14ac:dyDescent="0.3">
      <c r="A89" s="1">
        <v>815</v>
      </c>
      <c r="B89" s="2">
        <v>46112.884594907402</v>
      </c>
      <c r="C89" s="11" t="s">
        <v>879</v>
      </c>
      <c r="D89" s="11" t="s">
        <v>880</v>
      </c>
      <c r="E89" s="7" t="s">
        <v>881</v>
      </c>
      <c r="F89" s="1" t="s">
        <v>882</v>
      </c>
      <c r="G89" s="3" t="s">
        <v>17</v>
      </c>
      <c r="H89" s="3" t="s">
        <v>71</v>
      </c>
      <c r="I89" s="3" t="s">
        <v>883</v>
      </c>
      <c r="J89" s="1" t="s">
        <v>871</v>
      </c>
      <c r="K89" s="1">
        <v>755</v>
      </c>
      <c r="L89" s="1">
        <v>3</v>
      </c>
      <c r="M89" s="3" t="s">
        <v>49</v>
      </c>
      <c r="N89" s="3" t="s">
        <v>884</v>
      </c>
      <c r="O89" s="3" t="s">
        <v>885</v>
      </c>
      <c r="P89" s="3" t="s">
        <v>9</v>
      </c>
      <c r="R89" s="3" t="s">
        <v>10</v>
      </c>
      <c r="S89" s="7" t="s">
        <v>21</v>
      </c>
      <c r="T89" s="4">
        <v>666</v>
      </c>
      <c r="U89" s="7" t="s">
        <v>22</v>
      </c>
      <c r="V89" s="5">
        <v>3000</v>
      </c>
      <c r="W89" s="7" t="s">
        <v>75</v>
      </c>
      <c r="X89" s="5">
        <v>500</v>
      </c>
      <c r="Y89" s="4">
        <f t="shared" si="4"/>
        <v>3255</v>
      </c>
      <c r="Z89" s="4">
        <v>755</v>
      </c>
      <c r="AA89" s="3" t="s">
        <v>886</v>
      </c>
      <c r="AB89" s="1" t="s">
        <v>56</v>
      </c>
      <c r="AC89" s="1" t="s">
        <v>15</v>
      </c>
      <c r="AD89" s="6">
        <v>46080</v>
      </c>
      <c r="AE89" s="6">
        <v>46122</v>
      </c>
      <c r="AF89" s="1" t="s">
        <v>16</v>
      </c>
    </row>
    <row r="90" spans="1:32" x14ac:dyDescent="0.3">
      <c r="A90" s="1">
        <v>68</v>
      </c>
      <c r="B90" s="2">
        <v>45947.964560185188</v>
      </c>
      <c r="C90" s="1" t="s">
        <v>887</v>
      </c>
      <c r="D90" s="1" t="s">
        <v>888</v>
      </c>
      <c r="E90" s="1" t="s">
        <v>889</v>
      </c>
      <c r="F90" s="1" t="s">
        <v>890</v>
      </c>
      <c r="G90" s="1" t="s">
        <v>17</v>
      </c>
      <c r="H90" s="1" t="s">
        <v>47</v>
      </c>
      <c r="I90" s="1" t="s">
        <v>891</v>
      </c>
      <c r="J90" s="1" t="s">
        <v>892</v>
      </c>
      <c r="K90" s="1">
        <v>755</v>
      </c>
      <c r="L90" s="1">
        <v>1</v>
      </c>
      <c r="M90" s="1" t="s">
        <v>7</v>
      </c>
      <c r="N90" s="1" t="s">
        <v>893</v>
      </c>
      <c r="O90" s="1" t="s">
        <v>894</v>
      </c>
      <c r="P90" s="1" t="s">
        <v>9</v>
      </c>
      <c r="Q90" s="1">
        <v>0</v>
      </c>
      <c r="R90" s="1" t="s">
        <v>10</v>
      </c>
      <c r="S90" s="3" t="s">
        <v>895</v>
      </c>
      <c r="T90" s="4">
        <v>483</v>
      </c>
      <c r="U90" s="4" t="s">
        <v>896</v>
      </c>
      <c r="V90" s="5">
        <v>2400</v>
      </c>
      <c r="W90" s="4" t="s">
        <v>233</v>
      </c>
      <c r="X90" s="5">
        <v>800</v>
      </c>
      <c r="Y90" s="4">
        <f t="shared" si="4"/>
        <v>2355</v>
      </c>
      <c r="Z90" s="4">
        <v>755</v>
      </c>
      <c r="AA90" s="1" t="s">
        <v>897</v>
      </c>
      <c r="AB90" s="1" t="s">
        <v>56</v>
      </c>
      <c r="AC90" s="1" t="s">
        <v>15</v>
      </c>
      <c r="AD90" s="6">
        <v>46080</v>
      </c>
      <c r="AE90" s="6">
        <v>46081</v>
      </c>
      <c r="AF90" s="1" t="s">
        <v>16</v>
      </c>
    </row>
    <row r="91" spans="1:32" x14ac:dyDescent="0.3">
      <c r="A91" s="1">
        <v>330</v>
      </c>
      <c r="B91" s="2">
        <v>46002.129062499997</v>
      </c>
      <c r="C91" s="1" t="s">
        <v>898</v>
      </c>
      <c r="D91" s="1" t="s">
        <v>899</v>
      </c>
      <c r="E91" s="1" t="s">
        <v>900</v>
      </c>
      <c r="F91" s="1" t="s">
        <v>901</v>
      </c>
      <c r="G91" s="1" t="s">
        <v>4</v>
      </c>
      <c r="H91" s="1" t="s">
        <v>47</v>
      </c>
      <c r="I91" s="1" t="s">
        <v>891</v>
      </c>
      <c r="J91" s="1" t="s">
        <v>892</v>
      </c>
      <c r="K91" s="1">
        <v>407</v>
      </c>
      <c r="L91" s="1">
        <v>2</v>
      </c>
      <c r="M91" s="1" t="s">
        <v>20</v>
      </c>
      <c r="N91" s="1" t="s">
        <v>902</v>
      </c>
      <c r="O91" s="1" t="s">
        <v>903</v>
      </c>
      <c r="P91" s="1" t="s">
        <v>98</v>
      </c>
      <c r="Q91" s="1" t="s">
        <v>904</v>
      </c>
      <c r="R91" s="1" t="s">
        <v>10</v>
      </c>
      <c r="S91" s="3" t="s">
        <v>905</v>
      </c>
      <c r="T91" s="4">
        <v>484</v>
      </c>
      <c r="U91" s="4" t="s">
        <v>115</v>
      </c>
      <c r="V91" s="5">
        <v>1500</v>
      </c>
      <c r="W91" s="4" t="s">
        <v>75</v>
      </c>
      <c r="X91" s="5">
        <v>500</v>
      </c>
      <c r="Y91" s="4">
        <f t="shared" si="4"/>
        <v>1407</v>
      </c>
      <c r="Z91" s="4">
        <v>407</v>
      </c>
      <c r="AA91" s="1" t="s">
        <v>906</v>
      </c>
      <c r="AB91" s="1" t="s">
        <v>56</v>
      </c>
      <c r="AC91" s="1" t="s">
        <v>15</v>
      </c>
      <c r="AD91" s="6">
        <v>46080</v>
      </c>
      <c r="AE91" s="6">
        <v>46081</v>
      </c>
      <c r="AF91" s="1" t="s">
        <v>16</v>
      </c>
    </row>
    <row r="92" spans="1:32" x14ac:dyDescent="0.3">
      <c r="A92" s="1">
        <v>823</v>
      </c>
      <c r="B92" s="2">
        <v>46123.678136574097</v>
      </c>
      <c r="C92" s="3" t="s">
        <v>907</v>
      </c>
      <c r="D92" s="3" t="s">
        <v>908</v>
      </c>
      <c r="E92" s="7" t="s">
        <v>909</v>
      </c>
      <c r="F92" s="3" t="s">
        <v>910</v>
      </c>
      <c r="G92" s="3" t="s">
        <v>4</v>
      </c>
      <c r="H92" s="3" t="s">
        <v>47</v>
      </c>
      <c r="I92" s="3" t="s">
        <v>883</v>
      </c>
      <c r="J92" s="3" t="s">
        <v>883</v>
      </c>
      <c r="K92" s="1">
        <v>755</v>
      </c>
      <c r="M92" s="3" t="s">
        <v>49</v>
      </c>
      <c r="N92" s="7" t="s">
        <v>911</v>
      </c>
      <c r="O92" s="3" t="s">
        <v>912</v>
      </c>
      <c r="P92" s="3" t="s">
        <v>98</v>
      </c>
      <c r="Q92" s="3" t="s">
        <v>913</v>
      </c>
      <c r="R92" s="3" t="s">
        <v>177</v>
      </c>
      <c r="S92" s="7" t="s">
        <v>914</v>
      </c>
      <c r="T92" s="1"/>
      <c r="U92" s="7" t="s">
        <v>915</v>
      </c>
      <c r="V92" s="1"/>
      <c r="W92" s="7" t="s">
        <v>916</v>
      </c>
      <c r="X92" s="1"/>
      <c r="Y92" s="4">
        <f t="shared" si="4"/>
        <v>755</v>
      </c>
      <c r="Z92" s="3"/>
      <c r="AA92" s="3" t="s">
        <v>917</v>
      </c>
      <c r="AB92" s="7"/>
      <c r="AC92" s="1" t="s">
        <v>614</v>
      </c>
      <c r="AD92" s="6">
        <v>46108</v>
      </c>
      <c r="AE92" s="6">
        <v>46120</v>
      </c>
      <c r="AF92" s="1" t="s">
        <v>16</v>
      </c>
    </row>
    <row r="93" spans="1:32" x14ac:dyDescent="0.3">
      <c r="A93" s="1">
        <v>412</v>
      </c>
      <c r="B93" s="2">
        <v>46015.252604166701</v>
      </c>
      <c r="C93" s="1" t="s">
        <v>918</v>
      </c>
      <c r="D93" s="1" t="s">
        <v>919</v>
      </c>
      <c r="E93" s="1" t="s">
        <v>920</v>
      </c>
      <c r="F93" s="1" t="s">
        <v>921</v>
      </c>
      <c r="G93" s="1" t="s">
        <v>17</v>
      </c>
      <c r="H93" s="1" t="s">
        <v>922</v>
      </c>
      <c r="I93" s="1" t="s">
        <v>923</v>
      </c>
      <c r="J93" s="1" t="s">
        <v>924</v>
      </c>
      <c r="K93" s="1">
        <v>523</v>
      </c>
      <c r="L93" s="1">
        <v>2</v>
      </c>
      <c r="M93" s="1" t="s">
        <v>20</v>
      </c>
      <c r="N93" s="1" t="s">
        <v>925</v>
      </c>
      <c r="O93" s="1" t="s">
        <v>926</v>
      </c>
      <c r="P93" s="1" t="s">
        <v>9</v>
      </c>
      <c r="Q93" s="1">
        <v>0</v>
      </c>
      <c r="R93" s="1" t="s">
        <v>10</v>
      </c>
      <c r="S93" s="3" t="s">
        <v>927</v>
      </c>
      <c r="T93" s="4">
        <v>641</v>
      </c>
      <c r="U93" s="4" t="s">
        <v>928</v>
      </c>
      <c r="V93" s="5">
        <v>1200</v>
      </c>
      <c r="W93" s="4" t="s">
        <v>929</v>
      </c>
      <c r="X93" s="5">
        <v>600</v>
      </c>
      <c r="Y93" s="4">
        <f t="shared" si="4"/>
        <v>1123</v>
      </c>
      <c r="Z93" s="4">
        <v>523</v>
      </c>
      <c r="AA93" s="1" t="s">
        <v>930</v>
      </c>
      <c r="AB93" s="1" t="s">
        <v>56</v>
      </c>
      <c r="AC93" s="1" t="s">
        <v>15</v>
      </c>
      <c r="AD93" s="6">
        <v>46080</v>
      </c>
      <c r="AE93" s="6">
        <v>46080</v>
      </c>
      <c r="AF93" s="1" t="s">
        <v>16</v>
      </c>
    </row>
    <row r="94" spans="1:32" x14ac:dyDescent="0.3">
      <c r="A94" s="1">
        <v>641</v>
      </c>
      <c r="B94" s="2">
        <v>46045.781875000001</v>
      </c>
      <c r="C94" s="1" t="s">
        <v>931</v>
      </c>
      <c r="D94" s="1" t="s">
        <v>932</v>
      </c>
      <c r="E94" s="1" t="s">
        <v>933</v>
      </c>
      <c r="F94" s="1" t="s">
        <v>934</v>
      </c>
      <c r="G94" s="1" t="s">
        <v>4</v>
      </c>
      <c r="H94" s="1" t="s">
        <v>47</v>
      </c>
      <c r="I94" s="1" t="s">
        <v>935</v>
      </c>
      <c r="J94" s="1" t="s">
        <v>935</v>
      </c>
      <c r="K94" s="1">
        <v>407</v>
      </c>
      <c r="M94" s="1" t="s">
        <v>20</v>
      </c>
      <c r="N94" s="1" t="s">
        <v>936</v>
      </c>
      <c r="O94" s="1" t="s">
        <v>605</v>
      </c>
      <c r="P94" s="1" t="s">
        <v>9</v>
      </c>
      <c r="Q94" s="1">
        <v>0</v>
      </c>
      <c r="R94" s="1" t="s">
        <v>10</v>
      </c>
      <c r="S94" s="3" t="s">
        <v>515</v>
      </c>
      <c r="T94" s="4">
        <v>319</v>
      </c>
      <c r="U94" s="4" t="s">
        <v>243</v>
      </c>
      <c r="V94" s="5">
        <v>2000</v>
      </c>
      <c r="W94" s="4" t="s">
        <v>76</v>
      </c>
      <c r="X94" s="5">
        <v>100</v>
      </c>
      <c r="Y94" s="4">
        <f t="shared" si="4"/>
        <v>2307</v>
      </c>
      <c r="Z94" s="1">
        <v>407</v>
      </c>
      <c r="AA94" s="1" t="s">
        <v>937</v>
      </c>
      <c r="AC94" s="1" t="s">
        <v>15</v>
      </c>
      <c r="AD94" s="6">
        <v>46080</v>
      </c>
      <c r="AE94" s="6">
        <v>46108</v>
      </c>
      <c r="AF94" s="1" t="s">
        <v>16</v>
      </c>
    </row>
    <row r="95" spans="1:32" x14ac:dyDescent="0.3">
      <c r="A95" s="1">
        <v>658</v>
      </c>
      <c r="B95" s="2">
        <v>46049.7726273148</v>
      </c>
      <c r="C95" s="1" t="s">
        <v>938</v>
      </c>
      <c r="D95" s="1" t="s">
        <v>939</v>
      </c>
      <c r="E95" s="1" t="s">
        <v>940</v>
      </c>
      <c r="F95" s="1" t="s">
        <v>941</v>
      </c>
      <c r="G95" s="1" t="s">
        <v>4</v>
      </c>
      <c r="H95" s="1" t="s">
        <v>942</v>
      </c>
      <c r="I95" s="1" t="s">
        <v>943</v>
      </c>
      <c r="J95" s="1" t="s">
        <v>943</v>
      </c>
      <c r="K95" s="1">
        <v>814</v>
      </c>
      <c r="L95" s="1">
        <v>1</v>
      </c>
      <c r="M95" s="1" t="s">
        <v>49</v>
      </c>
      <c r="N95" s="1" t="s">
        <v>944</v>
      </c>
      <c r="O95" s="1" t="s">
        <v>945</v>
      </c>
      <c r="P95" s="1" t="s">
        <v>9</v>
      </c>
      <c r="Q95" s="1" t="s">
        <v>946</v>
      </c>
      <c r="R95" s="1" t="s">
        <v>10</v>
      </c>
      <c r="S95" s="3" t="s">
        <v>947</v>
      </c>
      <c r="T95" s="4">
        <v>814</v>
      </c>
      <c r="U95" s="4" t="s">
        <v>948</v>
      </c>
      <c r="V95" s="5">
        <v>3500</v>
      </c>
      <c r="W95" s="4" t="s">
        <v>194</v>
      </c>
      <c r="X95" s="5">
        <v>1000</v>
      </c>
      <c r="Y95" s="4">
        <f t="shared" si="4"/>
        <v>3314</v>
      </c>
      <c r="Z95" s="4">
        <v>814</v>
      </c>
      <c r="AA95" s="1" t="s">
        <v>949</v>
      </c>
      <c r="AB95" s="1" t="s">
        <v>950</v>
      </c>
      <c r="AC95" s="1" t="s">
        <v>15</v>
      </c>
      <c r="AD95" s="6">
        <v>46080</v>
      </c>
      <c r="AE95" s="6">
        <v>46091</v>
      </c>
      <c r="AF95" s="1" t="s">
        <v>16</v>
      </c>
    </row>
    <row r="96" spans="1:32" x14ac:dyDescent="0.3">
      <c r="A96" s="1">
        <v>740</v>
      </c>
      <c r="B96" s="2">
        <v>46061.194988425901</v>
      </c>
      <c r="C96" s="1" t="s">
        <v>951</v>
      </c>
      <c r="D96" s="1" t="s">
        <v>952</v>
      </c>
      <c r="E96" s="1" t="s">
        <v>953</v>
      </c>
      <c r="F96" s="1" t="s">
        <v>954</v>
      </c>
      <c r="G96" s="1" t="s">
        <v>4</v>
      </c>
      <c r="H96" s="1" t="s">
        <v>955</v>
      </c>
      <c r="I96" s="1" t="s">
        <v>943</v>
      </c>
      <c r="J96" s="1" t="s">
        <v>943</v>
      </c>
      <c r="K96" s="1">
        <v>814</v>
      </c>
      <c r="L96" s="1">
        <v>2</v>
      </c>
      <c r="M96" s="1" t="s">
        <v>49</v>
      </c>
      <c r="N96" s="1" t="s">
        <v>956</v>
      </c>
      <c r="O96" s="1" t="s">
        <v>957</v>
      </c>
      <c r="P96" s="1" t="s">
        <v>9</v>
      </c>
      <c r="Q96" s="1">
        <v>0</v>
      </c>
      <c r="R96" s="1" t="s">
        <v>10</v>
      </c>
      <c r="S96" s="3" t="s">
        <v>958</v>
      </c>
      <c r="T96" s="4">
        <v>714</v>
      </c>
      <c r="U96" s="4" t="s">
        <v>959</v>
      </c>
      <c r="V96" s="5" t="s">
        <v>960</v>
      </c>
      <c r="W96" s="4" t="s">
        <v>114</v>
      </c>
      <c r="X96" s="5">
        <v>2500</v>
      </c>
      <c r="Y96" s="4">
        <f t="shared" si="4"/>
        <v>14171</v>
      </c>
      <c r="Z96" s="4">
        <v>814</v>
      </c>
      <c r="AA96" s="1" t="s">
        <v>961</v>
      </c>
      <c r="AC96" s="1" t="s">
        <v>15</v>
      </c>
      <c r="AD96" s="6">
        <v>46080</v>
      </c>
      <c r="AE96" s="6">
        <v>46130</v>
      </c>
      <c r="AF96" s="1" t="s">
        <v>16</v>
      </c>
    </row>
    <row r="97" spans="1:32" ht="17.399999999999999" x14ac:dyDescent="0.4">
      <c r="A97" s="1">
        <v>789</v>
      </c>
      <c r="B97" s="2">
        <v>46092.181226851899</v>
      </c>
      <c r="C97" s="11" t="s">
        <v>962</v>
      </c>
      <c r="D97" s="11" t="s">
        <v>963</v>
      </c>
      <c r="E97" s="1" t="s">
        <v>964</v>
      </c>
      <c r="F97" s="23" t="s">
        <v>965</v>
      </c>
      <c r="G97" s="3" t="s">
        <v>17</v>
      </c>
      <c r="H97" s="3" t="s">
        <v>18</v>
      </c>
      <c r="I97" s="3" t="s">
        <v>966</v>
      </c>
      <c r="J97" s="1" t="s">
        <v>966</v>
      </c>
      <c r="K97" s="1">
        <v>755</v>
      </c>
      <c r="L97" s="1">
        <v>1</v>
      </c>
      <c r="M97" s="3" t="s">
        <v>49</v>
      </c>
      <c r="N97" s="7" t="s">
        <v>967</v>
      </c>
      <c r="O97" s="3" t="s">
        <v>968</v>
      </c>
      <c r="P97" s="3" t="s">
        <v>98</v>
      </c>
      <c r="Q97" s="3" t="s">
        <v>969</v>
      </c>
      <c r="R97" s="3" t="s">
        <v>10</v>
      </c>
      <c r="S97" s="7" t="s">
        <v>309</v>
      </c>
      <c r="T97" s="4">
        <v>814</v>
      </c>
      <c r="U97" s="7" t="s">
        <v>970</v>
      </c>
      <c r="V97" s="5">
        <v>1200</v>
      </c>
      <c r="W97" s="7" t="s">
        <v>467</v>
      </c>
      <c r="X97" s="5">
        <v>600</v>
      </c>
      <c r="Y97" s="4">
        <f t="shared" si="4"/>
        <v>1355</v>
      </c>
      <c r="Z97" s="4">
        <f>K97</f>
        <v>755</v>
      </c>
      <c r="AA97" s="3" t="s">
        <v>971</v>
      </c>
      <c r="AB97" s="1" t="s">
        <v>117</v>
      </c>
      <c r="AC97" s="1" t="s">
        <v>15</v>
      </c>
      <c r="AD97" s="6">
        <v>46098</v>
      </c>
      <c r="AE97" s="6">
        <v>46098</v>
      </c>
      <c r="AF97" s="1" t="s">
        <v>16</v>
      </c>
    </row>
    <row r="98" spans="1:32" x14ac:dyDescent="0.3">
      <c r="A98" s="1">
        <v>360</v>
      </c>
      <c r="B98" s="2">
        <v>46008.006226851903</v>
      </c>
      <c r="C98" s="1" t="s">
        <v>972</v>
      </c>
      <c r="D98" s="1" t="s">
        <v>973</v>
      </c>
      <c r="E98" s="1" t="s">
        <v>974</v>
      </c>
      <c r="F98" s="1" t="s">
        <v>975</v>
      </c>
      <c r="G98" s="1" t="s">
        <v>17</v>
      </c>
      <c r="H98" s="1" t="s">
        <v>976</v>
      </c>
      <c r="I98" s="1" t="s">
        <v>966</v>
      </c>
      <c r="J98" s="1" t="s">
        <v>966</v>
      </c>
      <c r="K98" s="1">
        <v>407</v>
      </c>
      <c r="L98" s="1">
        <v>2</v>
      </c>
      <c r="M98" s="1" t="s">
        <v>977</v>
      </c>
      <c r="N98" s="1" t="s">
        <v>978</v>
      </c>
      <c r="O98" s="1" t="s">
        <v>979</v>
      </c>
      <c r="P98" s="1" t="s">
        <v>9</v>
      </c>
      <c r="Q98" s="1">
        <v>0</v>
      </c>
      <c r="R98" s="1" t="s">
        <v>10</v>
      </c>
      <c r="S98" s="3" t="s">
        <v>980</v>
      </c>
      <c r="T98" s="4">
        <v>417</v>
      </c>
      <c r="U98" s="4" t="s">
        <v>115</v>
      </c>
      <c r="V98" s="5">
        <v>1500</v>
      </c>
      <c r="W98" s="4" t="s">
        <v>409</v>
      </c>
      <c r="X98" s="5">
        <v>200</v>
      </c>
      <c r="Y98" s="4">
        <f t="shared" si="4"/>
        <v>1707</v>
      </c>
      <c r="Z98" s="4">
        <v>407</v>
      </c>
      <c r="AA98" s="1" t="s">
        <v>981</v>
      </c>
      <c r="AC98" s="1" t="s">
        <v>15</v>
      </c>
      <c r="AD98" s="6">
        <v>46080</v>
      </c>
      <c r="AE98" s="6">
        <v>46133</v>
      </c>
      <c r="AF98" s="1" t="s">
        <v>16</v>
      </c>
    </row>
    <row r="99" spans="1:32" x14ac:dyDescent="0.3">
      <c r="A99" s="1">
        <v>427</v>
      </c>
      <c r="B99" s="2">
        <v>46018.065543981502</v>
      </c>
      <c r="C99" s="1" t="s">
        <v>982</v>
      </c>
      <c r="D99" s="1" t="s">
        <v>983</v>
      </c>
      <c r="E99" s="1" t="s">
        <v>984</v>
      </c>
      <c r="F99" s="1" t="s">
        <v>985</v>
      </c>
      <c r="G99" s="1" t="s">
        <v>4</v>
      </c>
      <c r="H99" s="1" t="s">
        <v>47</v>
      </c>
      <c r="I99" s="1" t="s">
        <v>966</v>
      </c>
      <c r="J99" s="1" t="s">
        <v>966</v>
      </c>
      <c r="K99" s="1">
        <v>755</v>
      </c>
      <c r="L99" s="1">
        <v>3</v>
      </c>
      <c r="M99" s="1" t="s">
        <v>7</v>
      </c>
      <c r="N99" s="1" t="s">
        <v>986</v>
      </c>
      <c r="O99" s="1" t="s">
        <v>987</v>
      </c>
      <c r="P99" s="1" t="s">
        <v>98</v>
      </c>
      <c r="Q99" s="1" t="s">
        <v>988</v>
      </c>
      <c r="R99" s="1" t="s">
        <v>9</v>
      </c>
      <c r="S99" s="3" t="s">
        <v>989</v>
      </c>
      <c r="T99" s="4">
        <v>420</v>
      </c>
      <c r="U99" s="4" t="s">
        <v>40</v>
      </c>
      <c r="V99" s="5">
        <v>1500</v>
      </c>
      <c r="W99" s="4" t="s">
        <v>468</v>
      </c>
      <c r="X99" s="5">
        <v>150</v>
      </c>
      <c r="Y99" s="4">
        <f t="shared" si="4"/>
        <v>2105</v>
      </c>
      <c r="Z99" s="4">
        <v>755</v>
      </c>
      <c r="AA99" s="1" t="s">
        <v>990</v>
      </c>
      <c r="AC99" s="1" t="s">
        <v>15</v>
      </c>
      <c r="AD99" s="6">
        <v>46080</v>
      </c>
      <c r="AE99" s="6">
        <v>46122</v>
      </c>
      <c r="AF99" s="1" t="s">
        <v>16</v>
      </c>
    </row>
    <row r="100" spans="1:32" x14ac:dyDescent="0.3">
      <c r="A100" s="1">
        <v>73</v>
      </c>
      <c r="B100" s="2">
        <v>45948.421840277777</v>
      </c>
      <c r="C100" s="1" t="s">
        <v>991</v>
      </c>
      <c r="D100" s="1" t="s">
        <v>992</v>
      </c>
      <c r="E100" s="1" t="s">
        <v>993</v>
      </c>
      <c r="F100" s="1" t="s">
        <v>994</v>
      </c>
      <c r="G100" s="1" t="s">
        <v>4</v>
      </c>
      <c r="H100" s="1" t="s">
        <v>71</v>
      </c>
      <c r="I100" s="1" t="s">
        <v>966</v>
      </c>
      <c r="J100" s="1" t="s">
        <v>966</v>
      </c>
      <c r="K100" s="1">
        <v>814</v>
      </c>
      <c r="M100" s="1" t="s">
        <v>49</v>
      </c>
      <c r="N100" s="1" t="s">
        <v>995</v>
      </c>
      <c r="O100" s="1" t="s">
        <v>996</v>
      </c>
      <c r="P100" s="1" t="s">
        <v>9</v>
      </c>
      <c r="Q100" s="1">
        <v>0</v>
      </c>
      <c r="R100" s="1" t="s">
        <v>10</v>
      </c>
      <c r="S100" s="3" t="s">
        <v>997</v>
      </c>
      <c r="T100" s="4">
        <v>411</v>
      </c>
      <c r="U100" s="4" t="s">
        <v>998</v>
      </c>
      <c r="V100" s="5">
        <v>900</v>
      </c>
      <c r="W100" s="4" t="s">
        <v>999</v>
      </c>
      <c r="X100" s="5">
        <v>500</v>
      </c>
      <c r="Y100" s="4">
        <f t="shared" si="4"/>
        <v>1214</v>
      </c>
      <c r="AA100" s="1" t="s">
        <v>1000</v>
      </c>
      <c r="AC100" s="1" t="s">
        <v>15</v>
      </c>
      <c r="AD100" s="6">
        <v>46080</v>
      </c>
      <c r="AE100" s="6">
        <v>46150</v>
      </c>
      <c r="AF100" s="1" t="s">
        <v>16</v>
      </c>
    </row>
    <row r="101" spans="1:32" x14ac:dyDescent="0.3">
      <c r="A101" s="1">
        <v>74</v>
      </c>
      <c r="B101" s="2">
        <v>45948.777418981481</v>
      </c>
      <c r="C101" s="1" t="s">
        <v>1001</v>
      </c>
      <c r="D101" s="1" t="s">
        <v>992</v>
      </c>
      <c r="E101" s="1" t="s">
        <v>1002</v>
      </c>
      <c r="F101" s="1" t="s">
        <v>1003</v>
      </c>
      <c r="G101" s="1" t="s">
        <v>4</v>
      </c>
      <c r="H101" s="1" t="s">
        <v>71</v>
      </c>
      <c r="I101" s="1" t="s">
        <v>966</v>
      </c>
      <c r="J101" s="1" t="s">
        <v>966</v>
      </c>
      <c r="K101" s="1">
        <v>755</v>
      </c>
      <c r="M101" s="1" t="s">
        <v>7</v>
      </c>
      <c r="N101" s="1" t="s">
        <v>1004</v>
      </c>
      <c r="O101" s="1" t="s">
        <v>1005</v>
      </c>
      <c r="P101" s="1" t="s">
        <v>9</v>
      </c>
      <c r="Q101" s="1">
        <v>0</v>
      </c>
      <c r="R101" s="1" t="s">
        <v>10</v>
      </c>
      <c r="S101" s="3" t="s">
        <v>1006</v>
      </c>
      <c r="T101" s="4">
        <v>412</v>
      </c>
      <c r="U101" s="4" t="s">
        <v>1007</v>
      </c>
      <c r="V101" s="5">
        <v>900</v>
      </c>
      <c r="W101" s="4" t="s">
        <v>409</v>
      </c>
      <c r="X101" s="5">
        <v>200</v>
      </c>
      <c r="Y101" s="4">
        <f t="shared" si="4"/>
        <v>1455</v>
      </c>
      <c r="AA101" s="1" t="s">
        <v>1008</v>
      </c>
      <c r="AC101" s="1" t="s">
        <v>15</v>
      </c>
      <c r="AD101" s="6">
        <v>46080</v>
      </c>
      <c r="AE101" s="6">
        <v>46150</v>
      </c>
      <c r="AF101" s="1" t="s">
        <v>16</v>
      </c>
    </row>
    <row r="102" spans="1:32" x14ac:dyDescent="0.3">
      <c r="A102" s="1">
        <v>315</v>
      </c>
      <c r="B102" s="2">
        <v>45999.675844907397</v>
      </c>
      <c r="C102" s="1" t="s">
        <v>1016</v>
      </c>
      <c r="D102" s="1" t="s">
        <v>1017</v>
      </c>
      <c r="E102" s="1" t="s">
        <v>1018</v>
      </c>
      <c r="F102" s="1" t="s">
        <v>1019</v>
      </c>
      <c r="G102" s="1" t="s">
        <v>4</v>
      </c>
      <c r="H102" s="1" t="s">
        <v>71</v>
      </c>
      <c r="I102" s="1" t="s">
        <v>966</v>
      </c>
      <c r="J102" s="1" t="s">
        <v>966</v>
      </c>
      <c r="K102" s="1">
        <v>814</v>
      </c>
      <c r="M102" s="1" t="s">
        <v>49</v>
      </c>
      <c r="N102" s="1" t="s">
        <v>1020</v>
      </c>
      <c r="O102" s="1" t="s">
        <v>1021</v>
      </c>
      <c r="P102" s="1" t="s">
        <v>98</v>
      </c>
      <c r="Q102" s="1" t="s">
        <v>1022</v>
      </c>
      <c r="R102" s="1" t="s">
        <v>10</v>
      </c>
      <c r="S102" s="3" t="s">
        <v>1023</v>
      </c>
      <c r="T102" s="4">
        <v>416</v>
      </c>
      <c r="U102" s="4" t="s">
        <v>774</v>
      </c>
      <c r="V102" s="5">
        <v>1400</v>
      </c>
      <c r="W102" s="4" t="s">
        <v>866</v>
      </c>
      <c r="X102" s="5">
        <v>400</v>
      </c>
      <c r="Y102" s="4">
        <f t="shared" si="4"/>
        <v>1814</v>
      </c>
      <c r="AA102" s="1" t="s">
        <v>1024</v>
      </c>
      <c r="AC102" s="1" t="s">
        <v>15</v>
      </c>
      <c r="AD102" s="6">
        <v>46080</v>
      </c>
      <c r="AE102" s="6">
        <v>46150</v>
      </c>
      <c r="AF102" s="1" t="s">
        <v>16</v>
      </c>
    </row>
    <row r="103" spans="1:32" x14ac:dyDescent="0.3">
      <c r="A103" s="1">
        <v>837</v>
      </c>
      <c r="B103" s="2">
        <v>46132</v>
      </c>
      <c r="C103" s="1" t="s">
        <v>1025</v>
      </c>
      <c r="D103" s="1" t="s">
        <v>1026</v>
      </c>
      <c r="E103" s="25" t="s">
        <v>1027</v>
      </c>
      <c r="F103" s="26" t="s">
        <v>1028</v>
      </c>
      <c r="G103" s="1" t="s">
        <v>4</v>
      </c>
      <c r="H103" s="1" t="s">
        <v>18</v>
      </c>
      <c r="I103" s="1" t="s">
        <v>966</v>
      </c>
      <c r="J103" s="1" t="s">
        <v>966</v>
      </c>
      <c r="K103" s="1">
        <v>814</v>
      </c>
      <c r="M103" s="1" t="s">
        <v>49</v>
      </c>
      <c r="N103" s="1" t="s">
        <v>1029</v>
      </c>
      <c r="O103" s="1" t="s">
        <v>1030</v>
      </c>
      <c r="P103" s="1" t="s">
        <v>98</v>
      </c>
      <c r="Q103" s="1" t="s">
        <v>1031</v>
      </c>
      <c r="R103" s="1" t="s">
        <v>10</v>
      </c>
      <c r="S103" s="3" t="s">
        <v>1032</v>
      </c>
      <c r="T103" s="4">
        <v>815</v>
      </c>
      <c r="U103" s="4">
        <v>1500</v>
      </c>
      <c r="V103" s="5">
        <v>1500</v>
      </c>
      <c r="W103" s="4">
        <v>200</v>
      </c>
      <c r="X103" s="5">
        <v>200</v>
      </c>
      <c r="Y103" s="4">
        <f t="shared" si="4"/>
        <v>2114</v>
      </c>
      <c r="Z103" s="1">
        <v>814</v>
      </c>
      <c r="AC103" s="1" t="s">
        <v>15</v>
      </c>
      <c r="AD103" s="6">
        <v>46133</v>
      </c>
      <c r="AF103" s="3" t="s">
        <v>16</v>
      </c>
    </row>
    <row r="104" spans="1:32" x14ac:dyDescent="0.3">
      <c r="A104" s="18">
        <v>271</v>
      </c>
      <c r="B104" s="19">
        <v>45989.976273148102</v>
      </c>
      <c r="C104" s="1" t="s">
        <v>1033</v>
      </c>
      <c r="D104" s="1" t="s">
        <v>992</v>
      </c>
      <c r="E104" s="1" t="s">
        <v>1034</v>
      </c>
      <c r="F104" s="1" t="s">
        <v>1035</v>
      </c>
      <c r="G104" s="20" t="s">
        <v>17</v>
      </c>
      <c r="H104" s="20" t="s">
        <v>71</v>
      </c>
      <c r="I104" s="20" t="s">
        <v>966</v>
      </c>
      <c r="J104" s="1" t="s">
        <v>966</v>
      </c>
      <c r="K104" s="1">
        <v>814</v>
      </c>
      <c r="M104" s="20" t="s">
        <v>49</v>
      </c>
      <c r="N104" s="20" t="s">
        <v>1036</v>
      </c>
      <c r="O104" s="20" t="s">
        <v>1037</v>
      </c>
      <c r="P104" s="20" t="s">
        <v>9</v>
      </c>
      <c r="Q104" s="20">
        <v>0</v>
      </c>
      <c r="R104" s="20" t="s">
        <v>10</v>
      </c>
      <c r="S104" s="21" t="s">
        <v>1038</v>
      </c>
      <c r="T104" s="4">
        <v>414</v>
      </c>
      <c r="U104" s="22" t="s">
        <v>1007</v>
      </c>
      <c r="V104" s="5">
        <v>900</v>
      </c>
      <c r="W104" s="22" t="s">
        <v>866</v>
      </c>
      <c r="X104" s="5">
        <v>400</v>
      </c>
      <c r="Y104" s="4">
        <f t="shared" si="4"/>
        <v>1314</v>
      </c>
      <c r="AA104" s="20" t="s">
        <v>1039</v>
      </c>
      <c r="AC104" s="1" t="s">
        <v>15</v>
      </c>
      <c r="AD104" s="6">
        <v>46080</v>
      </c>
      <c r="AE104" s="6">
        <v>46167</v>
      </c>
      <c r="AF104" s="1" t="s">
        <v>16</v>
      </c>
    </row>
    <row r="105" spans="1:32" x14ac:dyDescent="0.3">
      <c r="A105" s="18">
        <v>771</v>
      </c>
      <c r="B105" s="19">
        <v>46083.2710532407</v>
      </c>
      <c r="C105" s="11" t="s">
        <v>1040</v>
      </c>
      <c r="D105" s="11" t="s">
        <v>1041</v>
      </c>
      <c r="E105" s="1" t="s">
        <v>1042</v>
      </c>
      <c r="F105" s="1" t="s">
        <v>1043</v>
      </c>
      <c r="G105" s="21" t="s">
        <v>17</v>
      </c>
      <c r="H105" s="21" t="s">
        <v>71</v>
      </c>
      <c r="I105" s="21" t="s">
        <v>1044</v>
      </c>
      <c r="J105" s="11" t="s">
        <v>1045</v>
      </c>
      <c r="K105" s="1">
        <v>407</v>
      </c>
      <c r="L105" s="1">
        <v>1</v>
      </c>
      <c r="M105" s="21" t="s">
        <v>20</v>
      </c>
      <c r="N105" s="27" t="s">
        <v>1046</v>
      </c>
      <c r="O105" s="21" t="s">
        <v>1047</v>
      </c>
      <c r="P105" s="21" t="s">
        <v>9</v>
      </c>
      <c r="Q105" s="20"/>
      <c r="R105" s="21" t="s">
        <v>10</v>
      </c>
      <c r="S105" s="27" t="s">
        <v>1048</v>
      </c>
      <c r="T105" s="4">
        <v>319</v>
      </c>
      <c r="U105" s="27" t="s">
        <v>1049</v>
      </c>
      <c r="V105" s="5">
        <v>1760</v>
      </c>
      <c r="W105" s="27" t="s">
        <v>1050</v>
      </c>
      <c r="Y105" s="4">
        <f t="shared" si="4"/>
        <v>2167</v>
      </c>
      <c r="Z105" s="4">
        <f>K105</f>
        <v>407</v>
      </c>
      <c r="AA105" s="21" t="s">
        <v>1051</v>
      </c>
      <c r="AB105" s="1" t="s">
        <v>56</v>
      </c>
      <c r="AC105" s="1" t="s">
        <v>15</v>
      </c>
      <c r="AD105" s="6">
        <v>46098</v>
      </c>
      <c r="AE105" s="6">
        <v>46099</v>
      </c>
      <c r="AF105" s="1" t="s">
        <v>16</v>
      </c>
    </row>
    <row r="106" spans="1:32" x14ac:dyDescent="0.3">
      <c r="A106" s="1">
        <v>369</v>
      </c>
      <c r="B106" s="2">
        <v>46008.760462963</v>
      </c>
      <c r="C106" s="1" t="s">
        <v>1052</v>
      </c>
      <c r="D106" s="1" t="s">
        <v>1053</v>
      </c>
      <c r="E106" s="1" t="s">
        <v>1054</v>
      </c>
      <c r="F106" s="1" t="s">
        <v>1055</v>
      </c>
      <c r="G106" s="1" t="s">
        <v>4</v>
      </c>
      <c r="H106" s="1" t="s">
        <v>71</v>
      </c>
      <c r="I106" s="1" t="s">
        <v>1044</v>
      </c>
      <c r="J106" s="1" t="s">
        <v>1045</v>
      </c>
      <c r="K106" s="1">
        <v>407</v>
      </c>
      <c r="L106" s="1">
        <v>2</v>
      </c>
      <c r="M106" s="1" t="s">
        <v>20</v>
      </c>
      <c r="N106" s="1" t="s">
        <v>283</v>
      </c>
      <c r="O106" s="1" t="s">
        <v>213</v>
      </c>
      <c r="P106" s="1" t="s">
        <v>9</v>
      </c>
      <c r="Q106" s="1">
        <v>0</v>
      </c>
      <c r="R106" s="1" t="s">
        <v>10</v>
      </c>
      <c r="S106" s="3" t="s">
        <v>1056</v>
      </c>
      <c r="T106" s="4">
        <v>657</v>
      </c>
      <c r="U106" s="4" t="s">
        <v>699</v>
      </c>
      <c r="V106" s="5">
        <v>1500</v>
      </c>
      <c r="W106" s="4" t="s">
        <v>128</v>
      </c>
      <c r="X106" s="5">
        <v>100</v>
      </c>
      <c r="Y106" s="4">
        <f t="shared" si="4"/>
        <v>1807</v>
      </c>
      <c r="Z106" s="4">
        <v>407</v>
      </c>
      <c r="AA106" s="1" t="s">
        <v>1057</v>
      </c>
      <c r="AB106" s="1" t="s">
        <v>56</v>
      </c>
      <c r="AC106" s="1" t="s">
        <v>15</v>
      </c>
      <c r="AD106" s="6">
        <v>46080</v>
      </c>
      <c r="AE106" s="6">
        <v>46084</v>
      </c>
      <c r="AF106" s="1" t="s">
        <v>16</v>
      </c>
    </row>
    <row r="107" spans="1:32" x14ac:dyDescent="0.3">
      <c r="A107" s="18">
        <v>801</v>
      </c>
      <c r="B107" s="19">
        <v>46105.459039351903</v>
      </c>
      <c r="C107" s="11" t="s">
        <v>1058</v>
      </c>
      <c r="D107" s="11" t="s">
        <v>1059</v>
      </c>
      <c r="E107" s="1" t="s">
        <v>1060</v>
      </c>
      <c r="F107" s="1" t="s">
        <v>1061</v>
      </c>
      <c r="G107" s="20" t="s">
        <v>17</v>
      </c>
      <c r="H107" s="21" t="s">
        <v>18</v>
      </c>
      <c r="I107" s="21" t="s">
        <v>1062</v>
      </c>
      <c r="J107" s="1" t="s">
        <v>1062</v>
      </c>
      <c r="K107" s="1">
        <v>755</v>
      </c>
      <c r="L107" s="1">
        <v>1</v>
      </c>
      <c r="M107" s="21" t="s">
        <v>49</v>
      </c>
      <c r="N107" s="21" t="s">
        <v>1063</v>
      </c>
      <c r="O107" s="21" t="s">
        <v>1064</v>
      </c>
      <c r="P107" s="21" t="s">
        <v>9</v>
      </c>
      <c r="Q107" s="20"/>
      <c r="R107" s="21" t="s">
        <v>10</v>
      </c>
      <c r="S107" s="27" t="s">
        <v>1065</v>
      </c>
      <c r="T107" s="4">
        <v>831</v>
      </c>
      <c r="U107" s="27" t="s">
        <v>1066</v>
      </c>
      <c r="V107" s="5">
        <v>1500</v>
      </c>
      <c r="W107" s="27" t="s">
        <v>1067</v>
      </c>
      <c r="X107" s="5">
        <v>1000</v>
      </c>
      <c r="Y107" s="4">
        <f t="shared" si="4"/>
        <v>1255</v>
      </c>
      <c r="Z107" s="1">
        <v>583</v>
      </c>
      <c r="AA107" s="21" t="s">
        <v>1068</v>
      </c>
      <c r="AB107" s="1" t="s">
        <v>117</v>
      </c>
      <c r="AC107" s="1" t="s">
        <v>15</v>
      </c>
      <c r="AD107" s="6">
        <v>46080</v>
      </c>
      <c r="AE107" s="6">
        <v>46113</v>
      </c>
      <c r="AF107" s="1" t="s">
        <v>16</v>
      </c>
    </row>
    <row r="108" spans="1:32" x14ac:dyDescent="0.3">
      <c r="A108" s="1">
        <v>174</v>
      </c>
      <c r="B108" s="2">
        <v>45982.579467592601</v>
      </c>
      <c r="C108" s="1" t="s">
        <v>1069</v>
      </c>
      <c r="D108" s="1" t="s">
        <v>1070</v>
      </c>
      <c r="E108" s="1" t="s">
        <v>1071</v>
      </c>
      <c r="F108" s="1" t="s">
        <v>1072</v>
      </c>
      <c r="G108" s="1" t="s">
        <v>17</v>
      </c>
      <c r="H108" s="1" t="s">
        <v>71</v>
      </c>
      <c r="I108" s="1" t="s">
        <v>1062</v>
      </c>
      <c r="J108" s="1" t="s">
        <v>1062</v>
      </c>
      <c r="K108" s="1">
        <v>583</v>
      </c>
      <c r="L108" s="1">
        <v>2</v>
      </c>
      <c r="M108" s="1" t="s">
        <v>7</v>
      </c>
      <c r="N108" s="1" t="s">
        <v>1073</v>
      </c>
      <c r="O108" s="1" t="s">
        <v>1074</v>
      </c>
      <c r="P108" s="1" t="s">
        <v>9</v>
      </c>
      <c r="Q108" s="1">
        <v>0</v>
      </c>
      <c r="R108" s="1" t="s">
        <v>10</v>
      </c>
      <c r="S108" s="3" t="s">
        <v>1075</v>
      </c>
      <c r="T108" s="4">
        <v>429</v>
      </c>
      <c r="U108" s="4" t="s">
        <v>1076</v>
      </c>
      <c r="V108" s="5">
        <v>900</v>
      </c>
      <c r="W108" s="4" t="s">
        <v>1077</v>
      </c>
      <c r="X108" s="5">
        <v>700</v>
      </c>
      <c r="Y108" s="4">
        <f t="shared" si="4"/>
        <v>783</v>
      </c>
      <c r="Z108" s="4">
        <v>583</v>
      </c>
      <c r="AA108" s="1" t="s">
        <v>1078</v>
      </c>
      <c r="AC108" s="1" t="s">
        <v>15</v>
      </c>
      <c r="AD108" s="6">
        <v>46080</v>
      </c>
      <c r="AE108" s="6">
        <v>46122</v>
      </c>
      <c r="AF108" s="1" t="s">
        <v>16</v>
      </c>
    </row>
    <row r="109" spans="1:32" x14ac:dyDescent="0.3">
      <c r="A109" s="1">
        <v>247</v>
      </c>
      <c r="B109" s="2">
        <v>45985.638611111099</v>
      </c>
      <c r="C109" s="1" t="s">
        <v>1079</v>
      </c>
      <c r="D109" s="1" t="s">
        <v>1080</v>
      </c>
      <c r="E109" s="1" t="s">
        <v>1081</v>
      </c>
      <c r="F109" s="1" t="s">
        <v>1082</v>
      </c>
      <c r="G109" s="1" t="s">
        <v>17</v>
      </c>
      <c r="H109" s="1" t="s">
        <v>47</v>
      </c>
      <c r="I109" s="1" t="s">
        <v>1062</v>
      </c>
      <c r="J109" s="1" t="s">
        <v>1062</v>
      </c>
      <c r="K109" s="1">
        <v>755</v>
      </c>
      <c r="M109" s="1" t="s">
        <v>49</v>
      </c>
      <c r="N109" s="1" t="s">
        <v>1083</v>
      </c>
      <c r="O109" s="1" t="s">
        <v>1084</v>
      </c>
      <c r="P109" s="1" t="s">
        <v>9</v>
      </c>
      <c r="Q109" s="1">
        <v>0</v>
      </c>
      <c r="R109" s="1" t="s">
        <v>10</v>
      </c>
      <c r="S109" s="3" t="s">
        <v>1085</v>
      </c>
      <c r="T109" s="4">
        <v>430</v>
      </c>
      <c r="U109" s="4" t="s">
        <v>521</v>
      </c>
      <c r="V109" s="5">
        <v>2000</v>
      </c>
      <c r="W109" s="4" t="s">
        <v>522</v>
      </c>
      <c r="X109" s="5">
        <v>500</v>
      </c>
      <c r="Y109" s="4">
        <f t="shared" si="4"/>
        <v>2255</v>
      </c>
      <c r="AA109" s="1" t="s">
        <v>1086</v>
      </c>
      <c r="AC109" s="1" t="s">
        <v>15</v>
      </c>
      <c r="AD109" s="6">
        <v>46080</v>
      </c>
      <c r="AE109" s="6">
        <v>46150</v>
      </c>
      <c r="AF109" s="1" t="s">
        <v>16</v>
      </c>
    </row>
    <row r="110" spans="1:32" x14ac:dyDescent="0.3">
      <c r="A110" s="18">
        <v>349</v>
      </c>
      <c r="B110" s="19">
        <v>46007.004513888904</v>
      </c>
      <c r="C110" s="1" t="s">
        <v>1087</v>
      </c>
      <c r="D110" s="1" t="s">
        <v>1088</v>
      </c>
      <c r="E110" s="1" t="s">
        <v>1089</v>
      </c>
      <c r="F110" s="1" t="s">
        <v>1090</v>
      </c>
      <c r="G110" s="20" t="s">
        <v>4</v>
      </c>
      <c r="H110" s="20" t="s">
        <v>71</v>
      </c>
      <c r="I110" s="20" t="s">
        <v>1062</v>
      </c>
      <c r="J110" s="1" t="s">
        <v>1062</v>
      </c>
      <c r="K110" s="1">
        <v>319</v>
      </c>
      <c r="M110" s="20" t="s">
        <v>20</v>
      </c>
      <c r="N110" s="20" t="s">
        <v>1091</v>
      </c>
      <c r="O110" s="20" t="s">
        <v>213</v>
      </c>
      <c r="P110" s="20" t="s">
        <v>9</v>
      </c>
      <c r="Q110" s="1">
        <v>0</v>
      </c>
      <c r="R110" s="1" t="s">
        <v>10</v>
      </c>
      <c r="S110" s="21" t="s">
        <v>1092</v>
      </c>
      <c r="T110" s="22">
        <v>431</v>
      </c>
      <c r="U110" s="22" t="s">
        <v>1093</v>
      </c>
      <c r="V110" s="5">
        <v>1200</v>
      </c>
      <c r="W110" s="22" t="s">
        <v>1094</v>
      </c>
      <c r="X110" s="5">
        <v>800</v>
      </c>
      <c r="Y110" s="4">
        <f t="shared" si="4"/>
        <v>719</v>
      </c>
      <c r="AA110" s="20" t="s">
        <v>1095</v>
      </c>
      <c r="AC110" s="1" t="s">
        <v>15</v>
      </c>
      <c r="AD110" s="6">
        <v>46080</v>
      </c>
      <c r="AE110" s="6">
        <v>46142</v>
      </c>
      <c r="AF110" s="1" t="s">
        <v>16</v>
      </c>
    </row>
    <row r="111" spans="1:32" x14ac:dyDescent="0.3">
      <c r="A111" s="1">
        <v>776</v>
      </c>
      <c r="B111" s="2">
        <v>46083.828101851803</v>
      </c>
      <c r="C111" s="11" t="s">
        <v>1096</v>
      </c>
      <c r="D111" s="11" t="s">
        <v>1097</v>
      </c>
      <c r="F111" s="1" t="s">
        <v>1098</v>
      </c>
      <c r="G111" s="3" t="s">
        <v>4</v>
      </c>
      <c r="H111" s="3" t="s">
        <v>1099</v>
      </c>
      <c r="I111" s="3" t="s">
        <v>1100</v>
      </c>
      <c r="J111" s="1" t="s">
        <v>1100</v>
      </c>
      <c r="K111" s="1">
        <v>523</v>
      </c>
      <c r="L111" s="1">
        <v>1</v>
      </c>
      <c r="M111" s="3" t="s">
        <v>20</v>
      </c>
      <c r="N111" s="3"/>
      <c r="O111" s="3" t="s">
        <v>1101</v>
      </c>
      <c r="P111" s="3" t="s">
        <v>9</v>
      </c>
      <c r="Q111" s="3"/>
      <c r="R111" s="3" t="s">
        <v>177</v>
      </c>
      <c r="S111" s="7" t="s">
        <v>1102</v>
      </c>
      <c r="T111" s="4">
        <v>523</v>
      </c>
      <c r="U111" s="7" t="s">
        <v>1103</v>
      </c>
      <c r="V111" s="5">
        <v>1100</v>
      </c>
      <c r="W111" s="7" t="s">
        <v>1104</v>
      </c>
      <c r="Y111" s="4">
        <f t="shared" si="4"/>
        <v>1623</v>
      </c>
      <c r="Z111" s="4">
        <f>K111</f>
        <v>523</v>
      </c>
      <c r="AA111" s="3" t="s">
        <v>1105</v>
      </c>
      <c r="AB111" s="1" t="s">
        <v>56</v>
      </c>
      <c r="AC111" s="1" t="s">
        <v>15</v>
      </c>
      <c r="AD111" s="6">
        <v>46098</v>
      </c>
      <c r="AE111" s="6">
        <v>46112</v>
      </c>
      <c r="AF111" s="1" t="s">
        <v>16</v>
      </c>
    </row>
    <row r="112" spans="1:32" x14ac:dyDescent="0.3">
      <c r="A112" s="1">
        <v>314</v>
      </c>
      <c r="B112" s="2">
        <v>45999.428136574097</v>
      </c>
      <c r="C112" s="1" t="s">
        <v>1106</v>
      </c>
      <c r="D112" s="1" t="s">
        <v>1107</v>
      </c>
      <c r="E112" s="1" t="s">
        <v>1108</v>
      </c>
      <c r="F112" s="1" t="s">
        <v>1109</v>
      </c>
      <c r="G112" s="1" t="s">
        <v>4</v>
      </c>
      <c r="H112" s="1" t="s">
        <v>71</v>
      </c>
      <c r="I112" s="1" t="s">
        <v>1110</v>
      </c>
      <c r="J112" s="1" t="s">
        <v>1110</v>
      </c>
      <c r="K112" s="1">
        <v>407</v>
      </c>
      <c r="L112" s="1">
        <v>2</v>
      </c>
      <c r="M112" s="1" t="s">
        <v>20</v>
      </c>
      <c r="N112" s="1" t="s">
        <v>1111</v>
      </c>
      <c r="O112" s="1" t="s">
        <v>1112</v>
      </c>
      <c r="P112" s="1" t="s">
        <v>9</v>
      </c>
      <c r="Q112" s="1">
        <v>0</v>
      </c>
      <c r="R112" s="1" t="s">
        <v>177</v>
      </c>
      <c r="S112" s="3" t="s">
        <v>1113</v>
      </c>
      <c r="T112" s="4">
        <v>434</v>
      </c>
      <c r="U112" s="4" t="s">
        <v>1114</v>
      </c>
      <c r="W112" s="4" t="s">
        <v>556</v>
      </c>
      <c r="X112" s="5">
        <v>250</v>
      </c>
      <c r="Y112" s="4">
        <f t="shared" ref="Y112:Y119" si="5">K112+V112-X112</f>
        <v>157</v>
      </c>
      <c r="Z112" s="1">
        <v>407</v>
      </c>
      <c r="AA112" s="1" t="s">
        <v>1115</v>
      </c>
      <c r="AC112" s="1" t="s">
        <v>15</v>
      </c>
      <c r="AD112" s="6">
        <v>46080</v>
      </c>
      <c r="AE112" s="6">
        <v>46124</v>
      </c>
      <c r="AF112" s="1" t="s">
        <v>16</v>
      </c>
    </row>
    <row r="113" spans="1:32" x14ac:dyDescent="0.3">
      <c r="A113" s="1">
        <v>367</v>
      </c>
      <c r="B113" s="2">
        <v>46008.194270833301</v>
      </c>
      <c r="C113" s="1" t="s">
        <v>1116</v>
      </c>
      <c r="D113" s="1" t="s">
        <v>1117</v>
      </c>
      <c r="E113" s="1" t="s">
        <v>1118</v>
      </c>
      <c r="F113" s="1" t="s">
        <v>1119</v>
      </c>
      <c r="G113" s="1" t="s">
        <v>17</v>
      </c>
      <c r="H113" s="1" t="s">
        <v>18</v>
      </c>
      <c r="I113" s="1" t="s">
        <v>1110</v>
      </c>
      <c r="J113" s="1" t="s">
        <v>1110</v>
      </c>
      <c r="K113" s="1">
        <v>814</v>
      </c>
      <c r="L113" s="1">
        <v>2</v>
      </c>
      <c r="M113" s="1" t="s">
        <v>49</v>
      </c>
      <c r="N113" s="1" t="s">
        <v>1120</v>
      </c>
      <c r="O113" s="1" t="s">
        <v>1121</v>
      </c>
      <c r="P113" s="1" t="s">
        <v>98</v>
      </c>
      <c r="Q113" s="1" t="s">
        <v>1122</v>
      </c>
      <c r="R113" s="1" t="s">
        <v>10</v>
      </c>
      <c r="S113" s="3" t="s">
        <v>1123</v>
      </c>
      <c r="T113" s="4">
        <v>435</v>
      </c>
      <c r="U113" s="4" t="s">
        <v>1124</v>
      </c>
      <c r="V113" s="5">
        <v>1758</v>
      </c>
      <c r="W113" s="4" t="s">
        <v>194</v>
      </c>
      <c r="X113" s="5">
        <v>1000</v>
      </c>
      <c r="Y113" s="4">
        <f t="shared" si="5"/>
        <v>1572</v>
      </c>
      <c r="Z113" s="4">
        <v>814</v>
      </c>
      <c r="AA113" s="1" t="s">
        <v>1125</v>
      </c>
      <c r="AB113" s="1" t="s">
        <v>18</v>
      </c>
      <c r="AC113" s="1" t="s">
        <v>15</v>
      </c>
      <c r="AD113" s="6">
        <v>46080</v>
      </c>
      <c r="AE113" s="6">
        <v>46082</v>
      </c>
      <c r="AF113" s="1" t="s">
        <v>16</v>
      </c>
    </row>
    <row r="114" spans="1:32" x14ac:dyDescent="0.3">
      <c r="A114" s="1">
        <v>33</v>
      </c>
      <c r="B114" s="2">
        <v>45926.511574074073</v>
      </c>
      <c r="C114" s="1" t="s">
        <v>1126</v>
      </c>
      <c r="D114" s="1" t="s">
        <v>1127</v>
      </c>
      <c r="E114" s="1" t="s">
        <v>1128</v>
      </c>
      <c r="F114" s="1" t="s">
        <v>1129</v>
      </c>
      <c r="G114" s="1" t="s">
        <v>17</v>
      </c>
      <c r="H114" s="1" t="s">
        <v>71</v>
      </c>
      <c r="I114" s="1" t="s">
        <v>1110</v>
      </c>
      <c r="J114" s="1" t="s">
        <v>1110</v>
      </c>
      <c r="K114" s="1">
        <v>755</v>
      </c>
      <c r="L114" s="1">
        <v>3</v>
      </c>
      <c r="M114" s="1" t="s">
        <v>7</v>
      </c>
      <c r="N114" s="1" t="s">
        <v>1130</v>
      </c>
      <c r="O114" s="1" t="s">
        <v>1131</v>
      </c>
      <c r="P114" s="1" t="s">
        <v>98</v>
      </c>
      <c r="Q114" s="1" t="s">
        <v>1132</v>
      </c>
      <c r="R114" s="1" t="s">
        <v>177</v>
      </c>
      <c r="S114" s="3" t="s">
        <v>1133</v>
      </c>
      <c r="T114" s="4">
        <v>433</v>
      </c>
      <c r="U114" s="4" t="s">
        <v>1134</v>
      </c>
      <c r="V114" s="5">
        <v>2200</v>
      </c>
      <c r="W114" s="4" t="s">
        <v>23</v>
      </c>
      <c r="X114" s="5">
        <v>0</v>
      </c>
      <c r="Y114" s="4">
        <f t="shared" si="5"/>
        <v>2955</v>
      </c>
      <c r="Z114" s="1">
        <v>755</v>
      </c>
      <c r="AA114" s="1" t="s">
        <v>1135</v>
      </c>
      <c r="AC114" s="1" t="s">
        <v>15</v>
      </c>
      <c r="AD114" s="6">
        <v>46080</v>
      </c>
      <c r="AE114" s="6">
        <v>46124</v>
      </c>
      <c r="AF114" s="1" t="s">
        <v>16</v>
      </c>
    </row>
    <row r="115" spans="1:32" x14ac:dyDescent="0.3">
      <c r="A115" s="1">
        <v>572</v>
      </c>
      <c r="B115" s="2">
        <v>46024.992303240702</v>
      </c>
      <c r="C115" s="1" t="s">
        <v>1136</v>
      </c>
      <c r="D115" s="1" t="s">
        <v>1137</v>
      </c>
      <c r="E115" s="1" t="s">
        <v>1138</v>
      </c>
      <c r="F115" s="1" t="s">
        <v>1139</v>
      </c>
      <c r="G115" s="1" t="s">
        <v>17</v>
      </c>
      <c r="H115" s="1" t="s">
        <v>47</v>
      </c>
      <c r="I115" s="1" t="s">
        <v>1140</v>
      </c>
      <c r="J115" s="1" t="s">
        <v>1140</v>
      </c>
      <c r="K115" s="1">
        <v>583</v>
      </c>
      <c r="L115" s="1">
        <v>0</v>
      </c>
      <c r="M115" s="1" t="s">
        <v>7</v>
      </c>
      <c r="N115" s="1" t="s">
        <v>1141</v>
      </c>
      <c r="O115" s="1" t="s">
        <v>1142</v>
      </c>
      <c r="P115" s="1" t="s">
        <v>9</v>
      </c>
      <c r="Q115" s="1">
        <v>0</v>
      </c>
      <c r="R115" s="1" t="s">
        <v>10</v>
      </c>
      <c r="S115" s="3" t="s">
        <v>1143</v>
      </c>
      <c r="T115" s="4">
        <v>436</v>
      </c>
      <c r="U115" s="4" t="s">
        <v>948</v>
      </c>
      <c r="V115" s="5">
        <v>3500</v>
      </c>
      <c r="W115" s="4" t="s">
        <v>75</v>
      </c>
      <c r="X115" s="5">
        <v>500</v>
      </c>
      <c r="Y115" s="4">
        <f t="shared" si="5"/>
        <v>3583</v>
      </c>
      <c r="Z115" s="1">
        <v>583</v>
      </c>
      <c r="AA115" s="1" t="s">
        <v>1144</v>
      </c>
      <c r="AC115" s="1" t="s">
        <v>15</v>
      </c>
      <c r="AD115" s="6">
        <v>46080</v>
      </c>
      <c r="AE115" s="6">
        <v>46112</v>
      </c>
      <c r="AF115" s="1" t="s">
        <v>16</v>
      </c>
    </row>
    <row r="116" spans="1:32" x14ac:dyDescent="0.3">
      <c r="A116" s="18">
        <v>300</v>
      </c>
      <c r="B116" s="19">
        <v>45994.9816319444</v>
      </c>
      <c r="C116" s="1" t="s">
        <v>1145</v>
      </c>
      <c r="D116" s="1" t="s">
        <v>1146</v>
      </c>
      <c r="E116" s="1" t="s">
        <v>1147</v>
      </c>
      <c r="F116" s="1" t="s">
        <v>1148</v>
      </c>
      <c r="G116" s="20" t="s">
        <v>17</v>
      </c>
      <c r="H116" s="20" t="s">
        <v>47</v>
      </c>
      <c r="I116" s="20" t="s">
        <v>1149</v>
      </c>
      <c r="J116" s="1" t="s">
        <v>1149</v>
      </c>
      <c r="K116" s="1">
        <v>814</v>
      </c>
      <c r="L116" s="1">
        <v>1</v>
      </c>
      <c r="M116" s="20" t="s">
        <v>49</v>
      </c>
      <c r="N116" s="20" t="s">
        <v>1150</v>
      </c>
      <c r="O116" s="20" t="s">
        <v>1151</v>
      </c>
      <c r="P116" s="20" t="s">
        <v>9</v>
      </c>
      <c r="Q116" s="1">
        <v>0</v>
      </c>
      <c r="R116" s="20" t="s">
        <v>10</v>
      </c>
      <c r="S116" s="21" t="s">
        <v>1152</v>
      </c>
      <c r="T116" s="4">
        <v>441</v>
      </c>
      <c r="U116" s="22" t="s">
        <v>1153</v>
      </c>
      <c r="V116" s="5">
        <v>2500</v>
      </c>
      <c r="W116" s="22" t="s">
        <v>1154</v>
      </c>
      <c r="X116" s="5">
        <v>1700</v>
      </c>
      <c r="Y116" s="4">
        <f t="shared" si="5"/>
        <v>1614</v>
      </c>
      <c r="Z116" s="4">
        <v>814</v>
      </c>
      <c r="AA116" s="20" t="s">
        <v>1155</v>
      </c>
      <c r="AB116" s="1" t="s">
        <v>56</v>
      </c>
      <c r="AC116" s="1" t="s">
        <v>15</v>
      </c>
      <c r="AD116" s="6">
        <v>46080</v>
      </c>
      <c r="AE116" s="6">
        <v>46081</v>
      </c>
      <c r="AF116" s="1" t="s">
        <v>16</v>
      </c>
    </row>
    <row r="117" spans="1:32" x14ac:dyDescent="0.3">
      <c r="A117" s="18">
        <v>303</v>
      </c>
      <c r="B117" s="19">
        <v>45996.486435185201</v>
      </c>
      <c r="C117" s="1" t="s">
        <v>1156</v>
      </c>
      <c r="D117" s="1" t="s">
        <v>1157</v>
      </c>
      <c r="E117" s="1" t="s">
        <v>1158</v>
      </c>
      <c r="F117" s="1" t="s">
        <v>1159</v>
      </c>
      <c r="G117" s="20" t="s">
        <v>4</v>
      </c>
      <c r="H117" s="20" t="s">
        <v>71</v>
      </c>
      <c r="I117" s="20" t="s">
        <v>1149</v>
      </c>
      <c r="J117" s="1" t="s">
        <v>1149</v>
      </c>
      <c r="K117" s="1">
        <v>407</v>
      </c>
      <c r="L117" s="1">
        <v>3</v>
      </c>
      <c r="M117" s="20" t="s">
        <v>20</v>
      </c>
      <c r="N117" s="20" t="s">
        <v>1160</v>
      </c>
      <c r="O117" s="20" t="s">
        <v>1161</v>
      </c>
      <c r="P117" s="20" t="s">
        <v>9</v>
      </c>
      <c r="Q117" s="1">
        <v>0</v>
      </c>
      <c r="R117" s="20" t="s">
        <v>10</v>
      </c>
      <c r="S117" s="21" t="s">
        <v>1162</v>
      </c>
      <c r="T117" s="4">
        <v>442</v>
      </c>
      <c r="U117" s="22" t="s">
        <v>1163</v>
      </c>
      <c r="V117" s="5" t="s">
        <v>115</v>
      </c>
      <c r="W117" s="22" t="s">
        <v>1164</v>
      </c>
      <c r="X117" s="5">
        <v>400</v>
      </c>
      <c r="Y117" s="4">
        <f t="shared" si="5"/>
        <v>1507</v>
      </c>
      <c r="Z117" s="4">
        <v>407</v>
      </c>
      <c r="AA117" s="20" t="s">
        <v>1165</v>
      </c>
      <c r="AC117" s="1" t="s">
        <v>15</v>
      </c>
      <c r="AD117" s="6">
        <v>46080</v>
      </c>
      <c r="AE117" s="6">
        <v>46122</v>
      </c>
      <c r="AF117" s="1" t="s">
        <v>16</v>
      </c>
    </row>
    <row r="118" spans="1:32" x14ac:dyDescent="0.3">
      <c r="A118" s="18">
        <v>270</v>
      </c>
      <c r="B118" s="19">
        <v>45989.804270833301</v>
      </c>
      <c r="C118" s="1" t="s">
        <v>1166</v>
      </c>
      <c r="D118" s="1" t="s">
        <v>1167</v>
      </c>
      <c r="E118" s="1" t="s">
        <v>1168</v>
      </c>
      <c r="F118" s="1" t="s">
        <v>1169</v>
      </c>
      <c r="G118" s="20" t="s">
        <v>4</v>
      </c>
      <c r="H118" s="20" t="s">
        <v>47</v>
      </c>
      <c r="I118" s="20" t="s">
        <v>1149</v>
      </c>
      <c r="J118" s="1" t="s">
        <v>1149</v>
      </c>
      <c r="K118" s="1">
        <v>755</v>
      </c>
      <c r="M118" s="20" t="s">
        <v>7</v>
      </c>
      <c r="N118" s="20" t="s">
        <v>1170</v>
      </c>
      <c r="O118" s="20" t="s">
        <v>1171</v>
      </c>
      <c r="P118" s="20" t="s">
        <v>9</v>
      </c>
      <c r="Q118" s="1">
        <v>0</v>
      </c>
      <c r="R118" s="20" t="s">
        <v>10</v>
      </c>
      <c r="S118" s="21" t="s">
        <v>1172</v>
      </c>
      <c r="T118" s="4">
        <v>439</v>
      </c>
      <c r="U118" s="22" t="s">
        <v>1173</v>
      </c>
      <c r="V118" s="5">
        <v>2400</v>
      </c>
      <c r="W118" s="22" t="s">
        <v>1174</v>
      </c>
      <c r="X118" s="5">
        <v>1400</v>
      </c>
      <c r="Y118" s="4">
        <f t="shared" si="5"/>
        <v>1755</v>
      </c>
      <c r="Z118" s="1">
        <v>755</v>
      </c>
      <c r="AA118" s="20" t="s">
        <v>1175</v>
      </c>
      <c r="AB118" s="1" t="s">
        <v>56</v>
      </c>
      <c r="AC118" s="1" t="s">
        <v>15</v>
      </c>
      <c r="AD118" s="6">
        <v>46080</v>
      </c>
      <c r="AE118" s="6">
        <v>46098</v>
      </c>
      <c r="AF118" s="1" t="s">
        <v>16</v>
      </c>
    </row>
    <row r="119" spans="1:32" x14ac:dyDescent="0.3">
      <c r="A119" s="1">
        <v>218</v>
      </c>
      <c r="B119" s="2">
        <v>45983.844351851803</v>
      </c>
      <c r="C119" s="1" t="s">
        <v>1176</v>
      </c>
      <c r="D119" s="1" t="s">
        <v>1177</v>
      </c>
      <c r="E119" s="1" t="s">
        <v>1178</v>
      </c>
      <c r="F119" s="1" t="s">
        <v>1179</v>
      </c>
      <c r="G119" s="1" t="s">
        <v>4</v>
      </c>
      <c r="H119" s="1" t="s">
        <v>47</v>
      </c>
      <c r="I119" s="1" t="s">
        <v>1180</v>
      </c>
      <c r="J119" s="1" t="s">
        <v>1180</v>
      </c>
      <c r="K119" s="1">
        <v>407</v>
      </c>
      <c r="L119" s="1">
        <v>1</v>
      </c>
      <c r="M119" s="1" t="s">
        <v>20</v>
      </c>
      <c r="N119" s="1" t="s">
        <v>1181</v>
      </c>
      <c r="O119" s="1" t="s">
        <v>1182</v>
      </c>
      <c r="P119" s="1" t="s">
        <v>98</v>
      </c>
      <c r="Q119" s="1">
        <v>0</v>
      </c>
      <c r="R119" s="1" t="s">
        <v>10</v>
      </c>
      <c r="S119" s="3" t="s">
        <v>1183</v>
      </c>
      <c r="T119" s="4">
        <v>446</v>
      </c>
      <c r="U119" s="4" t="s">
        <v>194</v>
      </c>
      <c r="V119" s="5">
        <v>1000</v>
      </c>
      <c r="W119" s="4" t="s">
        <v>513</v>
      </c>
      <c r="X119" s="5">
        <v>300</v>
      </c>
      <c r="Y119" s="4">
        <f t="shared" si="5"/>
        <v>1107</v>
      </c>
      <c r="Z119" s="4">
        <v>407</v>
      </c>
      <c r="AA119" s="1" t="s">
        <v>1184</v>
      </c>
      <c r="AB119" s="1" t="s">
        <v>42</v>
      </c>
      <c r="AC119" s="1" t="s">
        <v>15</v>
      </c>
      <c r="AD119" s="6">
        <v>46080</v>
      </c>
      <c r="AE119" s="6">
        <v>46098</v>
      </c>
      <c r="AF119" s="1" t="s">
        <v>16</v>
      </c>
    </row>
    <row r="120" spans="1:32" ht="17.399999999999999" x14ac:dyDescent="0.4">
      <c r="A120" s="13">
        <v>852</v>
      </c>
      <c r="B120" s="14">
        <v>46146.0171527778</v>
      </c>
      <c r="C120" s="15" t="s">
        <v>1188</v>
      </c>
      <c r="D120" s="15" t="s">
        <v>1189</v>
      </c>
      <c r="E120" s="16" t="s">
        <v>1190</v>
      </c>
      <c r="F120" s="16" t="s">
        <v>1190</v>
      </c>
      <c r="G120" s="15" t="s">
        <v>17</v>
      </c>
      <c r="H120" s="15" t="s">
        <v>47</v>
      </c>
      <c r="I120" s="15" t="s">
        <v>1191</v>
      </c>
      <c r="J120" s="15" t="s">
        <v>1191</v>
      </c>
      <c r="K120" s="13">
        <v>852</v>
      </c>
      <c r="L120" s="15"/>
      <c r="M120" s="15" t="s">
        <v>20</v>
      </c>
      <c r="N120" s="15"/>
      <c r="O120" s="15"/>
      <c r="P120" s="15"/>
      <c r="Q120" s="16"/>
      <c r="R120" s="15"/>
      <c r="S120" s="15"/>
      <c r="T120" s="15"/>
      <c r="U120" s="15"/>
      <c r="V120" s="16"/>
      <c r="W120" s="16"/>
      <c r="X120" s="16"/>
      <c r="Y120" s="15"/>
      <c r="Z120" s="15"/>
      <c r="AA120" s="16"/>
      <c r="AB120" s="16"/>
      <c r="AC120" s="1" t="s">
        <v>15</v>
      </c>
      <c r="AD120" s="15" t="s">
        <v>202</v>
      </c>
      <c r="AE120" s="15" t="s">
        <v>203</v>
      </c>
      <c r="AF120" s="16" t="s">
        <v>16</v>
      </c>
    </row>
    <row r="121" spans="1:32" x14ac:dyDescent="0.3">
      <c r="A121" s="1">
        <v>796</v>
      </c>
      <c r="B121" s="2">
        <v>46098.6612731481</v>
      </c>
      <c r="C121" s="3" t="s">
        <v>1192</v>
      </c>
      <c r="D121" s="3" t="s">
        <v>1193</v>
      </c>
      <c r="E121" s="7" t="s">
        <v>1194</v>
      </c>
      <c r="F121" s="3" t="s">
        <v>1195</v>
      </c>
      <c r="G121" s="3" t="s">
        <v>17</v>
      </c>
      <c r="H121" s="3" t="s">
        <v>1196</v>
      </c>
      <c r="I121" s="3" t="s">
        <v>1197</v>
      </c>
      <c r="J121" s="3" t="s">
        <v>1197</v>
      </c>
      <c r="K121" s="28" t="s">
        <v>1198</v>
      </c>
      <c r="L121" s="1">
        <v>1</v>
      </c>
      <c r="M121" s="3" t="s">
        <v>49</v>
      </c>
      <c r="N121" s="3" t="s">
        <v>1199</v>
      </c>
      <c r="O121" s="3" t="s">
        <v>1200</v>
      </c>
      <c r="P121" s="3" t="s">
        <v>98</v>
      </c>
      <c r="Q121" s="3" t="s">
        <v>1201</v>
      </c>
      <c r="R121" s="3" t="s">
        <v>10</v>
      </c>
      <c r="S121" s="7" t="s">
        <v>1202</v>
      </c>
      <c r="T121" s="7" t="s">
        <v>1203</v>
      </c>
      <c r="U121" s="7" t="s">
        <v>1204</v>
      </c>
      <c r="V121" s="7" t="s">
        <v>22</v>
      </c>
      <c r="W121" s="7" t="s">
        <v>1205</v>
      </c>
      <c r="X121" s="7"/>
      <c r="Y121" s="4">
        <f t="shared" ref="Y121:Y128" si="6">K121+V121-X121</f>
        <v>3875</v>
      </c>
      <c r="Z121" s="28" t="s">
        <v>1198</v>
      </c>
      <c r="AA121" s="3" t="s">
        <v>1206</v>
      </c>
      <c r="AB121" s="3" t="s">
        <v>1207</v>
      </c>
      <c r="AC121" s="1" t="s">
        <v>15</v>
      </c>
      <c r="AD121" s="6">
        <v>46099</v>
      </c>
      <c r="AE121" s="3" t="s">
        <v>1208</v>
      </c>
      <c r="AF121" s="3" t="s">
        <v>16</v>
      </c>
    </row>
    <row r="122" spans="1:32" x14ac:dyDescent="0.3">
      <c r="A122" s="1">
        <v>508</v>
      </c>
      <c r="B122" s="2">
        <v>46022.300428240698</v>
      </c>
      <c r="C122" s="1" t="s">
        <v>1212</v>
      </c>
      <c r="D122" s="1" t="s">
        <v>1213</v>
      </c>
      <c r="E122" s="1" t="s">
        <v>1214</v>
      </c>
      <c r="F122" s="1" t="s">
        <v>1215</v>
      </c>
      <c r="G122" s="1" t="s">
        <v>4</v>
      </c>
      <c r="H122" s="1" t="s">
        <v>71</v>
      </c>
      <c r="I122" s="1" t="s">
        <v>1216</v>
      </c>
      <c r="J122" s="1" t="s">
        <v>1216</v>
      </c>
      <c r="K122" s="1">
        <v>814</v>
      </c>
      <c r="L122" s="1">
        <v>1</v>
      </c>
      <c r="M122" s="1" t="s">
        <v>49</v>
      </c>
      <c r="N122" s="1" t="s">
        <v>1217</v>
      </c>
      <c r="O122" s="1" t="s">
        <v>1218</v>
      </c>
      <c r="P122" s="1" t="s">
        <v>9</v>
      </c>
      <c r="Q122" s="1">
        <v>0</v>
      </c>
      <c r="R122" s="1" t="s">
        <v>10</v>
      </c>
      <c r="S122" s="3" t="s">
        <v>1219</v>
      </c>
      <c r="T122" s="4">
        <v>447</v>
      </c>
      <c r="U122" s="4" t="s">
        <v>1220</v>
      </c>
      <c r="V122" s="5">
        <v>3500</v>
      </c>
      <c r="W122" s="4" t="s">
        <v>1221</v>
      </c>
      <c r="X122" s="5">
        <v>2000</v>
      </c>
      <c r="Y122" s="4">
        <f t="shared" si="6"/>
        <v>2314</v>
      </c>
      <c r="Z122" s="4">
        <v>814</v>
      </c>
      <c r="AA122" s="1" t="s">
        <v>1222</v>
      </c>
      <c r="AB122" s="1" t="s">
        <v>56</v>
      </c>
      <c r="AC122" s="1" t="s">
        <v>15</v>
      </c>
      <c r="AD122" s="6">
        <v>46080</v>
      </c>
      <c r="AE122" s="6">
        <v>46081</v>
      </c>
      <c r="AF122" s="1" t="s">
        <v>16</v>
      </c>
    </row>
    <row r="123" spans="1:32" x14ac:dyDescent="0.3">
      <c r="A123" s="1">
        <v>389</v>
      </c>
      <c r="B123" s="2">
        <v>46011.150648148097</v>
      </c>
      <c r="C123" s="1" t="s">
        <v>1223</v>
      </c>
      <c r="D123" s="1" t="s">
        <v>1224</v>
      </c>
      <c r="E123" s="1" t="s">
        <v>1225</v>
      </c>
      <c r="F123" s="1" t="s">
        <v>1226</v>
      </c>
      <c r="G123" s="1" t="s">
        <v>17</v>
      </c>
      <c r="H123" s="1" t="s">
        <v>1227</v>
      </c>
      <c r="I123" s="1" t="s">
        <v>1228</v>
      </c>
      <c r="J123" s="1" t="s">
        <v>1229</v>
      </c>
      <c r="K123" s="1">
        <v>814</v>
      </c>
      <c r="M123" s="1" t="s">
        <v>49</v>
      </c>
      <c r="N123" s="1" t="s">
        <v>1230</v>
      </c>
      <c r="O123" s="1" t="s">
        <v>1231</v>
      </c>
      <c r="P123" s="1" t="s">
        <v>98</v>
      </c>
      <c r="Q123" s="1" t="s">
        <v>1232</v>
      </c>
      <c r="R123" s="1" t="s">
        <v>9</v>
      </c>
      <c r="S123" s="3" t="s">
        <v>1233</v>
      </c>
      <c r="T123" s="4">
        <v>700</v>
      </c>
      <c r="U123" s="4" t="s">
        <v>75</v>
      </c>
      <c r="V123" s="5">
        <v>500</v>
      </c>
      <c r="W123" s="4" t="s">
        <v>1234</v>
      </c>
      <c r="X123" s="5" t="s">
        <v>866</v>
      </c>
      <c r="Y123" s="4">
        <f t="shared" si="6"/>
        <v>914</v>
      </c>
      <c r="Z123" s="1">
        <v>814</v>
      </c>
      <c r="AA123" s="1" t="s">
        <v>1235</v>
      </c>
      <c r="AC123" s="1" t="s">
        <v>15</v>
      </c>
      <c r="AD123" s="6">
        <v>46080</v>
      </c>
      <c r="AE123" s="6">
        <v>46108</v>
      </c>
      <c r="AF123" s="1" t="s">
        <v>16</v>
      </c>
    </row>
    <row r="124" spans="1:32" x14ac:dyDescent="0.3">
      <c r="A124" s="1">
        <v>632</v>
      </c>
      <c r="B124" s="2">
        <v>46043.832928240699</v>
      </c>
      <c r="C124" s="1" t="s">
        <v>1236</v>
      </c>
      <c r="D124" s="1" t="s">
        <v>1237</v>
      </c>
      <c r="E124" s="1" t="s">
        <v>1238</v>
      </c>
      <c r="F124" s="1" t="s">
        <v>1239</v>
      </c>
      <c r="G124" s="1" t="s">
        <v>17</v>
      </c>
      <c r="H124" s="1" t="s">
        <v>71</v>
      </c>
      <c r="I124" s="1" t="s">
        <v>1229</v>
      </c>
      <c r="J124" s="1" t="s">
        <v>1229</v>
      </c>
      <c r="K124" s="1">
        <v>814</v>
      </c>
      <c r="L124" s="1">
        <v>1</v>
      </c>
      <c r="M124" s="1" t="s">
        <v>49</v>
      </c>
      <c r="N124" s="1" t="s">
        <v>1240</v>
      </c>
      <c r="O124" s="1" t="s">
        <v>1241</v>
      </c>
      <c r="P124" s="1" t="s">
        <v>9</v>
      </c>
      <c r="Q124" s="1">
        <v>0</v>
      </c>
      <c r="R124" s="1" t="s">
        <v>10</v>
      </c>
      <c r="S124" s="3" t="s">
        <v>1242</v>
      </c>
      <c r="T124" s="4">
        <v>814</v>
      </c>
      <c r="U124" s="4" t="s">
        <v>1243</v>
      </c>
      <c r="V124" s="5">
        <v>400</v>
      </c>
      <c r="W124" s="4" t="s">
        <v>1244</v>
      </c>
      <c r="X124" s="5">
        <v>500</v>
      </c>
      <c r="Y124" s="4">
        <f t="shared" si="6"/>
        <v>714</v>
      </c>
      <c r="Z124" s="4">
        <v>814</v>
      </c>
      <c r="AA124" s="1" t="s">
        <v>1245</v>
      </c>
      <c r="AB124" s="1" t="s">
        <v>56</v>
      </c>
      <c r="AC124" s="1" t="s">
        <v>15</v>
      </c>
      <c r="AD124" s="6">
        <v>46080</v>
      </c>
      <c r="AE124" s="6">
        <v>46080</v>
      </c>
      <c r="AF124" s="1" t="s">
        <v>16</v>
      </c>
    </row>
    <row r="125" spans="1:32" x14ac:dyDescent="0.3">
      <c r="A125" s="1">
        <v>289</v>
      </c>
      <c r="B125" s="2">
        <v>45992.545115740701</v>
      </c>
      <c r="C125" s="1" t="s">
        <v>1246</v>
      </c>
      <c r="D125" s="1" t="s">
        <v>1247</v>
      </c>
      <c r="E125" s="1" t="s">
        <v>1248</v>
      </c>
      <c r="F125" s="1" t="s">
        <v>1249</v>
      </c>
      <c r="G125" s="1" t="s">
        <v>17</v>
      </c>
      <c r="H125" s="1" t="s">
        <v>47</v>
      </c>
      <c r="I125" s="1" t="s">
        <v>1229</v>
      </c>
      <c r="J125" s="1" t="s">
        <v>1229</v>
      </c>
      <c r="K125" s="1">
        <v>814</v>
      </c>
      <c r="L125" s="1">
        <v>2</v>
      </c>
      <c r="M125" s="1" t="s">
        <v>49</v>
      </c>
      <c r="N125" s="1" t="s">
        <v>1250</v>
      </c>
      <c r="O125" s="1" t="s">
        <v>1251</v>
      </c>
      <c r="P125" s="1" t="s">
        <v>98</v>
      </c>
      <c r="Q125" s="1" t="s">
        <v>1252</v>
      </c>
      <c r="R125" s="1" t="s">
        <v>10</v>
      </c>
      <c r="S125" s="3" t="s">
        <v>1253</v>
      </c>
      <c r="T125" s="4">
        <v>454</v>
      </c>
      <c r="U125" s="4" t="s">
        <v>194</v>
      </c>
      <c r="V125" s="5">
        <v>1000</v>
      </c>
      <c r="W125" s="4" t="s">
        <v>75</v>
      </c>
      <c r="X125" s="5">
        <v>500</v>
      </c>
      <c r="Y125" s="4">
        <f t="shared" si="6"/>
        <v>1314</v>
      </c>
      <c r="Z125" s="4">
        <v>814</v>
      </c>
      <c r="AA125" s="1" t="s">
        <v>1254</v>
      </c>
      <c r="AB125" s="1" t="s">
        <v>56</v>
      </c>
      <c r="AC125" s="1" t="s">
        <v>15</v>
      </c>
      <c r="AD125" s="6">
        <v>46080</v>
      </c>
      <c r="AE125" s="6">
        <v>46090</v>
      </c>
      <c r="AF125" s="1" t="s">
        <v>16</v>
      </c>
    </row>
    <row r="126" spans="1:32" x14ac:dyDescent="0.3">
      <c r="A126" s="1">
        <v>200</v>
      </c>
      <c r="B126" s="2">
        <v>45983.289722222202</v>
      </c>
      <c r="C126" s="1" t="s">
        <v>1255</v>
      </c>
      <c r="D126" s="1" t="s">
        <v>1256</v>
      </c>
      <c r="E126" s="1" t="s">
        <v>1257</v>
      </c>
      <c r="F126" s="1" t="s">
        <v>1258</v>
      </c>
      <c r="G126" s="1" t="s">
        <v>4</v>
      </c>
      <c r="H126" s="1" t="s">
        <v>18</v>
      </c>
      <c r="I126" s="1" t="s">
        <v>1229</v>
      </c>
      <c r="J126" s="1" t="s">
        <v>1229</v>
      </c>
      <c r="K126" s="1">
        <v>814</v>
      </c>
      <c r="L126" s="1">
        <v>3</v>
      </c>
      <c r="M126" s="1" t="s">
        <v>49</v>
      </c>
      <c r="N126" s="1" t="s">
        <v>1259</v>
      </c>
      <c r="O126" s="1" t="s">
        <v>1260</v>
      </c>
      <c r="P126" s="1" t="s">
        <v>98</v>
      </c>
      <c r="Q126" s="1" t="s">
        <v>1261</v>
      </c>
      <c r="R126" s="1" t="s">
        <v>10</v>
      </c>
      <c r="S126" s="3" t="s">
        <v>1262</v>
      </c>
      <c r="T126" s="4">
        <v>452</v>
      </c>
      <c r="U126" s="4" t="s">
        <v>620</v>
      </c>
      <c r="V126" s="5">
        <v>800</v>
      </c>
      <c r="W126" s="4" t="s">
        <v>620</v>
      </c>
      <c r="X126" s="5">
        <v>800</v>
      </c>
      <c r="Y126" s="4">
        <f t="shared" si="6"/>
        <v>814</v>
      </c>
      <c r="Z126" s="4">
        <v>814</v>
      </c>
      <c r="AA126" s="1" t="s">
        <v>1263</v>
      </c>
      <c r="AB126" s="1" t="s">
        <v>18</v>
      </c>
      <c r="AC126" s="1" t="s">
        <v>15</v>
      </c>
      <c r="AD126" s="6">
        <v>46080</v>
      </c>
      <c r="AE126" s="6">
        <v>46081</v>
      </c>
      <c r="AF126" s="1" t="s">
        <v>16</v>
      </c>
    </row>
    <row r="127" spans="1:32" x14ac:dyDescent="0.3">
      <c r="A127" s="1">
        <v>38</v>
      </c>
      <c r="B127" s="2">
        <v>45930.44327546296</v>
      </c>
      <c r="C127" s="1" t="s">
        <v>1264</v>
      </c>
      <c r="D127" s="1" t="s">
        <v>1265</v>
      </c>
      <c r="E127" s="1" t="s">
        <v>1266</v>
      </c>
      <c r="F127" s="1" t="s">
        <v>1267</v>
      </c>
      <c r="G127" s="1" t="s">
        <v>4</v>
      </c>
      <c r="H127" s="1" t="s">
        <v>18</v>
      </c>
      <c r="I127" s="1" t="s">
        <v>1229</v>
      </c>
      <c r="J127" s="1" t="s">
        <v>1229</v>
      </c>
      <c r="K127" s="1">
        <v>814</v>
      </c>
      <c r="L127" s="1">
        <v>4</v>
      </c>
      <c r="M127" s="1" t="s">
        <v>49</v>
      </c>
      <c r="N127" s="1" t="s">
        <v>1268</v>
      </c>
      <c r="O127" s="1" t="s">
        <v>117</v>
      </c>
      <c r="P127" s="1" t="s">
        <v>98</v>
      </c>
      <c r="Q127" s="1" t="s">
        <v>1269</v>
      </c>
      <c r="R127" s="1" t="s">
        <v>10</v>
      </c>
      <c r="S127" s="3" t="s">
        <v>1270</v>
      </c>
      <c r="T127" s="4">
        <v>449</v>
      </c>
      <c r="U127" s="4" t="s">
        <v>253</v>
      </c>
      <c r="V127" s="5">
        <v>755</v>
      </c>
      <c r="W127" s="4" t="s">
        <v>866</v>
      </c>
      <c r="X127" s="5">
        <v>400</v>
      </c>
      <c r="Y127" s="4">
        <f t="shared" si="6"/>
        <v>1169</v>
      </c>
      <c r="Z127" s="4">
        <v>814</v>
      </c>
      <c r="AA127" s="1" t="s">
        <v>1271</v>
      </c>
      <c r="AB127" s="1" t="s">
        <v>18</v>
      </c>
      <c r="AC127" s="1" t="s">
        <v>15</v>
      </c>
      <c r="AD127" s="6">
        <v>46080</v>
      </c>
      <c r="AE127" s="6">
        <v>46088</v>
      </c>
      <c r="AF127" s="1" t="s">
        <v>16</v>
      </c>
    </row>
    <row r="128" spans="1:32" x14ac:dyDescent="0.3">
      <c r="A128" s="1">
        <v>262</v>
      </c>
      <c r="B128" s="2">
        <v>45988.489097222198</v>
      </c>
      <c r="C128" s="1" t="s">
        <v>1272</v>
      </c>
      <c r="D128" s="1" t="s">
        <v>1273</v>
      </c>
      <c r="E128" s="1" t="s">
        <v>1274</v>
      </c>
      <c r="F128" s="1" t="s">
        <v>1275</v>
      </c>
      <c r="G128" s="1" t="s">
        <v>17</v>
      </c>
      <c r="H128" s="1" t="s">
        <v>942</v>
      </c>
      <c r="I128" s="1" t="s">
        <v>1229</v>
      </c>
      <c r="J128" s="1" t="s">
        <v>1229</v>
      </c>
      <c r="K128" s="1">
        <v>814</v>
      </c>
      <c r="L128" s="1">
        <v>5</v>
      </c>
      <c r="M128" s="1" t="s">
        <v>49</v>
      </c>
      <c r="N128" s="1" t="s">
        <v>1276</v>
      </c>
      <c r="O128" s="1" t="s">
        <v>1277</v>
      </c>
      <c r="P128" s="1" t="s">
        <v>98</v>
      </c>
      <c r="Q128" s="1" t="s">
        <v>1278</v>
      </c>
      <c r="R128" s="1" t="s">
        <v>177</v>
      </c>
      <c r="S128" s="3" t="s">
        <v>1279</v>
      </c>
      <c r="T128" s="4">
        <v>453</v>
      </c>
      <c r="U128" s="4" t="s">
        <v>1280</v>
      </c>
      <c r="V128" s="5">
        <v>750</v>
      </c>
      <c r="W128" s="4" t="s">
        <v>333</v>
      </c>
      <c r="X128" s="5">
        <v>500</v>
      </c>
      <c r="Y128" s="4">
        <f t="shared" si="6"/>
        <v>1064</v>
      </c>
      <c r="Z128" s="1">
        <v>814</v>
      </c>
      <c r="AA128" s="1" t="s">
        <v>360</v>
      </c>
      <c r="AB128" s="1" t="s">
        <v>18</v>
      </c>
      <c r="AC128" s="1" t="s">
        <v>15</v>
      </c>
      <c r="AD128" s="6">
        <v>46080</v>
      </c>
      <c r="AE128" s="6">
        <v>46080</v>
      </c>
      <c r="AF128" s="1" t="s">
        <v>16</v>
      </c>
    </row>
    <row r="129" spans="1:32" x14ac:dyDescent="0.3">
      <c r="A129" s="1">
        <v>619</v>
      </c>
      <c r="B129" s="2">
        <v>46040.674687500003</v>
      </c>
      <c r="C129" s="1" t="s">
        <v>1282</v>
      </c>
      <c r="D129" s="1" t="s">
        <v>1283</v>
      </c>
      <c r="E129" s="1" t="s">
        <v>1284</v>
      </c>
      <c r="F129" s="1" t="s">
        <v>1285</v>
      </c>
      <c r="G129" s="1" t="s">
        <v>4</v>
      </c>
      <c r="H129" s="1" t="s">
        <v>71</v>
      </c>
      <c r="I129" s="1" t="s">
        <v>1229</v>
      </c>
      <c r="J129" s="1" t="s">
        <v>1229</v>
      </c>
      <c r="K129" s="1">
        <v>814</v>
      </c>
      <c r="L129" s="1">
        <v>6</v>
      </c>
      <c r="M129" s="1" t="s">
        <v>49</v>
      </c>
      <c r="N129" s="1" t="s">
        <v>1286</v>
      </c>
      <c r="O129" s="1" t="s">
        <v>1287</v>
      </c>
      <c r="P129" s="1" t="s">
        <v>9</v>
      </c>
      <c r="Q129" s="1">
        <v>0</v>
      </c>
      <c r="R129" s="1" t="s">
        <v>177</v>
      </c>
      <c r="S129" s="3" t="s">
        <v>152</v>
      </c>
      <c r="T129" s="4">
        <v>649</v>
      </c>
      <c r="U129" s="4" t="s">
        <v>1288</v>
      </c>
      <c r="V129" s="5">
        <v>630</v>
      </c>
      <c r="W129" s="4" t="s">
        <v>516</v>
      </c>
      <c r="X129" s="5">
        <v>100</v>
      </c>
      <c r="Y129" s="4">
        <f t="shared" ref="Y129:Y143" si="7">K129+V129-X129</f>
        <v>1344</v>
      </c>
      <c r="Z129" s="1">
        <v>814</v>
      </c>
      <c r="AA129" s="1" t="s">
        <v>1289</v>
      </c>
      <c r="AC129" s="1" t="s">
        <v>15</v>
      </c>
      <c r="AD129" s="6">
        <v>46080</v>
      </c>
      <c r="AE129" s="6">
        <v>46123</v>
      </c>
      <c r="AF129" s="1" t="s">
        <v>16</v>
      </c>
    </row>
    <row r="130" spans="1:32" x14ac:dyDescent="0.3">
      <c r="A130" s="1">
        <v>339</v>
      </c>
      <c r="B130" s="2">
        <v>46004.578993055598</v>
      </c>
      <c r="C130" s="1" t="s">
        <v>1290</v>
      </c>
      <c r="D130" s="1" t="s">
        <v>1291</v>
      </c>
      <c r="E130" s="1" t="s">
        <v>1292</v>
      </c>
      <c r="F130" s="1" t="s">
        <v>1293</v>
      </c>
      <c r="G130" s="1" t="s">
        <v>4</v>
      </c>
      <c r="H130" s="1" t="s">
        <v>27</v>
      </c>
      <c r="I130" s="1" t="s">
        <v>1229</v>
      </c>
      <c r="J130" s="1" t="s">
        <v>1229</v>
      </c>
      <c r="K130" s="1">
        <v>755</v>
      </c>
      <c r="L130" s="1">
        <v>7</v>
      </c>
      <c r="M130" s="1" t="s">
        <v>7</v>
      </c>
      <c r="N130" s="1" t="s">
        <v>367</v>
      </c>
      <c r="O130" s="1" t="s">
        <v>1294</v>
      </c>
      <c r="P130" s="1" t="s">
        <v>9</v>
      </c>
      <c r="Q130" s="1" t="s">
        <v>1091</v>
      </c>
      <c r="R130" s="1" t="s">
        <v>10</v>
      </c>
      <c r="S130" s="3" t="s">
        <v>1295</v>
      </c>
      <c r="T130" s="4">
        <v>458</v>
      </c>
      <c r="U130" s="4" t="s">
        <v>1296</v>
      </c>
      <c r="V130" s="5" t="s">
        <v>1297</v>
      </c>
      <c r="W130" s="4" t="s">
        <v>1298</v>
      </c>
      <c r="X130" s="5" t="s">
        <v>513</v>
      </c>
      <c r="Y130" s="4">
        <f t="shared" si="7"/>
        <v>1310</v>
      </c>
      <c r="Z130" s="1">
        <v>755</v>
      </c>
      <c r="AA130" s="1" t="s">
        <v>1299</v>
      </c>
      <c r="AB130" s="1" t="s">
        <v>130</v>
      </c>
      <c r="AC130" s="1" t="s">
        <v>15</v>
      </c>
      <c r="AD130" s="6">
        <v>46080</v>
      </c>
      <c r="AE130" s="6">
        <v>46127</v>
      </c>
      <c r="AF130" s="1" t="s">
        <v>16</v>
      </c>
    </row>
    <row r="131" spans="1:32" x14ac:dyDescent="0.3">
      <c r="A131" s="1">
        <v>618</v>
      </c>
      <c r="B131" s="2">
        <v>46040.642789351899</v>
      </c>
      <c r="C131" s="1" t="s">
        <v>1300</v>
      </c>
      <c r="D131" s="1" t="s">
        <v>1301</v>
      </c>
      <c r="E131" s="1" t="s">
        <v>1302</v>
      </c>
      <c r="F131" s="1" t="s">
        <v>1303</v>
      </c>
      <c r="G131" s="1" t="s">
        <v>4</v>
      </c>
      <c r="H131" s="1" t="s">
        <v>71</v>
      </c>
      <c r="I131" s="1" t="s">
        <v>1229</v>
      </c>
      <c r="J131" s="1" t="s">
        <v>1229</v>
      </c>
      <c r="K131" s="1">
        <v>814</v>
      </c>
      <c r="L131" s="1">
        <v>8</v>
      </c>
      <c r="M131" s="1" t="s">
        <v>49</v>
      </c>
      <c r="N131" s="1" t="s">
        <v>1304</v>
      </c>
      <c r="O131" s="1" t="s">
        <v>1305</v>
      </c>
      <c r="P131" s="1" t="s">
        <v>9</v>
      </c>
      <c r="Q131" s="1" t="s">
        <v>1306</v>
      </c>
      <c r="R131" s="1" t="s">
        <v>177</v>
      </c>
      <c r="S131" s="3" t="s">
        <v>152</v>
      </c>
      <c r="T131" s="4">
        <v>649</v>
      </c>
      <c r="U131" s="4" t="s">
        <v>1307</v>
      </c>
      <c r="V131" s="5">
        <v>630</v>
      </c>
      <c r="W131" s="4" t="s">
        <v>516</v>
      </c>
      <c r="X131" s="5">
        <v>100</v>
      </c>
      <c r="Y131" s="4">
        <f t="shared" si="7"/>
        <v>1344</v>
      </c>
      <c r="Z131" s="1">
        <v>814</v>
      </c>
      <c r="AA131" s="1" t="s">
        <v>1308</v>
      </c>
      <c r="AC131" s="1" t="s">
        <v>15</v>
      </c>
      <c r="AD131" s="6">
        <v>46080</v>
      </c>
      <c r="AE131" s="6">
        <v>46123</v>
      </c>
      <c r="AF131" s="1" t="s">
        <v>16</v>
      </c>
    </row>
    <row r="132" spans="1:32" x14ac:dyDescent="0.3">
      <c r="A132" s="1">
        <v>77</v>
      </c>
      <c r="B132" s="2">
        <v>45949.620694444442</v>
      </c>
      <c r="C132" s="1" t="s">
        <v>1309</v>
      </c>
      <c r="D132" s="1" t="s">
        <v>1310</v>
      </c>
      <c r="E132" s="1" t="s">
        <v>1311</v>
      </c>
      <c r="F132" s="1" t="s">
        <v>1312</v>
      </c>
      <c r="G132" s="1" t="s">
        <v>17</v>
      </c>
      <c r="H132" s="1" t="s">
        <v>5</v>
      </c>
      <c r="I132" s="1" t="s">
        <v>1229</v>
      </c>
      <c r="J132" s="1" t="s">
        <v>1229</v>
      </c>
      <c r="K132" s="1">
        <v>407</v>
      </c>
      <c r="M132" s="1" t="s">
        <v>1313</v>
      </c>
      <c r="N132" s="1" t="s">
        <v>1314</v>
      </c>
      <c r="O132" s="1" t="s">
        <v>1315</v>
      </c>
      <c r="P132" s="1" t="s">
        <v>9</v>
      </c>
      <c r="Q132" s="1">
        <v>0</v>
      </c>
      <c r="R132" s="1" t="s">
        <v>10</v>
      </c>
      <c r="S132" s="3" t="s">
        <v>675</v>
      </c>
      <c r="T132" s="4">
        <v>450</v>
      </c>
      <c r="U132" s="4" t="s">
        <v>12</v>
      </c>
      <c r="V132" s="5">
        <v>1000</v>
      </c>
      <c r="W132" s="4" t="s">
        <v>525</v>
      </c>
      <c r="X132" s="5">
        <v>200</v>
      </c>
      <c r="Y132" s="4">
        <f t="shared" si="7"/>
        <v>1207</v>
      </c>
      <c r="AA132" s="1" t="s">
        <v>1316</v>
      </c>
      <c r="AC132" s="1" t="s">
        <v>15</v>
      </c>
      <c r="AD132" s="6">
        <v>46080</v>
      </c>
      <c r="AE132" s="6">
        <v>46148</v>
      </c>
      <c r="AF132" s="1" t="s">
        <v>16</v>
      </c>
    </row>
    <row r="133" spans="1:32" x14ac:dyDescent="0.3">
      <c r="A133" s="1">
        <v>186</v>
      </c>
      <c r="B133" s="2">
        <v>45982.755543981497</v>
      </c>
      <c r="C133" s="1" t="s">
        <v>1317</v>
      </c>
      <c r="D133" s="1" t="s">
        <v>1318</v>
      </c>
      <c r="E133" s="1" t="s">
        <v>1319</v>
      </c>
      <c r="F133" s="1" t="s">
        <v>1320</v>
      </c>
      <c r="G133" s="1" t="s">
        <v>17</v>
      </c>
      <c r="H133" s="1" t="s">
        <v>71</v>
      </c>
      <c r="I133" s="1" t="s">
        <v>1229</v>
      </c>
      <c r="J133" s="1" t="s">
        <v>1229</v>
      </c>
      <c r="K133" s="1">
        <v>755</v>
      </c>
      <c r="M133" s="1" t="s">
        <v>7</v>
      </c>
      <c r="N133" s="1" t="s">
        <v>8</v>
      </c>
      <c r="O133" s="1" t="s">
        <v>1321</v>
      </c>
      <c r="P133" s="1" t="s">
        <v>9</v>
      </c>
      <c r="Q133" s="1">
        <v>0</v>
      </c>
      <c r="R133" s="1" t="s">
        <v>10</v>
      </c>
      <c r="S133" s="3" t="s">
        <v>1322</v>
      </c>
      <c r="T133" s="4">
        <v>451</v>
      </c>
      <c r="U133" s="4" t="s">
        <v>12</v>
      </c>
      <c r="V133" s="5">
        <v>1000</v>
      </c>
      <c r="W133" s="4" t="s">
        <v>525</v>
      </c>
      <c r="X133" s="5">
        <v>200</v>
      </c>
      <c r="Y133" s="4">
        <f t="shared" si="7"/>
        <v>1555</v>
      </c>
      <c r="AA133" s="1" t="s">
        <v>1323</v>
      </c>
      <c r="AC133" s="1" t="s">
        <v>15</v>
      </c>
      <c r="AD133" s="6">
        <v>46080</v>
      </c>
      <c r="AE133" s="6">
        <v>46148</v>
      </c>
      <c r="AF133" s="1" t="s">
        <v>16</v>
      </c>
    </row>
    <row r="134" spans="1:32" x14ac:dyDescent="0.3">
      <c r="A134" s="1">
        <v>296</v>
      </c>
      <c r="B134" s="2">
        <v>45994.535289351901</v>
      </c>
      <c r="C134" s="1" t="s">
        <v>1324</v>
      </c>
      <c r="D134" s="1" t="s">
        <v>1325</v>
      </c>
      <c r="E134" s="1" t="s">
        <v>1326</v>
      </c>
      <c r="F134" s="1" t="s">
        <v>1327</v>
      </c>
      <c r="G134" s="1" t="s">
        <v>4</v>
      </c>
      <c r="H134" s="1" t="s">
        <v>1328</v>
      </c>
      <c r="I134" s="1" t="s">
        <v>1229</v>
      </c>
      <c r="J134" s="1" t="s">
        <v>1229</v>
      </c>
      <c r="K134" s="1">
        <v>814</v>
      </c>
      <c r="M134" s="1" t="s">
        <v>49</v>
      </c>
      <c r="N134" s="1" t="s">
        <v>1329</v>
      </c>
      <c r="O134" s="1" t="s">
        <v>1330</v>
      </c>
      <c r="P134" s="1" t="s">
        <v>9</v>
      </c>
      <c r="Q134" s="1">
        <v>0</v>
      </c>
      <c r="R134" s="1" t="s">
        <v>10</v>
      </c>
      <c r="S134" s="3" t="s">
        <v>1331</v>
      </c>
      <c r="T134" s="4">
        <v>455</v>
      </c>
      <c r="U134" s="4" t="s">
        <v>1332</v>
      </c>
      <c r="V134" s="5">
        <v>770</v>
      </c>
      <c r="W134" s="4" t="s">
        <v>753</v>
      </c>
      <c r="X134" s="5">
        <v>200</v>
      </c>
      <c r="Y134" s="4">
        <f t="shared" si="7"/>
        <v>1384</v>
      </c>
      <c r="Z134" s="1">
        <v>814</v>
      </c>
      <c r="AA134" s="1" t="s">
        <v>1333</v>
      </c>
      <c r="AB134" s="1" t="s">
        <v>1334</v>
      </c>
      <c r="AC134" s="1" t="s">
        <v>15</v>
      </c>
      <c r="AD134" s="6">
        <v>46080</v>
      </c>
      <c r="AE134" s="6">
        <v>46084</v>
      </c>
      <c r="AF134" s="1" t="s">
        <v>16</v>
      </c>
    </row>
    <row r="135" spans="1:32" x14ac:dyDescent="0.3">
      <c r="A135" s="1">
        <v>337</v>
      </c>
      <c r="B135" s="2">
        <v>46004.016493055598</v>
      </c>
      <c r="C135" s="1" t="s">
        <v>1335</v>
      </c>
      <c r="D135" s="1" t="s">
        <v>1336</v>
      </c>
      <c r="E135" s="1" t="s">
        <v>1337</v>
      </c>
      <c r="F135" s="1" t="s">
        <v>1338</v>
      </c>
      <c r="G135" s="1" t="s">
        <v>4</v>
      </c>
      <c r="H135" s="1" t="s">
        <v>1339</v>
      </c>
      <c r="I135" s="1" t="s">
        <v>1229</v>
      </c>
      <c r="J135" s="1" t="s">
        <v>1229</v>
      </c>
      <c r="K135" s="1">
        <v>407</v>
      </c>
      <c r="M135" s="1" t="s">
        <v>20</v>
      </c>
      <c r="N135" s="1" t="s">
        <v>1340</v>
      </c>
      <c r="O135" s="1" t="s">
        <v>1340</v>
      </c>
      <c r="P135" s="1" t="s">
        <v>9</v>
      </c>
      <c r="Q135" s="1">
        <v>0</v>
      </c>
      <c r="R135" s="1" t="s">
        <v>10</v>
      </c>
      <c r="S135" s="3" t="s">
        <v>1341</v>
      </c>
      <c r="T135" s="4">
        <v>457</v>
      </c>
      <c r="U135" s="4" t="s">
        <v>1342</v>
      </c>
      <c r="V135" s="5">
        <v>720</v>
      </c>
      <c r="W135" s="4" t="s">
        <v>76</v>
      </c>
      <c r="X135" s="5">
        <v>100</v>
      </c>
      <c r="Y135" s="4">
        <f t="shared" si="7"/>
        <v>1027</v>
      </c>
      <c r="AA135" s="1" t="s">
        <v>1343</v>
      </c>
      <c r="AC135" s="1" t="s">
        <v>15</v>
      </c>
      <c r="AD135" s="6">
        <v>46080</v>
      </c>
      <c r="AE135" s="6">
        <v>46155</v>
      </c>
      <c r="AF135" s="1" t="s">
        <v>16</v>
      </c>
    </row>
    <row r="136" spans="1:32" x14ac:dyDescent="0.3">
      <c r="A136" s="1">
        <v>439</v>
      </c>
      <c r="B136" s="2">
        <v>46018.1012037037</v>
      </c>
      <c r="C136" s="1" t="s">
        <v>1344</v>
      </c>
      <c r="D136" s="1" t="s">
        <v>1345</v>
      </c>
      <c r="E136" s="1" t="s">
        <v>1346</v>
      </c>
      <c r="F136" s="1" t="s">
        <v>1347</v>
      </c>
      <c r="G136" s="1" t="s">
        <v>17</v>
      </c>
      <c r="H136" s="1" t="s">
        <v>1348</v>
      </c>
      <c r="I136" s="1" t="s">
        <v>1229</v>
      </c>
      <c r="J136" s="1" t="s">
        <v>1229</v>
      </c>
      <c r="K136" s="1">
        <v>755</v>
      </c>
      <c r="M136" s="1" t="s">
        <v>7</v>
      </c>
      <c r="N136" s="1" t="s">
        <v>1349</v>
      </c>
      <c r="O136" s="1" t="s">
        <v>1350</v>
      </c>
      <c r="P136" s="1" t="s">
        <v>9</v>
      </c>
      <c r="Q136" s="1">
        <v>0</v>
      </c>
      <c r="R136" s="1" t="s">
        <v>9</v>
      </c>
      <c r="S136" s="3" t="s">
        <v>1351</v>
      </c>
      <c r="T136" s="4">
        <v>460</v>
      </c>
      <c r="U136" s="4" t="s">
        <v>477</v>
      </c>
      <c r="V136" s="5">
        <v>450</v>
      </c>
      <c r="W136" s="4" t="s">
        <v>477</v>
      </c>
      <c r="X136" s="5">
        <v>450</v>
      </c>
      <c r="Y136" s="4">
        <f t="shared" si="7"/>
        <v>755</v>
      </c>
      <c r="AA136" s="1" t="s">
        <v>1352</v>
      </c>
      <c r="AC136" s="1" t="s">
        <v>15</v>
      </c>
      <c r="AD136" s="6">
        <v>46080</v>
      </c>
      <c r="AE136" s="6">
        <v>46151</v>
      </c>
      <c r="AF136" s="1" t="s">
        <v>16</v>
      </c>
    </row>
    <row r="137" spans="1:32" x14ac:dyDescent="0.3">
      <c r="A137" s="1">
        <v>538</v>
      </c>
      <c r="B137" s="2">
        <v>46022.831979166702</v>
      </c>
      <c r="C137" s="1" t="s">
        <v>1353</v>
      </c>
      <c r="D137" s="1" t="s">
        <v>1354</v>
      </c>
      <c r="E137" s="1" t="s">
        <v>1355</v>
      </c>
      <c r="F137" s="1" t="s">
        <v>1356</v>
      </c>
      <c r="G137" s="1" t="s">
        <v>17</v>
      </c>
      <c r="H137" s="1" t="s">
        <v>71</v>
      </c>
      <c r="I137" s="1" t="s">
        <v>1229</v>
      </c>
      <c r="J137" s="1" t="s">
        <v>1229</v>
      </c>
      <c r="K137" s="1">
        <v>814</v>
      </c>
      <c r="M137" s="1" t="s">
        <v>49</v>
      </c>
      <c r="N137" s="1" t="s">
        <v>1357</v>
      </c>
      <c r="O137" s="1" t="s">
        <v>1358</v>
      </c>
      <c r="P137" s="1" t="s">
        <v>9</v>
      </c>
      <c r="Q137" s="1">
        <v>0</v>
      </c>
      <c r="R137" s="1" t="s">
        <v>177</v>
      </c>
      <c r="S137" s="3" t="s">
        <v>1359</v>
      </c>
      <c r="T137" s="4">
        <v>462</v>
      </c>
      <c r="U137" s="4" t="s">
        <v>1360</v>
      </c>
      <c r="V137" s="5">
        <v>1000</v>
      </c>
      <c r="W137" s="4" t="s">
        <v>1361</v>
      </c>
      <c r="X137" s="5">
        <v>500</v>
      </c>
      <c r="Y137" s="4">
        <f t="shared" si="7"/>
        <v>1314</v>
      </c>
      <c r="AA137" s="1" t="s">
        <v>1362</v>
      </c>
      <c r="AC137" s="1" t="s">
        <v>15</v>
      </c>
      <c r="AD137" s="6">
        <v>46080</v>
      </c>
      <c r="AE137" s="6">
        <v>46149</v>
      </c>
      <c r="AF137" s="1" t="s">
        <v>16</v>
      </c>
    </row>
    <row r="138" spans="1:32" x14ac:dyDescent="0.3">
      <c r="A138" s="1">
        <v>582</v>
      </c>
      <c r="B138" s="2">
        <v>46028.274525462999</v>
      </c>
      <c r="C138" s="1" t="s">
        <v>1363</v>
      </c>
      <c r="D138" s="1" t="s">
        <v>1364</v>
      </c>
      <c r="E138" s="1" t="s">
        <v>1365</v>
      </c>
      <c r="F138" s="1" t="s">
        <v>1366</v>
      </c>
      <c r="G138" s="1" t="s">
        <v>4</v>
      </c>
      <c r="H138" s="1" t="s">
        <v>71</v>
      </c>
      <c r="I138" s="1" t="s">
        <v>1229</v>
      </c>
      <c r="J138" s="1" t="s">
        <v>1229</v>
      </c>
      <c r="K138" s="1">
        <v>814</v>
      </c>
      <c r="M138" s="1" t="s">
        <v>49</v>
      </c>
      <c r="N138" s="1" t="s">
        <v>1367</v>
      </c>
      <c r="O138" s="1" t="s">
        <v>1368</v>
      </c>
      <c r="P138" s="1" t="s">
        <v>9</v>
      </c>
      <c r="Q138" s="1">
        <v>0</v>
      </c>
      <c r="R138" s="1" t="s">
        <v>10</v>
      </c>
      <c r="S138" s="3" t="s">
        <v>1369</v>
      </c>
      <c r="T138" s="4">
        <v>463</v>
      </c>
      <c r="U138" s="4" t="s">
        <v>419</v>
      </c>
      <c r="V138" s="5">
        <v>2000</v>
      </c>
      <c r="W138" s="4" t="s">
        <v>1370</v>
      </c>
      <c r="X138" s="5">
        <v>400</v>
      </c>
      <c r="Y138" s="4">
        <f t="shared" si="7"/>
        <v>2414</v>
      </c>
      <c r="AA138" s="1" t="s">
        <v>1371</v>
      </c>
      <c r="AC138" s="1" t="s">
        <v>15</v>
      </c>
      <c r="AD138" s="6">
        <v>46080</v>
      </c>
      <c r="AE138" s="6">
        <v>46161</v>
      </c>
      <c r="AF138" s="1" t="s">
        <v>16</v>
      </c>
    </row>
    <row r="139" spans="1:32" x14ac:dyDescent="0.3">
      <c r="A139" s="1">
        <v>640</v>
      </c>
      <c r="B139" s="2">
        <v>46045.743125000001</v>
      </c>
      <c r="C139" s="1" t="s">
        <v>1374</v>
      </c>
      <c r="D139" s="1" t="s">
        <v>1375</v>
      </c>
      <c r="E139" s="1" t="s">
        <v>1376</v>
      </c>
      <c r="F139" s="1" t="s">
        <v>1377</v>
      </c>
      <c r="G139" s="1" t="s">
        <v>17</v>
      </c>
      <c r="H139" s="1" t="s">
        <v>1378</v>
      </c>
      <c r="I139" s="1" t="s">
        <v>1229</v>
      </c>
      <c r="J139" s="1" t="s">
        <v>1229</v>
      </c>
      <c r="K139" s="1">
        <v>814</v>
      </c>
      <c r="M139" s="1" t="s">
        <v>49</v>
      </c>
      <c r="N139" s="1" t="s">
        <v>1379</v>
      </c>
      <c r="O139" s="1" t="s">
        <v>1380</v>
      </c>
      <c r="P139" s="1" t="s">
        <v>98</v>
      </c>
      <c r="Q139" s="1" t="s">
        <v>1381</v>
      </c>
      <c r="R139" s="1" t="s">
        <v>10</v>
      </c>
      <c r="S139" s="3" t="s">
        <v>1382</v>
      </c>
      <c r="T139" s="4">
        <v>649</v>
      </c>
      <c r="U139" s="4" t="s">
        <v>929</v>
      </c>
      <c r="V139" s="5">
        <v>600</v>
      </c>
      <c r="W139" s="4" t="s">
        <v>1383</v>
      </c>
      <c r="Y139" s="4">
        <f t="shared" si="7"/>
        <v>1414</v>
      </c>
      <c r="Z139" s="1">
        <v>814</v>
      </c>
      <c r="AA139" s="1" t="s">
        <v>1384</v>
      </c>
      <c r="AB139" s="1" t="s">
        <v>1385</v>
      </c>
      <c r="AC139" s="1" t="s">
        <v>15</v>
      </c>
      <c r="AD139" s="6">
        <v>46080</v>
      </c>
      <c r="AE139" s="6">
        <v>46087</v>
      </c>
      <c r="AF139" s="1" t="s">
        <v>16</v>
      </c>
    </row>
    <row r="140" spans="1:32" x14ac:dyDescent="0.3">
      <c r="A140" s="1">
        <v>786</v>
      </c>
      <c r="B140" s="2">
        <v>46088.754201388903</v>
      </c>
      <c r="C140" s="3" t="s">
        <v>1386</v>
      </c>
      <c r="D140" s="3" t="s">
        <v>1387</v>
      </c>
      <c r="E140" s="7" t="s">
        <v>1388</v>
      </c>
      <c r="F140" s="3" t="s">
        <v>1389</v>
      </c>
      <c r="G140" s="3" t="s">
        <v>17</v>
      </c>
      <c r="H140" s="3" t="s">
        <v>1390</v>
      </c>
      <c r="I140" s="3" t="s">
        <v>1229</v>
      </c>
      <c r="J140" s="3" t="s">
        <v>1229</v>
      </c>
      <c r="K140" s="1">
        <v>814</v>
      </c>
      <c r="M140" s="3" t="s">
        <v>49</v>
      </c>
      <c r="N140" s="7" t="s">
        <v>1391</v>
      </c>
      <c r="O140" s="3" t="s">
        <v>1392</v>
      </c>
      <c r="P140" s="3" t="s">
        <v>98</v>
      </c>
      <c r="Q140" s="3" t="s">
        <v>1393</v>
      </c>
      <c r="R140" s="3" t="s">
        <v>10</v>
      </c>
      <c r="S140" s="7" t="s">
        <v>1394</v>
      </c>
      <c r="T140" s="4">
        <v>814</v>
      </c>
      <c r="U140" s="7" t="s">
        <v>1395</v>
      </c>
      <c r="V140" s="5">
        <v>1000</v>
      </c>
      <c r="W140" s="7" t="s">
        <v>1396</v>
      </c>
      <c r="X140" s="3" t="s">
        <v>409</v>
      </c>
      <c r="Y140" s="4">
        <f t="shared" si="7"/>
        <v>1614</v>
      </c>
      <c r="Z140" s="7"/>
      <c r="AA140" s="3"/>
      <c r="AB140" s="3"/>
      <c r="AC140" s="1" t="s">
        <v>15</v>
      </c>
      <c r="AD140" s="7"/>
      <c r="AE140" s="3"/>
      <c r="AF140" s="3" t="s">
        <v>16</v>
      </c>
    </row>
    <row r="141" spans="1:32" x14ac:dyDescent="0.3">
      <c r="A141" s="1">
        <v>833</v>
      </c>
      <c r="B141" s="2">
        <v>46127.437037037002</v>
      </c>
      <c r="C141" s="3" t="s">
        <v>1397</v>
      </c>
      <c r="D141" s="3" t="s">
        <v>1387</v>
      </c>
      <c r="E141" s="7" t="s">
        <v>1388</v>
      </c>
      <c r="F141" s="3" t="s">
        <v>1389</v>
      </c>
      <c r="G141" s="3" t="s">
        <v>4</v>
      </c>
      <c r="H141" s="3" t="s">
        <v>27</v>
      </c>
      <c r="I141" s="3" t="s">
        <v>1229</v>
      </c>
      <c r="J141" s="3" t="s">
        <v>1229</v>
      </c>
      <c r="K141" s="1">
        <v>814</v>
      </c>
      <c r="M141" s="3" t="s">
        <v>49</v>
      </c>
      <c r="N141" s="7" t="s">
        <v>1398</v>
      </c>
      <c r="O141" s="3" t="s">
        <v>1399</v>
      </c>
      <c r="P141" s="3" t="s">
        <v>9</v>
      </c>
      <c r="Q141" s="3"/>
      <c r="R141" s="3" t="s">
        <v>10</v>
      </c>
      <c r="S141" s="7" t="s">
        <v>1400</v>
      </c>
      <c r="T141" s="4">
        <v>814</v>
      </c>
      <c r="U141" s="7" t="s">
        <v>519</v>
      </c>
      <c r="V141" s="5">
        <v>1000</v>
      </c>
      <c r="W141" s="7" t="s">
        <v>1401</v>
      </c>
      <c r="X141" s="3" t="s">
        <v>155</v>
      </c>
      <c r="Y141" s="4">
        <f t="shared" si="7"/>
        <v>1114</v>
      </c>
      <c r="Z141" s="7"/>
      <c r="AA141" s="3"/>
      <c r="AB141" s="3"/>
      <c r="AC141" s="1" t="s">
        <v>15</v>
      </c>
      <c r="AD141" s="7" t="s">
        <v>30</v>
      </c>
      <c r="AE141" s="3" t="s">
        <v>1402</v>
      </c>
      <c r="AF141" s="3" t="s">
        <v>16</v>
      </c>
    </row>
    <row r="142" spans="1:32" ht="17.399999999999999" x14ac:dyDescent="0.4">
      <c r="B142" s="2">
        <v>46142</v>
      </c>
      <c r="C142" s="3" t="s">
        <v>1403</v>
      </c>
      <c r="D142" s="3" t="s">
        <v>1404</v>
      </c>
      <c r="E142" s="7" t="s">
        <v>1405</v>
      </c>
      <c r="F142" s="29" t="s">
        <v>1406</v>
      </c>
      <c r="G142" s="3" t="s">
        <v>4</v>
      </c>
      <c r="H142" s="3" t="s">
        <v>1407</v>
      </c>
      <c r="I142" s="3" t="s">
        <v>1229</v>
      </c>
      <c r="J142" s="3" t="s">
        <v>1229</v>
      </c>
      <c r="K142" s="1">
        <v>755</v>
      </c>
      <c r="M142" s="3" t="s">
        <v>1408</v>
      </c>
      <c r="N142" s="7" t="s">
        <v>1409</v>
      </c>
      <c r="O142" s="3" t="s">
        <v>1410</v>
      </c>
      <c r="P142" s="3" t="s">
        <v>9</v>
      </c>
      <c r="Q142" s="3"/>
      <c r="R142" s="3"/>
      <c r="S142" s="7" t="s">
        <v>1411</v>
      </c>
      <c r="T142" s="1">
        <v>726</v>
      </c>
      <c r="U142" s="7" t="s">
        <v>233</v>
      </c>
      <c r="V142" s="1">
        <v>800</v>
      </c>
      <c r="W142" s="7" t="s">
        <v>863</v>
      </c>
      <c r="X142" s="1">
        <v>50</v>
      </c>
      <c r="Y142" s="4">
        <f t="shared" si="7"/>
        <v>1505</v>
      </c>
      <c r="Z142" s="3"/>
      <c r="AA142" s="3" t="s">
        <v>1412</v>
      </c>
      <c r="AB142" s="7"/>
      <c r="AC142" s="1" t="s">
        <v>614</v>
      </c>
      <c r="AD142" s="6">
        <v>46143</v>
      </c>
      <c r="AE142" s="6">
        <v>46148</v>
      </c>
      <c r="AF142" s="1" t="s">
        <v>16</v>
      </c>
    </row>
    <row r="143" spans="1:32" ht="17.399999999999999" x14ac:dyDescent="0.4">
      <c r="B143" s="2">
        <v>46142</v>
      </c>
      <c r="C143" s="3" t="s">
        <v>1413</v>
      </c>
      <c r="D143" s="3" t="s">
        <v>1414</v>
      </c>
      <c r="E143" s="7" t="s">
        <v>1415</v>
      </c>
      <c r="F143" s="29" t="s">
        <v>1416</v>
      </c>
      <c r="G143" s="3" t="s">
        <v>17</v>
      </c>
      <c r="H143" s="3" t="s">
        <v>1417</v>
      </c>
      <c r="I143" s="3" t="s">
        <v>1229</v>
      </c>
      <c r="J143" s="3" t="s">
        <v>1229</v>
      </c>
      <c r="K143" s="1">
        <v>755</v>
      </c>
      <c r="M143" s="3" t="s">
        <v>1408</v>
      </c>
      <c r="N143" s="7" t="s">
        <v>1418</v>
      </c>
      <c r="O143" s="3" t="s">
        <v>1417</v>
      </c>
      <c r="P143" s="3" t="s">
        <v>9</v>
      </c>
      <c r="Q143" s="3"/>
      <c r="R143" s="3"/>
      <c r="S143" s="7" t="s">
        <v>1411</v>
      </c>
      <c r="T143" s="1">
        <v>726</v>
      </c>
      <c r="U143" s="7" t="s">
        <v>233</v>
      </c>
      <c r="V143" s="1">
        <v>800</v>
      </c>
      <c r="W143" s="7" t="s">
        <v>1419</v>
      </c>
      <c r="X143" s="25" t="s">
        <v>1419</v>
      </c>
      <c r="Y143" s="4" t="e">
        <f t="shared" si="7"/>
        <v>#VALUE!</v>
      </c>
      <c r="Z143" s="3"/>
      <c r="AA143" s="3" t="s">
        <v>1420</v>
      </c>
      <c r="AB143" s="7"/>
      <c r="AC143" s="1" t="s">
        <v>614</v>
      </c>
      <c r="AD143" s="6">
        <v>46143</v>
      </c>
      <c r="AE143" s="6">
        <v>46149</v>
      </c>
      <c r="AF143" s="1" t="s">
        <v>16</v>
      </c>
    </row>
    <row r="144" spans="1:32" x14ac:dyDescent="0.3">
      <c r="A144" s="1">
        <v>104</v>
      </c>
      <c r="B144" s="2">
        <v>45958.138171296298</v>
      </c>
      <c r="C144" s="1" t="s">
        <v>1421</v>
      </c>
      <c r="D144" s="1" t="s">
        <v>1422</v>
      </c>
      <c r="E144" s="1" t="s">
        <v>1423</v>
      </c>
      <c r="F144" s="1" t="s">
        <v>1424</v>
      </c>
      <c r="G144" s="1" t="s">
        <v>4</v>
      </c>
      <c r="H144" s="1" t="s">
        <v>71</v>
      </c>
      <c r="I144" s="1" t="s">
        <v>1425</v>
      </c>
      <c r="J144" s="1" t="s">
        <v>1425</v>
      </c>
      <c r="K144" s="1">
        <v>814</v>
      </c>
      <c r="L144" s="1">
        <v>1</v>
      </c>
      <c r="M144" s="1" t="s">
        <v>49</v>
      </c>
      <c r="N144" s="1" t="s">
        <v>1091</v>
      </c>
      <c r="O144" s="1" t="s">
        <v>1426</v>
      </c>
      <c r="P144" s="1" t="s">
        <v>9</v>
      </c>
      <c r="Q144" s="1">
        <v>0</v>
      </c>
      <c r="R144" s="1" t="s">
        <v>10</v>
      </c>
      <c r="S144" s="3" t="s">
        <v>1427</v>
      </c>
      <c r="T144" s="4">
        <v>472</v>
      </c>
      <c r="U144" s="4" t="s">
        <v>1211</v>
      </c>
      <c r="V144" s="5">
        <v>814</v>
      </c>
      <c r="W144" s="4" t="s">
        <v>513</v>
      </c>
      <c r="X144" s="5">
        <v>300</v>
      </c>
      <c r="Y144" s="4">
        <f t="shared" ref="Y144:Y192" si="8">K144+V144-X144</f>
        <v>1328</v>
      </c>
      <c r="Z144" s="4">
        <v>814</v>
      </c>
      <c r="AA144" s="1" t="s">
        <v>1428</v>
      </c>
      <c r="AB144" s="1" t="s">
        <v>56</v>
      </c>
      <c r="AC144" s="1" t="s">
        <v>15</v>
      </c>
      <c r="AD144" s="6">
        <v>46080</v>
      </c>
      <c r="AE144" s="6">
        <v>46090</v>
      </c>
      <c r="AF144" s="1" t="s">
        <v>16</v>
      </c>
    </row>
    <row r="145" spans="1:32" x14ac:dyDescent="0.3">
      <c r="A145" s="1">
        <v>524</v>
      </c>
      <c r="B145" s="2">
        <v>46022.6691782407</v>
      </c>
      <c r="C145" s="1" t="s">
        <v>1429</v>
      </c>
      <c r="D145" s="1" t="s">
        <v>1430</v>
      </c>
      <c r="E145" s="1" t="s">
        <v>1431</v>
      </c>
      <c r="F145" s="1" t="s">
        <v>1432</v>
      </c>
      <c r="G145" s="1" t="s">
        <v>4</v>
      </c>
      <c r="H145" s="1" t="s">
        <v>27</v>
      </c>
      <c r="I145" s="1" t="s">
        <v>1425</v>
      </c>
      <c r="J145" s="1" t="s">
        <v>1425</v>
      </c>
      <c r="K145" s="1">
        <v>814</v>
      </c>
      <c r="L145" s="1">
        <v>2</v>
      </c>
      <c r="M145" s="1" t="s">
        <v>49</v>
      </c>
      <c r="N145" s="1" t="s">
        <v>1433</v>
      </c>
      <c r="O145" s="1" t="s">
        <v>1434</v>
      </c>
      <c r="P145" s="1" t="s">
        <v>98</v>
      </c>
      <c r="Q145" s="1" t="s">
        <v>1435</v>
      </c>
      <c r="R145" s="1" t="s">
        <v>10</v>
      </c>
      <c r="S145" s="3" t="s">
        <v>1436</v>
      </c>
      <c r="T145" s="4">
        <v>480</v>
      </c>
      <c r="U145" s="4" t="s">
        <v>1437</v>
      </c>
      <c r="V145" s="5">
        <v>751</v>
      </c>
      <c r="W145" s="4" t="s">
        <v>76</v>
      </c>
      <c r="X145" s="5">
        <v>100</v>
      </c>
      <c r="Y145" s="4">
        <f t="shared" si="8"/>
        <v>1465</v>
      </c>
      <c r="Z145" s="4">
        <v>814</v>
      </c>
      <c r="AA145" s="1" t="s">
        <v>1438</v>
      </c>
      <c r="AB145" s="1" t="s">
        <v>1334</v>
      </c>
      <c r="AC145" s="1" t="s">
        <v>15</v>
      </c>
      <c r="AD145" s="6">
        <v>46080</v>
      </c>
      <c r="AE145" s="6">
        <v>46091</v>
      </c>
      <c r="AF145" s="1" t="s">
        <v>16</v>
      </c>
    </row>
    <row r="146" spans="1:32" x14ac:dyDescent="0.3">
      <c r="A146" s="1">
        <v>550</v>
      </c>
      <c r="B146" s="2">
        <v>46022.914861111101</v>
      </c>
      <c r="C146" s="1" t="s">
        <v>1439</v>
      </c>
      <c r="D146" s="1" t="s">
        <v>1440</v>
      </c>
      <c r="E146" s="1" t="s">
        <v>1441</v>
      </c>
      <c r="F146" s="1" t="s">
        <v>1442</v>
      </c>
      <c r="G146" s="1" t="s">
        <v>4</v>
      </c>
      <c r="H146" s="1" t="s">
        <v>1443</v>
      </c>
      <c r="I146" s="1" t="s">
        <v>1425</v>
      </c>
      <c r="J146" s="1" t="s">
        <v>1425</v>
      </c>
      <c r="K146" s="1">
        <v>814</v>
      </c>
      <c r="L146" s="1">
        <v>3</v>
      </c>
      <c r="M146" s="1" t="s">
        <v>49</v>
      </c>
      <c r="N146" s="1" t="s">
        <v>1444</v>
      </c>
      <c r="O146" s="1" t="s">
        <v>1445</v>
      </c>
      <c r="P146" s="1" t="s">
        <v>9</v>
      </c>
      <c r="Q146" s="1">
        <v>0</v>
      </c>
      <c r="R146" s="1" t="s">
        <v>10</v>
      </c>
      <c r="S146" s="3" t="s">
        <v>1446</v>
      </c>
      <c r="T146" s="4">
        <v>482</v>
      </c>
      <c r="U146" s="4" t="s">
        <v>1447</v>
      </c>
      <c r="V146" s="5">
        <v>1000</v>
      </c>
      <c r="W146" s="4" t="s">
        <v>1448</v>
      </c>
      <c r="X146" s="5">
        <v>100</v>
      </c>
      <c r="Y146" s="4">
        <f t="shared" si="8"/>
        <v>1714</v>
      </c>
      <c r="Z146" s="4">
        <v>814</v>
      </c>
      <c r="AA146" s="1" t="s">
        <v>1449</v>
      </c>
      <c r="AB146" s="1" t="s">
        <v>1334</v>
      </c>
      <c r="AC146" s="1" t="s">
        <v>15</v>
      </c>
      <c r="AD146" s="6">
        <v>46080</v>
      </c>
      <c r="AE146" s="6">
        <v>46090</v>
      </c>
      <c r="AF146" s="1" t="s">
        <v>16</v>
      </c>
    </row>
    <row r="147" spans="1:32" x14ac:dyDescent="0.3">
      <c r="A147" s="1">
        <v>485</v>
      </c>
      <c r="B147" s="2">
        <v>46021.872581018499</v>
      </c>
      <c r="C147" s="1" t="s">
        <v>1450</v>
      </c>
      <c r="D147" s="1" t="s">
        <v>1451</v>
      </c>
      <c r="E147" s="1" t="s">
        <v>1452</v>
      </c>
      <c r="F147" s="1" t="s">
        <v>1453</v>
      </c>
      <c r="G147" s="1" t="s">
        <v>4</v>
      </c>
      <c r="H147" s="1" t="s">
        <v>1390</v>
      </c>
      <c r="I147" s="1" t="s">
        <v>1425</v>
      </c>
      <c r="J147" s="1" t="s">
        <v>1425</v>
      </c>
      <c r="K147" s="1">
        <v>814</v>
      </c>
      <c r="L147" s="1">
        <v>4</v>
      </c>
      <c r="M147" s="1" t="s">
        <v>49</v>
      </c>
      <c r="N147" s="1" t="s">
        <v>1454</v>
      </c>
      <c r="O147" s="1" t="s">
        <v>1455</v>
      </c>
      <c r="P147" s="1" t="s">
        <v>9</v>
      </c>
      <c r="Q147" s="1">
        <v>0</v>
      </c>
      <c r="R147" s="1" t="s">
        <v>10</v>
      </c>
      <c r="S147" s="3" t="s">
        <v>1456</v>
      </c>
      <c r="T147" s="4">
        <v>478</v>
      </c>
      <c r="U147" s="4" t="s">
        <v>1457</v>
      </c>
      <c r="V147" s="5">
        <v>818</v>
      </c>
      <c r="W147" s="4" t="s">
        <v>1458</v>
      </c>
      <c r="X147" s="5">
        <v>407</v>
      </c>
      <c r="Y147" s="4">
        <f t="shared" si="8"/>
        <v>1225</v>
      </c>
      <c r="Z147" s="4">
        <v>814</v>
      </c>
      <c r="AA147" s="1" t="s">
        <v>1459</v>
      </c>
      <c r="AB147" s="1" t="s">
        <v>1334</v>
      </c>
      <c r="AC147" s="1" t="s">
        <v>15</v>
      </c>
      <c r="AD147" s="6">
        <v>46080</v>
      </c>
      <c r="AE147" s="6">
        <v>46093</v>
      </c>
      <c r="AF147" s="1" t="s">
        <v>16</v>
      </c>
    </row>
    <row r="148" spans="1:32" x14ac:dyDescent="0.3">
      <c r="A148" s="1">
        <v>737</v>
      </c>
      <c r="B148" s="2">
        <v>46058.336099537002</v>
      </c>
      <c r="C148" s="1" t="s">
        <v>1460</v>
      </c>
      <c r="D148" s="1" t="s">
        <v>1461</v>
      </c>
      <c r="E148" s="1" t="s">
        <v>1462</v>
      </c>
      <c r="F148" s="1" t="s">
        <v>1463</v>
      </c>
      <c r="G148" s="1" t="s">
        <v>4</v>
      </c>
      <c r="H148" s="1" t="s">
        <v>71</v>
      </c>
      <c r="I148" s="1" t="s">
        <v>1425</v>
      </c>
      <c r="J148" s="1" t="s">
        <v>1425</v>
      </c>
      <c r="K148" s="1">
        <v>814</v>
      </c>
      <c r="L148" s="1">
        <v>5</v>
      </c>
      <c r="M148" s="1" t="s">
        <v>49</v>
      </c>
      <c r="N148" s="1" t="s">
        <v>1464</v>
      </c>
      <c r="O148" s="1" t="s">
        <v>1465</v>
      </c>
      <c r="P148" s="1" t="s">
        <v>9</v>
      </c>
      <c r="Q148" s="1" t="s">
        <v>1091</v>
      </c>
      <c r="R148" s="1" t="s">
        <v>10</v>
      </c>
      <c r="S148" s="3" t="s">
        <v>1400</v>
      </c>
      <c r="T148" s="4">
        <v>895</v>
      </c>
      <c r="U148" s="4" t="s">
        <v>1466</v>
      </c>
      <c r="V148" s="5">
        <v>437</v>
      </c>
      <c r="W148" s="4" t="s">
        <v>1467</v>
      </c>
      <c r="X148" s="5">
        <v>437</v>
      </c>
      <c r="Y148" s="4">
        <f t="shared" si="8"/>
        <v>814</v>
      </c>
      <c r="Z148" s="1">
        <v>814</v>
      </c>
      <c r="AA148" s="1" t="s">
        <v>1468</v>
      </c>
      <c r="AB148" s="1" t="s">
        <v>56</v>
      </c>
      <c r="AC148" s="1" t="s">
        <v>15</v>
      </c>
      <c r="AD148" s="6">
        <v>46080</v>
      </c>
      <c r="AE148" s="6">
        <v>46099</v>
      </c>
      <c r="AF148" s="1" t="s">
        <v>16</v>
      </c>
    </row>
    <row r="149" spans="1:32" x14ac:dyDescent="0.3">
      <c r="A149" s="1">
        <v>70</v>
      </c>
      <c r="B149" s="2">
        <v>45948.192164351851</v>
      </c>
      <c r="C149" s="1" t="s">
        <v>1469</v>
      </c>
      <c r="D149" s="1" t="s">
        <v>1470</v>
      </c>
      <c r="E149" s="1" t="s">
        <v>1471</v>
      </c>
      <c r="F149" s="1" t="s">
        <v>1472</v>
      </c>
      <c r="G149" s="1" t="s">
        <v>17</v>
      </c>
      <c r="H149" s="1" t="s">
        <v>27</v>
      </c>
      <c r="I149" s="1" t="s">
        <v>1425</v>
      </c>
      <c r="J149" s="1" t="s">
        <v>1425</v>
      </c>
      <c r="K149" s="1">
        <v>814</v>
      </c>
      <c r="L149" s="1">
        <v>9</v>
      </c>
      <c r="M149" s="1" t="s">
        <v>49</v>
      </c>
      <c r="N149" s="1" t="s">
        <v>1473</v>
      </c>
      <c r="O149" s="1" t="s">
        <v>1474</v>
      </c>
      <c r="P149" s="1" t="s">
        <v>9</v>
      </c>
      <c r="Q149" s="1">
        <v>0</v>
      </c>
      <c r="R149" s="1" t="s">
        <v>10</v>
      </c>
      <c r="S149" s="3" t="s">
        <v>1475</v>
      </c>
      <c r="T149" s="4">
        <v>469</v>
      </c>
      <c r="U149" s="4" t="s">
        <v>1210</v>
      </c>
      <c r="V149" s="5">
        <v>1200</v>
      </c>
      <c r="W149" s="4" t="s">
        <v>194</v>
      </c>
      <c r="X149" s="5">
        <v>1000</v>
      </c>
      <c r="Y149" s="4">
        <f t="shared" si="8"/>
        <v>1014</v>
      </c>
      <c r="Z149" s="1">
        <v>814</v>
      </c>
      <c r="AA149" s="1" t="s">
        <v>1476</v>
      </c>
      <c r="AB149" s="1" t="s">
        <v>130</v>
      </c>
      <c r="AC149" s="1" t="s">
        <v>15</v>
      </c>
      <c r="AD149" s="6">
        <v>46080</v>
      </c>
      <c r="AE149" s="6">
        <v>46125</v>
      </c>
      <c r="AF149" s="1" t="s">
        <v>16</v>
      </c>
    </row>
    <row r="150" spans="1:32" x14ac:dyDescent="0.3">
      <c r="A150" s="1">
        <v>144</v>
      </c>
      <c r="B150" s="2">
        <v>45977.854872685202</v>
      </c>
      <c r="C150" s="1" t="s">
        <v>1477</v>
      </c>
      <c r="D150" s="1" t="s">
        <v>1478</v>
      </c>
      <c r="E150" s="1" t="s">
        <v>1479</v>
      </c>
      <c r="F150" s="1" t="s">
        <v>1480</v>
      </c>
      <c r="G150" s="1" t="s">
        <v>17</v>
      </c>
      <c r="H150" s="1" t="s">
        <v>27</v>
      </c>
      <c r="I150" s="1" t="s">
        <v>1425</v>
      </c>
      <c r="J150" s="1" t="s">
        <v>1425</v>
      </c>
      <c r="K150" s="1">
        <v>755</v>
      </c>
      <c r="L150" s="1">
        <v>10</v>
      </c>
      <c r="M150" s="1" t="s">
        <v>7</v>
      </c>
      <c r="N150" s="1" t="s">
        <v>1481</v>
      </c>
      <c r="O150" s="1" t="s">
        <v>27</v>
      </c>
      <c r="P150" s="1" t="s">
        <v>98</v>
      </c>
      <c r="Q150" s="1" t="s">
        <v>1482</v>
      </c>
      <c r="R150" s="1" t="s">
        <v>10</v>
      </c>
      <c r="S150" s="3" t="s">
        <v>1483</v>
      </c>
      <c r="T150" s="4">
        <v>473</v>
      </c>
      <c r="U150" s="4" t="s">
        <v>865</v>
      </c>
      <c r="V150" s="5">
        <v>600</v>
      </c>
      <c r="W150" s="4" t="s">
        <v>76</v>
      </c>
      <c r="X150" s="5">
        <v>100</v>
      </c>
      <c r="Y150" s="4">
        <f t="shared" si="8"/>
        <v>1255</v>
      </c>
      <c r="Z150" s="1">
        <v>755</v>
      </c>
      <c r="AA150" s="1" t="s">
        <v>1484</v>
      </c>
      <c r="AB150" s="1" t="s">
        <v>130</v>
      </c>
      <c r="AC150" s="1" t="s">
        <v>15</v>
      </c>
      <c r="AD150" s="6">
        <v>46080</v>
      </c>
      <c r="AE150" s="6">
        <v>46122</v>
      </c>
      <c r="AF150" s="1" t="s">
        <v>16</v>
      </c>
    </row>
    <row r="151" spans="1:32" x14ac:dyDescent="0.3">
      <c r="A151" s="1">
        <v>678</v>
      </c>
      <c r="B151" s="2">
        <v>46052.444849537002</v>
      </c>
      <c r="C151" s="1" t="s">
        <v>1485</v>
      </c>
      <c r="D151" s="1" t="s">
        <v>1486</v>
      </c>
      <c r="E151" s="1" t="s">
        <v>1487</v>
      </c>
      <c r="F151" s="1" t="s">
        <v>1488</v>
      </c>
      <c r="G151" s="1" t="s">
        <v>17</v>
      </c>
      <c r="H151" s="1" t="s">
        <v>71</v>
      </c>
      <c r="I151" s="1" t="s">
        <v>1425</v>
      </c>
      <c r="J151" s="1" t="s">
        <v>1425</v>
      </c>
      <c r="K151" s="1">
        <v>755</v>
      </c>
      <c r="L151" s="1">
        <v>11</v>
      </c>
      <c r="M151" s="1" t="s">
        <v>7</v>
      </c>
      <c r="N151" s="1" t="s">
        <v>1091</v>
      </c>
      <c r="O151" s="1" t="s">
        <v>1489</v>
      </c>
      <c r="P151" s="1" t="s">
        <v>9</v>
      </c>
      <c r="Q151" s="1">
        <v>0</v>
      </c>
      <c r="R151" s="1" t="s">
        <v>10</v>
      </c>
      <c r="S151" s="3" t="s">
        <v>1490</v>
      </c>
      <c r="T151" s="4">
        <v>755</v>
      </c>
      <c r="U151" s="4" t="s">
        <v>1491</v>
      </c>
      <c r="V151" s="5" t="s">
        <v>233</v>
      </c>
      <c r="W151" s="4" t="s">
        <v>1492</v>
      </c>
      <c r="X151" s="5" t="s">
        <v>1436</v>
      </c>
      <c r="Y151" s="4">
        <f t="shared" si="8"/>
        <v>1075</v>
      </c>
      <c r="Z151" s="1">
        <v>755</v>
      </c>
      <c r="AA151" s="1" t="s">
        <v>1493</v>
      </c>
      <c r="AC151" s="1" t="s">
        <v>15</v>
      </c>
      <c r="AD151" s="6">
        <v>46080</v>
      </c>
      <c r="AE151" s="6">
        <v>46130</v>
      </c>
      <c r="AF151" s="1" t="s">
        <v>16</v>
      </c>
    </row>
    <row r="152" spans="1:32" x14ac:dyDescent="0.3">
      <c r="A152" s="1">
        <v>76</v>
      </c>
      <c r="B152" s="2">
        <v>45948.174907407411</v>
      </c>
      <c r="C152" s="1" t="s">
        <v>1494</v>
      </c>
      <c r="D152" s="1" t="s">
        <v>1495</v>
      </c>
      <c r="E152" s="1" t="s">
        <v>1496</v>
      </c>
      <c r="F152" s="1" t="s">
        <v>1497</v>
      </c>
      <c r="G152" s="1" t="s">
        <v>17</v>
      </c>
      <c r="H152" s="1" t="s">
        <v>71</v>
      </c>
      <c r="I152" s="1" t="s">
        <v>1425</v>
      </c>
      <c r="J152" s="1" t="s">
        <v>1425</v>
      </c>
      <c r="K152" s="1">
        <v>814</v>
      </c>
      <c r="L152" s="1">
        <v>12</v>
      </c>
      <c r="M152" s="1" t="s">
        <v>49</v>
      </c>
      <c r="N152" s="1" t="s">
        <v>1498</v>
      </c>
      <c r="O152" s="1" t="s">
        <v>1499</v>
      </c>
      <c r="P152" s="1" t="s">
        <v>9</v>
      </c>
      <c r="Q152" s="1">
        <v>0</v>
      </c>
      <c r="R152" s="1" t="s">
        <v>9</v>
      </c>
      <c r="S152" s="3" t="s">
        <v>1500</v>
      </c>
      <c r="T152" s="4">
        <v>468</v>
      </c>
      <c r="U152" s="4" t="s">
        <v>1501</v>
      </c>
      <c r="V152" s="5">
        <v>900</v>
      </c>
      <c r="W152" s="4" t="s">
        <v>1502</v>
      </c>
      <c r="X152" s="5">
        <v>25</v>
      </c>
      <c r="Y152" s="4">
        <f t="shared" si="8"/>
        <v>1689</v>
      </c>
      <c r="Z152" s="1">
        <v>814</v>
      </c>
      <c r="AA152" s="1" t="s">
        <v>1503</v>
      </c>
      <c r="AC152" s="1" t="s">
        <v>15</v>
      </c>
      <c r="AD152" s="6">
        <v>46080</v>
      </c>
      <c r="AE152" s="6">
        <v>46122</v>
      </c>
      <c r="AF152" s="1" t="s">
        <v>16</v>
      </c>
    </row>
    <row r="153" spans="1:32" x14ac:dyDescent="0.3">
      <c r="A153" s="1">
        <v>399</v>
      </c>
      <c r="B153" s="2">
        <v>46013.423460648097</v>
      </c>
      <c r="C153" s="1" t="s">
        <v>1504</v>
      </c>
      <c r="D153" s="1" t="s">
        <v>1505</v>
      </c>
      <c r="E153" s="1" t="s">
        <v>1506</v>
      </c>
      <c r="F153" s="1" t="s">
        <v>1507</v>
      </c>
      <c r="G153" s="1" t="s">
        <v>4</v>
      </c>
      <c r="H153" s="1" t="s">
        <v>71</v>
      </c>
      <c r="I153" s="1" t="s">
        <v>1425</v>
      </c>
      <c r="J153" s="1" t="s">
        <v>1425</v>
      </c>
      <c r="K153" s="1">
        <v>814</v>
      </c>
      <c r="L153" s="1">
        <v>13</v>
      </c>
      <c r="M153" s="1" t="s">
        <v>49</v>
      </c>
      <c r="N153" s="1" t="s">
        <v>1508</v>
      </c>
      <c r="O153" s="1" t="s">
        <v>213</v>
      </c>
      <c r="P153" s="1" t="s">
        <v>9</v>
      </c>
      <c r="Q153" s="1">
        <v>0</v>
      </c>
      <c r="R153" s="1" t="s">
        <v>10</v>
      </c>
      <c r="S153" s="3" t="s">
        <v>1509</v>
      </c>
      <c r="T153" s="4">
        <v>476</v>
      </c>
      <c r="U153" s="4" t="s">
        <v>1510</v>
      </c>
      <c r="V153" s="5" t="s">
        <v>865</v>
      </c>
      <c r="W153" s="4" t="s">
        <v>1511</v>
      </c>
      <c r="X153" s="5" t="s">
        <v>513</v>
      </c>
      <c r="Y153" s="4">
        <f t="shared" si="8"/>
        <v>1114</v>
      </c>
      <c r="Z153" s="1">
        <v>814</v>
      </c>
      <c r="AA153" s="1" t="s">
        <v>1512</v>
      </c>
      <c r="AC153" s="1" t="s">
        <v>15</v>
      </c>
      <c r="AD153" s="6">
        <v>46080</v>
      </c>
      <c r="AE153" s="6">
        <v>46123</v>
      </c>
      <c r="AF153" s="1" t="s">
        <v>16</v>
      </c>
    </row>
    <row r="154" spans="1:32" x14ac:dyDescent="0.3">
      <c r="A154" s="1">
        <v>714</v>
      </c>
      <c r="B154" s="2">
        <v>46053.298333333303</v>
      </c>
      <c r="C154" s="1" t="s">
        <v>1513</v>
      </c>
      <c r="D154" s="1" t="s">
        <v>1514</v>
      </c>
      <c r="E154" s="1" t="s">
        <v>1515</v>
      </c>
      <c r="F154" s="1" t="s">
        <v>1516</v>
      </c>
      <c r="G154" s="1" t="s">
        <v>4</v>
      </c>
      <c r="H154" s="1" t="s">
        <v>71</v>
      </c>
      <c r="I154" s="1" t="s">
        <v>1425</v>
      </c>
      <c r="J154" s="1" t="s">
        <v>1425</v>
      </c>
      <c r="K154" s="1">
        <v>407</v>
      </c>
      <c r="L154" s="1">
        <v>14</v>
      </c>
      <c r="M154" s="1" t="s">
        <v>20</v>
      </c>
      <c r="N154" s="1" t="s">
        <v>1091</v>
      </c>
      <c r="O154" s="1" t="s">
        <v>1517</v>
      </c>
      <c r="P154" s="1" t="s">
        <v>9</v>
      </c>
      <c r="Q154" s="1">
        <v>0</v>
      </c>
      <c r="R154" s="1" t="s">
        <v>10</v>
      </c>
      <c r="S154" s="3" t="s">
        <v>1518</v>
      </c>
      <c r="T154" s="4">
        <v>407</v>
      </c>
      <c r="U154" s="4" t="s">
        <v>1519</v>
      </c>
      <c r="V154" s="5">
        <v>470</v>
      </c>
      <c r="W154" s="4" t="s">
        <v>518</v>
      </c>
      <c r="X154" s="5">
        <v>200</v>
      </c>
      <c r="Y154" s="4">
        <f t="shared" si="8"/>
        <v>677</v>
      </c>
      <c r="Z154" s="1">
        <v>407</v>
      </c>
      <c r="AA154" s="1" t="s">
        <v>1520</v>
      </c>
      <c r="AC154" s="1" t="s">
        <v>15</v>
      </c>
      <c r="AD154" s="6">
        <v>46080</v>
      </c>
      <c r="AE154" s="6">
        <v>46126</v>
      </c>
      <c r="AF154" s="1" t="s">
        <v>16</v>
      </c>
    </row>
    <row r="155" spans="1:32" x14ac:dyDescent="0.3">
      <c r="A155" s="1">
        <v>488</v>
      </c>
      <c r="B155" s="2">
        <v>46021.9440509259</v>
      </c>
      <c r="C155" s="1" t="s">
        <v>1521</v>
      </c>
      <c r="D155" s="1" t="s">
        <v>1522</v>
      </c>
      <c r="E155" s="1" t="s">
        <v>1523</v>
      </c>
      <c r="F155" s="1" t="s">
        <v>1524</v>
      </c>
      <c r="G155" s="1" t="s">
        <v>17</v>
      </c>
      <c r="H155" s="1" t="s">
        <v>71</v>
      </c>
      <c r="I155" s="1" t="s">
        <v>1425</v>
      </c>
      <c r="J155" s="1" t="s">
        <v>1425</v>
      </c>
      <c r="K155" s="1">
        <v>814</v>
      </c>
      <c r="L155" s="1">
        <v>15</v>
      </c>
      <c r="M155" s="1" t="s">
        <v>49</v>
      </c>
      <c r="N155" s="1" t="s">
        <v>1525</v>
      </c>
      <c r="O155" s="1" t="s">
        <v>1526</v>
      </c>
      <c r="P155" s="1" t="s">
        <v>9</v>
      </c>
      <c r="Q155" s="1">
        <v>0</v>
      </c>
      <c r="R155" s="1" t="s">
        <v>10</v>
      </c>
      <c r="S155" s="3" t="s">
        <v>1527</v>
      </c>
      <c r="T155" s="4">
        <v>479</v>
      </c>
      <c r="U155" s="4" t="s">
        <v>1457</v>
      </c>
      <c r="V155" s="5">
        <v>818</v>
      </c>
      <c r="W155" s="4" t="s">
        <v>1528</v>
      </c>
      <c r="X155" s="5">
        <v>600</v>
      </c>
      <c r="Y155" s="4">
        <f t="shared" si="8"/>
        <v>1032</v>
      </c>
      <c r="Z155" s="1">
        <v>814</v>
      </c>
      <c r="AA155" s="1" t="s">
        <v>1529</v>
      </c>
      <c r="AC155" s="1" t="s">
        <v>15</v>
      </c>
      <c r="AD155" s="6">
        <v>46080</v>
      </c>
      <c r="AE155" s="6">
        <v>46126</v>
      </c>
      <c r="AF155" s="1" t="s">
        <v>16</v>
      </c>
    </row>
    <row r="156" spans="1:32" x14ac:dyDescent="0.3">
      <c r="A156" s="1">
        <v>716</v>
      </c>
      <c r="B156" s="2">
        <v>46053.6463657407</v>
      </c>
      <c r="C156" s="1" t="s">
        <v>1530</v>
      </c>
      <c r="D156" s="1" t="s">
        <v>1531</v>
      </c>
      <c r="E156" s="1" t="s">
        <v>1532</v>
      </c>
      <c r="F156" s="1" t="s">
        <v>1533</v>
      </c>
      <c r="G156" s="1" t="s">
        <v>4</v>
      </c>
      <c r="H156" s="1" t="s">
        <v>71</v>
      </c>
      <c r="I156" s="1" t="s">
        <v>1425</v>
      </c>
      <c r="J156" s="1" t="s">
        <v>1425</v>
      </c>
      <c r="K156" s="1">
        <v>755</v>
      </c>
      <c r="L156" s="1">
        <v>17</v>
      </c>
      <c r="M156" s="1" t="s">
        <v>7</v>
      </c>
      <c r="N156" s="1" t="s">
        <v>1091</v>
      </c>
      <c r="O156" s="1" t="s">
        <v>1534</v>
      </c>
      <c r="P156" s="1" t="s">
        <v>9</v>
      </c>
      <c r="Q156" s="1">
        <v>0</v>
      </c>
      <c r="R156" s="1" t="s">
        <v>10</v>
      </c>
      <c r="S156" s="3" t="s">
        <v>1490</v>
      </c>
      <c r="T156" s="4">
        <v>755</v>
      </c>
      <c r="U156" s="4" t="s">
        <v>1535</v>
      </c>
      <c r="V156" s="5" t="s">
        <v>115</v>
      </c>
      <c r="W156" s="4" t="s">
        <v>1536</v>
      </c>
      <c r="X156" s="5" t="s">
        <v>513</v>
      </c>
      <c r="Y156" s="4">
        <f t="shared" si="8"/>
        <v>1955</v>
      </c>
      <c r="Z156" s="1">
        <v>755</v>
      </c>
      <c r="AA156" s="1" t="s">
        <v>1537</v>
      </c>
      <c r="AC156" s="1" t="s">
        <v>15</v>
      </c>
      <c r="AD156" s="6">
        <v>46080</v>
      </c>
      <c r="AE156" s="6">
        <v>46131</v>
      </c>
      <c r="AF156" s="1" t="s">
        <v>16</v>
      </c>
    </row>
    <row r="157" spans="1:32" x14ac:dyDescent="0.3">
      <c r="A157" s="1">
        <v>48</v>
      </c>
      <c r="B157" s="2">
        <v>45931.304212962961</v>
      </c>
      <c r="C157" s="1" t="s">
        <v>1538</v>
      </c>
      <c r="D157" s="1" t="s">
        <v>1539</v>
      </c>
      <c r="E157" s="1" t="s">
        <v>1540</v>
      </c>
      <c r="F157" s="1" t="s">
        <v>1541</v>
      </c>
      <c r="G157" s="1" t="s">
        <v>4</v>
      </c>
      <c r="H157" s="1" t="s">
        <v>71</v>
      </c>
      <c r="I157" s="1" t="s">
        <v>1425</v>
      </c>
      <c r="J157" s="1" t="s">
        <v>1425</v>
      </c>
      <c r="K157" s="1">
        <v>755</v>
      </c>
      <c r="L157" s="1">
        <v>18</v>
      </c>
      <c r="M157" s="1" t="s">
        <v>7</v>
      </c>
      <c r="N157" s="1" t="s">
        <v>1542</v>
      </c>
      <c r="O157" s="1" t="s">
        <v>213</v>
      </c>
      <c r="P157" s="1" t="s">
        <v>9</v>
      </c>
      <c r="Q157" s="1">
        <v>0</v>
      </c>
      <c r="R157" s="1" t="s">
        <v>10</v>
      </c>
      <c r="S157" s="3" t="s">
        <v>1543</v>
      </c>
      <c r="T157" s="4">
        <v>465</v>
      </c>
      <c r="U157" s="4" t="s">
        <v>1544</v>
      </c>
      <c r="V157" s="5">
        <v>900</v>
      </c>
      <c r="W157" s="4" t="s">
        <v>1545</v>
      </c>
      <c r="X157" s="5">
        <v>350</v>
      </c>
      <c r="Y157" s="4">
        <f t="shared" si="8"/>
        <v>1305</v>
      </c>
      <c r="Z157" s="1">
        <v>755</v>
      </c>
      <c r="AA157" s="1" t="s">
        <v>1546</v>
      </c>
      <c r="AC157" s="1" t="s">
        <v>15</v>
      </c>
      <c r="AD157" s="6">
        <v>46080</v>
      </c>
      <c r="AE157" s="6">
        <v>46124</v>
      </c>
      <c r="AF157" s="1" t="s">
        <v>16</v>
      </c>
    </row>
    <row r="158" spans="1:32" x14ac:dyDescent="0.3">
      <c r="A158" s="1">
        <v>627</v>
      </c>
      <c r="B158" s="2">
        <v>46042.3253356481</v>
      </c>
      <c r="C158" s="1" t="s">
        <v>1547</v>
      </c>
      <c r="D158" s="1" t="s">
        <v>1548</v>
      </c>
      <c r="E158" s="1" t="s">
        <v>1549</v>
      </c>
      <c r="F158" s="1" t="s">
        <v>1550</v>
      </c>
      <c r="G158" s="1" t="s">
        <v>17</v>
      </c>
      <c r="H158" s="1" t="s">
        <v>71</v>
      </c>
      <c r="I158" s="1" t="s">
        <v>1425</v>
      </c>
      <c r="J158" s="1" t="s">
        <v>1425</v>
      </c>
      <c r="K158" s="1">
        <v>814</v>
      </c>
      <c r="L158" s="1">
        <v>19</v>
      </c>
      <c r="M158" s="1" t="s">
        <v>49</v>
      </c>
      <c r="N158" s="1" t="s">
        <v>1551</v>
      </c>
      <c r="O158" s="1" t="s">
        <v>213</v>
      </c>
      <c r="P158" s="1" t="s">
        <v>9</v>
      </c>
      <c r="Q158" s="1">
        <v>0</v>
      </c>
      <c r="R158" s="1" t="s">
        <v>9</v>
      </c>
      <c r="S158" s="3" t="s">
        <v>1552</v>
      </c>
      <c r="T158" s="4">
        <v>814</v>
      </c>
      <c r="U158" s="4" t="s">
        <v>1553</v>
      </c>
      <c r="V158" s="5">
        <v>560</v>
      </c>
      <c r="W158" s="4" t="s">
        <v>1554</v>
      </c>
      <c r="X158" s="5">
        <v>300</v>
      </c>
      <c r="Y158" s="4">
        <f t="shared" si="8"/>
        <v>1074</v>
      </c>
      <c r="Z158" s="1">
        <v>814</v>
      </c>
      <c r="AA158" s="1" t="s">
        <v>1555</v>
      </c>
      <c r="AC158" s="1" t="s">
        <v>15</v>
      </c>
      <c r="AD158" s="6">
        <v>46080</v>
      </c>
      <c r="AE158" s="6">
        <v>46122</v>
      </c>
      <c r="AF158" s="1" t="s">
        <v>16</v>
      </c>
    </row>
    <row r="159" spans="1:32" x14ac:dyDescent="0.3">
      <c r="A159" s="1">
        <v>41</v>
      </c>
      <c r="B159" s="2">
        <v>45931.600937499999</v>
      </c>
      <c r="C159" s="1" t="s">
        <v>1556</v>
      </c>
      <c r="D159" s="1" t="s">
        <v>1557</v>
      </c>
      <c r="E159" s="1" t="s">
        <v>1558</v>
      </c>
      <c r="F159" s="1" t="s">
        <v>1559</v>
      </c>
      <c r="G159" s="1" t="s">
        <v>4</v>
      </c>
      <c r="H159" s="1" t="s">
        <v>27</v>
      </c>
      <c r="I159" s="1" t="s">
        <v>1425</v>
      </c>
      <c r="J159" s="1" t="s">
        <v>1425</v>
      </c>
      <c r="K159" s="1">
        <v>407</v>
      </c>
      <c r="M159" s="1" t="s">
        <v>20</v>
      </c>
      <c r="N159" s="1" t="s">
        <v>474</v>
      </c>
      <c r="O159" s="1" t="s">
        <v>1560</v>
      </c>
      <c r="P159" s="1" t="s">
        <v>9</v>
      </c>
      <c r="Q159" s="1">
        <v>0</v>
      </c>
      <c r="R159" s="1" t="s">
        <v>10</v>
      </c>
      <c r="S159" s="3" t="s">
        <v>1561</v>
      </c>
      <c r="T159" s="4">
        <v>466</v>
      </c>
      <c r="U159" s="4" t="s">
        <v>1562</v>
      </c>
      <c r="V159" s="5">
        <v>480</v>
      </c>
      <c r="W159" s="4" t="s">
        <v>1563</v>
      </c>
      <c r="X159" s="5">
        <v>180</v>
      </c>
      <c r="Y159" s="4">
        <f t="shared" si="8"/>
        <v>707</v>
      </c>
      <c r="Z159" s="1">
        <v>407</v>
      </c>
      <c r="AA159" s="1" t="s">
        <v>1564</v>
      </c>
      <c r="AB159" s="1" t="s">
        <v>130</v>
      </c>
      <c r="AC159" s="1" t="s">
        <v>15</v>
      </c>
      <c r="AD159" s="6">
        <v>46080</v>
      </c>
      <c r="AE159" s="6">
        <v>46126</v>
      </c>
      <c r="AF159" s="1" t="s">
        <v>16</v>
      </c>
    </row>
    <row r="160" spans="1:32" x14ac:dyDescent="0.3">
      <c r="A160" s="1">
        <v>803</v>
      </c>
      <c r="B160" s="2">
        <v>46109.133043981485</v>
      </c>
      <c r="C160" s="3" t="s">
        <v>1565</v>
      </c>
      <c r="D160" s="3" t="s">
        <v>1566</v>
      </c>
      <c r="E160" s="7" t="s">
        <v>1567</v>
      </c>
      <c r="F160" s="30" t="s">
        <v>1568</v>
      </c>
      <c r="G160" s="3" t="s">
        <v>17</v>
      </c>
      <c r="H160" s="3" t="s">
        <v>47</v>
      </c>
      <c r="I160" s="3" t="s">
        <v>1425</v>
      </c>
      <c r="J160" s="3" t="s">
        <v>1425</v>
      </c>
      <c r="K160" s="1">
        <v>814</v>
      </c>
      <c r="M160" s="3" t="s">
        <v>49</v>
      </c>
      <c r="N160" s="7" t="s">
        <v>1569</v>
      </c>
      <c r="O160" s="3" t="s">
        <v>1570</v>
      </c>
      <c r="P160" s="1" t="s">
        <v>9</v>
      </c>
      <c r="R160" s="3" t="s">
        <v>10</v>
      </c>
      <c r="S160" s="7" t="s">
        <v>1211</v>
      </c>
      <c r="T160" s="1">
        <v>814</v>
      </c>
      <c r="U160" s="7" t="s">
        <v>1007</v>
      </c>
      <c r="V160" s="1">
        <v>900</v>
      </c>
      <c r="W160" s="7" t="s">
        <v>155</v>
      </c>
      <c r="X160" s="1">
        <v>700</v>
      </c>
      <c r="Y160" s="4">
        <f t="shared" si="8"/>
        <v>1014</v>
      </c>
      <c r="Z160" s="1">
        <v>814</v>
      </c>
      <c r="AA160" s="3" t="s">
        <v>1571</v>
      </c>
      <c r="AB160" s="7"/>
      <c r="AC160" s="3" t="s">
        <v>15</v>
      </c>
      <c r="AD160" s="7" t="s">
        <v>1208</v>
      </c>
      <c r="AE160" s="7" t="s">
        <v>1572</v>
      </c>
      <c r="AF160" s="3" t="s">
        <v>16</v>
      </c>
    </row>
    <row r="161" spans="1:32" x14ac:dyDescent="0.3">
      <c r="A161" s="1">
        <v>838</v>
      </c>
      <c r="B161" s="2">
        <v>46132</v>
      </c>
      <c r="C161" s="1" t="s">
        <v>1185</v>
      </c>
      <c r="D161" s="1" t="s">
        <v>1573</v>
      </c>
      <c r="G161" s="1" t="s">
        <v>4</v>
      </c>
      <c r="H161" s="1" t="s">
        <v>47</v>
      </c>
      <c r="I161" s="1" t="s">
        <v>1425</v>
      </c>
      <c r="J161" s="1" t="s">
        <v>1425</v>
      </c>
      <c r="K161" s="1">
        <v>814</v>
      </c>
      <c r="M161" s="1" t="s">
        <v>49</v>
      </c>
      <c r="N161" s="1" t="s">
        <v>1574</v>
      </c>
      <c r="O161" s="1" t="s">
        <v>1575</v>
      </c>
      <c r="P161" s="1" t="s">
        <v>98</v>
      </c>
      <c r="Q161" s="1" t="s">
        <v>1576</v>
      </c>
      <c r="R161" s="1" t="s">
        <v>10</v>
      </c>
      <c r="S161" s="3" t="s">
        <v>1577</v>
      </c>
      <c r="T161" s="4">
        <v>779</v>
      </c>
      <c r="U161" s="4">
        <v>1000</v>
      </c>
      <c r="V161" s="5">
        <v>1000</v>
      </c>
      <c r="W161" s="4">
        <v>750</v>
      </c>
      <c r="X161" s="5">
        <v>750</v>
      </c>
      <c r="Y161" s="4">
        <f t="shared" si="8"/>
        <v>1064</v>
      </c>
      <c r="AC161" s="1" t="s">
        <v>15</v>
      </c>
      <c r="AD161" s="6">
        <v>46147</v>
      </c>
      <c r="AE161" s="6">
        <v>46148</v>
      </c>
      <c r="AF161" s="1" t="s">
        <v>16</v>
      </c>
    </row>
    <row r="162" spans="1:32" x14ac:dyDescent="0.3">
      <c r="A162" s="1">
        <v>316</v>
      </c>
      <c r="B162" s="2">
        <v>45999.248263888898</v>
      </c>
      <c r="C162" s="1" t="s">
        <v>1578</v>
      </c>
      <c r="D162" s="1" t="s">
        <v>1579</v>
      </c>
      <c r="E162" s="1" t="s">
        <v>1580</v>
      </c>
      <c r="F162" s="1" t="s">
        <v>1581</v>
      </c>
      <c r="G162" s="1" t="s">
        <v>4</v>
      </c>
      <c r="H162" s="1" t="s">
        <v>27</v>
      </c>
      <c r="I162" s="1" t="s">
        <v>161</v>
      </c>
      <c r="J162" s="1" t="s">
        <v>1425</v>
      </c>
      <c r="K162" s="1">
        <v>814</v>
      </c>
      <c r="L162" s="1">
        <v>2</v>
      </c>
      <c r="M162" s="1" t="s">
        <v>49</v>
      </c>
      <c r="N162" s="1" t="s">
        <v>1582</v>
      </c>
      <c r="O162" s="1" t="s">
        <v>1583</v>
      </c>
      <c r="P162" s="1" t="s">
        <v>9</v>
      </c>
      <c r="Q162" s="1">
        <v>0</v>
      </c>
      <c r="R162" s="1" t="s">
        <v>10</v>
      </c>
      <c r="S162" s="3" t="s">
        <v>947</v>
      </c>
      <c r="T162" s="4">
        <v>814</v>
      </c>
      <c r="U162" s="4" t="s">
        <v>1584</v>
      </c>
      <c r="V162" s="5">
        <v>2300</v>
      </c>
      <c r="W162" s="4" t="s">
        <v>1584</v>
      </c>
      <c r="X162" s="5">
        <v>2300</v>
      </c>
      <c r="Y162" s="4">
        <f t="shared" si="8"/>
        <v>814</v>
      </c>
      <c r="Z162" s="1">
        <v>814</v>
      </c>
      <c r="AA162" s="1" t="s">
        <v>1585</v>
      </c>
      <c r="AB162" s="1" t="s">
        <v>130</v>
      </c>
      <c r="AC162" s="1" t="s">
        <v>15</v>
      </c>
      <c r="AD162" s="6">
        <v>46080</v>
      </c>
      <c r="AE162" s="6">
        <v>46122</v>
      </c>
      <c r="AF162" s="1" t="s">
        <v>16</v>
      </c>
    </row>
    <row r="163" spans="1:32" x14ac:dyDescent="0.3">
      <c r="A163" s="1">
        <v>843</v>
      </c>
      <c r="B163" s="2">
        <v>46141.558333333298</v>
      </c>
      <c r="C163" s="3" t="s">
        <v>1586</v>
      </c>
      <c r="D163" s="3" t="s">
        <v>1587</v>
      </c>
      <c r="E163" s="7" t="s">
        <v>1588</v>
      </c>
      <c r="F163" s="3" t="s">
        <v>1589</v>
      </c>
      <c r="G163" s="3" t="s">
        <v>17</v>
      </c>
      <c r="H163" s="3" t="s">
        <v>71</v>
      </c>
      <c r="I163" s="3" t="s">
        <v>1590</v>
      </c>
      <c r="J163" s="3" t="s">
        <v>1591</v>
      </c>
      <c r="K163" s="1">
        <v>523</v>
      </c>
      <c r="M163" s="3" t="s">
        <v>20</v>
      </c>
      <c r="N163" s="7" t="s">
        <v>1592</v>
      </c>
      <c r="O163" s="3" t="s">
        <v>213</v>
      </c>
      <c r="P163" s="3" t="s">
        <v>9</v>
      </c>
      <c r="Q163" s="3"/>
      <c r="R163" s="3" t="s">
        <v>10</v>
      </c>
      <c r="S163" s="7" t="s">
        <v>1593</v>
      </c>
      <c r="T163" s="1">
        <v>628</v>
      </c>
      <c r="U163" s="7" t="s">
        <v>1007</v>
      </c>
      <c r="V163" s="1">
        <v>900</v>
      </c>
      <c r="W163" s="7" t="s">
        <v>76</v>
      </c>
      <c r="X163" s="7" t="s">
        <v>76</v>
      </c>
      <c r="Y163" s="4">
        <f t="shared" si="8"/>
        <v>1323</v>
      </c>
      <c r="Z163" s="3"/>
      <c r="AA163" s="3" t="s">
        <v>1594</v>
      </c>
      <c r="AB163" s="7"/>
      <c r="AC163" s="1" t="s">
        <v>15</v>
      </c>
      <c r="AD163" s="3" t="s">
        <v>30</v>
      </c>
      <c r="AE163" s="7" t="s">
        <v>1402</v>
      </c>
      <c r="AF163" s="7" t="s">
        <v>16</v>
      </c>
    </row>
    <row r="164" spans="1:32" x14ac:dyDescent="0.3">
      <c r="A164" s="1">
        <v>578</v>
      </c>
      <c r="B164" s="2">
        <v>46026.510775463001</v>
      </c>
      <c r="C164" s="1" t="s">
        <v>1595</v>
      </c>
      <c r="D164" s="1" t="s">
        <v>1596</v>
      </c>
      <c r="E164" s="1" t="s">
        <v>1597</v>
      </c>
      <c r="F164" s="1" t="s">
        <v>1598</v>
      </c>
      <c r="G164" s="1" t="s">
        <v>4</v>
      </c>
      <c r="H164" s="1" t="s">
        <v>71</v>
      </c>
      <c r="I164" s="1" t="s">
        <v>1599</v>
      </c>
      <c r="J164" s="1" t="s">
        <v>1599</v>
      </c>
      <c r="K164" s="1">
        <v>787</v>
      </c>
      <c r="L164" s="1">
        <v>0</v>
      </c>
      <c r="M164" s="1" t="s">
        <v>7</v>
      </c>
      <c r="N164" s="1" t="s">
        <v>1600</v>
      </c>
      <c r="O164" s="1" t="s">
        <v>1601</v>
      </c>
      <c r="P164" s="1" t="s">
        <v>9</v>
      </c>
      <c r="Q164" s="1">
        <v>0</v>
      </c>
      <c r="R164" s="1" t="s">
        <v>10</v>
      </c>
      <c r="S164" s="3" t="s">
        <v>1602</v>
      </c>
      <c r="T164" s="4">
        <v>485</v>
      </c>
      <c r="U164" s="4" t="s">
        <v>504</v>
      </c>
      <c r="V164" s="5">
        <v>640</v>
      </c>
      <c r="W164" s="4" t="s">
        <v>513</v>
      </c>
      <c r="X164" s="5">
        <v>300</v>
      </c>
      <c r="Y164" s="4">
        <f t="shared" si="8"/>
        <v>1127</v>
      </c>
      <c r="Z164" s="1">
        <v>787</v>
      </c>
      <c r="AA164" s="1" t="s">
        <v>1603</v>
      </c>
      <c r="AC164" s="1" t="s">
        <v>15</v>
      </c>
      <c r="AD164" s="6">
        <v>46080</v>
      </c>
      <c r="AE164" s="6">
        <v>46123</v>
      </c>
      <c r="AF164" s="1" t="s">
        <v>16</v>
      </c>
    </row>
    <row r="165" spans="1:32" x14ac:dyDescent="0.3">
      <c r="A165" s="1">
        <v>441</v>
      </c>
      <c r="B165" s="2">
        <v>46019.779421296298</v>
      </c>
      <c r="C165" s="1" t="s">
        <v>1604</v>
      </c>
      <c r="D165" s="1" t="s">
        <v>1605</v>
      </c>
      <c r="E165" s="1" t="s">
        <v>1606</v>
      </c>
      <c r="F165" s="1" t="s">
        <v>1607</v>
      </c>
      <c r="G165" s="1" t="s">
        <v>4</v>
      </c>
      <c r="H165" s="1" t="s">
        <v>71</v>
      </c>
      <c r="I165" s="1" t="s">
        <v>1608</v>
      </c>
      <c r="J165" s="1" t="s">
        <v>1608</v>
      </c>
      <c r="K165" s="1">
        <v>814</v>
      </c>
      <c r="L165" s="1">
        <v>2</v>
      </c>
      <c r="M165" s="1" t="s">
        <v>49</v>
      </c>
      <c r="N165" s="1" t="s">
        <v>1609</v>
      </c>
      <c r="O165" s="1" t="s">
        <v>1610</v>
      </c>
      <c r="P165" s="1" t="s">
        <v>98</v>
      </c>
      <c r="Q165" s="1" t="s">
        <v>1611</v>
      </c>
      <c r="R165" s="1" t="s">
        <v>177</v>
      </c>
      <c r="S165" s="3" t="s">
        <v>1612</v>
      </c>
      <c r="T165" s="4">
        <v>486</v>
      </c>
      <c r="U165" s="4" t="s">
        <v>1613</v>
      </c>
      <c r="V165" s="5">
        <v>990</v>
      </c>
      <c r="W165" s="4" t="s">
        <v>801</v>
      </c>
      <c r="X165" s="5">
        <v>50</v>
      </c>
      <c r="Y165" s="4">
        <f t="shared" si="8"/>
        <v>1754</v>
      </c>
      <c r="Z165" s="1">
        <v>814</v>
      </c>
      <c r="AA165" s="1" t="s">
        <v>1614</v>
      </c>
      <c r="AC165" s="1" t="s">
        <v>15</v>
      </c>
      <c r="AD165" s="6">
        <v>46080</v>
      </c>
      <c r="AE165" s="6">
        <v>46157</v>
      </c>
      <c r="AF165" s="1" t="s">
        <v>16</v>
      </c>
    </row>
    <row r="166" spans="1:32" x14ac:dyDescent="0.3">
      <c r="A166" s="1">
        <v>451</v>
      </c>
      <c r="B166" s="2">
        <v>46020.620300925897</v>
      </c>
      <c r="C166" s="1" t="s">
        <v>1615</v>
      </c>
      <c r="D166" s="1" t="s">
        <v>1616</v>
      </c>
      <c r="E166" s="1" t="s">
        <v>1617</v>
      </c>
      <c r="F166" s="1" t="s">
        <v>1618</v>
      </c>
      <c r="G166" s="1" t="s">
        <v>4</v>
      </c>
      <c r="H166" s="1" t="s">
        <v>47</v>
      </c>
      <c r="I166" s="1" t="s">
        <v>1608</v>
      </c>
      <c r="J166" s="1" t="s">
        <v>1608</v>
      </c>
      <c r="K166" s="1">
        <v>814</v>
      </c>
      <c r="M166" s="1" t="s">
        <v>49</v>
      </c>
      <c r="N166" s="1" t="s">
        <v>1619</v>
      </c>
      <c r="O166" s="1" t="s">
        <v>1207</v>
      </c>
      <c r="P166" s="1" t="s">
        <v>98</v>
      </c>
      <c r="Q166" s="1" t="s">
        <v>1620</v>
      </c>
      <c r="R166" s="1" t="s">
        <v>177</v>
      </c>
      <c r="S166" s="3" t="s">
        <v>1621</v>
      </c>
      <c r="T166" s="4">
        <v>487</v>
      </c>
      <c r="U166" s="4" t="s">
        <v>1622</v>
      </c>
      <c r="V166" s="5" t="s">
        <v>1623</v>
      </c>
      <c r="W166" s="4" t="s">
        <v>1624</v>
      </c>
      <c r="X166" s="5" t="s">
        <v>115</v>
      </c>
      <c r="Y166" s="4">
        <f t="shared" si="8"/>
        <v>1014</v>
      </c>
      <c r="AA166" s="1" t="s">
        <v>1625</v>
      </c>
      <c r="AC166" s="1" t="s">
        <v>15</v>
      </c>
      <c r="AD166" s="6">
        <v>46080</v>
      </c>
      <c r="AE166" s="6">
        <v>46149</v>
      </c>
      <c r="AF166" s="1" t="s">
        <v>16</v>
      </c>
    </row>
    <row r="167" spans="1:32" x14ac:dyDescent="0.3">
      <c r="A167" s="1">
        <v>605</v>
      </c>
      <c r="B167" s="2">
        <v>46036.346122685201</v>
      </c>
      <c r="C167" s="1" t="s">
        <v>1626</v>
      </c>
      <c r="D167" s="1" t="s">
        <v>1627</v>
      </c>
      <c r="E167" s="1" t="s">
        <v>1628</v>
      </c>
      <c r="F167" s="1" t="s">
        <v>1629</v>
      </c>
      <c r="G167" s="1" t="s">
        <v>4</v>
      </c>
      <c r="H167" s="1" t="s">
        <v>71</v>
      </c>
      <c r="I167" s="1" t="s">
        <v>1608</v>
      </c>
      <c r="J167" s="1" t="s">
        <v>1608</v>
      </c>
      <c r="K167" s="1">
        <v>755</v>
      </c>
      <c r="M167" s="1" t="s">
        <v>7</v>
      </c>
      <c r="N167" s="1" t="s">
        <v>1630</v>
      </c>
      <c r="O167" s="1" t="s">
        <v>1631</v>
      </c>
      <c r="P167" s="1" t="s">
        <v>9</v>
      </c>
      <c r="Q167" s="1">
        <v>0</v>
      </c>
      <c r="R167" s="1" t="s">
        <v>10</v>
      </c>
      <c r="S167" s="3" t="s">
        <v>253</v>
      </c>
      <c r="T167" s="4">
        <v>755</v>
      </c>
      <c r="U167" s="4" t="s">
        <v>233</v>
      </c>
      <c r="V167" s="5">
        <v>800</v>
      </c>
      <c r="W167" s="4" t="s">
        <v>863</v>
      </c>
      <c r="X167" s="5">
        <v>50</v>
      </c>
      <c r="Y167" s="4">
        <f t="shared" si="8"/>
        <v>1505</v>
      </c>
      <c r="AA167" s="1" t="s">
        <v>1632</v>
      </c>
      <c r="AC167" s="1" t="s">
        <v>15</v>
      </c>
      <c r="AD167" s="6">
        <v>46080</v>
      </c>
      <c r="AE167" s="6">
        <v>46148</v>
      </c>
      <c r="AF167" s="1" t="s">
        <v>16</v>
      </c>
    </row>
    <row r="168" spans="1:32" x14ac:dyDescent="0.3">
      <c r="A168" s="1">
        <v>832</v>
      </c>
      <c r="B168" s="2">
        <v>46125.365763888898</v>
      </c>
      <c r="C168" s="3" t="s">
        <v>1626</v>
      </c>
      <c r="D168" s="3" t="s">
        <v>1637</v>
      </c>
      <c r="E168" s="7" t="s">
        <v>1638</v>
      </c>
      <c r="F168" s="3" t="s">
        <v>1639</v>
      </c>
      <c r="G168" s="3" t="s">
        <v>4</v>
      </c>
      <c r="H168" s="3" t="s">
        <v>18</v>
      </c>
      <c r="I168" s="3" t="s">
        <v>1640</v>
      </c>
      <c r="J168" s="3" t="s">
        <v>1608</v>
      </c>
      <c r="K168" s="1">
        <v>814</v>
      </c>
      <c r="M168" s="3" t="s">
        <v>49</v>
      </c>
      <c r="N168" s="7" t="s">
        <v>1641</v>
      </c>
      <c r="O168" s="3" t="s">
        <v>1642</v>
      </c>
      <c r="P168" s="3" t="s">
        <v>9</v>
      </c>
      <c r="Q168" s="3"/>
      <c r="R168" s="3" t="s">
        <v>10</v>
      </c>
      <c r="S168" s="7" t="s">
        <v>1643</v>
      </c>
      <c r="T168" s="1"/>
      <c r="U168" s="7" t="s">
        <v>12</v>
      </c>
      <c r="V168" s="1"/>
      <c r="W168" s="7" t="s">
        <v>1644</v>
      </c>
      <c r="X168" s="1"/>
      <c r="Y168" s="1">
        <f t="shared" si="8"/>
        <v>814</v>
      </c>
      <c r="Z168" s="3"/>
      <c r="AA168" s="3" t="s">
        <v>1645</v>
      </c>
      <c r="AB168" s="7"/>
      <c r="AC168" s="1" t="s">
        <v>15</v>
      </c>
      <c r="AD168" s="6">
        <v>46080</v>
      </c>
      <c r="AE168" s="6">
        <v>46167</v>
      </c>
      <c r="AF168" s="1" t="s">
        <v>16</v>
      </c>
    </row>
    <row r="169" spans="1:32" x14ac:dyDescent="0.3">
      <c r="A169" s="1">
        <v>401</v>
      </c>
      <c r="B169" s="2">
        <v>46013.705023148097</v>
      </c>
      <c r="C169" s="1" t="s">
        <v>1646</v>
      </c>
      <c r="D169" s="1" t="s">
        <v>1647</v>
      </c>
      <c r="E169" s="1" t="s">
        <v>1648</v>
      </c>
      <c r="F169" s="1" t="s">
        <v>1649</v>
      </c>
      <c r="G169" s="1" t="s">
        <v>17</v>
      </c>
      <c r="H169" s="1" t="s">
        <v>71</v>
      </c>
      <c r="I169" s="1" t="s">
        <v>752</v>
      </c>
      <c r="J169" s="1" t="s">
        <v>752</v>
      </c>
      <c r="K169" s="1">
        <v>407</v>
      </c>
      <c r="L169" s="1">
        <v>2</v>
      </c>
      <c r="M169" s="1" t="s">
        <v>20</v>
      </c>
      <c r="N169" s="1" t="s">
        <v>1046</v>
      </c>
      <c r="O169" s="1" t="s">
        <v>189</v>
      </c>
      <c r="P169" s="1" t="s">
        <v>9</v>
      </c>
      <c r="Q169" s="1">
        <v>0</v>
      </c>
      <c r="R169" s="1" t="s">
        <v>10</v>
      </c>
      <c r="S169" s="3" t="s">
        <v>1650</v>
      </c>
      <c r="T169" s="4">
        <v>506</v>
      </c>
      <c r="U169" s="4" t="s">
        <v>114</v>
      </c>
      <c r="V169" s="5">
        <v>2500</v>
      </c>
      <c r="W169" s="4" t="s">
        <v>1651</v>
      </c>
      <c r="Y169" s="4">
        <f t="shared" si="8"/>
        <v>2907</v>
      </c>
      <c r="Z169" s="4">
        <v>407</v>
      </c>
      <c r="AA169" s="1" t="s">
        <v>1652</v>
      </c>
      <c r="AC169" s="1" t="s">
        <v>15</v>
      </c>
      <c r="AD169" s="6">
        <v>46080</v>
      </c>
      <c r="AE169" s="6">
        <v>46125</v>
      </c>
      <c r="AF169" s="1" t="s">
        <v>16</v>
      </c>
    </row>
    <row r="170" spans="1:32" x14ac:dyDescent="0.3">
      <c r="A170" s="1">
        <v>777</v>
      </c>
      <c r="B170" s="2">
        <v>46084.707164351901</v>
      </c>
      <c r="C170" s="11" t="s">
        <v>1653</v>
      </c>
      <c r="D170" s="3" t="s">
        <v>1654</v>
      </c>
      <c r="E170" s="1" t="s">
        <v>1655</v>
      </c>
      <c r="F170" s="1" t="s">
        <v>1656</v>
      </c>
      <c r="G170" s="3" t="s">
        <v>4</v>
      </c>
      <c r="H170" s="3" t="s">
        <v>71</v>
      </c>
      <c r="I170" s="3" t="s">
        <v>752</v>
      </c>
      <c r="J170" s="1" t="s">
        <v>752</v>
      </c>
      <c r="K170" s="1">
        <v>755</v>
      </c>
      <c r="L170" s="1">
        <v>2</v>
      </c>
      <c r="M170" s="3" t="s">
        <v>7</v>
      </c>
      <c r="N170" s="7" t="s">
        <v>1657</v>
      </c>
      <c r="O170" s="3" t="s">
        <v>1658</v>
      </c>
      <c r="P170" s="3" t="s">
        <v>98</v>
      </c>
      <c r="Q170" s="3" t="s">
        <v>1659</v>
      </c>
      <c r="R170" s="3" t="s">
        <v>177</v>
      </c>
      <c r="S170" s="7" t="s">
        <v>1490</v>
      </c>
      <c r="T170" s="4">
        <v>755</v>
      </c>
      <c r="U170" s="7" t="s">
        <v>1660</v>
      </c>
      <c r="V170" s="5">
        <v>2500</v>
      </c>
      <c r="W170" s="7" t="s">
        <v>1661</v>
      </c>
      <c r="X170" s="5">
        <v>1000</v>
      </c>
      <c r="Y170" s="4">
        <f t="shared" si="8"/>
        <v>2255</v>
      </c>
      <c r="Z170" s="4">
        <f>K170</f>
        <v>755</v>
      </c>
      <c r="AA170" s="3" t="s">
        <v>1662</v>
      </c>
      <c r="AB170" s="1" t="s">
        <v>56</v>
      </c>
      <c r="AC170" s="1" t="s">
        <v>15</v>
      </c>
      <c r="AD170" s="6">
        <v>46098</v>
      </c>
      <c r="AE170" s="6">
        <v>46098</v>
      </c>
      <c r="AF170" s="1" t="s">
        <v>16</v>
      </c>
    </row>
    <row r="171" spans="1:32" x14ac:dyDescent="0.3">
      <c r="A171" s="1">
        <v>9</v>
      </c>
      <c r="B171" s="2">
        <v>45915.633703703701</v>
      </c>
      <c r="C171" s="1" t="s">
        <v>1663</v>
      </c>
      <c r="D171" s="1" t="s">
        <v>1664</v>
      </c>
      <c r="E171" s="1" t="s">
        <v>1665</v>
      </c>
      <c r="F171" s="1" t="s">
        <v>1666</v>
      </c>
      <c r="G171" s="1" t="s">
        <v>17</v>
      </c>
      <c r="H171" s="1" t="s">
        <v>1667</v>
      </c>
      <c r="I171" s="1" t="s">
        <v>752</v>
      </c>
      <c r="J171" s="1" t="s">
        <v>752</v>
      </c>
      <c r="K171" s="1">
        <v>814</v>
      </c>
      <c r="L171" s="1">
        <v>3</v>
      </c>
      <c r="M171" s="1" t="s">
        <v>49</v>
      </c>
      <c r="N171" s="1" t="s">
        <v>1668</v>
      </c>
      <c r="O171" s="1" t="s">
        <v>1669</v>
      </c>
      <c r="P171" s="1" t="s">
        <v>9</v>
      </c>
      <c r="Q171" s="1">
        <v>0</v>
      </c>
      <c r="R171" s="1" t="s">
        <v>10</v>
      </c>
      <c r="S171" s="3" t="s">
        <v>1670</v>
      </c>
      <c r="T171" s="4">
        <v>489</v>
      </c>
      <c r="U171" s="4" t="s">
        <v>1671</v>
      </c>
      <c r="V171" s="5">
        <v>3500</v>
      </c>
      <c r="W171" s="4" t="s">
        <v>1634</v>
      </c>
      <c r="X171" s="5">
        <v>100</v>
      </c>
      <c r="Y171" s="4">
        <f t="shared" si="8"/>
        <v>4214</v>
      </c>
      <c r="Z171" s="1">
        <v>814</v>
      </c>
      <c r="AA171" s="1" t="s">
        <v>1672</v>
      </c>
      <c r="AC171" s="1" t="s">
        <v>15</v>
      </c>
      <c r="AD171" s="6">
        <v>46080</v>
      </c>
      <c r="AE171" s="6">
        <v>46122</v>
      </c>
      <c r="AF171" s="1" t="s">
        <v>16</v>
      </c>
    </row>
    <row r="172" spans="1:32" x14ac:dyDescent="0.3">
      <c r="A172" s="1">
        <v>108</v>
      </c>
      <c r="B172" s="2">
        <v>45959.464479166701</v>
      </c>
      <c r="C172" s="1" t="s">
        <v>1673</v>
      </c>
      <c r="D172" s="1" t="s">
        <v>1674</v>
      </c>
      <c r="E172" s="1" t="s">
        <v>1675</v>
      </c>
      <c r="F172" s="1" t="s">
        <v>1676</v>
      </c>
      <c r="G172" s="1" t="s">
        <v>4</v>
      </c>
      <c r="H172" s="1" t="s">
        <v>71</v>
      </c>
      <c r="I172" s="1" t="s">
        <v>752</v>
      </c>
      <c r="J172" s="1" t="s">
        <v>752</v>
      </c>
      <c r="K172" s="1">
        <v>407</v>
      </c>
      <c r="M172" s="1" t="s">
        <v>20</v>
      </c>
      <c r="N172" s="1" t="s">
        <v>1677</v>
      </c>
      <c r="O172" s="1" t="s">
        <v>1678</v>
      </c>
      <c r="P172" s="1" t="s">
        <v>98</v>
      </c>
      <c r="Q172" s="1" t="s">
        <v>1679</v>
      </c>
      <c r="R172" s="1" t="s">
        <v>10</v>
      </c>
      <c r="S172" s="3" t="s">
        <v>1680</v>
      </c>
      <c r="T172" s="4">
        <v>493</v>
      </c>
      <c r="U172" s="4" t="s">
        <v>1094</v>
      </c>
      <c r="V172" s="5">
        <v>800</v>
      </c>
      <c r="W172" s="4" t="s">
        <v>1094</v>
      </c>
      <c r="X172" s="5">
        <v>800</v>
      </c>
      <c r="Y172" s="4">
        <f t="shared" si="8"/>
        <v>407</v>
      </c>
      <c r="AA172" s="1" t="s">
        <v>1681</v>
      </c>
      <c r="AC172" s="1" t="s">
        <v>15</v>
      </c>
      <c r="AD172" s="6">
        <v>46080</v>
      </c>
      <c r="AE172" s="6">
        <v>46149</v>
      </c>
      <c r="AF172" s="1" t="s">
        <v>16</v>
      </c>
    </row>
    <row r="173" spans="1:32" x14ac:dyDescent="0.3">
      <c r="A173" s="1">
        <v>168</v>
      </c>
      <c r="B173" s="2">
        <v>45982.5619560185</v>
      </c>
      <c r="C173" s="1" t="s">
        <v>1682</v>
      </c>
      <c r="D173" s="1" t="s">
        <v>1683</v>
      </c>
      <c r="E173" s="1" t="s">
        <v>1684</v>
      </c>
      <c r="F173" s="1" t="s">
        <v>1685</v>
      </c>
      <c r="G173" s="1" t="s">
        <v>17</v>
      </c>
      <c r="H173" s="1" t="s">
        <v>1686</v>
      </c>
      <c r="I173" s="1" t="s">
        <v>752</v>
      </c>
      <c r="J173" s="1" t="s">
        <v>752</v>
      </c>
      <c r="K173" s="1">
        <v>814</v>
      </c>
      <c r="M173" s="1" t="s">
        <v>49</v>
      </c>
      <c r="N173" s="1" t="s">
        <v>1687</v>
      </c>
      <c r="O173" s="1" t="s">
        <v>1688</v>
      </c>
      <c r="P173" s="1" t="s">
        <v>98</v>
      </c>
      <c r="Q173" s="1" t="s">
        <v>1689</v>
      </c>
      <c r="R173" s="1" t="s">
        <v>10</v>
      </c>
      <c r="S173" s="3" t="s">
        <v>1690</v>
      </c>
      <c r="T173" s="4">
        <v>497</v>
      </c>
      <c r="U173" s="4" t="s">
        <v>114</v>
      </c>
      <c r="V173" s="5">
        <v>2500</v>
      </c>
      <c r="W173" s="4" t="s">
        <v>1691</v>
      </c>
      <c r="Y173" s="4">
        <f t="shared" si="8"/>
        <v>3314</v>
      </c>
      <c r="Z173" s="1">
        <v>814</v>
      </c>
      <c r="AA173" s="1" t="s">
        <v>1692</v>
      </c>
      <c r="AB173" s="1" t="s">
        <v>1385</v>
      </c>
      <c r="AC173" s="1" t="s">
        <v>15</v>
      </c>
      <c r="AD173" s="6">
        <v>46080</v>
      </c>
      <c r="AE173" s="6">
        <v>46080</v>
      </c>
      <c r="AF173" s="1" t="s">
        <v>16</v>
      </c>
    </row>
    <row r="174" spans="1:32" x14ac:dyDescent="0.3">
      <c r="A174" s="1">
        <v>438</v>
      </c>
      <c r="B174" s="2">
        <v>46019.011493055601</v>
      </c>
      <c r="C174" s="1" t="s">
        <v>1693</v>
      </c>
      <c r="D174" s="1" t="s">
        <v>1694</v>
      </c>
      <c r="E174" s="1" t="s">
        <v>1695</v>
      </c>
      <c r="F174" s="1" t="s">
        <v>1696</v>
      </c>
      <c r="G174" s="1" t="s">
        <v>17</v>
      </c>
      <c r="H174" s="1" t="s">
        <v>942</v>
      </c>
      <c r="I174" s="1" t="s">
        <v>752</v>
      </c>
      <c r="J174" s="1" t="s">
        <v>752</v>
      </c>
      <c r="K174" s="1">
        <v>385</v>
      </c>
      <c r="M174" s="1" t="s">
        <v>945</v>
      </c>
      <c r="N174" s="1" t="s">
        <v>1697</v>
      </c>
      <c r="O174" s="1" t="s">
        <v>1698</v>
      </c>
      <c r="P174" s="1" t="s">
        <v>98</v>
      </c>
      <c r="Q174" s="1" t="s">
        <v>1699</v>
      </c>
      <c r="R174" s="1" t="s">
        <v>10</v>
      </c>
      <c r="S174" s="3" t="s">
        <v>1700</v>
      </c>
      <c r="T174" s="4">
        <v>508</v>
      </c>
      <c r="U174" s="4" t="s">
        <v>243</v>
      </c>
      <c r="V174" s="5">
        <v>2000</v>
      </c>
      <c r="W174" s="4" t="s">
        <v>1651</v>
      </c>
      <c r="Y174" s="4">
        <f t="shared" si="8"/>
        <v>2385</v>
      </c>
      <c r="Z174" s="1">
        <v>385</v>
      </c>
      <c r="AA174" s="1" t="s">
        <v>1701</v>
      </c>
      <c r="AB174" s="1" t="s">
        <v>1702</v>
      </c>
      <c r="AC174" s="1" t="s">
        <v>15</v>
      </c>
      <c r="AD174" s="6">
        <v>46080</v>
      </c>
      <c r="AE174" s="6">
        <v>46094</v>
      </c>
      <c r="AF174" s="1" t="s">
        <v>16</v>
      </c>
    </row>
    <row r="175" spans="1:32" x14ac:dyDescent="0.3">
      <c r="A175" s="1">
        <v>460</v>
      </c>
      <c r="B175" s="2">
        <v>46020.9005555556</v>
      </c>
      <c r="C175" s="1" t="s">
        <v>1703</v>
      </c>
      <c r="D175" s="1" t="s">
        <v>1704</v>
      </c>
      <c r="E175" s="1" t="s">
        <v>1705</v>
      </c>
      <c r="F175" s="1" t="s">
        <v>1706</v>
      </c>
      <c r="G175" s="1" t="s">
        <v>4</v>
      </c>
      <c r="H175" s="1" t="s">
        <v>71</v>
      </c>
      <c r="I175" s="1" t="s">
        <v>752</v>
      </c>
      <c r="J175" s="1" t="s">
        <v>752</v>
      </c>
      <c r="K175" s="1">
        <v>755</v>
      </c>
      <c r="M175" s="1" t="s">
        <v>7</v>
      </c>
      <c r="N175" s="1" t="s">
        <v>1707</v>
      </c>
      <c r="O175" s="1" t="s">
        <v>213</v>
      </c>
      <c r="P175" s="1" t="s">
        <v>98</v>
      </c>
      <c r="Q175" s="1" t="s">
        <v>1708</v>
      </c>
      <c r="R175" s="1" t="s">
        <v>10</v>
      </c>
      <c r="S175" s="3" t="s">
        <v>1709</v>
      </c>
      <c r="T175" s="4">
        <v>509</v>
      </c>
      <c r="U175" s="4" t="s">
        <v>22</v>
      </c>
      <c r="V175" s="5">
        <v>3000</v>
      </c>
      <c r="W175" s="4" t="s">
        <v>243</v>
      </c>
      <c r="X175" s="5">
        <v>2000</v>
      </c>
      <c r="Y175" s="4">
        <f t="shared" si="8"/>
        <v>1755</v>
      </c>
      <c r="AA175" s="1" t="s">
        <v>1710</v>
      </c>
      <c r="AC175" s="1" t="s">
        <v>614</v>
      </c>
      <c r="AD175" s="6">
        <v>46080</v>
      </c>
      <c r="AE175" s="6">
        <v>46149</v>
      </c>
      <c r="AF175" s="1" t="s">
        <v>16</v>
      </c>
    </row>
    <row r="176" spans="1:32" x14ac:dyDescent="0.3">
      <c r="A176" s="1">
        <v>675</v>
      </c>
      <c r="B176" s="2">
        <v>46052.306840277801</v>
      </c>
      <c r="C176" s="1" t="s">
        <v>1711</v>
      </c>
      <c r="D176" s="1" t="s">
        <v>1712</v>
      </c>
      <c r="E176" s="1" t="s">
        <v>1713</v>
      </c>
      <c r="F176" s="1" t="s">
        <v>1714</v>
      </c>
      <c r="G176" s="1" t="s">
        <v>4</v>
      </c>
      <c r="H176" s="1" t="s">
        <v>71</v>
      </c>
      <c r="I176" s="1" t="s">
        <v>752</v>
      </c>
      <c r="J176" s="1" t="s">
        <v>752</v>
      </c>
      <c r="K176" s="1">
        <v>814</v>
      </c>
      <c r="M176" s="1" t="s">
        <v>49</v>
      </c>
      <c r="N176" s="1" t="s">
        <v>1715</v>
      </c>
      <c r="O176" s="1" t="s">
        <v>1716</v>
      </c>
      <c r="P176" s="1" t="s">
        <v>9</v>
      </c>
      <c r="Q176" s="1">
        <v>0</v>
      </c>
      <c r="R176" s="1" t="s">
        <v>10</v>
      </c>
      <c r="S176" s="3" t="s">
        <v>1717</v>
      </c>
      <c r="T176" s="4">
        <v>714</v>
      </c>
      <c r="U176" s="4" t="s">
        <v>1718</v>
      </c>
      <c r="V176" s="5">
        <v>1646</v>
      </c>
      <c r="W176" s="4" t="s">
        <v>1719</v>
      </c>
      <c r="X176" s="5">
        <v>1500</v>
      </c>
      <c r="Y176" s="4">
        <f t="shared" si="8"/>
        <v>960</v>
      </c>
      <c r="AA176" s="1" t="s">
        <v>1720</v>
      </c>
      <c r="AC176" s="1" t="s">
        <v>15</v>
      </c>
      <c r="AD176" s="6">
        <v>46080</v>
      </c>
      <c r="AE176" s="6">
        <v>46148</v>
      </c>
      <c r="AF176" s="1" t="s">
        <v>16</v>
      </c>
    </row>
    <row r="177" spans="1:32" x14ac:dyDescent="0.3">
      <c r="A177" s="1">
        <v>226</v>
      </c>
      <c r="B177" s="2">
        <v>45984.427152777796</v>
      </c>
      <c r="C177" s="1" t="s">
        <v>1721</v>
      </c>
      <c r="D177" s="1" t="s">
        <v>1722</v>
      </c>
      <c r="E177" s="1" t="s">
        <v>1723</v>
      </c>
      <c r="F177" s="1" t="s">
        <v>1724</v>
      </c>
      <c r="G177" s="1" t="s">
        <v>4</v>
      </c>
      <c r="H177" s="1" t="s">
        <v>47</v>
      </c>
      <c r="I177" s="1" t="s">
        <v>1725</v>
      </c>
      <c r="J177" s="1" t="s">
        <v>752</v>
      </c>
      <c r="K177" s="1">
        <v>814</v>
      </c>
      <c r="M177" s="1" t="s">
        <v>49</v>
      </c>
      <c r="N177" s="1" t="s">
        <v>1726</v>
      </c>
      <c r="O177" s="1" t="s">
        <v>1727</v>
      </c>
      <c r="P177" s="1" t="s">
        <v>9</v>
      </c>
      <c r="Q177" s="1">
        <v>0</v>
      </c>
      <c r="R177" s="1" t="s">
        <v>10</v>
      </c>
      <c r="S177" s="3" t="s">
        <v>1728</v>
      </c>
      <c r="T177" s="4">
        <v>719</v>
      </c>
      <c r="U177" s="4" t="s">
        <v>699</v>
      </c>
      <c r="V177" s="5">
        <v>1500</v>
      </c>
      <c r="W177" s="4" t="s">
        <v>1015</v>
      </c>
      <c r="X177" s="5">
        <v>1000</v>
      </c>
      <c r="Y177" s="4">
        <f t="shared" si="8"/>
        <v>1314</v>
      </c>
      <c r="AA177" s="1" t="s">
        <v>1729</v>
      </c>
      <c r="AC177" s="1" t="s">
        <v>15</v>
      </c>
      <c r="AD177" s="6">
        <v>46080</v>
      </c>
      <c r="AE177" s="6">
        <v>46148</v>
      </c>
      <c r="AF177" s="1" t="s">
        <v>16</v>
      </c>
    </row>
    <row r="178" spans="1:32" x14ac:dyDescent="0.3">
      <c r="A178" s="1">
        <v>419</v>
      </c>
      <c r="B178" s="2">
        <v>46015.6656828704</v>
      </c>
      <c r="C178" s="1" t="s">
        <v>1730</v>
      </c>
      <c r="D178" s="1" t="s">
        <v>1731</v>
      </c>
      <c r="E178" s="1" t="s">
        <v>1732</v>
      </c>
      <c r="F178" s="1" t="s">
        <v>1733</v>
      </c>
      <c r="G178" s="1" t="s">
        <v>4</v>
      </c>
      <c r="H178" s="1" t="s">
        <v>1734</v>
      </c>
      <c r="I178" s="1" t="s">
        <v>752</v>
      </c>
      <c r="J178" s="1" t="s">
        <v>752</v>
      </c>
      <c r="K178" s="1">
        <v>755</v>
      </c>
      <c r="M178" s="1" t="s">
        <v>7</v>
      </c>
      <c r="N178" s="1" t="s">
        <v>1735</v>
      </c>
      <c r="O178" s="1" t="s">
        <v>1734</v>
      </c>
      <c r="P178" s="1" t="s">
        <v>9</v>
      </c>
      <c r="Q178" s="1">
        <v>0</v>
      </c>
      <c r="R178" s="1" t="s">
        <v>10</v>
      </c>
      <c r="S178" s="3" t="s">
        <v>1736</v>
      </c>
      <c r="T178" s="4">
        <v>507</v>
      </c>
      <c r="U178" s="4" t="s">
        <v>1737</v>
      </c>
      <c r="V178" s="5">
        <v>1700</v>
      </c>
      <c r="W178" s="4" t="s">
        <v>1738</v>
      </c>
      <c r="X178" s="5">
        <v>1500</v>
      </c>
      <c r="Y178" s="4">
        <f t="shared" si="8"/>
        <v>955</v>
      </c>
      <c r="AA178" s="1" t="s">
        <v>1739</v>
      </c>
      <c r="AC178" s="1" t="s">
        <v>15</v>
      </c>
      <c r="AD178" s="6">
        <v>46080</v>
      </c>
      <c r="AE178" s="6">
        <v>46167</v>
      </c>
      <c r="AF178" s="1" t="s">
        <v>16</v>
      </c>
    </row>
    <row r="179" spans="1:32" x14ac:dyDescent="0.3">
      <c r="A179" s="1">
        <v>387</v>
      </c>
      <c r="B179" s="2">
        <v>46010.564004629603</v>
      </c>
      <c r="C179" s="1" t="s">
        <v>1740</v>
      </c>
      <c r="D179" s="1" t="s">
        <v>1741</v>
      </c>
      <c r="E179" s="1" t="s">
        <v>1742</v>
      </c>
      <c r="F179" s="1" t="s">
        <v>1743</v>
      </c>
      <c r="G179" s="1" t="s">
        <v>17</v>
      </c>
      <c r="H179" s="1" t="s">
        <v>71</v>
      </c>
      <c r="I179" s="1" t="s">
        <v>463</v>
      </c>
      <c r="J179" s="1" t="s">
        <v>1744</v>
      </c>
      <c r="K179" s="1">
        <v>875</v>
      </c>
      <c r="L179" s="1">
        <v>1</v>
      </c>
      <c r="M179" s="1" t="s">
        <v>49</v>
      </c>
      <c r="N179" s="1" t="s">
        <v>1745</v>
      </c>
      <c r="O179" s="1" t="s">
        <v>1746</v>
      </c>
      <c r="P179" s="1" t="s">
        <v>9</v>
      </c>
      <c r="Q179" s="1">
        <v>0</v>
      </c>
      <c r="R179" s="1" t="s">
        <v>9</v>
      </c>
      <c r="S179" s="3" t="s">
        <v>1747</v>
      </c>
      <c r="T179" s="4">
        <v>335</v>
      </c>
      <c r="U179" s="4" t="s">
        <v>929</v>
      </c>
      <c r="V179" s="5">
        <v>600</v>
      </c>
      <c r="W179" s="4" t="s">
        <v>400</v>
      </c>
      <c r="X179" s="5">
        <v>200</v>
      </c>
      <c r="Y179" s="4">
        <f t="shared" si="8"/>
        <v>1275</v>
      </c>
      <c r="Z179" s="4">
        <v>875</v>
      </c>
      <c r="AA179" s="1" t="s">
        <v>1748</v>
      </c>
      <c r="AC179" s="1" t="s">
        <v>15</v>
      </c>
      <c r="AD179" s="6">
        <v>46080</v>
      </c>
      <c r="AE179" s="6">
        <v>46122</v>
      </c>
      <c r="AF179" s="1" t="s">
        <v>16</v>
      </c>
    </row>
    <row r="180" spans="1:32" x14ac:dyDescent="0.3">
      <c r="A180" s="1">
        <v>193</v>
      </c>
      <c r="B180" s="2">
        <v>45982.978194444397</v>
      </c>
      <c r="C180" s="1" t="s">
        <v>1749</v>
      </c>
      <c r="D180" s="1" t="s">
        <v>1750</v>
      </c>
      <c r="E180" s="1" t="s">
        <v>1751</v>
      </c>
      <c r="F180" s="1" t="s">
        <v>1752</v>
      </c>
      <c r="G180" s="1" t="s">
        <v>17</v>
      </c>
      <c r="H180" s="1" t="s">
        <v>71</v>
      </c>
      <c r="I180" s="1" t="s">
        <v>741</v>
      </c>
      <c r="J180" s="1" t="s">
        <v>1744</v>
      </c>
      <c r="K180" s="1">
        <v>875</v>
      </c>
      <c r="M180" s="1" t="s">
        <v>49</v>
      </c>
      <c r="N180" s="1" t="s">
        <v>1753</v>
      </c>
      <c r="O180" s="1" t="s">
        <v>1754</v>
      </c>
      <c r="P180" s="1" t="s">
        <v>9</v>
      </c>
      <c r="Q180" s="1">
        <v>0</v>
      </c>
      <c r="R180" s="1" t="s">
        <v>177</v>
      </c>
      <c r="S180" s="3" t="s">
        <v>1755</v>
      </c>
      <c r="T180" s="4">
        <v>512</v>
      </c>
      <c r="U180" s="4" t="s">
        <v>1756</v>
      </c>
      <c r="V180" s="5">
        <v>500</v>
      </c>
      <c r="W180" s="4" t="s">
        <v>1757</v>
      </c>
      <c r="X180" s="5">
        <v>300</v>
      </c>
      <c r="Y180" s="4">
        <f t="shared" si="8"/>
        <v>1075</v>
      </c>
      <c r="AA180" s="1" t="s">
        <v>1758</v>
      </c>
      <c r="AC180" s="1" t="s">
        <v>15</v>
      </c>
      <c r="AD180" s="6">
        <v>46080</v>
      </c>
      <c r="AE180" s="6">
        <v>46167</v>
      </c>
      <c r="AF180" s="1" t="s">
        <v>16</v>
      </c>
    </row>
    <row r="181" spans="1:32" x14ac:dyDescent="0.3">
      <c r="A181" s="1">
        <v>403</v>
      </c>
      <c r="B181" s="2">
        <v>46013.9610300926</v>
      </c>
      <c r="C181" s="1" t="s">
        <v>1759</v>
      </c>
      <c r="D181" s="1" t="s">
        <v>1760</v>
      </c>
      <c r="E181" s="1" t="s">
        <v>1761</v>
      </c>
      <c r="F181" s="1" t="s">
        <v>1762</v>
      </c>
      <c r="G181" s="1" t="s">
        <v>4</v>
      </c>
      <c r="H181" s="1" t="s">
        <v>71</v>
      </c>
      <c r="I181" s="1" t="s">
        <v>1763</v>
      </c>
      <c r="J181" s="1" t="s">
        <v>1763</v>
      </c>
      <c r="K181" s="1">
        <v>407</v>
      </c>
      <c r="L181" s="1">
        <v>2</v>
      </c>
      <c r="M181" s="1" t="s">
        <v>20</v>
      </c>
      <c r="N181" s="1" t="s">
        <v>1046</v>
      </c>
      <c r="O181" s="1" t="s">
        <v>1764</v>
      </c>
      <c r="P181" s="1" t="s">
        <v>9</v>
      </c>
      <c r="Q181" s="1">
        <v>0</v>
      </c>
      <c r="R181" s="1" t="s">
        <v>10</v>
      </c>
      <c r="S181" s="3" t="s">
        <v>1765</v>
      </c>
      <c r="T181" s="4">
        <v>516</v>
      </c>
      <c r="U181" s="4" t="s">
        <v>1766</v>
      </c>
      <c r="V181" s="5">
        <v>850</v>
      </c>
      <c r="W181" s="4" t="s">
        <v>1767</v>
      </c>
      <c r="X181" s="5" t="s">
        <v>409</v>
      </c>
      <c r="Y181" s="4">
        <f t="shared" si="8"/>
        <v>1057</v>
      </c>
      <c r="Z181" s="4">
        <v>407</v>
      </c>
      <c r="AA181" s="1" t="s">
        <v>1768</v>
      </c>
      <c r="AB181" s="1" t="s">
        <v>56</v>
      </c>
      <c r="AC181" s="1" t="s">
        <v>15</v>
      </c>
      <c r="AD181" s="6">
        <v>46080</v>
      </c>
      <c r="AE181" s="6">
        <v>46082</v>
      </c>
      <c r="AF181" s="1" t="s">
        <v>16</v>
      </c>
    </row>
    <row r="182" spans="1:32" x14ac:dyDescent="0.3">
      <c r="A182" s="1">
        <v>404</v>
      </c>
      <c r="B182" s="2">
        <v>46013.9445486111</v>
      </c>
      <c r="C182" s="1" t="s">
        <v>1769</v>
      </c>
      <c r="D182" s="1" t="s">
        <v>1770</v>
      </c>
      <c r="E182" s="1" t="s">
        <v>1771</v>
      </c>
      <c r="F182" s="1" t="s">
        <v>1772</v>
      </c>
      <c r="G182" s="1" t="s">
        <v>4</v>
      </c>
      <c r="H182" s="1" t="s">
        <v>47</v>
      </c>
      <c r="I182" s="1" t="s">
        <v>1763</v>
      </c>
      <c r="J182" s="1" t="s">
        <v>1763</v>
      </c>
      <c r="K182" s="1">
        <v>755</v>
      </c>
      <c r="L182" s="1">
        <v>4</v>
      </c>
      <c r="M182" s="1" t="s">
        <v>7</v>
      </c>
      <c r="N182" s="1" t="s">
        <v>1773</v>
      </c>
      <c r="O182" s="1" t="s">
        <v>1774</v>
      </c>
      <c r="P182" s="1" t="s">
        <v>98</v>
      </c>
      <c r="Q182" s="1" t="s">
        <v>1775</v>
      </c>
      <c r="R182" s="1" t="s">
        <v>10</v>
      </c>
      <c r="S182" s="3" t="s">
        <v>1776</v>
      </c>
      <c r="T182" s="4">
        <v>515</v>
      </c>
      <c r="U182" s="4" t="s">
        <v>1777</v>
      </c>
      <c r="V182" s="5" t="s">
        <v>1778</v>
      </c>
      <c r="W182" s="4" t="s">
        <v>1779</v>
      </c>
      <c r="X182" s="5" t="s">
        <v>483</v>
      </c>
      <c r="Y182" s="4">
        <f t="shared" si="8"/>
        <v>1295</v>
      </c>
      <c r="Z182" s="4">
        <v>755</v>
      </c>
      <c r="AA182" s="1" t="s">
        <v>1780</v>
      </c>
      <c r="AB182" s="1" t="s">
        <v>56</v>
      </c>
      <c r="AC182" s="1" t="s">
        <v>15</v>
      </c>
      <c r="AD182" s="6">
        <v>46080</v>
      </c>
      <c r="AE182" s="6">
        <v>46087</v>
      </c>
      <c r="AF182" s="1" t="s">
        <v>16</v>
      </c>
    </row>
    <row r="183" spans="1:32" x14ac:dyDescent="0.3">
      <c r="A183" s="1">
        <v>633</v>
      </c>
      <c r="B183" s="2">
        <v>46044.109525462998</v>
      </c>
      <c r="C183" s="1" t="s">
        <v>1781</v>
      </c>
      <c r="D183" s="1" t="s">
        <v>1782</v>
      </c>
      <c r="E183" s="1" t="s">
        <v>1783</v>
      </c>
      <c r="F183" s="1" t="s">
        <v>1784</v>
      </c>
      <c r="G183" s="1" t="s">
        <v>4</v>
      </c>
      <c r="H183" s="1" t="s">
        <v>1785</v>
      </c>
      <c r="I183" s="1" t="s">
        <v>1786</v>
      </c>
      <c r="J183" s="1" t="s">
        <v>1786</v>
      </c>
      <c r="K183" s="1">
        <v>814</v>
      </c>
      <c r="L183" s="1">
        <v>1</v>
      </c>
      <c r="M183" s="1" t="s">
        <v>49</v>
      </c>
      <c r="N183" s="1" t="s">
        <v>1787</v>
      </c>
      <c r="O183" s="1" t="s">
        <v>1785</v>
      </c>
      <c r="P183" s="1" t="s">
        <v>9</v>
      </c>
      <c r="Q183" s="1">
        <v>0</v>
      </c>
      <c r="R183" s="1" t="s">
        <v>10</v>
      </c>
      <c r="S183" s="3" t="s">
        <v>526</v>
      </c>
      <c r="T183" s="4">
        <v>755</v>
      </c>
      <c r="U183" s="4" t="s">
        <v>1788</v>
      </c>
      <c r="V183" s="5">
        <v>700</v>
      </c>
      <c r="W183" s="4" t="s">
        <v>712</v>
      </c>
      <c r="X183" s="5">
        <v>500</v>
      </c>
      <c r="Y183" s="4">
        <f t="shared" si="8"/>
        <v>1014</v>
      </c>
      <c r="Z183" s="4">
        <v>814</v>
      </c>
      <c r="AA183" s="1" t="s">
        <v>1789</v>
      </c>
      <c r="AB183" s="1" t="s">
        <v>56</v>
      </c>
      <c r="AC183" s="1" t="s">
        <v>15</v>
      </c>
      <c r="AD183" s="6">
        <v>46080</v>
      </c>
      <c r="AE183" s="6">
        <v>46101</v>
      </c>
      <c r="AF183" s="1" t="s">
        <v>16</v>
      </c>
    </row>
    <row r="184" spans="1:32" x14ac:dyDescent="0.3">
      <c r="A184" s="1">
        <v>614</v>
      </c>
      <c r="B184" s="2">
        <v>46039.949259259301</v>
      </c>
      <c r="C184" s="1" t="s">
        <v>1790</v>
      </c>
      <c r="D184" s="1" t="s">
        <v>1791</v>
      </c>
      <c r="E184" s="1" t="s">
        <v>1792</v>
      </c>
      <c r="F184" s="1" t="s">
        <v>1793</v>
      </c>
      <c r="G184" s="1" t="s">
        <v>4</v>
      </c>
      <c r="H184" s="1" t="s">
        <v>71</v>
      </c>
      <c r="I184" s="1" t="s">
        <v>1794</v>
      </c>
      <c r="J184" s="1" t="s">
        <v>1794</v>
      </c>
      <c r="K184" s="1">
        <v>523</v>
      </c>
      <c r="L184" s="1">
        <v>0</v>
      </c>
      <c r="M184" s="1" t="s">
        <v>20</v>
      </c>
      <c r="N184" s="1" t="s">
        <v>1795</v>
      </c>
      <c r="O184" s="1" t="s">
        <v>1796</v>
      </c>
      <c r="P184" s="1" t="s">
        <v>98</v>
      </c>
      <c r="Q184" s="1" t="s">
        <v>1797</v>
      </c>
      <c r="R184" s="1" t="s">
        <v>177</v>
      </c>
      <c r="S184" s="3" t="s">
        <v>1798</v>
      </c>
      <c r="T184" s="4">
        <v>418</v>
      </c>
      <c r="U184" s="4" t="s">
        <v>1799</v>
      </c>
      <c r="V184" s="5">
        <v>1000</v>
      </c>
      <c r="W184" s="4" t="s">
        <v>1799</v>
      </c>
      <c r="X184" s="5">
        <v>1000</v>
      </c>
      <c r="Y184" s="4">
        <f t="shared" si="8"/>
        <v>523</v>
      </c>
      <c r="Z184" s="1">
        <v>523</v>
      </c>
      <c r="AA184" s="1" t="s">
        <v>1800</v>
      </c>
      <c r="AC184" s="1" t="s">
        <v>15</v>
      </c>
      <c r="AD184" s="6">
        <v>46080</v>
      </c>
      <c r="AE184" s="6">
        <v>46123</v>
      </c>
      <c r="AF184" s="1" t="s">
        <v>16</v>
      </c>
    </row>
    <row r="185" spans="1:32" x14ac:dyDescent="0.3">
      <c r="A185" s="1">
        <v>301</v>
      </c>
      <c r="B185" s="2">
        <v>45994.932326388902</v>
      </c>
      <c r="C185" s="1" t="s">
        <v>1801</v>
      </c>
      <c r="D185" s="1" t="s">
        <v>1802</v>
      </c>
      <c r="E185" s="1" t="s">
        <v>1803</v>
      </c>
      <c r="F185" s="1" t="s">
        <v>1804</v>
      </c>
      <c r="G185" s="1" t="s">
        <v>4</v>
      </c>
      <c r="H185" s="1" t="s">
        <v>47</v>
      </c>
      <c r="I185" s="1" t="s">
        <v>1805</v>
      </c>
      <c r="J185" s="1" t="s">
        <v>1805</v>
      </c>
      <c r="K185" s="1">
        <v>814</v>
      </c>
      <c r="L185" s="1">
        <v>1</v>
      </c>
      <c r="M185" s="1" t="s">
        <v>49</v>
      </c>
      <c r="N185" s="1" t="s">
        <v>1806</v>
      </c>
      <c r="O185" s="1" t="s">
        <v>1807</v>
      </c>
      <c r="P185" s="1" t="s">
        <v>98</v>
      </c>
      <c r="Q185" s="1" t="s">
        <v>1808</v>
      </c>
      <c r="R185" s="1" t="s">
        <v>10</v>
      </c>
      <c r="S185" s="3" t="s">
        <v>1809</v>
      </c>
      <c r="T185" s="4">
        <v>519</v>
      </c>
      <c r="U185" s="4" t="s">
        <v>1810</v>
      </c>
      <c r="V185" s="5">
        <v>1800</v>
      </c>
      <c r="W185" s="4" t="s">
        <v>1811</v>
      </c>
      <c r="X185" s="5">
        <v>600</v>
      </c>
      <c r="Y185" s="4">
        <f t="shared" si="8"/>
        <v>2014</v>
      </c>
      <c r="Z185" s="4">
        <v>814</v>
      </c>
      <c r="AA185" s="1" t="s">
        <v>1812</v>
      </c>
      <c r="AB185" s="1" t="s">
        <v>56</v>
      </c>
      <c r="AC185" s="1" t="s">
        <v>15</v>
      </c>
      <c r="AD185" s="6">
        <v>46080</v>
      </c>
      <c r="AE185" s="6">
        <v>46091</v>
      </c>
      <c r="AF185" s="1" t="s">
        <v>16</v>
      </c>
    </row>
    <row r="186" spans="1:32" x14ac:dyDescent="0.3">
      <c r="A186" s="1">
        <v>189</v>
      </c>
      <c r="B186" s="2">
        <v>45982.8515162037</v>
      </c>
      <c r="C186" s="1" t="s">
        <v>1813</v>
      </c>
      <c r="D186" s="1" t="s">
        <v>1814</v>
      </c>
      <c r="E186" s="1" t="s">
        <v>1815</v>
      </c>
      <c r="F186" s="1" t="s">
        <v>1816</v>
      </c>
      <c r="G186" s="1" t="s">
        <v>17</v>
      </c>
      <c r="H186" s="1" t="s">
        <v>47</v>
      </c>
      <c r="I186" s="1" t="s">
        <v>1805</v>
      </c>
      <c r="J186" s="1" t="s">
        <v>1805</v>
      </c>
      <c r="K186" s="1">
        <v>814</v>
      </c>
      <c r="M186" s="1" t="s">
        <v>49</v>
      </c>
      <c r="N186" s="1" t="s">
        <v>1817</v>
      </c>
      <c r="O186" s="1" t="s">
        <v>1818</v>
      </c>
      <c r="P186" s="1" t="s">
        <v>9</v>
      </c>
      <c r="Q186" s="1">
        <v>0</v>
      </c>
      <c r="R186" s="1" t="s">
        <v>10</v>
      </c>
      <c r="S186" s="3" t="s">
        <v>1819</v>
      </c>
      <c r="T186" s="4">
        <v>518</v>
      </c>
      <c r="U186" s="4" t="s">
        <v>1820</v>
      </c>
      <c r="V186" s="5">
        <v>2000</v>
      </c>
      <c r="W186" s="4" t="s">
        <v>712</v>
      </c>
      <c r="X186" s="5">
        <v>500</v>
      </c>
      <c r="Y186" s="4">
        <f t="shared" si="8"/>
        <v>2314</v>
      </c>
      <c r="Z186" s="1">
        <v>814</v>
      </c>
      <c r="AA186" s="1" t="s">
        <v>1821</v>
      </c>
      <c r="AB186" s="1" t="s">
        <v>42</v>
      </c>
      <c r="AC186" s="1" t="s">
        <v>15</v>
      </c>
      <c r="AD186" s="6">
        <v>46080</v>
      </c>
      <c r="AE186" s="6">
        <v>46082</v>
      </c>
      <c r="AF186" s="1" t="s">
        <v>16</v>
      </c>
    </row>
    <row r="187" spans="1:32" x14ac:dyDescent="0.3">
      <c r="A187" s="1">
        <v>207</v>
      </c>
      <c r="B187" s="2">
        <v>45983.571967592601</v>
      </c>
      <c r="C187" s="1" t="s">
        <v>1822</v>
      </c>
      <c r="D187" s="1" t="s">
        <v>1823</v>
      </c>
      <c r="E187" s="1" t="s">
        <v>1824</v>
      </c>
      <c r="F187" s="1" t="s">
        <v>1825</v>
      </c>
      <c r="G187" s="1" t="s">
        <v>17</v>
      </c>
      <c r="H187" s="1" t="s">
        <v>47</v>
      </c>
      <c r="I187" s="1" t="s">
        <v>1826</v>
      </c>
      <c r="J187" s="1" t="s">
        <v>1826</v>
      </c>
      <c r="K187" s="1">
        <v>319</v>
      </c>
      <c r="L187" s="1">
        <v>1</v>
      </c>
      <c r="M187" s="1" t="s">
        <v>20</v>
      </c>
      <c r="N187" s="1" t="s">
        <v>1827</v>
      </c>
      <c r="O187" s="1" t="s">
        <v>1828</v>
      </c>
      <c r="P187" s="1" t="s">
        <v>9</v>
      </c>
      <c r="Q187" s="1">
        <v>0</v>
      </c>
      <c r="R187" s="1" t="s">
        <v>10</v>
      </c>
      <c r="S187" s="3" t="s">
        <v>1829</v>
      </c>
      <c r="T187" s="4">
        <v>521</v>
      </c>
      <c r="U187" s="4" t="s">
        <v>1830</v>
      </c>
      <c r="V187" s="5">
        <v>4500</v>
      </c>
      <c r="W187" s="4" t="s">
        <v>1831</v>
      </c>
      <c r="X187" s="5">
        <v>25</v>
      </c>
      <c r="Y187" s="4">
        <f t="shared" si="8"/>
        <v>4794</v>
      </c>
      <c r="Z187" s="4">
        <v>319</v>
      </c>
      <c r="AA187" s="1" t="s">
        <v>1832</v>
      </c>
      <c r="AB187" s="1" t="s">
        <v>56</v>
      </c>
      <c r="AC187" s="1" t="s">
        <v>15</v>
      </c>
      <c r="AD187" s="6">
        <v>46080</v>
      </c>
      <c r="AE187" s="6">
        <v>46081</v>
      </c>
      <c r="AF187" s="1" t="s">
        <v>16</v>
      </c>
    </row>
    <row r="188" spans="1:32" x14ac:dyDescent="0.3">
      <c r="A188" s="1">
        <v>61</v>
      </c>
      <c r="B188" s="2">
        <v>45942.394328703704</v>
      </c>
      <c r="C188" s="1" t="s">
        <v>1835</v>
      </c>
      <c r="D188" s="1" t="s">
        <v>1836</v>
      </c>
      <c r="E188" s="1" t="s">
        <v>1837</v>
      </c>
      <c r="F188" s="1" t="s">
        <v>1838</v>
      </c>
      <c r="G188" s="1" t="s">
        <v>17</v>
      </c>
      <c r="H188" s="1" t="s">
        <v>71</v>
      </c>
      <c r="I188" s="1" t="s">
        <v>1826</v>
      </c>
      <c r="J188" s="1" t="s">
        <v>1826</v>
      </c>
      <c r="K188" s="1">
        <v>583</v>
      </c>
      <c r="L188" s="1">
        <v>2</v>
      </c>
      <c r="M188" s="1" t="s">
        <v>7</v>
      </c>
      <c r="N188" s="1" t="s">
        <v>1839</v>
      </c>
      <c r="O188" s="1" t="s">
        <v>465</v>
      </c>
      <c r="P188" s="1" t="s">
        <v>9</v>
      </c>
      <c r="Q188" s="1">
        <v>0</v>
      </c>
      <c r="R188" s="1" t="s">
        <v>10</v>
      </c>
      <c r="S188" s="3" t="s">
        <v>1840</v>
      </c>
      <c r="T188" s="4">
        <v>520</v>
      </c>
      <c r="U188" s="4" t="s">
        <v>1633</v>
      </c>
      <c r="V188" s="5" t="s">
        <v>22</v>
      </c>
      <c r="W188" s="4" t="s">
        <v>115</v>
      </c>
      <c r="X188" s="5">
        <v>1500</v>
      </c>
      <c r="Y188" s="4">
        <f t="shared" si="8"/>
        <v>2083</v>
      </c>
      <c r="Z188" s="4">
        <v>583</v>
      </c>
      <c r="AA188" s="1" t="s">
        <v>1841</v>
      </c>
      <c r="AB188" s="1" t="s">
        <v>56</v>
      </c>
      <c r="AC188" s="1" t="s">
        <v>15</v>
      </c>
      <c r="AD188" s="6">
        <v>46080</v>
      </c>
      <c r="AE188" s="6">
        <v>46099</v>
      </c>
      <c r="AF188" s="1" t="s">
        <v>16</v>
      </c>
    </row>
    <row r="189" spans="1:32" x14ac:dyDescent="0.3">
      <c r="A189" s="1">
        <v>313</v>
      </c>
      <c r="B189" s="2">
        <v>45998.771203703698</v>
      </c>
      <c r="C189" s="1" t="s">
        <v>1842</v>
      </c>
      <c r="D189" s="1" t="s">
        <v>1843</v>
      </c>
      <c r="E189" s="1" t="s">
        <v>1844</v>
      </c>
      <c r="F189" s="1" t="s">
        <v>1845</v>
      </c>
      <c r="G189" s="1" t="s">
        <v>17</v>
      </c>
      <c r="H189" s="1" t="s">
        <v>47</v>
      </c>
      <c r="I189" s="1" t="s">
        <v>1826</v>
      </c>
      <c r="J189" s="1" t="s">
        <v>1826</v>
      </c>
      <c r="K189" s="1">
        <v>755</v>
      </c>
      <c r="M189" s="1" t="s">
        <v>49</v>
      </c>
      <c r="N189" s="1" t="s">
        <v>1846</v>
      </c>
      <c r="O189" s="1" t="s">
        <v>1847</v>
      </c>
      <c r="P189" s="1" t="s">
        <v>9</v>
      </c>
      <c r="Q189" s="1" t="s">
        <v>1848</v>
      </c>
      <c r="R189" s="1" t="s">
        <v>10</v>
      </c>
      <c r="S189" s="3" t="s">
        <v>1849</v>
      </c>
      <c r="T189" s="4">
        <v>523</v>
      </c>
      <c r="U189" s="4" t="s">
        <v>1850</v>
      </c>
      <c r="V189" s="5">
        <v>4475</v>
      </c>
      <c r="W189" s="4" t="s">
        <v>1015</v>
      </c>
      <c r="X189" s="5">
        <v>1000</v>
      </c>
      <c r="Y189" s="4">
        <f t="shared" si="8"/>
        <v>4230</v>
      </c>
      <c r="Z189" s="1">
        <v>755</v>
      </c>
      <c r="AA189" s="1" t="s">
        <v>1851</v>
      </c>
      <c r="AB189" s="1" t="s">
        <v>42</v>
      </c>
      <c r="AC189" s="1" t="s">
        <v>15</v>
      </c>
      <c r="AD189" s="6">
        <v>46080</v>
      </c>
      <c r="AE189" s="6">
        <v>46085</v>
      </c>
      <c r="AF189" s="1" t="s">
        <v>16</v>
      </c>
    </row>
    <row r="190" spans="1:32" x14ac:dyDescent="0.3">
      <c r="A190" s="1">
        <v>409</v>
      </c>
      <c r="B190" s="2">
        <v>46014.767881944397</v>
      </c>
      <c r="C190" s="1" t="s">
        <v>1852</v>
      </c>
      <c r="D190" s="1" t="s">
        <v>1853</v>
      </c>
      <c r="E190" s="1" t="s">
        <v>1854</v>
      </c>
      <c r="F190" s="1" t="s">
        <v>1855</v>
      </c>
      <c r="G190" s="1" t="s">
        <v>17</v>
      </c>
      <c r="H190" s="1" t="s">
        <v>71</v>
      </c>
      <c r="I190" s="1" t="s">
        <v>1856</v>
      </c>
      <c r="J190" s="1" t="s">
        <v>1856</v>
      </c>
      <c r="K190" s="1">
        <v>583</v>
      </c>
      <c r="L190" s="1">
        <v>1</v>
      </c>
      <c r="M190" s="1" t="s">
        <v>7</v>
      </c>
      <c r="N190" s="1" t="s">
        <v>1857</v>
      </c>
      <c r="O190" s="1" t="s">
        <v>1858</v>
      </c>
      <c r="P190" s="1" t="s">
        <v>9</v>
      </c>
      <c r="Q190" s="1" t="s">
        <v>9</v>
      </c>
      <c r="R190" s="1" t="s">
        <v>10</v>
      </c>
      <c r="S190" s="3" t="s">
        <v>1859</v>
      </c>
      <c r="T190" s="4">
        <v>528</v>
      </c>
      <c r="U190" s="4" t="s">
        <v>1860</v>
      </c>
      <c r="V190" s="5">
        <v>3800</v>
      </c>
      <c r="W190" s="4" t="s">
        <v>128</v>
      </c>
      <c r="X190" s="5">
        <v>100</v>
      </c>
      <c r="Y190" s="4">
        <f t="shared" si="8"/>
        <v>4283</v>
      </c>
      <c r="Z190" s="4">
        <v>583</v>
      </c>
      <c r="AA190" s="1" t="s">
        <v>1861</v>
      </c>
      <c r="AB190" s="1" t="s">
        <v>56</v>
      </c>
      <c r="AC190" s="1" t="s">
        <v>15</v>
      </c>
      <c r="AD190" s="6">
        <v>46080</v>
      </c>
      <c r="AE190" s="6">
        <v>46080</v>
      </c>
      <c r="AF190" s="1" t="s">
        <v>16</v>
      </c>
    </row>
    <row r="191" spans="1:32" x14ac:dyDescent="0.3">
      <c r="A191" s="1">
        <v>407</v>
      </c>
      <c r="B191" s="2">
        <v>46014.6856134259</v>
      </c>
      <c r="C191" s="1" t="s">
        <v>1862</v>
      </c>
      <c r="D191" s="1" t="s">
        <v>1863</v>
      </c>
      <c r="E191" s="1" t="s">
        <v>1864</v>
      </c>
      <c r="F191" s="1" t="s">
        <v>1865</v>
      </c>
      <c r="G191" s="1" t="s">
        <v>17</v>
      </c>
      <c r="H191" s="1" t="s">
        <v>71</v>
      </c>
      <c r="I191" s="1" t="s">
        <v>1856</v>
      </c>
      <c r="J191" s="1" t="s">
        <v>1856</v>
      </c>
      <c r="K191" s="1">
        <v>319</v>
      </c>
      <c r="L191" s="1">
        <v>2</v>
      </c>
      <c r="M191" s="1" t="s">
        <v>20</v>
      </c>
      <c r="N191" s="1" t="s">
        <v>1866</v>
      </c>
      <c r="O191" s="1" t="s">
        <v>1867</v>
      </c>
      <c r="P191" s="1" t="s">
        <v>9</v>
      </c>
      <c r="Q191" s="1">
        <v>0</v>
      </c>
      <c r="R191" s="1" t="s">
        <v>10</v>
      </c>
      <c r="S191" s="3" t="s">
        <v>1868</v>
      </c>
      <c r="T191" s="4">
        <v>526</v>
      </c>
      <c r="U191" s="4" t="s">
        <v>1869</v>
      </c>
      <c r="V191" s="5">
        <v>3688</v>
      </c>
      <c r="W191" s="4" t="s">
        <v>1870</v>
      </c>
      <c r="X191" s="5">
        <v>100</v>
      </c>
      <c r="Y191" s="4">
        <f t="shared" si="8"/>
        <v>3907</v>
      </c>
      <c r="Z191" s="4">
        <v>319</v>
      </c>
      <c r="AA191" s="1" t="s">
        <v>1871</v>
      </c>
      <c r="AB191" s="1" t="s">
        <v>56</v>
      </c>
      <c r="AC191" s="1" t="s">
        <v>15</v>
      </c>
      <c r="AD191" s="6">
        <v>46080</v>
      </c>
      <c r="AE191" s="6">
        <v>46080</v>
      </c>
      <c r="AF191" s="1" t="s">
        <v>16</v>
      </c>
    </row>
    <row r="192" spans="1:32" x14ac:dyDescent="0.3">
      <c r="A192" s="1">
        <v>408</v>
      </c>
      <c r="B192" s="2">
        <v>46014.736365740697</v>
      </c>
      <c r="C192" s="1" t="s">
        <v>1872</v>
      </c>
      <c r="D192" s="1" t="s">
        <v>1873</v>
      </c>
      <c r="E192" s="1" t="s">
        <v>1874</v>
      </c>
      <c r="F192" s="1" t="s">
        <v>1875</v>
      </c>
      <c r="G192" s="1" t="s">
        <v>4</v>
      </c>
      <c r="H192" s="1" t="s">
        <v>47</v>
      </c>
      <c r="I192" s="1" t="s">
        <v>1856</v>
      </c>
      <c r="J192" s="1" t="s">
        <v>1856</v>
      </c>
      <c r="K192" s="1">
        <v>755</v>
      </c>
      <c r="M192" s="1" t="s">
        <v>49</v>
      </c>
      <c r="N192" s="1" t="s">
        <v>1876</v>
      </c>
      <c r="O192" s="1" t="s">
        <v>1877</v>
      </c>
      <c r="P192" s="1" t="s">
        <v>98</v>
      </c>
      <c r="Q192" s="1" t="s">
        <v>1878</v>
      </c>
      <c r="R192" s="1" t="s">
        <v>10</v>
      </c>
      <c r="S192" s="3" t="s">
        <v>1879</v>
      </c>
      <c r="T192" s="4">
        <v>527</v>
      </c>
      <c r="U192" s="4" t="s">
        <v>1880</v>
      </c>
      <c r="V192" s="5">
        <v>3688</v>
      </c>
      <c r="W192" s="4" t="s">
        <v>128</v>
      </c>
      <c r="X192" s="5">
        <v>100</v>
      </c>
      <c r="Y192" s="4">
        <f t="shared" si="8"/>
        <v>4343</v>
      </c>
      <c r="Z192" s="1">
        <v>755</v>
      </c>
      <c r="AA192" s="1" t="s">
        <v>1881</v>
      </c>
      <c r="AB192" s="1" t="s">
        <v>42</v>
      </c>
      <c r="AC192" s="1" t="s">
        <v>15</v>
      </c>
      <c r="AD192" s="6">
        <v>46080</v>
      </c>
      <c r="AE192" s="6">
        <v>46085</v>
      </c>
      <c r="AF192" s="1" t="s">
        <v>16</v>
      </c>
    </row>
    <row r="193" spans="1:32" x14ac:dyDescent="0.3">
      <c r="A193" s="18">
        <v>686</v>
      </c>
      <c r="B193" s="19">
        <v>46052.629849536999</v>
      </c>
      <c r="C193" s="1" t="s">
        <v>1882</v>
      </c>
      <c r="D193" s="1" t="s">
        <v>1883</v>
      </c>
      <c r="E193" s="1" t="s">
        <v>1884</v>
      </c>
      <c r="F193" s="1" t="s">
        <v>1885</v>
      </c>
      <c r="G193" s="1" t="s">
        <v>4</v>
      </c>
      <c r="H193" s="1" t="s">
        <v>71</v>
      </c>
      <c r="I193" s="1" t="s">
        <v>1856</v>
      </c>
      <c r="J193" s="1" t="s">
        <v>1856</v>
      </c>
      <c r="K193" s="1">
        <v>755</v>
      </c>
      <c r="M193" s="1" t="s">
        <v>49</v>
      </c>
      <c r="N193" s="1" t="s">
        <v>1886</v>
      </c>
      <c r="O193" s="1" t="s">
        <v>1887</v>
      </c>
      <c r="P193" s="1" t="s">
        <v>98</v>
      </c>
      <c r="Q193" s="1" t="s">
        <v>1888</v>
      </c>
      <c r="R193" s="1" t="s">
        <v>9</v>
      </c>
      <c r="S193" s="3" t="s">
        <v>1889</v>
      </c>
      <c r="U193" s="4" t="s">
        <v>521</v>
      </c>
      <c r="V193" s="5">
        <v>2000</v>
      </c>
      <c r="W193" s="4" t="s">
        <v>1067</v>
      </c>
      <c r="X193" s="5">
        <v>1000</v>
      </c>
      <c r="Y193" s="4">
        <f t="shared" ref="Y193:Y201" si="9">K193+V193-X193</f>
        <v>1755</v>
      </c>
      <c r="Z193" s="1">
        <v>755</v>
      </c>
      <c r="AA193" s="1" t="s">
        <v>1890</v>
      </c>
      <c r="AB193" s="1" t="s">
        <v>42</v>
      </c>
      <c r="AC193" s="1" t="s">
        <v>15</v>
      </c>
      <c r="AD193" s="6">
        <v>46080</v>
      </c>
      <c r="AE193" s="6">
        <v>46080</v>
      </c>
      <c r="AF193" s="1" t="s">
        <v>16</v>
      </c>
    </row>
    <row r="194" spans="1:32" x14ac:dyDescent="0.3">
      <c r="A194" s="1">
        <v>799</v>
      </c>
      <c r="B194" s="2">
        <v>46103.449791666702</v>
      </c>
      <c r="C194" s="3" t="s">
        <v>1892</v>
      </c>
      <c r="D194" s="3" t="s">
        <v>1893</v>
      </c>
      <c r="E194" s="7" t="s">
        <v>1894</v>
      </c>
      <c r="F194" s="3" t="s">
        <v>1895</v>
      </c>
      <c r="G194" s="3" t="s">
        <v>4</v>
      </c>
      <c r="H194" s="3" t="s">
        <v>1896</v>
      </c>
      <c r="I194" s="3" t="s">
        <v>1897</v>
      </c>
      <c r="J194" s="3" t="s">
        <v>1897</v>
      </c>
      <c r="K194" s="1">
        <v>755</v>
      </c>
      <c r="L194" s="1">
        <v>1</v>
      </c>
      <c r="M194" s="3" t="s">
        <v>49</v>
      </c>
      <c r="N194" s="3" t="s">
        <v>1898</v>
      </c>
      <c r="O194" s="3" t="s">
        <v>1899</v>
      </c>
      <c r="P194" s="3" t="s">
        <v>98</v>
      </c>
      <c r="Q194" s="3" t="s">
        <v>1900</v>
      </c>
      <c r="R194" s="3" t="s">
        <v>177</v>
      </c>
      <c r="S194" s="7" t="s">
        <v>1901</v>
      </c>
      <c r="T194" s="1"/>
      <c r="U194" s="7" t="s">
        <v>1902</v>
      </c>
      <c r="V194" s="1">
        <v>3000</v>
      </c>
      <c r="W194" s="7" t="s">
        <v>1903</v>
      </c>
      <c r="X194" s="1">
        <v>800</v>
      </c>
      <c r="Y194" s="4">
        <f t="shared" si="9"/>
        <v>2955</v>
      </c>
      <c r="Z194" s="1">
        <v>755</v>
      </c>
      <c r="AA194" s="3" t="s">
        <v>1904</v>
      </c>
      <c r="AB194" s="7" t="s">
        <v>1385</v>
      </c>
      <c r="AC194" s="1" t="s">
        <v>15</v>
      </c>
      <c r="AD194" s="7" t="s">
        <v>30</v>
      </c>
      <c r="AE194" s="7" t="s">
        <v>31</v>
      </c>
      <c r="AF194" s="1" t="s">
        <v>16</v>
      </c>
    </row>
    <row r="195" spans="1:32" x14ac:dyDescent="0.3">
      <c r="A195" s="1">
        <v>800</v>
      </c>
      <c r="B195" s="2">
        <v>46103.533240740697</v>
      </c>
      <c r="C195" s="3" t="s">
        <v>1905</v>
      </c>
      <c r="D195" s="3" t="s">
        <v>1906</v>
      </c>
      <c r="E195" s="7" t="s">
        <v>1907</v>
      </c>
      <c r="F195" s="3" t="s">
        <v>1908</v>
      </c>
      <c r="G195" s="3" t="s">
        <v>17</v>
      </c>
      <c r="H195" s="3" t="s">
        <v>71</v>
      </c>
      <c r="I195" s="3" t="s">
        <v>1897</v>
      </c>
      <c r="J195" s="3" t="s">
        <v>1897</v>
      </c>
      <c r="K195" s="1">
        <v>755</v>
      </c>
      <c r="M195" s="3" t="s">
        <v>49</v>
      </c>
      <c r="N195" s="3" t="s">
        <v>1909</v>
      </c>
      <c r="O195" s="3" t="s">
        <v>465</v>
      </c>
      <c r="P195" s="3" t="s">
        <v>9</v>
      </c>
      <c r="Q195" s="3"/>
      <c r="R195" s="3" t="s">
        <v>10</v>
      </c>
      <c r="S195" s="7" t="s">
        <v>1833</v>
      </c>
      <c r="T195" s="1"/>
      <c r="U195" s="7" t="s">
        <v>1910</v>
      </c>
      <c r="V195" s="1">
        <v>2650</v>
      </c>
      <c r="W195" s="7" t="s">
        <v>1911</v>
      </c>
      <c r="X195" s="1">
        <v>950</v>
      </c>
      <c r="Y195" s="4">
        <f t="shared" si="9"/>
        <v>2455</v>
      </c>
      <c r="Z195" s="7"/>
      <c r="AA195" s="3" t="s">
        <v>1912</v>
      </c>
      <c r="AB195" s="7"/>
      <c r="AC195" s="1" t="s">
        <v>15</v>
      </c>
      <c r="AD195" s="7" t="s">
        <v>30</v>
      </c>
      <c r="AE195" s="7" t="s">
        <v>31</v>
      </c>
      <c r="AF195" s="3" t="s">
        <v>16</v>
      </c>
    </row>
    <row r="196" spans="1:32" x14ac:dyDescent="0.3">
      <c r="A196" s="18">
        <v>428</v>
      </c>
      <c r="B196" s="19">
        <v>46018.451666666697</v>
      </c>
      <c r="C196" s="1" t="s">
        <v>1913</v>
      </c>
      <c r="D196" s="1" t="s">
        <v>1914</v>
      </c>
      <c r="E196" s="25" t="s">
        <v>1915</v>
      </c>
      <c r="F196" s="1" t="s">
        <v>1916</v>
      </c>
      <c r="G196" s="20" t="s">
        <v>17</v>
      </c>
      <c r="H196" s="20" t="s">
        <v>71</v>
      </c>
      <c r="I196" s="20" t="s">
        <v>1917</v>
      </c>
      <c r="J196" s="1" t="s">
        <v>1917</v>
      </c>
      <c r="K196" s="1">
        <v>755</v>
      </c>
      <c r="L196" s="1">
        <v>1</v>
      </c>
      <c r="M196" s="20" t="s">
        <v>7</v>
      </c>
      <c r="N196" s="20" t="s">
        <v>1918</v>
      </c>
      <c r="O196" s="20" t="s">
        <v>228</v>
      </c>
      <c r="P196" s="20" t="s">
        <v>9</v>
      </c>
      <c r="Q196" s="1">
        <v>0</v>
      </c>
      <c r="R196" s="20" t="s">
        <v>10</v>
      </c>
      <c r="S196" s="21" t="s">
        <v>1919</v>
      </c>
      <c r="T196" s="4">
        <v>533</v>
      </c>
      <c r="U196" s="22" t="s">
        <v>522</v>
      </c>
      <c r="V196" s="5">
        <v>500</v>
      </c>
      <c r="W196" s="22" t="s">
        <v>1011</v>
      </c>
      <c r="X196" s="5">
        <v>250</v>
      </c>
      <c r="Y196" s="4">
        <f t="shared" si="9"/>
        <v>1005</v>
      </c>
      <c r="Z196" s="4">
        <v>755</v>
      </c>
      <c r="AA196" s="20" t="s">
        <v>1920</v>
      </c>
      <c r="AC196" s="1" t="s">
        <v>15</v>
      </c>
      <c r="AD196" s="6">
        <v>46080</v>
      </c>
      <c r="AE196" s="6">
        <v>46080</v>
      </c>
      <c r="AF196" s="1" t="s">
        <v>16</v>
      </c>
    </row>
    <row r="197" spans="1:32" x14ac:dyDescent="0.3">
      <c r="A197" s="1">
        <v>655</v>
      </c>
      <c r="B197" s="2">
        <v>46049.5160763889</v>
      </c>
      <c r="C197" s="1" t="s">
        <v>1921</v>
      </c>
      <c r="D197" s="1" t="s">
        <v>1922</v>
      </c>
      <c r="E197" s="1" t="s">
        <v>1923</v>
      </c>
      <c r="F197" s="1" t="s">
        <v>1924</v>
      </c>
      <c r="G197" s="1" t="s">
        <v>4</v>
      </c>
      <c r="H197" s="1" t="s">
        <v>1925</v>
      </c>
      <c r="I197" s="1" t="s">
        <v>1917</v>
      </c>
      <c r="J197" s="1" t="s">
        <v>1917</v>
      </c>
      <c r="K197" s="1">
        <v>814</v>
      </c>
      <c r="L197" s="1">
        <v>1</v>
      </c>
      <c r="M197" s="1" t="s">
        <v>49</v>
      </c>
      <c r="N197" s="1" t="s">
        <v>1926</v>
      </c>
      <c r="O197" s="1" t="s">
        <v>1927</v>
      </c>
      <c r="P197" s="1" t="s">
        <v>98</v>
      </c>
      <c r="Q197" s="1" t="s">
        <v>1928</v>
      </c>
      <c r="R197" s="1" t="s">
        <v>10</v>
      </c>
      <c r="S197" s="3" t="s">
        <v>1929</v>
      </c>
      <c r="T197" s="4">
        <v>649</v>
      </c>
      <c r="U197" s="4" t="s">
        <v>1244</v>
      </c>
      <c r="V197" s="5">
        <v>500</v>
      </c>
      <c r="W197" s="4" t="s">
        <v>1930</v>
      </c>
      <c r="X197" s="5">
        <v>325</v>
      </c>
      <c r="Y197" s="4">
        <f t="shared" si="9"/>
        <v>989</v>
      </c>
      <c r="Z197" s="4">
        <v>814</v>
      </c>
      <c r="AA197" s="1" t="s">
        <v>1931</v>
      </c>
      <c r="AB197" s="1" t="s">
        <v>1334</v>
      </c>
      <c r="AC197" s="1" t="s">
        <v>15</v>
      </c>
      <c r="AD197" s="6">
        <v>46080</v>
      </c>
      <c r="AE197" s="6">
        <v>46083</v>
      </c>
      <c r="AF197" s="1" t="s">
        <v>16</v>
      </c>
    </row>
    <row r="198" spans="1:32" x14ac:dyDescent="0.3">
      <c r="A198" s="1">
        <v>728</v>
      </c>
      <c r="B198" s="2">
        <v>46054.652546296304</v>
      </c>
      <c r="C198" s="1" t="s">
        <v>1932</v>
      </c>
      <c r="D198" s="1" t="s">
        <v>1933</v>
      </c>
      <c r="E198" s="1" t="s">
        <v>1934</v>
      </c>
      <c r="F198" s="1" t="s">
        <v>1935</v>
      </c>
      <c r="G198" s="1" t="s">
        <v>4</v>
      </c>
      <c r="H198" s="1" t="s">
        <v>71</v>
      </c>
      <c r="I198" s="1" t="s">
        <v>1917</v>
      </c>
      <c r="J198" s="1" t="s">
        <v>1917</v>
      </c>
      <c r="K198" s="1">
        <v>755</v>
      </c>
      <c r="L198" s="1">
        <v>3</v>
      </c>
      <c r="M198" s="1" t="s">
        <v>7</v>
      </c>
      <c r="N198" s="1" t="s">
        <v>1936</v>
      </c>
      <c r="O198" s="1" t="s">
        <v>213</v>
      </c>
      <c r="P198" s="1" t="s">
        <v>9</v>
      </c>
      <c r="Q198" s="1">
        <v>0</v>
      </c>
      <c r="R198" s="1" t="s">
        <v>10</v>
      </c>
      <c r="S198" s="3" t="s">
        <v>126</v>
      </c>
      <c r="T198" s="4">
        <v>605</v>
      </c>
      <c r="U198" s="4" t="s">
        <v>1937</v>
      </c>
      <c r="V198" s="5" t="s">
        <v>483</v>
      </c>
      <c r="W198" s="4" t="s">
        <v>400</v>
      </c>
      <c r="X198" s="5">
        <v>200</v>
      </c>
      <c r="Y198" s="4">
        <f t="shared" si="9"/>
        <v>905</v>
      </c>
      <c r="Z198" s="4">
        <v>755</v>
      </c>
      <c r="AA198" s="1" t="s">
        <v>1938</v>
      </c>
      <c r="AB198" s="1" t="s">
        <v>56</v>
      </c>
      <c r="AC198" s="1" t="s">
        <v>15</v>
      </c>
      <c r="AD198" s="6">
        <v>46080</v>
      </c>
      <c r="AE198" s="6">
        <v>46091</v>
      </c>
      <c r="AF198" s="1" t="s">
        <v>16</v>
      </c>
    </row>
    <row r="199" spans="1:32" x14ac:dyDescent="0.3">
      <c r="A199" s="1">
        <v>130</v>
      </c>
      <c r="B199" s="2">
        <v>45971.9952430556</v>
      </c>
      <c r="C199" s="1" t="s">
        <v>1939</v>
      </c>
      <c r="D199" s="1" t="s">
        <v>1940</v>
      </c>
      <c r="E199" s="1" t="s">
        <v>1941</v>
      </c>
      <c r="F199" s="1" t="s">
        <v>1942</v>
      </c>
      <c r="G199" s="1" t="s">
        <v>17</v>
      </c>
      <c r="H199" s="1" t="s">
        <v>1943</v>
      </c>
      <c r="I199" s="1" t="s">
        <v>1917</v>
      </c>
      <c r="J199" s="1" t="s">
        <v>1917</v>
      </c>
      <c r="K199" s="1">
        <v>407</v>
      </c>
      <c r="L199" s="1">
        <v>4</v>
      </c>
      <c r="M199" s="1" t="s">
        <v>20</v>
      </c>
      <c r="N199" s="1" t="s">
        <v>1091</v>
      </c>
      <c r="O199" s="1" t="s">
        <v>1943</v>
      </c>
      <c r="P199" s="1" t="s">
        <v>9</v>
      </c>
      <c r="Q199" s="1" t="s">
        <v>1091</v>
      </c>
      <c r="R199" s="1" t="s">
        <v>10</v>
      </c>
      <c r="S199" s="3" t="s">
        <v>1944</v>
      </c>
      <c r="T199" s="4">
        <v>531</v>
      </c>
      <c r="U199" s="4" t="s">
        <v>1945</v>
      </c>
      <c r="V199" s="5">
        <v>490</v>
      </c>
      <c r="W199" s="4" t="s">
        <v>1946</v>
      </c>
      <c r="X199" s="5">
        <v>60</v>
      </c>
      <c r="Y199" s="4">
        <f t="shared" si="9"/>
        <v>837</v>
      </c>
      <c r="Z199" s="4">
        <v>407</v>
      </c>
      <c r="AA199" s="1" t="s">
        <v>1947</v>
      </c>
      <c r="AB199" s="1" t="s">
        <v>56</v>
      </c>
      <c r="AC199" s="1" t="s">
        <v>15</v>
      </c>
      <c r="AD199" s="6">
        <v>46080</v>
      </c>
      <c r="AE199" s="6">
        <v>46089</v>
      </c>
      <c r="AF199" s="1" t="s">
        <v>16</v>
      </c>
    </row>
    <row r="200" spans="1:32" x14ac:dyDescent="0.3">
      <c r="A200" s="18">
        <v>91</v>
      </c>
      <c r="B200" s="19">
        <v>45952.378518518519</v>
      </c>
      <c r="C200" s="1" t="s">
        <v>1948</v>
      </c>
      <c r="D200" s="1" t="s">
        <v>1949</v>
      </c>
      <c r="E200" s="1" t="s">
        <v>1950</v>
      </c>
      <c r="F200" s="1" t="s">
        <v>1951</v>
      </c>
      <c r="G200" s="1" t="s">
        <v>17</v>
      </c>
      <c r="H200" s="1" t="s">
        <v>1952</v>
      </c>
      <c r="I200" s="1" t="s">
        <v>1917</v>
      </c>
      <c r="J200" s="1" t="s">
        <v>1917</v>
      </c>
      <c r="K200" s="1">
        <v>814</v>
      </c>
      <c r="L200" s="1">
        <v>5</v>
      </c>
      <c r="M200" s="1" t="s">
        <v>49</v>
      </c>
      <c r="N200" s="1" t="s">
        <v>1953</v>
      </c>
      <c r="O200" s="1" t="s">
        <v>1954</v>
      </c>
      <c r="P200" s="1" t="s">
        <v>9</v>
      </c>
      <c r="Q200" s="1">
        <v>0</v>
      </c>
      <c r="R200" s="1" t="s">
        <v>10</v>
      </c>
      <c r="S200" s="3" t="s">
        <v>1955</v>
      </c>
      <c r="T200" s="4">
        <v>529</v>
      </c>
      <c r="U200" s="4" t="s">
        <v>865</v>
      </c>
      <c r="V200" s="5">
        <v>600</v>
      </c>
      <c r="W200" s="4" t="s">
        <v>865</v>
      </c>
      <c r="X200" s="5">
        <v>600</v>
      </c>
      <c r="Y200" s="4">
        <f t="shared" si="9"/>
        <v>814</v>
      </c>
      <c r="Z200" s="1">
        <v>814</v>
      </c>
      <c r="AA200" s="1" t="s">
        <v>1956</v>
      </c>
      <c r="AB200" s="1" t="s">
        <v>56</v>
      </c>
      <c r="AC200" s="1" t="s">
        <v>15</v>
      </c>
      <c r="AD200" s="6">
        <v>46080</v>
      </c>
      <c r="AE200" s="6">
        <v>46080</v>
      </c>
      <c r="AF200" s="1" t="s">
        <v>16</v>
      </c>
    </row>
    <row r="201" spans="1:32" x14ac:dyDescent="0.3">
      <c r="A201" s="1">
        <v>699</v>
      </c>
      <c r="B201" s="2">
        <v>46053.294155092597</v>
      </c>
      <c r="C201" s="1" t="s">
        <v>1957</v>
      </c>
      <c r="D201" s="1" t="s">
        <v>1958</v>
      </c>
      <c r="E201" s="1" t="s">
        <v>1959</v>
      </c>
      <c r="F201" s="1" t="s">
        <v>1960</v>
      </c>
      <c r="G201" s="20" t="s">
        <v>4</v>
      </c>
      <c r="H201" s="20" t="s">
        <v>71</v>
      </c>
      <c r="I201" s="20" t="s">
        <v>1917</v>
      </c>
      <c r="J201" s="1" t="s">
        <v>1917</v>
      </c>
      <c r="K201" s="1">
        <v>755</v>
      </c>
      <c r="L201" s="1">
        <v>7</v>
      </c>
      <c r="M201" s="20" t="s">
        <v>7</v>
      </c>
      <c r="N201" s="20" t="s">
        <v>1961</v>
      </c>
      <c r="O201" s="20" t="s">
        <v>1962</v>
      </c>
      <c r="P201" s="20" t="s">
        <v>9</v>
      </c>
      <c r="Q201" s="20">
        <v>0</v>
      </c>
      <c r="R201" s="20" t="s">
        <v>10</v>
      </c>
      <c r="S201" s="21" t="s">
        <v>1833</v>
      </c>
      <c r="T201" s="4">
        <v>605</v>
      </c>
      <c r="U201" s="22" t="s">
        <v>1009</v>
      </c>
      <c r="V201" s="5">
        <v>380</v>
      </c>
      <c r="W201" s="22" t="s">
        <v>556</v>
      </c>
      <c r="X201" s="5">
        <v>250</v>
      </c>
      <c r="Y201" s="4">
        <f t="shared" si="9"/>
        <v>885</v>
      </c>
      <c r="Z201" s="1">
        <v>755</v>
      </c>
      <c r="AA201" s="20" t="s">
        <v>1963</v>
      </c>
      <c r="AC201" s="1" t="s">
        <v>15</v>
      </c>
      <c r="AD201" s="6">
        <v>46080</v>
      </c>
      <c r="AE201" s="6">
        <v>46130</v>
      </c>
      <c r="AF201" s="1" t="s">
        <v>16</v>
      </c>
    </row>
    <row r="202" spans="1:32" ht="17.399999999999999" x14ac:dyDescent="0.4">
      <c r="A202">
        <v>853</v>
      </c>
      <c r="B202" s="8">
        <v>46147.1944560185</v>
      </c>
      <c r="C202" s="9" t="s">
        <v>1964</v>
      </c>
      <c r="D202" s="9" t="s">
        <v>1965</v>
      </c>
      <c r="E202" s="10" t="s">
        <v>1966</v>
      </c>
      <c r="F202" s="10" t="s">
        <v>1966</v>
      </c>
      <c r="G202" s="9" t="s">
        <v>17</v>
      </c>
      <c r="H202" s="9" t="s">
        <v>71</v>
      </c>
      <c r="I202" s="9" t="s">
        <v>1967</v>
      </c>
      <c r="J202" s="9" t="s">
        <v>1967</v>
      </c>
      <c r="K202">
        <v>853</v>
      </c>
      <c r="M202" s="9" t="s">
        <v>1968</v>
      </c>
      <c r="N202" s="9"/>
      <c r="O202" s="9"/>
      <c r="P202" s="9"/>
      <c r="Q202" s="10"/>
      <c r="R202" s="9"/>
      <c r="S202" s="9"/>
      <c r="T202" s="9"/>
      <c r="U202" s="9"/>
      <c r="V202" s="10"/>
      <c r="W202" s="10"/>
      <c r="X202" s="10"/>
      <c r="Y202" s="9"/>
      <c r="Z202" s="9"/>
      <c r="AA202" s="10"/>
      <c r="AB202" s="10"/>
      <c r="AC202" s="1" t="s">
        <v>15</v>
      </c>
      <c r="AD202" s="9" t="s">
        <v>202</v>
      </c>
      <c r="AE202" s="9" t="s">
        <v>203</v>
      </c>
      <c r="AF202" s="10" t="s">
        <v>16</v>
      </c>
    </row>
    <row r="203" spans="1:32" x14ac:dyDescent="0.3">
      <c r="A203" s="1">
        <v>520</v>
      </c>
      <c r="B203" s="2">
        <v>46022.640208333301</v>
      </c>
      <c r="C203" s="1" t="s">
        <v>1969</v>
      </c>
      <c r="D203" s="1" t="s">
        <v>1970</v>
      </c>
      <c r="E203" s="1" t="s">
        <v>1971</v>
      </c>
      <c r="F203" s="1" t="s">
        <v>1972</v>
      </c>
      <c r="G203" s="1" t="s">
        <v>17</v>
      </c>
      <c r="H203" s="1" t="s">
        <v>1973</v>
      </c>
      <c r="I203" s="1" t="s">
        <v>1974</v>
      </c>
      <c r="J203" s="1" t="s">
        <v>1974</v>
      </c>
      <c r="K203" s="1">
        <v>755</v>
      </c>
      <c r="L203" s="1">
        <v>1</v>
      </c>
      <c r="M203" s="1" t="s">
        <v>7</v>
      </c>
      <c r="N203" s="1" t="s">
        <v>1975</v>
      </c>
      <c r="O203" s="1" t="s">
        <v>1976</v>
      </c>
      <c r="P203" s="1" t="s">
        <v>9</v>
      </c>
      <c r="Q203" s="1">
        <v>0</v>
      </c>
      <c r="R203" s="1" t="s">
        <v>9</v>
      </c>
      <c r="S203" s="3" t="s">
        <v>1977</v>
      </c>
      <c r="T203" s="4">
        <v>534</v>
      </c>
      <c r="U203" s="4" t="s">
        <v>1623</v>
      </c>
      <c r="V203" s="5">
        <v>1700</v>
      </c>
      <c r="W203" s="4" t="s">
        <v>75</v>
      </c>
      <c r="X203" s="5">
        <v>500</v>
      </c>
      <c r="Y203" s="4">
        <f t="shared" ref="Y203:Y222" si="10">K203+V203-X203</f>
        <v>1955</v>
      </c>
      <c r="Z203" s="4">
        <v>755</v>
      </c>
      <c r="AA203" s="1" t="s">
        <v>1978</v>
      </c>
      <c r="AB203" s="1" t="s">
        <v>56</v>
      </c>
      <c r="AC203" s="1" t="s">
        <v>15</v>
      </c>
      <c r="AD203" s="6">
        <v>46080</v>
      </c>
      <c r="AE203" s="6">
        <v>46096</v>
      </c>
      <c r="AF203" s="1" t="s">
        <v>16</v>
      </c>
    </row>
    <row r="204" spans="1:32" x14ac:dyDescent="0.3">
      <c r="A204" s="1">
        <v>151</v>
      </c>
      <c r="B204" s="2">
        <v>45982.374467592599</v>
      </c>
      <c r="C204" s="1" t="s">
        <v>1979</v>
      </c>
      <c r="D204" s="1" t="s">
        <v>1980</v>
      </c>
      <c r="E204" s="1" t="s">
        <v>1981</v>
      </c>
      <c r="F204" s="1" t="s">
        <v>1982</v>
      </c>
      <c r="G204" s="1" t="s">
        <v>17</v>
      </c>
      <c r="H204" s="1" t="s">
        <v>71</v>
      </c>
      <c r="I204" s="1" t="s">
        <v>752</v>
      </c>
      <c r="J204" s="1" t="s">
        <v>752</v>
      </c>
      <c r="K204" s="1">
        <v>407</v>
      </c>
      <c r="M204" s="1" t="s">
        <v>20</v>
      </c>
      <c r="N204" s="1" t="s">
        <v>1983</v>
      </c>
      <c r="O204" s="1" t="s">
        <v>1984</v>
      </c>
      <c r="P204" s="1" t="s">
        <v>9</v>
      </c>
      <c r="Q204" s="1" t="s">
        <v>9</v>
      </c>
      <c r="R204" s="1" t="s">
        <v>10</v>
      </c>
      <c r="S204" s="3" t="s">
        <v>1985</v>
      </c>
      <c r="T204" s="4">
        <v>495</v>
      </c>
      <c r="U204" s="4" t="s">
        <v>1986</v>
      </c>
      <c r="V204" s="5">
        <v>3865</v>
      </c>
      <c r="W204" s="4" t="s">
        <v>76</v>
      </c>
      <c r="X204" s="5">
        <v>100</v>
      </c>
      <c r="Y204" s="4">
        <f t="shared" si="10"/>
        <v>4172</v>
      </c>
      <c r="AA204" s="1" t="s">
        <v>1987</v>
      </c>
      <c r="AC204" s="1" t="s">
        <v>15</v>
      </c>
      <c r="AD204" s="6">
        <v>46080</v>
      </c>
      <c r="AE204" s="6">
        <v>46169</v>
      </c>
      <c r="AF204" s="1" t="s">
        <v>16</v>
      </c>
    </row>
    <row r="205" spans="1:32" x14ac:dyDescent="0.3">
      <c r="A205" s="1">
        <v>64</v>
      </c>
      <c r="B205" s="2">
        <v>45945.703564814816</v>
      </c>
      <c r="C205" s="1" t="s">
        <v>135</v>
      </c>
      <c r="D205" s="1" t="s">
        <v>1997</v>
      </c>
      <c r="E205" s="1" t="s">
        <v>1998</v>
      </c>
      <c r="F205" s="1" t="s">
        <v>1999</v>
      </c>
      <c r="G205" s="1" t="s">
        <v>4</v>
      </c>
      <c r="H205" s="1" t="s">
        <v>71</v>
      </c>
      <c r="I205" s="1" t="s">
        <v>2000</v>
      </c>
      <c r="J205" s="1" t="s">
        <v>2000</v>
      </c>
      <c r="K205" s="1">
        <v>407</v>
      </c>
      <c r="L205" s="1">
        <v>2</v>
      </c>
      <c r="M205" s="1" t="s">
        <v>20</v>
      </c>
      <c r="N205" s="1" t="s">
        <v>2001</v>
      </c>
      <c r="O205" s="1" t="s">
        <v>2002</v>
      </c>
      <c r="P205" s="1" t="s">
        <v>9</v>
      </c>
      <c r="Q205" s="1">
        <v>0</v>
      </c>
      <c r="R205" s="1" t="s">
        <v>10</v>
      </c>
      <c r="S205" s="3" t="s">
        <v>2003</v>
      </c>
      <c r="T205" s="4">
        <v>535</v>
      </c>
      <c r="U205" s="4" t="s">
        <v>2004</v>
      </c>
      <c r="V205" s="5">
        <v>1300</v>
      </c>
      <c r="W205" s="4" t="s">
        <v>409</v>
      </c>
      <c r="X205" s="5">
        <v>200</v>
      </c>
      <c r="Y205" s="4">
        <f t="shared" si="10"/>
        <v>1507</v>
      </c>
      <c r="Z205" s="4">
        <v>407</v>
      </c>
      <c r="AA205" s="1" t="s">
        <v>2005</v>
      </c>
      <c r="AB205" s="1" t="s">
        <v>56</v>
      </c>
      <c r="AC205" s="1" t="s">
        <v>15</v>
      </c>
      <c r="AD205" s="6">
        <v>46080</v>
      </c>
      <c r="AE205" s="6">
        <v>46098</v>
      </c>
      <c r="AF205" s="1" t="s">
        <v>16</v>
      </c>
    </row>
    <row r="206" spans="1:32" x14ac:dyDescent="0.3">
      <c r="A206" s="1">
        <v>703</v>
      </c>
      <c r="B206" s="2">
        <v>46053.470486111102</v>
      </c>
      <c r="C206" s="1" t="s">
        <v>2006</v>
      </c>
      <c r="D206" s="1" t="s">
        <v>2007</v>
      </c>
      <c r="E206" s="1" t="s">
        <v>2008</v>
      </c>
      <c r="F206" s="1" t="s">
        <v>2009</v>
      </c>
      <c r="G206" s="1" t="s">
        <v>17</v>
      </c>
      <c r="H206" s="1" t="s">
        <v>71</v>
      </c>
      <c r="I206" s="1" t="s">
        <v>2010</v>
      </c>
      <c r="J206" s="1" t="s">
        <v>2010</v>
      </c>
      <c r="K206" s="1">
        <v>407</v>
      </c>
      <c r="L206" s="1">
        <v>1</v>
      </c>
      <c r="M206" s="1" t="s">
        <v>20</v>
      </c>
      <c r="N206" s="1" t="s">
        <v>2011</v>
      </c>
      <c r="O206" s="1" t="s">
        <v>213</v>
      </c>
      <c r="P206" s="1" t="s">
        <v>98</v>
      </c>
      <c r="Q206" s="1" t="s">
        <v>2012</v>
      </c>
      <c r="R206" s="1" t="s">
        <v>10</v>
      </c>
      <c r="S206" s="3" t="s">
        <v>2013</v>
      </c>
      <c r="T206" s="4">
        <v>407</v>
      </c>
      <c r="U206" s="4" t="s">
        <v>2014</v>
      </c>
      <c r="V206" s="5" t="s">
        <v>866</v>
      </c>
      <c r="W206" s="4" t="s">
        <v>1767</v>
      </c>
      <c r="X206" s="5" t="s">
        <v>409</v>
      </c>
      <c r="Y206" s="4">
        <f t="shared" si="10"/>
        <v>607</v>
      </c>
      <c r="Z206" s="1">
        <v>407</v>
      </c>
      <c r="AA206" s="1" t="s">
        <v>2015</v>
      </c>
      <c r="AC206" s="1" t="s">
        <v>15</v>
      </c>
      <c r="AD206" s="6">
        <v>46080</v>
      </c>
      <c r="AE206" s="6">
        <v>46122</v>
      </c>
      <c r="AF206" s="1" t="s">
        <v>16</v>
      </c>
    </row>
    <row r="207" spans="1:32" x14ac:dyDescent="0.3">
      <c r="A207" s="1">
        <v>302</v>
      </c>
      <c r="B207" s="2">
        <v>45996.360115740703</v>
      </c>
      <c r="C207" s="1" t="s">
        <v>2016</v>
      </c>
      <c r="D207" s="1" t="s">
        <v>2017</v>
      </c>
      <c r="E207" s="1" t="s">
        <v>2018</v>
      </c>
      <c r="F207" s="1" t="s">
        <v>2019</v>
      </c>
      <c r="G207" s="1" t="s">
        <v>4</v>
      </c>
      <c r="H207" s="1" t="s">
        <v>71</v>
      </c>
      <c r="I207" s="1" t="s">
        <v>2010</v>
      </c>
      <c r="J207" s="1" t="s">
        <v>2010</v>
      </c>
      <c r="K207" s="1">
        <v>814</v>
      </c>
      <c r="L207" s="1">
        <v>2</v>
      </c>
      <c r="M207" s="1" t="s">
        <v>49</v>
      </c>
      <c r="N207" s="1" t="s">
        <v>2020</v>
      </c>
      <c r="O207" s="1" t="s">
        <v>2021</v>
      </c>
      <c r="P207" s="1" t="s">
        <v>9</v>
      </c>
      <c r="Q207" s="1" t="s">
        <v>2022</v>
      </c>
      <c r="R207" s="1" t="s">
        <v>177</v>
      </c>
      <c r="S207" s="3" t="s">
        <v>2023</v>
      </c>
      <c r="T207" s="4">
        <v>537</v>
      </c>
      <c r="U207" s="4" t="s">
        <v>2024</v>
      </c>
      <c r="V207" s="5">
        <v>678</v>
      </c>
      <c r="W207" s="4" t="s">
        <v>2025</v>
      </c>
      <c r="X207" s="5">
        <v>492</v>
      </c>
      <c r="Y207" s="4">
        <f t="shared" si="10"/>
        <v>1000</v>
      </c>
      <c r="Z207" s="1">
        <v>814</v>
      </c>
      <c r="AA207" s="1" t="s">
        <v>2026</v>
      </c>
      <c r="AC207" s="1" t="s">
        <v>15</v>
      </c>
      <c r="AD207" s="6">
        <v>46080</v>
      </c>
      <c r="AE207" s="6">
        <v>46149</v>
      </c>
      <c r="AF207" s="1" t="s">
        <v>16</v>
      </c>
    </row>
    <row r="208" spans="1:32" x14ac:dyDescent="0.3">
      <c r="A208" s="1">
        <v>294</v>
      </c>
      <c r="B208" s="2">
        <v>45994.3347222222</v>
      </c>
      <c r="C208" s="1" t="s">
        <v>2027</v>
      </c>
      <c r="D208" s="1" t="s">
        <v>2028</v>
      </c>
      <c r="E208" s="1" t="s">
        <v>2029</v>
      </c>
      <c r="F208" s="1" t="s">
        <v>2030</v>
      </c>
      <c r="G208" s="1" t="s">
        <v>4</v>
      </c>
      <c r="H208" s="1" t="s">
        <v>71</v>
      </c>
      <c r="I208" s="1" t="s">
        <v>2010</v>
      </c>
      <c r="J208" s="1" t="s">
        <v>2010</v>
      </c>
      <c r="K208" s="1">
        <v>814</v>
      </c>
      <c r="M208" s="1" t="s">
        <v>49</v>
      </c>
      <c r="N208" s="1" t="s">
        <v>2031</v>
      </c>
      <c r="O208" s="1" t="s">
        <v>2032</v>
      </c>
      <c r="P208" s="1" t="s">
        <v>9</v>
      </c>
      <c r="Q208" s="1">
        <v>0</v>
      </c>
      <c r="R208" s="1" t="s">
        <v>10</v>
      </c>
      <c r="S208" s="3" t="s">
        <v>2033</v>
      </c>
      <c r="T208" s="4">
        <v>536</v>
      </c>
      <c r="U208" s="4" t="s">
        <v>40</v>
      </c>
      <c r="V208" s="5">
        <v>1500</v>
      </c>
      <c r="W208" s="4" t="s">
        <v>525</v>
      </c>
      <c r="X208" s="5">
        <v>200</v>
      </c>
      <c r="Y208" s="4">
        <f t="shared" si="10"/>
        <v>2114</v>
      </c>
      <c r="Z208" s="1">
        <v>814</v>
      </c>
      <c r="AA208" s="1" t="s">
        <v>2034</v>
      </c>
      <c r="AC208" s="1" t="s">
        <v>15</v>
      </c>
      <c r="AD208" s="6">
        <v>46080</v>
      </c>
      <c r="AE208" s="6">
        <v>46133</v>
      </c>
      <c r="AF208" s="1" t="s">
        <v>16</v>
      </c>
    </row>
    <row r="209" spans="1:32" x14ac:dyDescent="0.3">
      <c r="A209" s="1">
        <v>827</v>
      </c>
      <c r="B209" s="2">
        <v>46124</v>
      </c>
      <c r="C209" s="3" t="s">
        <v>2035</v>
      </c>
      <c r="D209" s="3" t="s">
        <v>1637</v>
      </c>
      <c r="E209" s="7" t="s">
        <v>2036</v>
      </c>
      <c r="F209" s="30" t="s">
        <v>2037</v>
      </c>
      <c r="G209" s="3" t="s">
        <v>4</v>
      </c>
      <c r="H209" s="3" t="s">
        <v>2038</v>
      </c>
      <c r="I209" s="3" t="s">
        <v>2010</v>
      </c>
      <c r="J209" s="3" t="s">
        <v>2010</v>
      </c>
      <c r="K209" s="1">
        <v>407</v>
      </c>
      <c r="M209" s="3" t="s">
        <v>20</v>
      </c>
      <c r="N209" s="7" t="s">
        <v>902</v>
      </c>
      <c r="O209" s="3" t="s">
        <v>2039</v>
      </c>
      <c r="P209" s="1" t="s">
        <v>9</v>
      </c>
      <c r="R209" s="3" t="s">
        <v>10</v>
      </c>
      <c r="S209" s="7" t="s">
        <v>2040</v>
      </c>
      <c r="T209" s="1">
        <v>448</v>
      </c>
      <c r="U209" s="7" t="s">
        <v>2041</v>
      </c>
      <c r="V209" s="1">
        <v>650</v>
      </c>
      <c r="W209" s="7" t="s">
        <v>76</v>
      </c>
      <c r="X209" s="1">
        <v>100</v>
      </c>
      <c r="Y209" s="4">
        <f t="shared" si="10"/>
        <v>957</v>
      </c>
      <c r="Z209" s="1">
        <v>407</v>
      </c>
      <c r="AA209" s="3"/>
      <c r="AB209" s="7"/>
      <c r="AC209" s="3" t="s">
        <v>15</v>
      </c>
      <c r="AD209" s="7" t="s">
        <v>2042</v>
      </c>
      <c r="AE209" s="7" t="s">
        <v>2043</v>
      </c>
      <c r="AF209" s="3" t="s">
        <v>16</v>
      </c>
    </row>
    <row r="210" spans="1:32" x14ac:dyDescent="0.3">
      <c r="A210" s="18">
        <v>830</v>
      </c>
      <c r="B210" s="19">
        <v>46125</v>
      </c>
      <c r="C210" s="31" t="s">
        <v>2044</v>
      </c>
      <c r="D210" s="3" t="s">
        <v>2045</v>
      </c>
      <c r="E210" s="7" t="s">
        <v>2046</v>
      </c>
      <c r="F210" s="30" t="s">
        <v>2047</v>
      </c>
      <c r="G210" s="21" t="s">
        <v>17</v>
      </c>
      <c r="H210" s="21" t="s">
        <v>2038</v>
      </c>
      <c r="I210" s="21" t="s">
        <v>2010</v>
      </c>
      <c r="J210" s="3" t="s">
        <v>2010</v>
      </c>
      <c r="K210" s="1">
        <v>407</v>
      </c>
      <c r="M210" s="21" t="s">
        <v>20</v>
      </c>
      <c r="N210" s="27" t="s">
        <v>902</v>
      </c>
      <c r="O210" s="21" t="s">
        <v>2039</v>
      </c>
      <c r="P210" s="20" t="s">
        <v>9</v>
      </c>
      <c r="Q210" s="20"/>
      <c r="R210" s="21" t="s">
        <v>10</v>
      </c>
      <c r="S210" s="27" t="s">
        <v>1891</v>
      </c>
      <c r="T210" s="1">
        <v>488</v>
      </c>
      <c r="U210" s="27" t="s">
        <v>2041</v>
      </c>
      <c r="V210" s="1">
        <v>650</v>
      </c>
      <c r="W210" s="27" t="s">
        <v>76</v>
      </c>
      <c r="X210" s="1">
        <v>100</v>
      </c>
      <c r="Y210" s="4">
        <f t="shared" si="10"/>
        <v>957</v>
      </c>
      <c r="Z210" s="1">
        <v>407</v>
      </c>
      <c r="AA210" s="21"/>
      <c r="AB210" s="7"/>
      <c r="AC210" s="3" t="s">
        <v>15</v>
      </c>
      <c r="AD210" s="7" t="s">
        <v>2042</v>
      </c>
      <c r="AE210" s="7" t="s">
        <v>2048</v>
      </c>
      <c r="AF210" s="3" t="s">
        <v>16</v>
      </c>
    </row>
    <row r="211" spans="1:32" x14ac:dyDescent="0.3">
      <c r="A211" s="18">
        <v>328</v>
      </c>
      <c r="B211" s="19">
        <v>46001.941087963001</v>
      </c>
      <c r="C211" s="1" t="s">
        <v>2050</v>
      </c>
      <c r="D211" s="1" t="s">
        <v>2051</v>
      </c>
      <c r="E211" s="1" t="s">
        <v>2052</v>
      </c>
      <c r="F211" s="1" t="s">
        <v>2053</v>
      </c>
      <c r="G211" s="20" t="s">
        <v>17</v>
      </c>
      <c r="H211" s="20" t="s">
        <v>18</v>
      </c>
      <c r="I211" s="20" t="s">
        <v>2054</v>
      </c>
      <c r="J211" s="1" t="s">
        <v>2054</v>
      </c>
      <c r="K211" s="1">
        <v>407</v>
      </c>
      <c r="L211" s="1">
        <v>1</v>
      </c>
      <c r="M211" s="20" t="s">
        <v>20</v>
      </c>
      <c r="N211" s="20" t="s">
        <v>2055</v>
      </c>
      <c r="O211" s="20" t="s">
        <v>2056</v>
      </c>
      <c r="P211" s="20" t="s">
        <v>98</v>
      </c>
      <c r="Q211" s="1" t="s">
        <v>2057</v>
      </c>
      <c r="R211" s="20" t="s">
        <v>10</v>
      </c>
      <c r="S211" s="21" t="s">
        <v>2058</v>
      </c>
      <c r="T211" s="4">
        <v>538</v>
      </c>
      <c r="U211" s="22" t="s">
        <v>2059</v>
      </c>
      <c r="V211" s="5">
        <v>1200</v>
      </c>
      <c r="W211" s="22" t="s">
        <v>2060</v>
      </c>
      <c r="X211" s="5">
        <v>700</v>
      </c>
      <c r="Y211" s="4">
        <f t="shared" si="10"/>
        <v>907</v>
      </c>
      <c r="Z211" s="4">
        <v>407</v>
      </c>
      <c r="AA211" s="20" t="s">
        <v>2061</v>
      </c>
      <c r="AB211" s="1" t="s">
        <v>18</v>
      </c>
      <c r="AC211" s="1" t="s">
        <v>15</v>
      </c>
      <c r="AD211" s="6">
        <v>46080</v>
      </c>
      <c r="AE211" s="6">
        <v>46092</v>
      </c>
      <c r="AF211" s="1" t="s">
        <v>16</v>
      </c>
    </row>
    <row r="212" spans="1:32" x14ac:dyDescent="0.3">
      <c r="A212" s="1">
        <v>453</v>
      </c>
      <c r="B212" s="2">
        <v>46020.773113425901</v>
      </c>
      <c r="C212" s="1" t="s">
        <v>2062</v>
      </c>
      <c r="D212" s="1" t="s">
        <v>2063</v>
      </c>
      <c r="E212" s="1" t="s">
        <v>2064</v>
      </c>
      <c r="F212" s="1" t="s">
        <v>2065</v>
      </c>
      <c r="G212" s="1" t="s">
        <v>4</v>
      </c>
      <c r="H212" s="1" t="s">
        <v>71</v>
      </c>
      <c r="I212" s="1" t="s">
        <v>2054</v>
      </c>
      <c r="J212" s="1" t="s">
        <v>2054</v>
      </c>
      <c r="K212" s="1">
        <v>319</v>
      </c>
      <c r="L212" s="1">
        <v>2</v>
      </c>
      <c r="M212" s="1" t="s">
        <v>20</v>
      </c>
      <c r="N212" s="1" t="s">
        <v>2066</v>
      </c>
      <c r="O212" s="1" t="s">
        <v>2067</v>
      </c>
      <c r="P212" s="1" t="s">
        <v>9</v>
      </c>
      <c r="Q212" s="1">
        <v>0</v>
      </c>
      <c r="R212" s="1" t="s">
        <v>9</v>
      </c>
      <c r="S212" s="3" t="s">
        <v>2068</v>
      </c>
      <c r="T212" s="4">
        <v>539</v>
      </c>
      <c r="U212" s="4" t="s">
        <v>12</v>
      </c>
      <c r="V212" s="5">
        <v>1000</v>
      </c>
      <c r="W212" s="4" t="s">
        <v>155</v>
      </c>
      <c r="X212" s="5">
        <v>700</v>
      </c>
      <c r="Y212" s="4">
        <f t="shared" si="10"/>
        <v>619</v>
      </c>
      <c r="Z212" s="4">
        <v>319</v>
      </c>
      <c r="AA212" s="1" t="s">
        <v>2069</v>
      </c>
      <c r="AC212" s="1" t="s">
        <v>15</v>
      </c>
      <c r="AD212" s="6">
        <v>46080</v>
      </c>
      <c r="AE212" s="6">
        <v>46123</v>
      </c>
      <c r="AF212" s="1" t="s">
        <v>16</v>
      </c>
    </row>
    <row r="213" spans="1:32" x14ac:dyDescent="0.3">
      <c r="A213" s="1">
        <v>560</v>
      </c>
      <c r="B213" s="2">
        <v>46023.0942476852</v>
      </c>
      <c r="C213" s="1" t="s">
        <v>2070</v>
      </c>
      <c r="D213" s="1" t="s">
        <v>2071</v>
      </c>
      <c r="E213" s="1" t="s">
        <v>2072</v>
      </c>
      <c r="F213" s="1" t="s">
        <v>2073</v>
      </c>
      <c r="G213" s="1" t="s">
        <v>17</v>
      </c>
      <c r="H213" s="1" t="s">
        <v>71</v>
      </c>
      <c r="I213" s="1" t="s">
        <v>2054</v>
      </c>
      <c r="J213" s="1" t="s">
        <v>2054</v>
      </c>
      <c r="K213" s="1">
        <v>319</v>
      </c>
      <c r="L213" s="1">
        <v>3</v>
      </c>
      <c r="M213" s="1" t="s">
        <v>20</v>
      </c>
      <c r="N213" s="1" t="s">
        <v>474</v>
      </c>
      <c r="O213" s="1" t="s">
        <v>2074</v>
      </c>
      <c r="P213" s="1" t="s">
        <v>9</v>
      </c>
      <c r="Q213" s="1">
        <v>0</v>
      </c>
      <c r="R213" s="1" t="s">
        <v>9</v>
      </c>
      <c r="S213" s="3" t="s">
        <v>2075</v>
      </c>
      <c r="T213" s="4">
        <v>540</v>
      </c>
      <c r="U213" s="4" t="s">
        <v>12</v>
      </c>
      <c r="V213" s="5">
        <v>1000</v>
      </c>
      <c r="W213" s="4" t="s">
        <v>1370</v>
      </c>
      <c r="X213" s="5">
        <v>400</v>
      </c>
      <c r="Y213" s="4">
        <f t="shared" si="10"/>
        <v>919</v>
      </c>
      <c r="Z213" s="4">
        <v>319</v>
      </c>
      <c r="AA213" s="1" t="s">
        <v>2076</v>
      </c>
      <c r="AC213" s="1" t="s">
        <v>15</v>
      </c>
      <c r="AD213" s="6">
        <v>46080</v>
      </c>
      <c r="AE213" s="6">
        <v>46123</v>
      </c>
      <c r="AF213" s="1" t="s">
        <v>16</v>
      </c>
    </row>
    <row r="214" spans="1:32" x14ac:dyDescent="0.3">
      <c r="A214" s="1">
        <v>431</v>
      </c>
      <c r="B214" s="2">
        <v>46018.535428240699</v>
      </c>
      <c r="C214" s="1" t="s">
        <v>2077</v>
      </c>
      <c r="D214" s="1" t="s">
        <v>2078</v>
      </c>
      <c r="E214" s="1" t="s">
        <v>2079</v>
      </c>
      <c r="F214" s="1" t="s">
        <v>2080</v>
      </c>
      <c r="G214" s="1" t="s">
        <v>4</v>
      </c>
      <c r="H214" s="1" t="s">
        <v>71</v>
      </c>
      <c r="I214" s="1" t="s">
        <v>2081</v>
      </c>
      <c r="J214" s="1" t="s">
        <v>2081</v>
      </c>
      <c r="K214" s="1">
        <v>755</v>
      </c>
      <c r="L214" s="1">
        <v>0</v>
      </c>
      <c r="M214" s="1" t="s">
        <v>49</v>
      </c>
      <c r="N214" s="1" t="s">
        <v>2082</v>
      </c>
      <c r="O214" s="1" t="s">
        <v>213</v>
      </c>
      <c r="P214" s="1" t="s">
        <v>9</v>
      </c>
      <c r="Q214" s="1">
        <v>0</v>
      </c>
      <c r="R214" s="1" t="s">
        <v>10</v>
      </c>
      <c r="S214" s="3" t="s">
        <v>2083</v>
      </c>
      <c r="T214" s="4">
        <v>544</v>
      </c>
      <c r="U214" s="4" t="s">
        <v>2084</v>
      </c>
      <c r="V214" s="5">
        <v>4000</v>
      </c>
      <c r="W214" s="4" t="s">
        <v>441</v>
      </c>
      <c r="X214" s="5">
        <v>250</v>
      </c>
      <c r="Y214" s="4">
        <f t="shared" si="10"/>
        <v>4505</v>
      </c>
      <c r="Z214" s="1">
        <v>755</v>
      </c>
      <c r="AA214" s="1" t="s">
        <v>2085</v>
      </c>
      <c r="AC214" s="1" t="s">
        <v>15</v>
      </c>
      <c r="AD214" s="6">
        <v>46080</v>
      </c>
      <c r="AE214" s="6">
        <v>46124</v>
      </c>
      <c r="AF214" s="1" t="s">
        <v>16</v>
      </c>
    </row>
    <row r="215" spans="1:32" x14ac:dyDescent="0.3">
      <c r="A215" s="1">
        <v>347</v>
      </c>
      <c r="B215" s="2">
        <v>46006.940104166701</v>
      </c>
      <c r="C215" s="1" t="s">
        <v>2086</v>
      </c>
      <c r="D215" s="1" t="s">
        <v>2087</v>
      </c>
      <c r="E215" s="1" t="s">
        <v>2088</v>
      </c>
      <c r="F215" s="1" t="s">
        <v>2089</v>
      </c>
      <c r="G215" s="1" t="s">
        <v>17</v>
      </c>
      <c r="H215" s="1" t="s">
        <v>2090</v>
      </c>
      <c r="I215" s="1" t="s">
        <v>2091</v>
      </c>
      <c r="J215" s="1" t="s">
        <v>2092</v>
      </c>
      <c r="K215" s="1">
        <v>814</v>
      </c>
      <c r="L215" s="1">
        <v>1</v>
      </c>
      <c r="M215" s="1" t="s">
        <v>49</v>
      </c>
      <c r="N215" s="1" t="s">
        <v>2093</v>
      </c>
      <c r="O215" s="1" t="s">
        <v>2094</v>
      </c>
      <c r="P215" s="1" t="s">
        <v>9</v>
      </c>
      <c r="Q215" s="1">
        <v>0</v>
      </c>
      <c r="R215" s="1" t="s">
        <v>10</v>
      </c>
      <c r="S215" s="3" t="s">
        <v>2095</v>
      </c>
      <c r="T215" s="4">
        <v>546</v>
      </c>
      <c r="U215" s="4" t="s">
        <v>2096</v>
      </c>
      <c r="V215" s="5" t="s">
        <v>115</v>
      </c>
      <c r="W215" s="4" t="s">
        <v>2097</v>
      </c>
      <c r="X215" s="5" t="s">
        <v>75</v>
      </c>
      <c r="Y215" s="4">
        <f t="shared" si="10"/>
        <v>1814</v>
      </c>
      <c r="Z215" s="4">
        <v>814</v>
      </c>
      <c r="AA215" s="1" t="s">
        <v>2098</v>
      </c>
      <c r="AB215" s="1" t="s">
        <v>56</v>
      </c>
      <c r="AC215" s="1" t="s">
        <v>15</v>
      </c>
      <c r="AD215" s="6">
        <v>46080</v>
      </c>
      <c r="AE215" s="6">
        <v>46080</v>
      </c>
      <c r="AF215" s="1" t="s">
        <v>16</v>
      </c>
    </row>
    <row r="216" spans="1:32" x14ac:dyDescent="0.3">
      <c r="A216" s="1">
        <v>648</v>
      </c>
      <c r="B216" s="2">
        <v>46042.319837962998</v>
      </c>
      <c r="C216" s="1" t="s">
        <v>2099</v>
      </c>
      <c r="D216" s="1" t="s">
        <v>2100</v>
      </c>
      <c r="E216" s="1" t="s">
        <v>2101</v>
      </c>
      <c r="F216" s="1" t="s">
        <v>2102</v>
      </c>
      <c r="G216" s="1" t="s">
        <v>17</v>
      </c>
      <c r="H216" s="1" t="s">
        <v>71</v>
      </c>
      <c r="I216" s="1" t="s">
        <v>2091</v>
      </c>
      <c r="J216" s="1" t="s">
        <v>2092</v>
      </c>
      <c r="K216" s="1">
        <v>814</v>
      </c>
      <c r="L216" s="1">
        <v>3</v>
      </c>
      <c r="M216" s="1" t="s">
        <v>49</v>
      </c>
      <c r="N216" s="1" t="s">
        <v>2103</v>
      </c>
      <c r="O216" s="1" t="s">
        <v>2104</v>
      </c>
      <c r="P216" s="1" t="s">
        <v>9</v>
      </c>
      <c r="Q216" s="1">
        <v>0</v>
      </c>
      <c r="R216" s="1" t="s">
        <v>10</v>
      </c>
      <c r="S216" s="3" t="s">
        <v>399</v>
      </c>
      <c r="T216" s="4">
        <v>831</v>
      </c>
      <c r="U216" s="4" t="s">
        <v>524</v>
      </c>
      <c r="V216" s="5">
        <v>800</v>
      </c>
      <c r="W216" s="4" t="s">
        <v>2105</v>
      </c>
      <c r="X216" s="5">
        <v>50</v>
      </c>
      <c r="Y216" s="4">
        <f t="shared" si="10"/>
        <v>1564</v>
      </c>
      <c r="Z216" s="4">
        <v>814</v>
      </c>
      <c r="AA216" s="1" t="s">
        <v>2106</v>
      </c>
      <c r="AB216" s="1" t="s">
        <v>56</v>
      </c>
      <c r="AC216" s="1" t="s">
        <v>15</v>
      </c>
      <c r="AD216" s="6">
        <v>46080</v>
      </c>
      <c r="AE216" s="6">
        <v>46086</v>
      </c>
      <c r="AF216" s="1" t="s">
        <v>16</v>
      </c>
    </row>
    <row r="217" spans="1:32" x14ac:dyDescent="0.3">
      <c r="A217" s="1">
        <v>688</v>
      </c>
      <c r="B217" s="2">
        <v>46052.707326388903</v>
      </c>
      <c r="C217" s="1" t="s">
        <v>2107</v>
      </c>
      <c r="D217" s="1" t="s">
        <v>2108</v>
      </c>
      <c r="E217" s="1" t="s">
        <v>2109</v>
      </c>
      <c r="F217" s="1" t="s">
        <v>2110</v>
      </c>
      <c r="G217" s="1" t="s">
        <v>17</v>
      </c>
      <c r="H217" s="1" t="s">
        <v>71</v>
      </c>
      <c r="I217" s="1" t="s">
        <v>2091</v>
      </c>
      <c r="J217" s="1" t="s">
        <v>2092</v>
      </c>
      <c r="K217" s="1">
        <v>814</v>
      </c>
      <c r="L217" s="1">
        <v>4</v>
      </c>
      <c r="M217" s="1" t="s">
        <v>49</v>
      </c>
      <c r="N217" s="1" t="s">
        <v>2111</v>
      </c>
      <c r="O217" s="1" t="s">
        <v>2112</v>
      </c>
      <c r="P217" s="1" t="s">
        <v>9</v>
      </c>
      <c r="Q217" s="1">
        <v>0</v>
      </c>
      <c r="R217" s="1" t="s">
        <v>10</v>
      </c>
      <c r="S217" s="3" t="s">
        <v>1929</v>
      </c>
      <c r="T217" s="4">
        <v>649</v>
      </c>
      <c r="U217" s="4" t="s">
        <v>2113</v>
      </c>
      <c r="V217" s="5">
        <v>1800</v>
      </c>
      <c r="W217" s="4" t="s">
        <v>2114</v>
      </c>
      <c r="X217" s="5">
        <v>100</v>
      </c>
      <c r="Y217" s="4">
        <f t="shared" si="10"/>
        <v>2514</v>
      </c>
      <c r="Z217" s="1">
        <v>814</v>
      </c>
      <c r="AA217" s="1" t="s">
        <v>2115</v>
      </c>
      <c r="AB217" s="1" t="s">
        <v>56</v>
      </c>
      <c r="AC217" s="1" t="s">
        <v>15</v>
      </c>
      <c r="AD217" s="6">
        <v>46080</v>
      </c>
      <c r="AE217" s="6">
        <v>46082</v>
      </c>
      <c r="AF217" s="1" t="s">
        <v>16</v>
      </c>
    </row>
    <row r="218" spans="1:32" x14ac:dyDescent="0.3">
      <c r="A218" s="1">
        <v>643</v>
      </c>
      <c r="B218" s="2">
        <v>46046.741192129601</v>
      </c>
      <c r="C218" s="1" t="s">
        <v>2116</v>
      </c>
      <c r="D218" s="1" t="s">
        <v>2117</v>
      </c>
      <c r="E218" s="1" t="s">
        <v>2118</v>
      </c>
      <c r="F218" s="1" t="s">
        <v>2119</v>
      </c>
      <c r="G218" s="1" t="s">
        <v>17</v>
      </c>
      <c r="H218" s="1" t="s">
        <v>2120</v>
      </c>
      <c r="I218" s="1" t="s">
        <v>2121</v>
      </c>
      <c r="J218" s="1" t="s">
        <v>2121</v>
      </c>
      <c r="K218" s="1">
        <v>407</v>
      </c>
      <c r="L218" s="1">
        <v>0</v>
      </c>
      <c r="M218" s="1" t="s">
        <v>20</v>
      </c>
      <c r="N218" s="1" t="s">
        <v>2122</v>
      </c>
      <c r="O218" s="1" t="s">
        <v>2120</v>
      </c>
      <c r="P218" s="1" t="s">
        <v>9</v>
      </c>
      <c r="Q218" s="1">
        <v>0</v>
      </c>
      <c r="R218" s="1" t="s">
        <v>10</v>
      </c>
      <c r="S218" s="3" t="s">
        <v>354</v>
      </c>
      <c r="T218" s="4">
        <v>325</v>
      </c>
      <c r="U218" s="4" t="s">
        <v>166</v>
      </c>
      <c r="V218" s="5">
        <v>2500</v>
      </c>
      <c r="W218" s="4" t="s">
        <v>333</v>
      </c>
      <c r="X218" s="5">
        <v>500</v>
      </c>
      <c r="Y218" s="4">
        <f t="shared" si="10"/>
        <v>2407</v>
      </c>
      <c r="Z218" s="1">
        <v>407</v>
      </c>
      <c r="AA218" s="1" t="s">
        <v>2123</v>
      </c>
      <c r="AC218" s="1" t="s">
        <v>15</v>
      </c>
      <c r="AD218" s="6">
        <v>46080</v>
      </c>
      <c r="AE218" s="6">
        <v>46123</v>
      </c>
      <c r="AF218" s="1" t="s">
        <v>16</v>
      </c>
    </row>
    <row r="219" spans="1:32" x14ac:dyDescent="0.3">
      <c r="A219" s="1">
        <v>644</v>
      </c>
      <c r="B219" s="2">
        <v>46046.702511574098</v>
      </c>
      <c r="C219" s="1" t="s">
        <v>2124</v>
      </c>
      <c r="D219" s="1" t="s">
        <v>2125</v>
      </c>
      <c r="E219" s="1" t="s">
        <v>2126</v>
      </c>
      <c r="F219" s="1" t="s">
        <v>2127</v>
      </c>
      <c r="G219" s="1" t="s">
        <v>17</v>
      </c>
      <c r="H219" s="1" t="s">
        <v>2128</v>
      </c>
      <c r="I219" s="1" t="s">
        <v>2121</v>
      </c>
      <c r="J219" s="1" t="s">
        <v>2121</v>
      </c>
      <c r="K219" s="1">
        <v>407</v>
      </c>
      <c r="L219" s="1">
        <v>0</v>
      </c>
      <c r="M219" s="1" t="s">
        <v>20</v>
      </c>
      <c r="N219" s="1" t="s">
        <v>2129</v>
      </c>
      <c r="O219" s="1" t="s">
        <v>2130</v>
      </c>
      <c r="P219" s="1" t="s">
        <v>9</v>
      </c>
      <c r="Q219" s="1">
        <v>0</v>
      </c>
      <c r="R219" s="1" t="s">
        <v>10</v>
      </c>
      <c r="S219" s="3" t="s">
        <v>457</v>
      </c>
      <c r="T219" s="4">
        <v>325</v>
      </c>
      <c r="U219" s="4" t="s">
        <v>114</v>
      </c>
      <c r="V219" s="5">
        <v>2500</v>
      </c>
      <c r="W219" s="4" t="s">
        <v>75</v>
      </c>
      <c r="X219" s="5">
        <v>500</v>
      </c>
      <c r="Y219" s="4">
        <f t="shared" si="10"/>
        <v>2407</v>
      </c>
      <c r="Z219" s="1">
        <v>407</v>
      </c>
      <c r="AC219" s="1" t="s">
        <v>15</v>
      </c>
      <c r="AD219" s="6">
        <v>46080</v>
      </c>
      <c r="AE219" s="6">
        <v>46125</v>
      </c>
      <c r="AF219" s="1" t="s">
        <v>16</v>
      </c>
    </row>
    <row r="220" spans="1:32" x14ac:dyDescent="0.3">
      <c r="A220" s="1">
        <v>454</v>
      </c>
      <c r="B220" s="2">
        <v>46020.746967592597</v>
      </c>
      <c r="C220" s="1" t="s">
        <v>2131</v>
      </c>
      <c r="D220" s="1" t="s">
        <v>2132</v>
      </c>
      <c r="E220" s="1" t="s">
        <v>2133</v>
      </c>
      <c r="F220" s="1" t="s">
        <v>2134</v>
      </c>
      <c r="G220" s="1" t="s">
        <v>4</v>
      </c>
      <c r="H220" s="1" t="s">
        <v>2135</v>
      </c>
      <c r="I220" s="1" t="s">
        <v>2121</v>
      </c>
      <c r="J220" s="1" t="s">
        <v>2121</v>
      </c>
      <c r="K220" s="1">
        <v>407</v>
      </c>
      <c r="M220" s="1" t="s">
        <v>20</v>
      </c>
      <c r="N220" s="1" t="s">
        <v>474</v>
      </c>
      <c r="O220" s="1" t="s">
        <v>2136</v>
      </c>
      <c r="P220" s="1" t="s">
        <v>9</v>
      </c>
      <c r="Q220" s="1">
        <v>0</v>
      </c>
      <c r="R220" s="1" t="s">
        <v>10</v>
      </c>
      <c r="S220" s="3" t="s">
        <v>2137</v>
      </c>
      <c r="T220" s="4">
        <v>549</v>
      </c>
      <c r="U220" s="4" t="s">
        <v>2138</v>
      </c>
      <c r="V220" s="5">
        <v>1800</v>
      </c>
      <c r="W220" s="4" t="s">
        <v>409</v>
      </c>
      <c r="X220" s="5">
        <v>200</v>
      </c>
      <c r="Y220" s="4">
        <f t="shared" si="10"/>
        <v>2007</v>
      </c>
      <c r="Z220" s="1">
        <v>407</v>
      </c>
      <c r="AA220" s="1" t="s">
        <v>2139</v>
      </c>
      <c r="AC220" s="1" t="s">
        <v>15</v>
      </c>
      <c r="AD220" s="6">
        <v>46080</v>
      </c>
      <c r="AE220" s="6">
        <v>46109</v>
      </c>
      <c r="AF220" s="1" t="s">
        <v>16</v>
      </c>
    </row>
    <row r="221" spans="1:32" x14ac:dyDescent="0.3">
      <c r="A221" s="1">
        <v>141</v>
      </c>
      <c r="B221" s="2">
        <v>45978.717476851903</v>
      </c>
      <c r="C221" s="1" t="s">
        <v>2140</v>
      </c>
      <c r="D221" s="1" t="s">
        <v>2141</v>
      </c>
      <c r="E221" s="1" t="s">
        <v>2142</v>
      </c>
      <c r="F221" s="1" t="s">
        <v>2143</v>
      </c>
      <c r="G221" s="1" t="s">
        <v>17</v>
      </c>
      <c r="H221" s="1" t="s">
        <v>47</v>
      </c>
      <c r="I221" s="1" t="s">
        <v>2144</v>
      </c>
      <c r="J221" s="1" t="s">
        <v>2144</v>
      </c>
      <c r="K221" s="1">
        <v>814</v>
      </c>
      <c r="L221" s="1">
        <v>1</v>
      </c>
      <c r="M221" s="1" t="s">
        <v>49</v>
      </c>
      <c r="N221" s="1" t="s">
        <v>2145</v>
      </c>
      <c r="O221" s="1" t="s">
        <v>2146</v>
      </c>
      <c r="P221" s="1" t="s">
        <v>9</v>
      </c>
      <c r="Q221" s="1">
        <v>0</v>
      </c>
      <c r="R221" s="1" t="s">
        <v>10</v>
      </c>
      <c r="S221" s="3" t="s">
        <v>2147</v>
      </c>
      <c r="T221" s="4">
        <v>551</v>
      </c>
      <c r="U221" s="4" t="s">
        <v>2148</v>
      </c>
      <c r="V221" s="5">
        <v>900</v>
      </c>
      <c r="W221" s="4" t="s">
        <v>2149</v>
      </c>
      <c r="X221" s="5">
        <v>214</v>
      </c>
      <c r="Y221" s="4">
        <f t="shared" si="10"/>
        <v>1500</v>
      </c>
      <c r="Z221" s="4">
        <v>814</v>
      </c>
      <c r="AA221" s="1" t="s">
        <v>2150</v>
      </c>
      <c r="AB221" s="1" t="s">
        <v>56</v>
      </c>
      <c r="AC221" s="1" t="s">
        <v>15</v>
      </c>
      <c r="AD221" s="6">
        <v>46080</v>
      </c>
      <c r="AE221" s="6">
        <v>46081</v>
      </c>
      <c r="AF221" s="1" t="s">
        <v>16</v>
      </c>
    </row>
    <row r="222" spans="1:32" x14ac:dyDescent="0.3">
      <c r="A222" s="1">
        <v>145</v>
      </c>
      <c r="B222" s="2">
        <v>45979.712847222203</v>
      </c>
      <c r="C222" s="1" t="s">
        <v>2151</v>
      </c>
      <c r="D222" s="1" t="s">
        <v>2152</v>
      </c>
      <c r="E222" s="1" t="s">
        <v>2153</v>
      </c>
      <c r="F222" s="1" t="s">
        <v>2154</v>
      </c>
      <c r="G222" s="1" t="s">
        <v>17</v>
      </c>
      <c r="H222" s="1" t="s">
        <v>71</v>
      </c>
      <c r="I222" s="1" t="s">
        <v>2144</v>
      </c>
      <c r="J222" s="1" t="s">
        <v>2144</v>
      </c>
      <c r="K222" s="1">
        <v>814</v>
      </c>
      <c r="L222" s="1">
        <v>2</v>
      </c>
      <c r="M222" s="1" t="s">
        <v>49</v>
      </c>
      <c r="N222" s="1" t="s">
        <v>2155</v>
      </c>
      <c r="O222" s="1" t="s">
        <v>2156</v>
      </c>
      <c r="P222" s="1" t="s">
        <v>9</v>
      </c>
      <c r="Q222" s="1">
        <v>0</v>
      </c>
      <c r="R222" s="1" t="s">
        <v>10</v>
      </c>
      <c r="S222" s="3" t="s">
        <v>2157</v>
      </c>
      <c r="T222" s="4">
        <v>552</v>
      </c>
      <c r="U222" s="4" t="s">
        <v>2158</v>
      </c>
      <c r="V222" s="5">
        <v>900</v>
      </c>
      <c r="W222" s="4" t="s">
        <v>400</v>
      </c>
      <c r="X222" s="5">
        <v>200</v>
      </c>
      <c r="Y222" s="4">
        <f t="shared" si="10"/>
        <v>1514</v>
      </c>
      <c r="Z222" s="4">
        <v>814</v>
      </c>
      <c r="AA222" s="1" t="s">
        <v>2159</v>
      </c>
      <c r="AB222" s="1" t="s">
        <v>56</v>
      </c>
      <c r="AC222" s="1" t="s">
        <v>15</v>
      </c>
      <c r="AD222" s="6">
        <v>46080</v>
      </c>
      <c r="AE222" s="6">
        <v>46113</v>
      </c>
      <c r="AF222" s="1" t="s">
        <v>16</v>
      </c>
    </row>
    <row r="223" spans="1:32" x14ac:dyDescent="0.3">
      <c r="A223" s="1">
        <v>373</v>
      </c>
      <c r="B223" s="2">
        <v>46008.986608796302</v>
      </c>
      <c r="C223" s="1" t="s">
        <v>44</v>
      </c>
      <c r="D223" s="1" t="s">
        <v>2160</v>
      </c>
      <c r="E223" s="1" t="s">
        <v>2161</v>
      </c>
      <c r="F223" s="26" t="s">
        <v>2162</v>
      </c>
      <c r="G223" s="1" t="s">
        <v>17</v>
      </c>
      <c r="H223" s="1" t="s">
        <v>71</v>
      </c>
      <c r="I223" s="1" t="s">
        <v>2144</v>
      </c>
      <c r="J223" s="1" t="s">
        <v>2144</v>
      </c>
      <c r="K223" s="1">
        <v>755</v>
      </c>
      <c r="L223" s="1">
        <v>4</v>
      </c>
      <c r="M223" s="1" t="s">
        <v>7</v>
      </c>
      <c r="N223" s="1" t="s">
        <v>1170</v>
      </c>
      <c r="O223" s="1" t="s">
        <v>2163</v>
      </c>
      <c r="P223" s="1" t="s">
        <v>9</v>
      </c>
      <c r="Q223" s="1">
        <v>0</v>
      </c>
      <c r="R223" s="1" t="s">
        <v>10</v>
      </c>
      <c r="S223" s="3" t="s">
        <v>2164</v>
      </c>
      <c r="T223" s="4">
        <v>554</v>
      </c>
      <c r="U223" s="4" t="s">
        <v>2165</v>
      </c>
      <c r="V223" s="5" t="s">
        <v>1187</v>
      </c>
      <c r="W223" s="4" t="s">
        <v>2166</v>
      </c>
      <c r="X223" s="5" t="s">
        <v>2167</v>
      </c>
      <c r="Y223" s="4">
        <f t="shared" ref="Y223:Y276" si="11">K223+V223-X223</f>
        <v>875</v>
      </c>
      <c r="Z223" s="4">
        <v>755</v>
      </c>
      <c r="AA223" s="1" t="s">
        <v>2168</v>
      </c>
      <c r="AB223" s="1" t="s">
        <v>56</v>
      </c>
      <c r="AC223" s="1" t="s">
        <v>15</v>
      </c>
      <c r="AD223" s="6">
        <v>46080</v>
      </c>
      <c r="AE223" s="6">
        <v>46098</v>
      </c>
      <c r="AF223" s="1" t="s">
        <v>16</v>
      </c>
    </row>
    <row r="224" spans="1:32" x14ac:dyDescent="0.3">
      <c r="A224" s="1">
        <v>1</v>
      </c>
      <c r="B224" s="2">
        <v>45903.630358796298</v>
      </c>
      <c r="C224" s="1" t="s">
        <v>2169</v>
      </c>
      <c r="D224" s="1" t="s">
        <v>2170</v>
      </c>
      <c r="E224" s="1" t="s">
        <v>2171</v>
      </c>
      <c r="F224" s="1" t="s">
        <v>2172</v>
      </c>
      <c r="G224" s="1" t="s">
        <v>17</v>
      </c>
      <c r="H224" s="1" t="s">
        <v>942</v>
      </c>
      <c r="I224" s="1" t="s">
        <v>161</v>
      </c>
      <c r="J224" s="1" t="s">
        <v>2173</v>
      </c>
      <c r="K224" s="1">
        <v>440</v>
      </c>
      <c r="M224" s="1" t="s">
        <v>283</v>
      </c>
      <c r="N224" s="1" t="s">
        <v>2174</v>
      </c>
      <c r="O224" s="1" t="s">
        <v>950</v>
      </c>
      <c r="P224" s="1">
        <v>0</v>
      </c>
      <c r="Q224" s="1">
        <v>0</v>
      </c>
      <c r="R224" s="1">
        <v>0</v>
      </c>
      <c r="S224" s="3">
        <v>0</v>
      </c>
      <c r="T224" s="4">
        <v>0</v>
      </c>
      <c r="U224" s="4">
        <v>0</v>
      </c>
      <c r="V224" s="5">
        <v>0</v>
      </c>
      <c r="W224" s="4">
        <v>0</v>
      </c>
      <c r="X224" s="5">
        <v>0</v>
      </c>
      <c r="Y224" s="4">
        <f t="shared" si="11"/>
        <v>440</v>
      </c>
      <c r="Z224" s="1">
        <v>440</v>
      </c>
      <c r="AA224" s="1">
        <v>0</v>
      </c>
      <c r="AB224" s="1" t="s">
        <v>1702</v>
      </c>
      <c r="AC224" s="1" t="s">
        <v>15</v>
      </c>
      <c r="AD224" s="6">
        <v>46080</v>
      </c>
      <c r="AE224" s="6"/>
      <c r="AF224" s="1" t="s">
        <v>16</v>
      </c>
    </row>
    <row r="225" spans="1:32" x14ac:dyDescent="0.3">
      <c r="A225" s="1">
        <v>135</v>
      </c>
      <c r="B225" s="2">
        <v>45974.584548611099</v>
      </c>
      <c r="C225" s="1" t="s">
        <v>2175</v>
      </c>
      <c r="D225" s="1" t="s">
        <v>2176</v>
      </c>
      <c r="E225" s="1" t="s">
        <v>2177</v>
      </c>
      <c r="F225" s="1" t="s">
        <v>2178</v>
      </c>
      <c r="G225" s="1" t="s">
        <v>4</v>
      </c>
      <c r="H225" s="1" t="s">
        <v>27</v>
      </c>
      <c r="I225" s="1" t="s">
        <v>2179</v>
      </c>
      <c r="J225" s="1" t="s">
        <v>2179</v>
      </c>
      <c r="K225" s="1">
        <v>755</v>
      </c>
      <c r="L225" s="1">
        <v>0</v>
      </c>
      <c r="M225" s="1" t="s">
        <v>49</v>
      </c>
      <c r="N225" s="1" t="s">
        <v>2180</v>
      </c>
      <c r="O225" s="1" t="s">
        <v>2181</v>
      </c>
      <c r="P225" s="1" t="s">
        <v>98</v>
      </c>
      <c r="Q225" s="1" t="s">
        <v>2182</v>
      </c>
      <c r="R225" s="1" t="s">
        <v>10</v>
      </c>
      <c r="S225" s="3" t="s">
        <v>2183</v>
      </c>
      <c r="T225" s="4">
        <v>556</v>
      </c>
      <c r="U225" s="4" t="s">
        <v>2184</v>
      </c>
      <c r="V225" s="5" t="s">
        <v>2185</v>
      </c>
      <c r="W225" s="4" t="s">
        <v>2186</v>
      </c>
      <c r="X225" s="5">
        <v>900</v>
      </c>
      <c r="Y225" s="4">
        <f t="shared" si="11"/>
        <v>3535</v>
      </c>
      <c r="Z225" s="1">
        <v>755</v>
      </c>
      <c r="AA225" s="1" t="s">
        <v>2187</v>
      </c>
      <c r="AB225" s="1" t="s">
        <v>130</v>
      </c>
      <c r="AC225" s="1" t="s">
        <v>15</v>
      </c>
      <c r="AD225" s="6">
        <v>46080</v>
      </c>
      <c r="AE225" s="6">
        <v>46122</v>
      </c>
      <c r="AF225" s="1" t="s">
        <v>16</v>
      </c>
    </row>
    <row r="226" spans="1:32" x14ac:dyDescent="0.3">
      <c r="A226" s="1">
        <v>242</v>
      </c>
      <c r="B226" s="2">
        <v>45985.3780555556</v>
      </c>
      <c r="C226" s="1" t="s">
        <v>2188</v>
      </c>
      <c r="D226" s="1" t="s">
        <v>2189</v>
      </c>
      <c r="E226" s="1" t="s">
        <v>2190</v>
      </c>
      <c r="F226" s="1" t="s">
        <v>2191</v>
      </c>
      <c r="G226" s="1" t="s">
        <v>17</v>
      </c>
      <c r="H226" s="1" t="s">
        <v>27</v>
      </c>
      <c r="I226" s="1" t="s">
        <v>2179</v>
      </c>
      <c r="J226" s="1" t="s">
        <v>2179</v>
      </c>
      <c r="K226" s="1">
        <v>319</v>
      </c>
      <c r="L226" s="1">
        <v>0</v>
      </c>
      <c r="M226" s="1" t="s">
        <v>20</v>
      </c>
      <c r="N226" s="1" t="s">
        <v>1186</v>
      </c>
      <c r="O226" s="1" t="s">
        <v>2192</v>
      </c>
      <c r="P226" s="1" t="s">
        <v>9</v>
      </c>
      <c r="Q226" s="1" t="s">
        <v>9</v>
      </c>
      <c r="R226" s="1" t="s">
        <v>10</v>
      </c>
      <c r="S226" s="3" t="s">
        <v>2193</v>
      </c>
      <c r="T226" s="4">
        <v>557</v>
      </c>
      <c r="U226" s="4" t="s">
        <v>2194</v>
      </c>
      <c r="V226" s="5">
        <v>2637</v>
      </c>
      <c r="W226" s="4" t="s">
        <v>1811</v>
      </c>
      <c r="X226" s="5">
        <v>600</v>
      </c>
      <c r="Y226" s="4">
        <f t="shared" si="11"/>
        <v>2356</v>
      </c>
      <c r="Z226" s="1">
        <v>319</v>
      </c>
      <c r="AA226" s="1" t="s">
        <v>2195</v>
      </c>
      <c r="AB226" s="1" t="s">
        <v>130</v>
      </c>
      <c r="AC226" s="1" t="s">
        <v>15</v>
      </c>
      <c r="AD226" s="6">
        <v>46080</v>
      </c>
      <c r="AE226" s="6">
        <v>46125</v>
      </c>
      <c r="AF226" s="1" t="s">
        <v>16</v>
      </c>
    </row>
    <row r="227" spans="1:32" x14ac:dyDescent="0.3">
      <c r="A227" s="1">
        <v>497</v>
      </c>
      <c r="B227" s="2">
        <v>46022.131099537</v>
      </c>
      <c r="C227" s="1" t="s">
        <v>2196</v>
      </c>
      <c r="D227" s="1" t="s">
        <v>2197</v>
      </c>
      <c r="E227" s="1" t="s">
        <v>2198</v>
      </c>
      <c r="F227" s="1" t="s">
        <v>2199</v>
      </c>
      <c r="G227" s="1" t="s">
        <v>4</v>
      </c>
      <c r="H227" s="1" t="s">
        <v>47</v>
      </c>
      <c r="I227" s="1" t="s">
        <v>2179</v>
      </c>
      <c r="J227" s="1" t="s">
        <v>2179</v>
      </c>
      <c r="K227" s="1">
        <v>755</v>
      </c>
      <c r="L227" s="1">
        <v>1</v>
      </c>
      <c r="M227" s="1" t="s">
        <v>49</v>
      </c>
      <c r="N227" s="1" t="s">
        <v>2200</v>
      </c>
      <c r="O227" s="1" t="s">
        <v>2201</v>
      </c>
      <c r="P227" s="1" t="s">
        <v>9</v>
      </c>
      <c r="Q227" s="1">
        <v>0</v>
      </c>
      <c r="R227" s="1" t="s">
        <v>177</v>
      </c>
      <c r="S227" s="3" t="s">
        <v>2202</v>
      </c>
      <c r="T227" s="4">
        <v>558</v>
      </c>
      <c r="U227" s="4" t="s">
        <v>521</v>
      </c>
      <c r="V227" s="5">
        <v>2000</v>
      </c>
      <c r="W227" s="4" t="s">
        <v>2203</v>
      </c>
      <c r="X227" s="5">
        <v>700</v>
      </c>
      <c r="Y227" s="4">
        <f t="shared" si="11"/>
        <v>2055</v>
      </c>
      <c r="Z227" s="4">
        <v>755</v>
      </c>
      <c r="AA227" s="1" t="s">
        <v>2204</v>
      </c>
      <c r="AB227" s="1" t="s">
        <v>42</v>
      </c>
      <c r="AC227" s="1" t="s">
        <v>15</v>
      </c>
      <c r="AD227" s="6">
        <v>46080</v>
      </c>
      <c r="AE227" s="6">
        <v>46124</v>
      </c>
      <c r="AF227" s="1" t="s">
        <v>16</v>
      </c>
    </row>
    <row r="228" spans="1:32" x14ac:dyDescent="0.3">
      <c r="A228" s="1">
        <v>772</v>
      </c>
      <c r="B228" s="2">
        <v>46083.746701388904</v>
      </c>
      <c r="C228" s="11" t="s">
        <v>2205</v>
      </c>
      <c r="D228" s="11" t="s">
        <v>2206</v>
      </c>
      <c r="E228" s="1" t="s">
        <v>2207</v>
      </c>
      <c r="F228" s="1" t="s">
        <v>2208</v>
      </c>
      <c r="G228" s="3" t="s">
        <v>17</v>
      </c>
      <c r="H228" s="3" t="s">
        <v>71</v>
      </c>
      <c r="I228" s="3" t="s">
        <v>2179</v>
      </c>
      <c r="J228" s="11" t="s">
        <v>2179</v>
      </c>
      <c r="K228" s="1">
        <v>583</v>
      </c>
      <c r="L228" s="1">
        <v>2</v>
      </c>
      <c r="M228" s="3" t="s">
        <v>2209</v>
      </c>
      <c r="N228" s="7" t="s">
        <v>2210</v>
      </c>
      <c r="O228" s="3" t="s">
        <v>2211</v>
      </c>
      <c r="P228" s="3" t="s">
        <v>9</v>
      </c>
      <c r="R228" s="3" t="s">
        <v>10</v>
      </c>
      <c r="S228" s="7" t="s">
        <v>2212</v>
      </c>
      <c r="T228" s="4">
        <v>583</v>
      </c>
      <c r="U228" s="7" t="s">
        <v>114</v>
      </c>
      <c r="V228" s="5">
        <v>2500</v>
      </c>
      <c r="W228" s="7" t="s">
        <v>75</v>
      </c>
      <c r="X228" s="5">
        <v>500</v>
      </c>
      <c r="Y228" s="4">
        <f t="shared" si="11"/>
        <v>2583</v>
      </c>
      <c r="Z228" s="4">
        <f>K228</f>
        <v>583</v>
      </c>
      <c r="AA228" s="3" t="s">
        <v>2213</v>
      </c>
      <c r="AB228" s="1" t="s">
        <v>56</v>
      </c>
      <c r="AC228" s="1" t="s">
        <v>15</v>
      </c>
      <c r="AD228" s="6">
        <v>46098</v>
      </c>
      <c r="AE228" s="6">
        <v>46124</v>
      </c>
      <c r="AF228" s="1" t="s">
        <v>16</v>
      </c>
    </row>
    <row r="229" spans="1:32" x14ac:dyDescent="0.3">
      <c r="A229" s="1">
        <v>105</v>
      </c>
      <c r="B229" s="2">
        <v>45958.403703703698</v>
      </c>
      <c r="C229" s="1" t="s">
        <v>2214</v>
      </c>
      <c r="D229" s="1" t="s">
        <v>1940</v>
      </c>
      <c r="E229" s="1" t="s">
        <v>2215</v>
      </c>
      <c r="F229" s="1" t="s">
        <v>2216</v>
      </c>
      <c r="G229" s="1" t="s">
        <v>17</v>
      </c>
      <c r="H229" s="1" t="s">
        <v>18</v>
      </c>
      <c r="I229" s="1" t="s">
        <v>2217</v>
      </c>
      <c r="J229" s="1" t="s">
        <v>2217</v>
      </c>
      <c r="K229" s="1">
        <v>814</v>
      </c>
      <c r="L229" s="1">
        <v>1</v>
      </c>
      <c r="M229" s="1" t="s">
        <v>49</v>
      </c>
      <c r="N229" s="1" t="s">
        <v>2218</v>
      </c>
      <c r="O229" s="1" t="s">
        <v>2219</v>
      </c>
      <c r="P229" s="1" t="s">
        <v>98</v>
      </c>
      <c r="Q229" s="1" t="s">
        <v>2220</v>
      </c>
      <c r="R229" s="1" t="s">
        <v>10</v>
      </c>
      <c r="S229" s="3" t="s">
        <v>2221</v>
      </c>
      <c r="T229" s="4">
        <v>563</v>
      </c>
      <c r="U229" s="4" t="s">
        <v>2222</v>
      </c>
      <c r="V229" s="5">
        <v>3000</v>
      </c>
      <c r="W229" s="4" t="s">
        <v>194</v>
      </c>
      <c r="X229" s="5">
        <v>1000</v>
      </c>
      <c r="Y229" s="4">
        <f t="shared" si="11"/>
        <v>2814</v>
      </c>
      <c r="Z229" s="4">
        <v>814</v>
      </c>
      <c r="AA229" s="1" t="s">
        <v>2223</v>
      </c>
      <c r="AB229" s="1" t="s">
        <v>18</v>
      </c>
      <c r="AC229" s="1" t="s">
        <v>15</v>
      </c>
      <c r="AD229" s="6">
        <v>46080</v>
      </c>
      <c r="AE229" s="6">
        <v>46080</v>
      </c>
      <c r="AF229" s="1" t="s">
        <v>16</v>
      </c>
    </row>
    <row r="230" spans="1:32" x14ac:dyDescent="0.3">
      <c r="A230" s="1">
        <v>310</v>
      </c>
      <c r="B230" s="2">
        <v>45997.683958333299</v>
      </c>
      <c r="C230" s="1" t="s">
        <v>2224</v>
      </c>
      <c r="D230" s="1" t="s">
        <v>2225</v>
      </c>
      <c r="E230" s="1" t="s">
        <v>2226</v>
      </c>
      <c r="F230" s="1" t="s">
        <v>2227</v>
      </c>
      <c r="G230" s="1" t="s">
        <v>17</v>
      </c>
      <c r="H230" s="1" t="s">
        <v>47</v>
      </c>
      <c r="I230" s="1" t="s">
        <v>2217</v>
      </c>
      <c r="J230" s="1" t="s">
        <v>2217</v>
      </c>
      <c r="K230" s="1">
        <v>407</v>
      </c>
      <c r="L230" s="1">
        <v>2</v>
      </c>
      <c r="M230" s="1" t="s">
        <v>20</v>
      </c>
      <c r="N230" s="1" t="s">
        <v>474</v>
      </c>
      <c r="O230" s="1" t="s">
        <v>2228</v>
      </c>
      <c r="P230" s="1" t="s">
        <v>9</v>
      </c>
      <c r="Q230" s="1">
        <v>0</v>
      </c>
      <c r="R230" s="1" t="s">
        <v>10</v>
      </c>
      <c r="S230" s="3" t="s">
        <v>2229</v>
      </c>
      <c r="T230" s="4">
        <v>571</v>
      </c>
      <c r="U230" s="4" t="s">
        <v>2230</v>
      </c>
      <c r="V230" s="5">
        <v>4135</v>
      </c>
      <c r="W230" s="4" t="s">
        <v>2231</v>
      </c>
      <c r="X230" s="5">
        <v>34</v>
      </c>
      <c r="Y230" s="4">
        <f t="shared" si="11"/>
        <v>4508</v>
      </c>
      <c r="Z230" s="4">
        <v>407</v>
      </c>
      <c r="AA230" s="1" t="s">
        <v>2232</v>
      </c>
      <c r="AB230" s="1" t="s">
        <v>56</v>
      </c>
      <c r="AC230" s="1" t="s">
        <v>15</v>
      </c>
      <c r="AD230" s="6">
        <v>46080</v>
      </c>
      <c r="AE230" s="6">
        <v>46094</v>
      </c>
      <c r="AF230" s="1" t="s">
        <v>16</v>
      </c>
    </row>
    <row r="231" spans="1:32" x14ac:dyDescent="0.3">
      <c r="A231" s="1">
        <v>164</v>
      </c>
      <c r="B231" s="2">
        <v>45982.539548611101</v>
      </c>
      <c r="C231" s="1" t="s">
        <v>2233</v>
      </c>
      <c r="D231" s="1" t="s">
        <v>2234</v>
      </c>
      <c r="E231" s="1" t="s">
        <v>2235</v>
      </c>
      <c r="F231" s="1" t="s">
        <v>2236</v>
      </c>
      <c r="G231" s="1" t="s">
        <v>17</v>
      </c>
      <c r="H231" s="1" t="s">
        <v>18</v>
      </c>
      <c r="I231" s="1" t="s">
        <v>2217</v>
      </c>
      <c r="J231" s="1" t="s">
        <v>2217</v>
      </c>
      <c r="K231" s="1">
        <v>814</v>
      </c>
      <c r="L231" s="1">
        <v>3</v>
      </c>
      <c r="M231" s="1" t="s">
        <v>49</v>
      </c>
      <c r="N231" s="1" t="s">
        <v>2237</v>
      </c>
      <c r="O231" s="1" t="s">
        <v>2238</v>
      </c>
      <c r="P231" s="1" t="s">
        <v>98</v>
      </c>
      <c r="Q231" s="1" t="s">
        <v>2239</v>
      </c>
      <c r="R231" s="1" t="s">
        <v>10</v>
      </c>
      <c r="S231" s="3" t="s">
        <v>2240</v>
      </c>
      <c r="T231" s="4">
        <v>566</v>
      </c>
      <c r="U231" s="4" t="s">
        <v>22</v>
      </c>
      <c r="V231" s="5">
        <v>3000</v>
      </c>
      <c r="W231" s="4" t="s">
        <v>2241</v>
      </c>
      <c r="X231" s="5">
        <v>2000</v>
      </c>
      <c r="Y231" s="4">
        <f t="shared" si="11"/>
        <v>1814</v>
      </c>
      <c r="Z231" s="4">
        <v>814</v>
      </c>
      <c r="AA231" s="1" t="s">
        <v>2242</v>
      </c>
      <c r="AB231" s="1" t="s">
        <v>18</v>
      </c>
      <c r="AC231" s="1" t="s">
        <v>15</v>
      </c>
      <c r="AD231" s="6">
        <v>46080</v>
      </c>
      <c r="AE231" s="6">
        <v>46087</v>
      </c>
      <c r="AF231" s="1" t="s">
        <v>16</v>
      </c>
    </row>
    <row r="232" spans="1:32" x14ac:dyDescent="0.3">
      <c r="A232" s="1">
        <v>100</v>
      </c>
      <c r="B232" s="2">
        <v>45956.834907407407</v>
      </c>
      <c r="C232" s="1" t="s">
        <v>2243</v>
      </c>
      <c r="D232" s="1" t="s">
        <v>2244</v>
      </c>
      <c r="E232" s="1" t="s">
        <v>2245</v>
      </c>
      <c r="F232" s="1" t="s">
        <v>2246</v>
      </c>
      <c r="G232" s="1" t="s">
        <v>17</v>
      </c>
      <c r="H232" s="1" t="s">
        <v>71</v>
      </c>
      <c r="I232" s="1" t="s">
        <v>2217</v>
      </c>
      <c r="J232" s="1" t="s">
        <v>2217</v>
      </c>
      <c r="K232" s="1">
        <v>814</v>
      </c>
      <c r="M232" s="1" t="s">
        <v>49</v>
      </c>
      <c r="N232" s="1" t="s">
        <v>2247</v>
      </c>
      <c r="O232" s="1" t="s">
        <v>2248</v>
      </c>
      <c r="P232" s="1" t="s">
        <v>9</v>
      </c>
      <c r="Q232" s="1">
        <v>0</v>
      </c>
      <c r="R232" s="1" t="s">
        <v>10</v>
      </c>
      <c r="S232" s="3" t="s">
        <v>2249</v>
      </c>
      <c r="T232" s="4">
        <v>561</v>
      </c>
      <c r="U232" s="4" t="s">
        <v>2250</v>
      </c>
      <c r="V232" s="5">
        <v>3000</v>
      </c>
      <c r="W232" s="4" t="s">
        <v>2251</v>
      </c>
      <c r="X232" s="5">
        <v>1500</v>
      </c>
      <c r="Y232" s="4">
        <f t="shared" si="11"/>
        <v>2314</v>
      </c>
      <c r="AA232" s="1" t="s">
        <v>2252</v>
      </c>
      <c r="AC232" s="1" t="s">
        <v>15</v>
      </c>
      <c r="AD232" s="6">
        <v>46080</v>
      </c>
      <c r="AE232" s="6">
        <v>46149</v>
      </c>
      <c r="AF232" s="1" t="s">
        <v>16</v>
      </c>
    </row>
    <row r="233" spans="1:32" x14ac:dyDescent="0.3">
      <c r="A233" s="1">
        <v>101</v>
      </c>
      <c r="B233" s="2">
        <v>45956.886979166702</v>
      </c>
      <c r="C233" s="1" t="s">
        <v>2253</v>
      </c>
      <c r="D233" s="1" t="s">
        <v>2254</v>
      </c>
      <c r="E233" s="1" t="s">
        <v>2255</v>
      </c>
      <c r="F233" s="1" t="s">
        <v>2256</v>
      </c>
      <c r="G233" s="1" t="s">
        <v>17</v>
      </c>
      <c r="H233" s="1" t="s">
        <v>47</v>
      </c>
      <c r="I233" s="1" t="s">
        <v>2217</v>
      </c>
      <c r="J233" s="1" t="s">
        <v>2217</v>
      </c>
      <c r="K233" s="1">
        <v>755</v>
      </c>
      <c r="M233" s="1" t="s">
        <v>7</v>
      </c>
      <c r="N233" s="1" t="s">
        <v>2257</v>
      </c>
      <c r="O233" s="1" t="s">
        <v>2258</v>
      </c>
      <c r="P233" s="1" t="s">
        <v>9</v>
      </c>
      <c r="Q233" s="1">
        <v>0</v>
      </c>
      <c r="R233" s="1" t="s">
        <v>9</v>
      </c>
      <c r="S233" s="3" t="s">
        <v>2259</v>
      </c>
      <c r="T233" s="4">
        <v>562</v>
      </c>
      <c r="U233" s="4" t="s">
        <v>2260</v>
      </c>
      <c r="V233" s="5">
        <v>3000</v>
      </c>
      <c r="W233" s="4" t="s">
        <v>522</v>
      </c>
      <c r="X233" s="5">
        <v>500</v>
      </c>
      <c r="Y233" s="4">
        <f t="shared" si="11"/>
        <v>3255</v>
      </c>
      <c r="AA233" s="1" t="s">
        <v>2261</v>
      </c>
      <c r="AC233" s="1" t="s">
        <v>15</v>
      </c>
      <c r="AD233" s="6">
        <v>46080</v>
      </c>
      <c r="AE233" s="6">
        <v>46152</v>
      </c>
      <c r="AF233" s="1" t="s">
        <v>16</v>
      </c>
    </row>
    <row r="234" spans="1:32" x14ac:dyDescent="0.3">
      <c r="A234" s="1">
        <v>112</v>
      </c>
      <c r="B234" s="2">
        <v>45960.812604166698</v>
      </c>
      <c r="C234" s="1" t="s">
        <v>1996</v>
      </c>
      <c r="D234" s="1" t="s">
        <v>2262</v>
      </c>
      <c r="E234" s="1" t="s">
        <v>2263</v>
      </c>
      <c r="F234" s="1" t="s">
        <v>2264</v>
      </c>
      <c r="G234" s="1" t="s">
        <v>17</v>
      </c>
      <c r="H234" s="1" t="s">
        <v>47</v>
      </c>
      <c r="I234" s="1" t="s">
        <v>2217</v>
      </c>
      <c r="J234" s="1" t="s">
        <v>2217</v>
      </c>
      <c r="K234" s="1">
        <v>755</v>
      </c>
      <c r="M234" s="1" t="s">
        <v>7</v>
      </c>
      <c r="N234" s="1" t="s">
        <v>2265</v>
      </c>
      <c r="O234" s="1" t="s">
        <v>2266</v>
      </c>
      <c r="P234" s="1" t="s">
        <v>9</v>
      </c>
      <c r="Q234" s="1">
        <v>0</v>
      </c>
      <c r="R234" s="1" t="s">
        <v>177</v>
      </c>
      <c r="S234" s="3" t="s">
        <v>2267</v>
      </c>
      <c r="T234" s="4">
        <v>565</v>
      </c>
      <c r="U234" s="4" t="s">
        <v>2268</v>
      </c>
      <c r="V234" s="5">
        <v>3245</v>
      </c>
      <c r="W234" s="4" t="s">
        <v>115</v>
      </c>
      <c r="X234" s="5">
        <v>1500</v>
      </c>
      <c r="Y234" s="4">
        <f t="shared" si="11"/>
        <v>2500</v>
      </c>
      <c r="AA234" s="1" t="s">
        <v>2269</v>
      </c>
      <c r="AC234" s="1" t="s">
        <v>15</v>
      </c>
      <c r="AD234" s="6">
        <v>46080</v>
      </c>
      <c r="AE234" s="6">
        <v>46148</v>
      </c>
      <c r="AF234" s="1" t="s">
        <v>16</v>
      </c>
    </row>
    <row r="235" spans="1:32" x14ac:dyDescent="0.3">
      <c r="A235" s="1">
        <v>449</v>
      </c>
      <c r="B235" s="2">
        <v>46020.516689814802</v>
      </c>
      <c r="C235" s="1" t="s">
        <v>2270</v>
      </c>
      <c r="D235" s="1" t="s">
        <v>2271</v>
      </c>
      <c r="E235" s="1" t="s">
        <v>2272</v>
      </c>
      <c r="F235" s="1" t="s">
        <v>2273</v>
      </c>
      <c r="G235" s="1" t="s">
        <v>17</v>
      </c>
      <c r="H235" s="1" t="s">
        <v>71</v>
      </c>
      <c r="I235" s="1" t="s">
        <v>2217</v>
      </c>
      <c r="J235" s="1" t="s">
        <v>2217</v>
      </c>
      <c r="K235" s="1">
        <v>814</v>
      </c>
      <c r="M235" s="1" t="s">
        <v>49</v>
      </c>
      <c r="N235" s="1" t="s">
        <v>2274</v>
      </c>
      <c r="O235" s="1" t="s">
        <v>2275</v>
      </c>
      <c r="P235" s="1" t="s">
        <v>98</v>
      </c>
      <c r="Q235" s="1" t="s">
        <v>2276</v>
      </c>
      <c r="R235" s="1" t="s">
        <v>10</v>
      </c>
      <c r="S235" s="3" t="s">
        <v>2277</v>
      </c>
      <c r="T235" s="4">
        <v>576</v>
      </c>
      <c r="U235" s="4" t="s">
        <v>2278</v>
      </c>
      <c r="V235" s="5">
        <v>1855</v>
      </c>
      <c r="W235" s="4" t="s">
        <v>2279</v>
      </c>
      <c r="X235" s="5">
        <v>300</v>
      </c>
      <c r="Y235" s="4">
        <f t="shared" si="11"/>
        <v>2369</v>
      </c>
      <c r="Z235" s="1">
        <v>814</v>
      </c>
      <c r="AA235" s="1" t="s">
        <v>2280</v>
      </c>
      <c r="AC235" s="1" t="s">
        <v>15</v>
      </c>
      <c r="AD235" s="6">
        <v>46080</v>
      </c>
      <c r="AE235" s="6">
        <v>46098</v>
      </c>
      <c r="AF235" s="1" t="s">
        <v>16</v>
      </c>
    </row>
    <row r="236" spans="1:32" x14ac:dyDescent="0.3">
      <c r="A236" s="1">
        <v>527</v>
      </c>
      <c r="B236" s="2">
        <v>46022.714560185203</v>
      </c>
      <c r="C236" s="1" t="s">
        <v>2281</v>
      </c>
      <c r="D236" s="1" t="s">
        <v>2282</v>
      </c>
      <c r="E236" s="1" t="s">
        <v>2283</v>
      </c>
      <c r="F236" s="1" t="s">
        <v>2284</v>
      </c>
      <c r="G236" s="1" t="s">
        <v>17</v>
      </c>
      <c r="H236" s="1" t="s">
        <v>47</v>
      </c>
      <c r="I236" s="1" t="s">
        <v>2217</v>
      </c>
      <c r="J236" s="1" t="s">
        <v>2217</v>
      </c>
      <c r="K236" s="1">
        <v>814</v>
      </c>
      <c r="M236" s="1" t="s">
        <v>49</v>
      </c>
      <c r="N236" s="1" t="s">
        <v>2285</v>
      </c>
      <c r="O236" s="1" t="s">
        <v>2286</v>
      </c>
      <c r="P236" s="1" t="s">
        <v>9</v>
      </c>
      <c r="Q236" s="1">
        <v>0</v>
      </c>
      <c r="R236" s="1" t="s">
        <v>10</v>
      </c>
      <c r="S236" s="3" t="s">
        <v>2287</v>
      </c>
      <c r="T236" s="4">
        <v>577</v>
      </c>
      <c r="U236" s="4" t="s">
        <v>2288</v>
      </c>
      <c r="V236" s="5">
        <v>3000</v>
      </c>
      <c r="W236" s="4" t="s">
        <v>699</v>
      </c>
      <c r="X236" s="5">
        <v>1500</v>
      </c>
      <c r="Y236" s="4">
        <f t="shared" si="11"/>
        <v>2314</v>
      </c>
      <c r="AA236" s="1" t="s">
        <v>2289</v>
      </c>
      <c r="AC236" s="1" t="s">
        <v>15</v>
      </c>
      <c r="AD236" s="6">
        <v>46080</v>
      </c>
      <c r="AE236" s="6">
        <v>46148</v>
      </c>
      <c r="AF236" s="1" t="s">
        <v>16</v>
      </c>
    </row>
    <row r="237" spans="1:32" x14ac:dyDescent="0.3">
      <c r="A237" s="1">
        <v>530</v>
      </c>
      <c r="B237" s="2">
        <v>46022.752256944397</v>
      </c>
      <c r="C237" s="1" t="s">
        <v>2290</v>
      </c>
      <c r="D237" s="1" t="s">
        <v>2291</v>
      </c>
      <c r="E237" s="1" t="s">
        <v>2292</v>
      </c>
      <c r="F237" s="1" t="s">
        <v>2293</v>
      </c>
      <c r="G237" s="1" t="s">
        <v>4</v>
      </c>
      <c r="H237" s="1" t="s">
        <v>2294</v>
      </c>
      <c r="I237" s="1" t="s">
        <v>2217</v>
      </c>
      <c r="J237" s="1" t="s">
        <v>2217</v>
      </c>
      <c r="K237" s="1">
        <v>407</v>
      </c>
      <c r="M237" s="1" t="s">
        <v>20</v>
      </c>
      <c r="N237" s="1" t="s">
        <v>1209</v>
      </c>
      <c r="O237" s="1" t="s">
        <v>2295</v>
      </c>
      <c r="P237" s="1" t="s">
        <v>9</v>
      </c>
      <c r="Q237" s="1">
        <v>0</v>
      </c>
      <c r="R237" s="1" t="s">
        <v>10</v>
      </c>
      <c r="S237" s="3" t="s">
        <v>2296</v>
      </c>
      <c r="T237" s="4">
        <v>578</v>
      </c>
      <c r="U237" s="4" t="s">
        <v>2297</v>
      </c>
      <c r="V237" s="5">
        <v>1381</v>
      </c>
      <c r="W237" s="4" t="s">
        <v>2298</v>
      </c>
      <c r="X237" s="5">
        <v>50</v>
      </c>
      <c r="Y237" s="4">
        <f t="shared" si="11"/>
        <v>1738</v>
      </c>
      <c r="AA237" s="1" t="s">
        <v>2299</v>
      </c>
      <c r="AC237" s="1" t="s">
        <v>15</v>
      </c>
      <c r="AD237" s="6">
        <v>46080</v>
      </c>
      <c r="AE237" s="6">
        <v>46148</v>
      </c>
      <c r="AF237" s="1" t="s">
        <v>16</v>
      </c>
    </row>
    <row r="238" spans="1:32" x14ac:dyDescent="0.3">
      <c r="A238" s="1">
        <v>577</v>
      </c>
      <c r="B238" s="2">
        <v>46027.042719907397</v>
      </c>
      <c r="C238" s="1" t="s">
        <v>2300</v>
      </c>
      <c r="D238" s="1" t="s">
        <v>2301</v>
      </c>
      <c r="E238" s="1" t="s">
        <v>2302</v>
      </c>
      <c r="F238" s="1" t="s">
        <v>2303</v>
      </c>
      <c r="G238" s="1" t="s">
        <v>17</v>
      </c>
      <c r="H238" s="1" t="s">
        <v>71</v>
      </c>
      <c r="I238" s="1" t="s">
        <v>2217</v>
      </c>
      <c r="J238" s="1" t="s">
        <v>2217</v>
      </c>
      <c r="K238" s="1">
        <v>407</v>
      </c>
      <c r="M238" s="1" t="s">
        <v>20</v>
      </c>
      <c r="N238" s="1" t="s">
        <v>1848</v>
      </c>
      <c r="O238" s="1" t="s">
        <v>2304</v>
      </c>
      <c r="P238" s="1" t="s">
        <v>9</v>
      </c>
      <c r="Q238" s="1">
        <v>0</v>
      </c>
      <c r="R238" s="1" t="s">
        <v>177</v>
      </c>
      <c r="S238" s="3" t="s">
        <v>2305</v>
      </c>
      <c r="T238" s="4">
        <v>581</v>
      </c>
      <c r="U238" s="4" t="s">
        <v>2306</v>
      </c>
      <c r="V238" s="5">
        <v>3300</v>
      </c>
      <c r="W238" s="4" t="s">
        <v>333</v>
      </c>
      <c r="X238" s="5">
        <v>500</v>
      </c>
      <c r="Y238" s="4">
        <f t="shared" si="11"/>
        <v>3207</v>
      </c>
      <c r="AA238" s="1" t="s">
        <v>2307</v>
      </c>
      <c r="AC238" s="1" t="s">
        <v>15</v>
      </c>
      <c r="AD238" s="6">
        <v>46080</v>
      </c>
      <c r="AE238" s="6">
        <v>46148</v>
      </c>
      <c r="AF238" s="1" t="s">
        <v>16</v>
      </c>
    </row>
    <row r="239" spans="1:32" x14ac:dyDescent="0.3">
      <c r="A239" s="1">
        <v>652</v>
      </c>
      <c r="B239" s="2">
        <v>46048.7637384259</v>
      </c>
      <c r="C239" s="1" t="s">
        <v>2308</v>
      </c>
      <c r="D239" s="1" t="s">
        <v>2309</v>
      </c>
      <c r="E239" s="1" t="s">
        <v>2310</v>
      </c>
      <c r="F239" s="1" t="s">
        <v>2311</v>
      </c>
      <c r="G239" s="1" t="s">
        <v>4</v>
      </c>
      <c r="H239" s="1" t="s">
        <v>71</v>
      </c>
      <c r="I239" s="1" t="s">
        <v>2217</v>
      </c>
      <c r="J239" s="1" t="s">
        <v>2217</v>
      </c>
      <c r="K239" s="1">
        <v>755</v>
      </c>
      <c r="M239" s="1" t="s">
        <v>7</v>
      </c>
      <c r="N239" s="1" t="s">
        <v>2312</v>
      </c>
      <c r="O239" s="1" t="s">
        <v>2313</v>
      </c>
      <c r="P239" s="1" t="s">
        <v>98</v>
      </c>
      <c r="Q239" s="1" t="s">
        <v>2314</v>
      </c>
      <c r="R239" s="1" t="s">
        <v>10</v>
      </c>
      <c r="S239" s="3" t="s">
        <v>386</v>
      </c>
      <c r="T239" s="4">
        <v>755</v>
      </c>
      <c r="U239" s="4" t="s">
        <v>2315</v>
      </c>
      <c r="V239" s="5" t="s">
        <v>2316</v>
      </c>
      <c r="W239" s="4" t="s">
        <v>2315</v>
      </c>
      <c r="X239" s="5" t="s">
        <v>2316</v>
      </c>
      <c r="Y239" s="4">
        <f t="shared" si="11"/>
        <v>754.99999999999977</v>
      </c>
      <c r="AA239" s="1" t="s">
        <v>2317</v>
      </c>
      <c r="AC239" s="1" t="s">
        <v>614</v>
      </c>
      <c r="AD239" s="6">
        <v>46080</v>
      </c>
      <c r="AE239" s="6">
        <v>46152</v>
      </c>
      <c r="AF239" s="1" t="s">
        <v>16</v>
      </c>
    </row>
    <row r="240" spans="1:32" x14ac:dyDescent="0.3">
      <c r="A240" s="1">
        <v>738</v>
      </c>
      <c r="B240" s="2">
        <v>46059.036562499998</v>
      </c>
      <c r="C240" s="1" t="s">
        <v>2318</v>
      </c>
      <c r="D240" s="1" t="s">
        <v>2319</v>
      </c>
      <c r="E240" s="1" t="s">
        <v>2320</v>
      </c>
      <c r="F240" s="1" t="s">
        <v>2321</v>
      </c>
      <c r="G240" s="1" t="s">
        <v>4</v>
      </c>
      <c r="H240" s="1" t="s">
        <v>47</v>
      </c>
      <c r="I240" s="1" t="s">
        <v>2322</v>
      </c>
      <c r="J240" s="1" t="s">
        <v>2322</v>
      </c>
      <c r="K240" s="1">
        <v>814</v>
      </c>
      <c r="L240" s="1">
        <v>1</v>
      </c>
      <c r="M240" s="1" t="s">
        <v>49</v>
      </c>
      <c r="N240" s="1" t="s">
        <v>2323</v>
      </c>
      <c r="O240" s="1" t="s">
        <v>2324</v>
      </c>
      <c r="P240" s="1" t="s">
        <v>9</v>
      </c>
      <c r="Q240" s="1">
        <v>0</v>
      </c>
      <c r="R240" s="1" t="s">
        <v>10</v>
      </c>
      <c r="S240" s="3" t="s">
        <v>152</v>
      </c>
      <c r="T240" s="4">
        <v>649</v>
      </c>
      <c r="U240" s="4" t="s">
        <v>2325</v>
      </c>
      <c r="V240" s="5" t="s">
        <v>267</v>
      </c>
      <c r="W240" s="4" t="s">
        <v>12</v>
      </c>
      <c r="X240" s="5">
        <v>1000</v>
      </c>
      <c r="Y240" s="4">
        <f t="shared" si="11"/>
        <v>1414</v>
      </c>
      <c r="Z240" s="4">
        <v>814</v>
      </c>
      <c r="AA240" s="1" t="s">
        <v>2326</v>
      </c>
      <c r="AB240" s="1" t="s">
        <v>56</v>
      </c>
      <c r="AC240" s="1" t="s">
        <v>15</v>
      </c>
      <c r="AD240" s="6">
        <v>46080</v>
      </c>
      <c r="AE240" s="6">
        <v>46080</v>
      </c>
      <c r="AF240" s="1" t="s">
        <v>16</v>
      </c>
    </row>
    <row r="241" spans="1:32" x14ac:dyDescent="0.3">
      <c r="A241" s="1">
        <v>759</v>
      </c>
      <c r="B241" s="2">
        <v>46080.6021064815</v>
      </c>
      <c r="C241" s="11" t="s">
        <v>2327</v>
      </c>
      <c r="D241" s="11" t="s">
        <v>2328</v>
      </c>
      <c r="E241" s="1" t="s">
        <v>2329</v>
      </c>
      <c r="F241" s="1" t="s">
        <v>2330</v>
      </c>
      <c r="G241" s="3" t="s">
        <v>4</v>
      </c>
      <c r="H241" s="3" t="s">
        <v>71</v>
      </c>
      <c r="I241" s="3" t="s">
        <v>2322</v>
      </c>
      <c r="J241" s="11" t="s">
        <v>2322</v>
      </c>
      <c r="K241" s="1">
        <v>755</v>
      </c>
      <c r="L241" s="1">
        <v>2</v>
      </c>
      <c r="M241" s="3" t="s">
        <v>49</v>
      </c>
      <c r="N241" s="7" t="s">
        <v>2331</v>
      </c>
      <c r="O241" s="3" t="s">
        <v>2332</v>
      </c>
      <c r="P241" s="3" t="s">
        <v>9</v>
      </c>
      <c r="R241" s="3" t="s">
        <v>10</v>
      </c>
      <c r="S241" s="7" t="s">
        <v>2333</v>
      </c>
      <c r="T241" s="4">
        <v>666</v>
      </c>
      <c r="U241" s="7" t="s">
        <v>2334</v>
      </c>
      <c r="V241" s="5">
        <v>40</v>
      </c>
      <c r="W241" s="7" t="s">
        <v>1991</v>
      </c>
      <c r="X241" s="5">
        <v>10</v>
      </c>
      <c r="Y241" s="4">
        <f t="shared" si="11"/>
        <v>785</v>
      </c>
      <c r="Z241" s="4">
        <f>K241</f>
        <v>755</v>
      </c>
      <c r="AA241" s="3" t="s">
        <v>2335</v>
      </c>
      <c r="AB241" s="1" t="s">
        <v>56</v>
      </c>
      <c r="AC241" s="1" t="s">
        <v>15</v>
      </c>
      <c r="AD241" s="6">
        <v>46098</v>
      </c>
      <c r="AE241" s="6">
        <v>46098</v>
      </c>
      <c r="AF241" s="1" t="s">
        <v>16</v>
      </c>
    </row>
    <row r="242" spans="1:32" x14ac:dyDescent="0.3">
      <c r="A242" s="1">
        <v>731</v>
      </c>
      <c r="B242" s="2">
        <v>46056.6511805556</v>
      </c>
      <c r="C242" s="1" t="s">
        <v>2336</v>
      </c>
      <c r="D242" s="1" t="s">
        <v>2337</v>
      </c>
      <c r="E242" s="1" t="s">
        <v>2338</v>
      </c>
      <c r="F242" s="1" t="s">
        <v>2339</v>
      </c>
      <c r="G242" s="1" t="s">
        <v>4</v>
      </c>
      <c r="H242" s="1" t="s">
        <v>71</v>
      </c>
      <c r="I242" s="1" t="s">
        <v>2322</v>
      </c>
      <c r="J242" s="1" t="s">
        <v>2322</v>
      </c>
      <c r="K242" s="1">
        <v>755</v>
      </c>
      <c r="L242" s="1">
        <v>3</v>
      </c>
      <c r="M242" s="1" t="s">
        <v>7</v>
      </c>
      <c r="N242" s="1" t="s">
        <v>2340</v>
      </c>
      <c r="O242" s="1" t="s">
        <v>2341</v>
      </c>
      <c r="P242" s="1" t="s">
        <v>9</v>
      </c>
      <c r="Q242" s="1">
        <v>0</v>
      </c>
      <c r="R242" s="1" t="s">
        <v>10</v>
      </c>
      <c r="S242" s="3" t="s">
        <v>2342</v>
      </c>
      <c r="T242" s="4">
        <v>649</v>
      </c>
      <c r="U242" s="4" t="s">
        <v>267</v>
      </c>
      <c r="V242" s="5">
        <v>1600</v>
      </c>
      <c r="W242" s="4" t="s">
        <v>194</v>
      </c>
      <c r="X242" s="5">
        <v>1000</v>
      </c>
      <c r="Y242" s="4">
        <f t="shared" si="11"/>
        <v>1355</v>
      </c>
      <c r="Z242" s="4">
        <v>755</v>
      </c>
      <c r="AA242" s="1" t="s">
        <v>2343</v>
      </c>
      <c r="AB242" s="1" t="s">
        <v>56</v>
      </c>
      <c r="AC242" s="1" t="s">
        <v>15</v>
      </c>
      <c r="AD242" s="6">
        <v>46080</v>
      </c>
      <c r="AE242" s="6">
        <v>46084</v>
      </c>
      <c r="AF242" s="1" t="s">
        <v>16</v>
      </c>
    </row>
    <row r="243" spans="1:32" x14ac:dyDescent="0.3">
      <c r="A243" s="1">
        <v>735</v>
      </c>
      <c r="B243" s="2">
        <v>46057.441041666701</v>
      </c>
      <c r="C243" s="1" t="s">
        <v>2344</v>
      </c>
      <c r="D243" s="1" t="s">
        <v>2345</v>
      </c>
      <c r="E243" s="1" t="s">
        <v>2346</v>
      </c>
      <c r="F243" s="1" t="s">
        <v>2347</v>
      </c>
      <c r="G243" s="1" t="s">
        <v>4</v>
      </c>
      <c r="H243" s="1" t="s">
        <v>71</v>
      </c>
      <c r="I243" s="1" t="s">
        <v>2322</v>
      </c>
      <c r="J243" s="1" t="s">
        <v>2322</v>
      </c>
      <c r="K243" s="1">
        <v>814</v>
      </c>
      <c r="L243" s="1">
        <v>5</v>
      </c>
      <c r="M243" s="1" t="s">
        <v>49</v>
      </c>
      <c r="N243" s="1" t="s">
        <v>2348</v>
      </c>
      <c r="O243" s="1" t="s">
        <v>2349</v>
      </c>
      <c r="P243" s="1" t="s">
        <v>9</v>
      </c>
      <c r="Q243" s="1">
        <v>0</v>
      </c>
      <c r="R243" s="1" t="s">
        <v>10</v>
      </c>
      <c r="S243" s="3" t="s">
        <v>2350</v>
      </c>
      <c r="T243" s="4">
        <v>649</v>
      </c>
      <c r="U243" s="4" t="s">
        <v>2351</v>
      </c>
      <c r="V243" s="5">
        <v>1400</v>
      </c>
      <c r="W243" s="4" t="s">
        <v>2352</v>
      </c>
      <c r="X243" s="5">
        <v>200</v>
      </c>
      <c r="Y243" s="4">
        <f t="shared" si="11"/>
        <v>2014</v>
      </c>
      <c r="Z243" s="1">
        <v>814</v>
      </c>
      <c r="AA243" s="1" t="s">
        <v>2353</v>
      </c>
      <c r="AB243" s="1" t="s">
        <v>56</v>
      </c>
      <c r="AC243" s="1" t="s">
        <v>15</v>
      </c>
      <c r="AD243" s="6">
        <v>46080</v>
      </c>
      <c r="AE243" s="6">
        <v>46081</v>
      </c>
      <c r="AF243" s="1" t="s">
        <v>16</v>
      </c>
    </row>
    <row r="244" spans="1:32" x14ac:dyDescent="0.3">
      <c r="A244" s="1">
        <v>781</v>
      </c>
      <c r="B244" s="2">
        <v>46087.074699074103</v>
      </c>
      <c r="C244" s="3" t="s">
        <v>2354</v>
      </c>
      <c r="D244" s="3" t="s">
        <v>2355</v>
      </c>
      <c r="E244" s="7" t="s">
        <v>2356</v>
      </c>
      <c r="F244" s="3" t="s">
        <v>2357</v>
      </c>
      <c r="G244" s="3" t="s">
        <v>17</v>
      </c>
      <c r="H244" s="3" t="s">
        <v>18</v>
      </c>
      <c r="I244" s="3" t="s">
        <v>2322</v>
      </c>
      <c r="J244" s="3" t="s">
        <v>2322</v>
      </c>
      <c r="K244" s="28" t="s">
        <v>253</v>
      </c>
      <c r="L244" s="28">
        <v>6</v>
      </c>
      <c r="M244" s="3" t="s">
        <v>7</v>
      </c>
      <c r="N244" s="7" t="s">
        <v>2358</v>
      </c>
      <c r="O244" s="3" t="s">
        <v>2359</v>
      </c>
      <c r="P244" s="3" t="s">
        <v>98</v>
      </c>
      <c r="Q244" s="3" t="s">
        <v>2360</v>
      </c>
      <c r="R244" s="3" t="s">
        <v>10</v>
      </c>
      <c r="S244" s="7" t="s">
        <v>142</v>
      </c>
      <c r="T244" s="1">
        <v>605</v>
      </c>
      <c r="U244" s="7" t="s">
        <v>40</v>
      </c>
      <c r="V244" s="1">
        <v>1500</v>
      </c>
      <c r="W244" s="7" t="s">
        <v>712</v>
      </c>
      <c r="X244" s="7" t="s">
        <v>75</v>
      </c>
      <c r="Y244" s="4">
        <f t="shared" si="11"/>
        <v>1755</v>
      </c>
      <c r="Z244" s="28" t="s">
        <v>253</v>
      </c>
      <c r="AA244" s="3" t="s">
        <v>2361</v>
      </c>
      <c r="AB244" s="3" t="s">
        <v>117</v>
      </c>
      <c r="AC244" s="7" t="s">
        <v>15</v>
      </c>
      <c r="AD244" s="3"/>
      <c r="AE244" s="3" t="s">
        <v>1572</v>
      </c>
      <c r="AF244" s="3" t="s">
        <v>16</v>
      </c>
    </row>
    <row r="245" spans="1:32" x14ac:dyDescent="0.3">
      <c r="A245" s="1">
        <v>733</v>
      </c>
      <c r="B245" s="2">
        <v>46057.219363425902</v>
      </c>
      <c r="C245" s="1" t="s">
        <v>2327</v>
      </c>
      <c r="D245" s="1" t="s">
        <v>2362</v>
      </c>
      <c r="E245" s="1" t="s">
        <v>2363</v>
      </c>
      <c r="F245" s="1" t="s">
        <v>2364</v>
      </c>
      <c r="G245" s="1" t="s">
        <v>4</v>
      </c>
      <c r="H245" s="1" t="s">
        <v>71</v>
      </c>
      <c r="I245" s="1" t="s">
        <v>2322</v>
      </c>
      <c r="J245" s="1" t="s">
        <v>2322</v>
      </c>
      <c r="K245" s="1">
        <v>814</v>
      </c>
      <c r="L245" s="1">
        <v>7</v>
      </c>
      <c r="M245" s="1" t="s">
        <v>49</v>
      </c>
      <c r="N245" s="1" t="s">
        <v>2365</v>
      </c>
      <c r="O245" s="1" t="s">
        <v>2366</v>
      </c>
      <c r="P245" s="1" t="s">
        <v>9</v>
      </c>
      <c r="Q245" s="1">
        <v>0</v>
      </c>
      <c r="R245" s="1" t="s">
        <v>10</v>
      </c>
      <c r="S245" s="3" t="s">
        <v>2350</v>
      </c>
      <c r="T245" s="4">
        <v>649</v>
      </c>
      <c r="U245" s="4" t="s">
        <v>2367</v>
      </c>
      <c r="V245" s="5">
        <v>1600</v>
      </c>
      <c r="W245" s="4" t="s">
        <v>103</v>
      </c>
      <c r="X245" s="5">
        <v>1000</v>
      </c>
      <c r="Y245" s="4">
        <f t="shared" si="11"/>
        <v>1414</v>
      </c>
      <c r="Z245" s="1">
        <v>814</v>
      </c>
      <c r="AA245" s="1" t="s">
        <v>2368</v>
      </c>
      <c r="AC245" s="1" t="s">
        <v>15</v>
      </c>
      <c r="AD245" s="6">
        <v>46080</v>
      </c>
      <c r="AE245" s="6">
        <v>46123</v>
      </c>
      <c r="AF245" s="1" t="s">
        <v>16</v>
      </c>
    </row>
    <row r="246" spans="1:32" x14ac:dyDescent="0.3">
      <c r="A246" s="1">
        <v>400</v>
      </c>
      <c r="B246" s="2">
        <v>46013.645520833299</v>
      </c>
      <c r="C246" s="1" t="s">
        <v>2369</v>
      </c>
      <c r="D246" s="1" t="s">
        <v>2370</v>
      </c>
      <c r="E246" s="1" t="s">
        <v>2371</v>
      </c>
      <c r="F246" s="1" t="s">
        <v>2372</v>
      </c>
      <c r="G246" s="1" t="s">
        <v>17</v>
      </c>
      <c r="H246" s="1" t="s">
        <v>18</v>
      </c>
      <c r="I246" s="1" t="s">
        <v>2373</v>
      </c>
      <c r="J246" s="1" t="s">
        <v>2373</v>
      </c>
      <c r="K246" s="1">
        <v>875</v>
      </c>
      <c r="L246" s="1">
        <v>1</v>
      </c>
      <c r="M246" s="1" t="s">
        <v>49</v>
      </c>
      <c r="N246" s="1" t="s">
        <v>2374</v>
      </c>
      <c r="O246" s="1" t="s">
        <v>18</v>
      </c>
      <c r="P246" s="1" t="s">
        <v>98</v>
      </c>
      <c r="Q246" s="1" t="s">
        <v>2375</v>
      </c>
      <c r="R246" s="1" t="s">
        <v>10</v>
      </c>
      <c r="S246" s="3" t="s">
        <v>231</v>
      </c>
      <c r="T246" s="4">
        <v>583</v>
      </c>
      <c r="U246" s="4" t="s">
        <v>1198</v>
      </c>
      <c r="V246" s="5">
        <v>875</v>
      </c>
      <c r="W246" s="4" t="s">
        <v>1738</v>
      </c>
      <c r="X246" s="5">
        <v>1500</v>
      </c>
      <c r="Y246" s="4">
        <f t="shared" si="11"/>
        <v>250</v>
      </c>
      <c r="Z246" s="4">
        <v>875</v>
      </c>
      <c r="AA246" s="1" t="s">
        <v>2376</v>
      </c>
      <c r="AB246" s="1" t="s">
        <v>18</v>
      </c>
      <c r="AC246" s="1" t="s">
        <v>15</v>
      </c>
      <c r="AD246" s="6">
        <v>46080</v>
      </c>
      <c r="AE246" s="6">
        <v>46123</v>
      </c>
      <c r="AF246" s="1" t="s">
        <v>16</v>
      </c>
    </row>
    <row r="247" spans="1:32" x14ac:dyDescent="0.3">
      <c r="A247" s="1">
        <v>515</v>
      </c>
      <c r="B247" s="2">
        <v>46022.512291666702</v>
      </c>
      <c r="C247" s="1" t="s">
        <v>2377</v>
      </c>
      <c r="D247" s="1" t="s">
        <v>2378</v>
      </c>
      <c r="E247" s="1" t="s">
        <v>2379</v>
      </c>
      <c r="F247" s="1" t="s">
        <v>2380</v>
      </c>
      <c r="G247" s="1" t="s">
        <v>17</v>
      </c>
      <c r="H247" s="1" t="s">
        <v>18</v>
      </c>
      <c r="I247" s="1" t="s">
        <v>2381</v>
      </c>
      <c r="J247" s="1" t="s">
        <v>2381</v>
      </c>
      <c r="K247" s="1">
        <v>875</v>
      </c>
      <c r="L247" s="1">
        <v>1</v>
      </c>
      <c r="M247" s="1" t="s">
        <v>49</v>
      </c>
      <c r="N247" s="1" t="s">
        <v>2382</v>
      </c>
      <c r="O247" s="1" t="s">
        <v>2383</v>
      </c>
      <c r="P247" s="1" t="s">
        <v>98</v>
      </c>
      <c r="Q247" s="1" t="s">
        <v>2384</v>
      </c>
      <c r="R247" s="1" t="s">
        <v>10</v>
      </c>
      <c r="S247" s="3" t="s">
        <v>2385</v>
      </c>
      <c r="T247" s="4">
        <v>584</v>
      </c>
      <c r="U247" s="4" t="s">
        <v>114</v>
      </c>
      <c r="V247" s="5">
        <v>2500</v>
      </c>
      <c r="W247" s="4" t="s">
        <v>75</v>
      </c>
      <c r="X247" s="5">
        <v>500</v>
      </c>
      <c r="Y247" s="4">
        <f t="shared" si="11"/>
        <v>2875</v>
      </c>
      <c r="Z247" s="4">
        <v>875</v>
      </c>
      <c r="AA247" s="1" t="s">
        <v>2386</v>
      </c>
      <c r="AB247" s="1" t="s">
        <v>18</v>
      </c>
      <c r="AC247" s="1" t="s">
        <v>15</v>
      </c>
      <c r="AD247" s="6">
        <v>46080</v>
      </c>
      <c r="AE247" s="6">
        <v>46086</v>
      </c>
      <c r="AF247" s="1" t="s">
        <v>16</v>
      </c>
    </row>
    <row r="248" spans="1:32" x14ac:dyDescent="0.3">
      <c r="A248" s="1">
        <v>169</v>
      </c>
      <c r="B248" s="2">
        <v>45982.579918981501</v>
      </c>
      <c r="C248" s="1" t="s">
        <v>2387</v>
      </c>
      <c r="D248" s="1" t="s">
        <v>2388</v>
      </c>
      <c r="E248" s="1" t="s">
        <v>2389</v>
      </c>
      <c r="F248" s="1" t="s">
        <v>2390</v>
      </c>
      <c r="G248" s="1" t="s">
        <v>4</v>
      </c>
      <c r="H248" s="1" t="s">
        <v>18</v>
      </c>
      <c r="I248" s="1" t="s">
        <v>2391</v>
      </c>
      <c r="J248" s="1" t="s">
        <v>2391</v>
      </c>
      <c r="K248" s="1">
        <v>814</v>
      </c>
      <c r="L248" s="1">
        <v>1</v>
      </c>
      <c r="M248" s="1" t="s">
        <v>49</v>
      </c>
      <c r="N248" s="1" t="s">
        <v>2392</v>
      </c>
      <c r="O248" s="1" t="s">
        <v>2393</v>
      </c>
      <c r="P248" s="1" t="s">
        <v>9</v>
      </c>
      <c r="Q248" s="1">
        <v>0</v>
      </c>
      <c r="R248" s="1" t="s">
        <v>10</v>
      </c>
      <c r="S248" s="3" t="s">
        <v>2394</v>
      </c>
      <c r="T248" s="4">
        <v>585</v>
      </c>
      <c r="U248" s="4" t="s">
        <v>1210</v>
      </c>
      <c r="V248" s="5">
        <v>1200</v>
      </c>
      <c r="W248" s="4" t="s">
        <v>75</v>
      </c>
      <c r="X248" s="5">
        <v>500</v>
      </c>
      <c r="Y248" s="4">
        <f t="shared" si="11"/>
        <v>1514</v>
      </c>
      <c r="Z248" s="4">
        <v>814</v>
      </c>
      <c r="AA248" s="1" t="s">
        <v>2395</v>
      </c>
      <c r="AB248" s="1" t="s">
        <v>18</v>
      </c>
      <c r="AC248" s="1" t="s">
        <v>15</v>
      </c>
      <c r="AD248" s="6">
        <v>46080</v>
      </c>
      <c r="AE248" s="6">
        <v>46082</v>
      </c>
      <c r="AF248" s="1" t="s">
        <v>16</v>
      </c>
    </row>
    <row r="249" spans="1:32" x14ac:dyDescent="0.3">
      <c r="A249" s="1">
        <v>324</v>
      </c>
      <c r="B249" s="2">
        <v>46001.529108796298</v>
      </c>
      <c r="C249" s="1" t="s">
        <v>2396</v>
      </c>
      <c r="D249" s="1" t="s">
        <v>2397</v>
      </c>
      <c r="E249" s="1" t="s">
        <v>2398</v>
      </c>
      <c r="F249" s="1" t="s">
        <v>2399</v>
      </c>
      <c r="G249" s="1" t="s">
        <v>17</v>
      </c>
      <c r="H249" s="1" t="s">
        <v>47</v>
      </c>
      <c r="I249" s="1" t="s">
        <v>2391</v>
      </c>
      <c r="J249" s="1" t="s">
        <v>2391</v>
      </c>
      <c r="K249" s="1">
        <v>814</v>
      </c>
      <c r="L249" s="1">
        <v>2</v>
      </c>
      <c r="M249" s="1" t="s">
        <v>49</v>
      </c>
      <c r="N249" s="1" t="s">
        <v>2400</v>
      </c>
      <c r="O249" s="1" t="s">
        <v>2401</v>
      </c>
      <c r="P249" s="1" t="s">
        <v>98</v>
      </c>
      <c r="Q249" s="1" t="s">
        <v>2402</v>
      </c>
      <c r="R249" s="1" t="s">
        <v>10</v>
      </c>
      <c r="S249" s="3" t="s">
        <v>2403</v>
      </c>
      <c r="T249" s="4">
        <v>587</v>
      </c>
      <c r="U249" s="4" t="s">
        <v>2404</v>
      </c>
      <c r="V249" s="5">
        <v>2000</v>
      </c>
      <c r="W249" s="4" t="s">
        <v>2405</v>
      </c>
      <c r="X249" s="5">
        <v>1500</v>
      </c>
      <c r="Y249" s="4">
        <f t="shared" si="11"/>
        <v>1314</v>
      </c>
      <c r="Z249" s="4">
        <v>814</v>
      </c>
      <c r="AA249" s="1" t="s">
        <v>2406</v>
      </c>
      <c r="AB249" s="1" t="s">
        <v>42</v>
      </c>
      <c r="AC249" s="1" t="s">
        <v>15</v>
      </c>
      <c r="AD249" s="6">
        <v>46080</v>
      </c>
      <c r="AE249" s="6">
        <v>46082</v>
      </c>
      <c r="AF249" s="1" t="s">
        <v>16</v>
      </c>
    </row>
    <row r="250" spans="1:32" x14ac:dyDescent="0.3">
      <c r="A250" s="1">
        <v>177</v>
      </c>
      <c r="B250" s="2">
        <v>45982.607546296298</v>
      </c>
      <c r="C250" s="1" t="s">
        <v>2407</v>
      </c>
      <c r="D250" s="1" t="s">
        <v>2408</v>
      </c>
      <c r="E250" s="1" t="s">
        <v>2409</v>
      </c>
      <c r="F250" s="1" t="s">
        <v>2410</v>
      </c>
      <c r="G250" s="1" t="s">
        <v>4</v>
      </c>
      <c r="H250" s="1" t="s">
        <v>2411</v>
      </c>
      <c r="I250" s="1" t="s">
        <v>317</v>
      </c>
      <c r="J250" s="1" t="s">
        <v>317</v>
      </c>
      <c r="K250" s="1">
        <v>755</v>
      </c>
      <c r="L250" s="1">
        <v>1</v>
      </c>
      <c r="M250" s="1" t="s">
        <v>7</v>
      </c>
      <c r="N250" s="1" t="s">
        <v>2412</v>
      </c>
      <c r="O250" s="1" t="s">
        <v>2413</v>
      </c>
      <c r="P250" s="1" t="s">
        <v>9</v>
      </c>
      <c r="Q250" s="1">
        <v>0</v>
      </c>
      <c r="R250" s="1" t="s">
        <v>10</v>
      </c>
      <c r="S250" s="3" t="s">
        <v>2414</v>
      </c>
      <c r="T250" s="4">
        <v>589</v>
      </c>
      <c r="U250" s="4" t="s">
        <v>2415</v>
      </c>
      <c r="V250" s="5">
        <v>2500</v>
      </c>
      <c r="W250" s="4" t="s">
        <v>2416</v>
      </c>
      <c r="X250" s="5">
        <v>0</v>
      </c>
      <c r="Y250" s="4">
        <f t="shared" si="11"/>
        <v>3255</v>
      </c>
      <c r="Z250" s="4">
        <f>K250</f>
        <v>755</v>
      </c>
      <c r="AA250" s="1" t="s">
        <v>2417</v>
      </c>
      <c r="AC250" s="1" t="s">
        <v>15</v>
      </c>
      <c r="AD250" s="6">
        <v>46098</v>
      </c>
      <c r="AE250" s="6">
        <v>46116</v>
      </c>
      <c r="AF250" s="1" t="s">
        <v>16</v>
      </c>
    </row>
    <row r="251" spans="1:32" x14ac:dyDescent="0.3">
      <c r="A251" s="1">
        <v>390</v>
      </c>
      <c r="B251" s="2">
        <v>46011.2868171296</v>
      </c>
      <c r="C251" s="1" t="s">
        <v>2418</v>
      </c>
      <c r="D251" s="1" t="s">
        <v>2419</v>
      </c>
      <c r="E251" s="1" t="s">
        <v>2420</v>
      </c>
      <c r="F251" s="1" t="s">
        <v>2421</v>
      </c>
      <c r="G251" s="1" t="s">
        <v>17</v>
      </c>
      <c r="H251" s="1" t="s">
        <v>71</v>
      </c>
      <c r="I251" s="1" t="s">
        <v>2422</v>
      </c>
      <c r="J251" s="1" t="s">
        <v>2422</v>
      </c>
      <c r="K251" s="1">
        <v>814</v>
      </c>
      <c r="L251" s="1">
        <v>2</v>
      </c>
      <c r="M251" s="1" t="s">
        <v>49</v>
      </c>
      <c r="N251" s="1" t="s">
        <v>2423</v>
      </c>
      <c r="O251" s="1" t="s">
        <v>2424</v>
      </c>
      <c r="P251" s="1" t="s">
        <v>9</v>
      </c>
      <c r="Q251" s="1">
        <v>0</v>
      </c>
      <c r="R251" s="1" t="s">
        <v>10</v>
      </c>
      <c r="S251" s="3" t="s">
        <v>2425</v>
      </c>
      <c r="T251" s="4">
        <v>590</v>
      </c>
      <c r="U251" s="4" t="s">
        <v>332</v>
      </c>
      <c r="V251" s="5">
        <v>2000</v>
      </c>
      <c r="W251" s="4" t="s">
        <v>1396</v>
      </c>
      <c r="X251" s="5">
        <v>200</v>
      </c>
      <c r="Y251" s="4">
        <f t="shared" si="11"/>
        <v>2614</v>
      </c>
      <c r="Z251" s="4">
        <v>814</v>
      </c>
      <c r="AA251" s="1" t="s">
        <v>2426</v>
      </c>
      <c r="AB251" s="1" t="s">
        <v>56</v>
      </c>
      <c r="AC251" s="1" t="s">
        <v>15</v>
      </c>
      <c r="AD251" s="6">
        <v>46080</v>
      </c>
      <c r="AE251" s="6">
        <v>46092</v>
      </c>
      <c r="AF251" s="1" t="s">
        <v>16</v>
      </c>
    </row>
    <row r="252" spans="1:32" x14ac:dyDescent="0.3">
      <c r="A252" s="1">
        <v>513</v>
      </c>
      <c r="B252" s="2">
        <v>46022.403587963003</v>
      </c>
      <c r="C252" s="1" t="s">
        <v>2427</v>
      </c>
      <c r="D252" s="1" t="s">
        <v>2428</v>
      </c>
      <c r="E252" s="1" t="s">
        <v>2429</v>
      </c>
      <c r="F252" s="1" t="s">
        <v>2430</v>
      </c>
      <c r="G252" s="1" t="s">
        <v>4</v>
      </c>
      <c r="H252" s="1" t="s">
        <v>71</v>
      </c>
      <c r="I252" s="1" t="s">
        <v>2422</v>
      </c>
      <c r="J252" s="1" t="s">
        <v>2422</v>
      </c>
      <c r="K252" s="1">
        <v>814</v>
      </c>
      <c r="L252" s="1">
        <v>3</v>
      </c>
      <c r="M252" s="1" t="s">
        <v>49</v>
      </c>
      <c r="N252" s="1" t="s">
        <v>2431</v>
      </c>
      <c r="O252" s="1" t="s">
        <v>2432</v>
      </c>
      <c r="P252" s="1" t="s">
        <v>9</v>
      </c>
      <c r="Q252" s="1">
        <v>0</v>
      </c>
      <c r="R252" s="1" t="s">
        <v>177</v>
      </c>
      <c r="S252" s="3" t="s">
        <v>2433</v>
      </c>
      <c r="T252" s="4">
        <v>593</v>
      </c>
      <c r="U252" s="4" t="s">
        <v>2434</v>
      </c>
      <c r="V252" s="5">
        <v>3500</v>
      </c>
      <c r="W252" s="4" t="s">
        <v>519</v>
      </c>
      <c r="X252" s="5">
        <v>1000</v>
      </c>
      <c r="Y252" s="4">
        <f t="shared" si="11"/>
        <v>3314</v>
      </c>
      <c r="Z252" s="4">
        <f>K252</f>
        <v>814</v>
      </c>
      <c r="AA252" s="1" t="s">
        <v>2435</v>
      </c>
      <c r="AC252" s="1" t="s">
        <v>15</v>
      </c>
      <c r="AD252" s="6">
        <v>46098</v>
      </c>
      <c r="AE252" s="6">
        <v>46103</v>
      </c>
      <c r="AF252" s="1" t="s">
        <v>16</v>
      </c>
    </row>
    <row r="253" spans="1:32" x14ac:dyDescent="0.3">
      <c r="A253" s="1">
        <v>660</v>
      </c>
      <c r="B253" s="2">
        <v>46050.002858796302</v>
      </c>
      <c r="C253" s="1" t="s">
        <v>2436</v>
      </c>
      <c r="D253" s="1" t="s">
        <v>2437</v>
      </c>
      <c r="E253" s="1" t="s">
        <v>2438</v>
      </c>
      <c r="F253" s="1" t="s">
        <v>2439</v>
      </c>
      <c r="G253" s="1" t="s">
        <v>4</v>
      </c>
      <c r="H253" s="1" t="s">
        <v>2440</v>
      </c>
      <c r="I253" s="1" t="s">
        <v>2422</v>
      </c>
      <c r="J253" s="1" t="s">
        <v>2422</v>
      </c>
      <c r="K253" s="1">
        <v>814</v>
      </c>
      <c r="L253" s="1">
        <v>5</v>
      </c>
      <c r="M253" s="1" t="s">
        <v>49</v>
      </c>
      <c r="N253" s="1" t="s">
        <v>2441</v>
      </c>
      <c r="O253" s="1" t="s">
        <v>2442</v>
      </c>
      <c r="P253" s="1" t="s">
        <v>9</v>
      </c>
      <c r="Q253" s="1">
        <v>0</v>
      </c>
      <c r="R253" s="1" t="s">
        <v>10</v>
      </c>
      <c r="S253" s="3" t="s">
        <v>2443</v>
      </c>
      <c r="T253" s="4">
        <v>869</v>
      </c>
      <c r="U253" s="4" t="s">
        <v>2444</v>
      </c>
      <c r="V253" s="5">
        <v>2400</v>
      </c>
      <c r="W253" s="4" t="s">
        <v>519</v>
      </c>
      <c r="X253" s="5">
        <v>1000</v>
      </c>
      <c r="Y253" s="4">
        <f t="shared" si="11"/>
        <v>2214</v>
      </c>
      <c r="Z253" s="1">
        <v>814</v>
      </c>
      <c r="AA253" s="1" t="s">
        <v>2445</v>
      </c>
      <c r="AC253" s="1" t="s">
        <v>15</v>
      </c>
      <c r="AD253" s="6">
        <v>46080</v>
      </c>
      <c r="AE253" s="6">
        <v>46126</v>
      </c>
      <c r="AF253" s="1" t="s">
        <v>16</v>
      </c>
    </row>
    <row r="254" spans="1:32" x14ac:dyDescent="0.3">
      <c r="A254" s="1">
        <v>509</v>
      </c>
      <c r="B254" s="2">
        <v>46022.186886574098</v>
      </c>
      <c r="C254" s="1" t="s">
        <v>2446</v>
      </c>
      <c r="D254" s="1" t="s">
        <v>2447</v>
      </c>
      <c r="E254" s="1" t="s">
        <v>2448</v>
      </c>
      <c r="F254" s="1" t="s">
        <v>2449</v>
      </c>
      <c r="G254" s="1" t="s">
        <v>4</v>
      </c>
      <c r="H254" s="1" t="s">
        <v>47</v>
      </c>
      <c r="I254" s="1" t="s">
        <v>2422</v>
      </c>
      <c r="J254" s="1" t="s">
        <v>2422</v>
      </c>
      <c r="K254" s="1">
        <v>407</v>
      </c>
      <c r="L254" s="1">
        <v>4</v>
      </c>
      <c r="M254" s="1" t="s">
        <v>2450</v>
      </c>
      <c r="N254" s="1" t="s">
        <v>2450</v>
      </c>
      <c r="O254" s="1" t="s">
        <v>2451</v>
      </c>
      <c r="P254" s="1" t="s">
        <v>98</v>
      </c>
      <c r="Q254" s="1" t="s">
        <v>2452</v>
      </c>
      <c r="R254" s="1" t="s">
        <v>10</v>
      </c>
      <c r="S254" s="3" t="s">
        <v>2453</v>
      </c>
      <c r="T254" s="4">
        <v>592</v>
      </c>
      <c r="U254" s="4" t="s">
        <v>2454</v>
      </c>
      <c r="V254" s="5">
        <v>3000</v>
      </c>
      <c r="W254" s="4" t="s">
        <v>2455</v>
      </c>
      <c r="X254" s="5">
        <v>1000</v>
      </c>
      <c r="Y254" s="4">
        <f t="shared" si="11"/>
        <v>2407</v>
      </c>
      <c r="Z254" s="1">
        <v>407</v>
      </c>
      <c r="AA254" s="1" t="s">
        <v>2456</v>
      </c>
      <c r="AC254" s="1" t="s">
        <v>15</v>
      </c>
      <c r="AD254" s="6">
        <v>46098</v>
      </c>
      <c r="AE254" s="6">
        <v>46168</v>
      </c>
      <c r="AF254" s="1" t="s">
        <v>16</v>
      </c>
    </row>
    <row r="255" spans="1:32" x14ac:dyDescent="0.3">
      <c r="A255" s="1">
        <v>342</v>
      </c>
      <c r="B255" s="2">
        <v>46005.734189814801</v>
      </c>
      <c r="C255" s="1" t="s">
        <v>2457</v>
      </c>
      <c r="D255" s="1" t="s">
        <v>2458</v>
      </c>
      <c r="E255" s="1" t="s">
        <v>2459</v>
      </c>
      <c r="F255" s="1" t="s">
        <v>2460</v>
      </c>
      <c r="G255" s="1" t="s">
        <v>4</v>
      </c>
      <c r="H255" s="1" t="s">
        <v>2461</v>
      </c>
      <c r="I255" s="1" t="s">
        <v>2462</v>
      </c>
      <c r="J255" s="1" t="s">
        <v>2462</v>
      </c>
      <c r="K255" s="1">
        <v>407</v>
      </c>
      <c r="L255" s="1">
        <v>2</v>
      </c>
      <c r="M255" s="1" t="s">
        <v>2463</v>
      </c>
      <c r="N255" s="1" t="s">
        <v>2464</v>
      </c>
      <c r="O255" s="1" t="s">
        <v>213</v>
      </c>
      <c r="P255" s="1" t="s">
        <v>98</v>
      </c>
      <c r="Q255" s="1" t="s">
        <v>2465</v>
      </c>
      <c r="R255" s="1" t="s">
        <v>10</v>
      </c>
      <c r="S255" s="3" t="s">
        <v>2466</v>
      </c>
      <c r="T255" s="4">
        <v>604</v>
      </c>
      <c r="U255" s="4" t="s">
        <v>699</v>
      </c>
      <c r="V255" s="5">
        <v>1500</v>
      </c>
      <c r="W255" s="4" t="s">
        <v>2467</v>
      </c>
      <c r="X255" s="5">
        <v>214</v>
      </c>
      <c r="Y255" s="4">
        <f t="shared" si="11"/>
        <v>1693</v>
      </c>
      <c r="Z255" s="4">
        <v>407</v>
      </c>
      <c r="AA255" s="1" t="s">
        <v>2468</v>
      </c>
      <c r="AB255" s="1" t="s">
        <v>130</v>
      </c>
      <c r="AC255" s="1" t="s">
        <v>15</v>
      </c>
      <c r="AD255" s="6">
        <v>46080</v>
      </c>
      <c r="AE255" s="6">
        <v>46093</v>
      </c>
      <c r="AF255" s="1" t="s">
        <v>16</v>
      </c>
    </row>
    <row r="256" spans="1:32" x14ac:dyDescent="0.3">
      <c r="A256" s="1">
        <v>136</v>
      </c>
      <c r="B256" s="2">
        <v>45976.581886574102</v>
      </c>
      <c r="C256" s="1" t="s">
        <v>2469</v>
      </c>
      <c r="D256" s="1" t="s">
        <v>2470</v>
      </c>
      <c r="E256" s="1" t="s">
        <v>2471</v>
      </c>
      <c r="F256" s="1" t="s">
        <v>2472</v>
      </c>
      <c r="G256" s="1" t="s">
        <v>4</v>
      </c>
      <c r="H256" s="1" t="s">
        <v>47</v>
      </c>
      <c r="I256" s="1" t="s">
        <v>2462</v>
      </c>
      <c r="J256" s="1" t="s">
        <v>2462</v>
      </c>
      <c r="K256" s="1">
        <v>814</v>
      </c>
      <c r="L256" s="1">
        <v>3</v>
      </c>
      <c r="M256" s="1" t="s">
        <v>49</v>
      </c>
      <c r="N256" s="1" t="s">
        <v>1306</v>
      </c>
      <c r="O256" s="1" t="s">
        <v>2473</v>
      </c>
      <c r="P256" s="1" t="s">
        <v>98</v>
      </c>
      <c r="Q256" s="1" t="s">
        <v>2474</v>
      </c>
      <c r="R256" s="1" t="s">
        <v>10</v>
      </c>
      <c r="S256" s="3" t="s">
        <v>2475</v>
      </c>
      <c r="T256" s="4">
        <v>601</v>
      </c>
      <c r="U256" s="4" t="s">
        <v>2476</v>
      </c>
      <c r="V256" s="5">
        <v>450</v>
      </c>
      <c r="W256" s="4" t="s">
        <v>75</v>
      </c>
      <c r="X256" s="5">
        <v>500</v>
      </c>
      <c r="Y256" s="4">
        <f t="shared" si="11"/>
        <v>764</v>
      </c>
      <c r="Z256" s="4">
        <v>814</v>
      </c>
      <c r="AA256" s="1" t="s">
        <v>2477</v>
      </c>
      <c r="AB256" s="1" t="s">
        <v>56</v>
      </c>
      <c r="AC256" s="1" t="s">
        <v>15</v>
      </c>
      <c r="AD256" s="6">
        <v>46080</v>
      </c>
      <c r="AE256" s="6">
        <v>46101</v>
      </c>
      <c r="AF256" s="1" t="s">
        <v>16</v>
      </c>
    </row>
    <row r="257" spans="1:32" x14ac:dyDescent="0.3">
      <c r="A257" s="1">
        <v>88</v>
      </c>
      <c r="B257" s="2">
        <v>45952.632569444446</v>
      </c>
      <c r="C257" s="1" t="s">
        <v>2478</v>
      </c>
      <c r="D257" s="1" t="s">
        <v>2479</v>
      </c>
      <c r="E257" s="1" t="s">
        <v>2480</v>
      </c>
      <c r="F257" s="1" t="s">
        <v>2481</v>
      </c>
      <c r="G257" s="1" t="s">
        <v>4</v>
      </c>
      <c r="H257" s="1" t="s">
        <v>27</v>
      </c>
      <c r="I257" s="1" t="s">
        <v>2462</v>
      </c>
      <c r="J257" s="1" t="s">
        <v>2462</v>
      </c>
      <c r="K257" s="1">
        <v>755</v>
      </c>
      <c r="L257" s="1">
        <v>4</v>
      </c>
      <c r="M257" s="1" t="s">
        <v>7</v>
      </c>
      <c r="N257" s="1" t="s">
        <v>2482</v>
      </c>
      <c r="O257" s="1" t="s">
        <v>1560</v>
      </c>
      <c r="P257" s="1" t="s">
        <v>98</v>
      </c>
      <c r="Q257" s="1" t="s">
        <v>2483</v>
      </c>
      <c r="R257" s="1" t="s">
        <v>10</v>
      </c>
      <c r="S257" s="3" t="s">
        <v>865</v>
      </c>
      <c r="T257" s="4">
        <v>600</v>
      </c>
      <c r="U257" s="4" t="s">
        <v>522</v>
      </c>
      <c r="V257" s="5">
        <v>500</v>
      </c>
      <c r="W257" s="4" t="s">
        <v>556</v>
      </c>
      <c r="X257" s="5">
        <v>250</v>
      </c>
      <c r="Y257" s="4">
        <f t="shared" si="11"/>
        <v>1005</v>
      </c>
      <c r="Z257" s="4">
        <v>755</v>
      </c>
      <c r="AA257" s="1" t="s">
        <v>2484</v>
      </c>
      <c r="AB257" s="1" t="s">
        <v>130</v>
      </c>
      <c r="AC257" s="1" t="s">
        <v>15</v>
      </c>
      <c r="AD257" s="6">
        <v>46080</v>
      </c>
      <c r="AE257" s="6">
        <v>46080</v>
      </c>
      <c r="AF257" s="1" t="s">
        <v>16</v>
      </c>
    </row>
    <row r="258" spans="1:32" x14ac:dyDescent="0.3">
      <c r="A258" s="1">
        <v>47</v>
      </c>
      <c r="B258" s="2">
        <v>45932.323819444442</v>
      </c>
      <c r="C258" s="1" t="s">
        <v>2485</v>
      </c>
      <c r="D258" s="1" t="s">
        <v>1478</v>
      </c>
      <c r="E258" s="1" t="s">
        <v>2486</v>
      </c>
      <c r="F258" s="1" t="s">
        <v>2487</v>
      </c>
      <c r="G258" s="1" t="s">
        <v>4</v>
      </c>
      <c r="H258" s="1" t="s">
        <v>71</v>
      </c>
      <c r="I258" s="1" t="s">
        <v>2462</v>
      </c>
      <c r="J258" s="1" t="s">
        <v>2462</v>
      </c>
      <c r="K258" s="1">
        <v>814</v>
      </c>
      <c r="L258" s="1">
        <v>5</v>
      </c>
      <c r="M258" s="1" t="s">
        <v>49</v>
      </c>
      <c r="N258" s="1" t="s">
        <v>2488</v>
      </c>
      <c r="O258" s="1" t="s">
        <v>2489</v>
      </c>
      <c r="P258" s="1" t="s">
        <v>9</v>
      </c>
      <c r="Q258" s="1" t="s">
        <v>1306</v>
      </c>
      <c r="R258" s="1" t="s">
        <v>10</v>
      </c>
      <c r="S258" s="3" t="s">
        <v>2490</v>
      </c>
      <c r="T258" s="4">
        <v>598</v>
      </c>
      <c r="U258" s="4" t="s">
        <v>2491</v>
      </c>
      <c r="V258" s="5">
        <v>1500</v>
      </c>
      <c r="W258" s="4" t="s">
        <v>128</v>
      </c>
      <c r="X258" s="5">
        <v>100</v>
      </c>
      <c r="Y258" s="4">
        <f t="shared" si="11"/>
        <v>2214</v>
      </c>
      <c r="Z258" s="1">
        <v>814</v>
      </c>
      <c r="AA258" s="1" t="s">
        <v>2492</v>
      </c>
      <c r="AB258" s="1" t="s">
        <v>56</v>
      </c>
      <c r="AC258" s="1" t="s">
        <v>15</v>
      </c>
      <c r="AD258" s="6">
        <v>46080</v>
      </c>
      <c r="AE258" s="6">
        <v>46101</v>
      </c>
      <c r="AF258" s="1" t="s">
        <v>16</v>
      </c>
    </row>
    <row r="259" spans="1:32" x14ac:dyDescent="0.3">
      <c r="A259" s="1">
        <v>749</v>
      </c>
      <c r="B259" s="2">
        <v>46070.177118055602</v>
      </c>
      <c r="C259" s="1" t="s">
        <v>2493</v>
      </c>
      <c r="D259" s="1" t="s">
        <v>2494</v>
      </c>
      <c r="E259" s="1" t="s">
        <v>2495</v>
      </c>
      <c r="F259" s="1" t="s">
        <v>2496</v>
      </c>
      <c r="G259" s="1" t="s">
        <v>4</v>
      </c>
      <c r="H259" s="1" t="s">
        <v>47</v>
      </c>
      <c r="I259" s="1" t="s">
        <v>2462</v>
      </c>
      <c r="J259" s="1" t="s">
        <v>2462</v>
      </c>
      <c r="K259" s="1">
        <v>755</v>
      </c>
      <c r="L259" s="1">
        <v>6</v>
      </c>
      <c r="M259" s="1" t="s">
        <v>7</v>
      </c>
      <c r="N259" s="1" t="s">
        <v>2497</v>
      </c>
      <c r="O259" s="1" t="s">
        <v>2498</v>
      </c>
      <c r="P259" s="1" t="s">
        <v>98</v>
      </c>
      <c r="Q259" s="1">
        <v>0</v>
      </c>
      <c r="R259" s="1" t="s">
        <v>10</v>
      </c>
      <c r="S259" s="3" t="s">
        <v>1065</v>
      </c>
      <c r="T259" s="4">
        <v>831</v>
      </c>
      <c r="U259" s="4" t="s">
        <v>2499</v>
      </c>
      <c r="V259" s="5">
        <v>1190</v>
      </c>
      <c r="W259" s="4" t="s">
        <v>2500</v>
      </c>
      <c r="X259" s="5">
        <v>831</v>
      </c>
      <c r="Y259" s="4">
        <f t="shared" si="11"/>
        <v>1114</v>
      </c>
      <c r="Z259" s="1">
        <v>755</v>
      </c>
      <c r="AA259" s="1" t="s">
        <v>2501</v>
      </c>
      <c r="AC259" s="1" t="s">
        <v>15</v>
      </c>
      <c r="AD259" s="6">
        <v>46080</v>
      </c>
      <c r="AE259" s="6">
        <v>46123</v>
      </c>
      <c r="AF259" s="1" t="s">
        <v>16</v>
      </c>
    </row>
    <row r="260" spans="1:32" x14ac:dyDescent="0.3">
      <c r="A260" s="1">
        <v>514</v>
      </c>
      <c r="B260" s="2">
        <v>46022.4288773148</v>
      </c>
      <c r="C260" s="1" t="s">
        <v>2502</v>
      </c>
      <c r="D260" s="1" t="s">
        <v>2458</v>
      </c>
      <c r="E260" s="1" t="s">
        <v>2503</v>
      </c>
      <c r="F260" s="1" t="s">
        <v>2504</v>
      </c>
      <c r="G260" s="1" t="s">
        <v>4</v>
      </c>
      <c r="H260" s="1" t="s">
        <v>27</v>
      </c>
      <c r="I260" s="1" t="s">
        <v>2462</v>
      </c>
      <c r="J260" s="1" t="s">
        <v>2462</v>
      </c>
      <c r="K260" s="1">
        <v>407</v>
      </c>
      <c r="L260" s="1">
        <v>7</v>
      </c>
      <c r="M260" s="1" t="s">
        <v>2505</v>
      </c>
      <c r="N260" s="1" t="s">
        <v>2506</v>
      </c>
      <c r="O260" s="1" t="s">
        <v>213</v>
      </c>
      <c r="P260" s="1" t="s">
        <v>9</v>
      </c>
      <c r="Q260" s="1">
        <v>0</v>
      </c>
      <c r="R260" s="1" t="s">
        <v>10</v>
      </c>
      <c r="S260" s="3" t="s">
        <v>2507</v>
      </c>
      <c r="T260" s="4">
        <v>606</v>
      </c>
      <c r="U260" s="4" t="s">
        <v>333</v>
      </c>
      <c r="V260" s="5">
        <v>500</v>
      </c>
      <c r="W260" s="4" t="s">
        <v>128</v>
      </c>
      <c r="X260" s="5">
        <v>100</v>
      </c>
      <c r="Y260" s="4">
        <f t="shared" si="11"/>
        <v>807</v>
      </c>
      <c r="Z260" s="1">
        <v>407</v>
      </c>
      <c r="AA260" s="1" t="s">
        <v>2508</v>
      </c>
      <c r="AB260" s="1" t="s">
        <v>130</v>
      </c>
      <c r="AC260" s="1" t="s">
        <v>15</v>
      </c>
      <c r="AD260" s="6">
        <v>46080</v>
      </c>
      <c r="AE260" s="6">
        <v>46125</v>
      </c>
      <c r="AF260" s="1" t="s">
        <v>16</v>
      </c>
    </row>
    <row r="261" spans="1:32" x14ac:dyDescent="0.3">
      <c r="A261" s="1">
        <v>332</v>
      </c>
      <c r="B261" s="2">
        <v>46002.172800925902</v>
      </c>
      <c r="C261" s="1" t="s">
        <v>2509</v>
      </c>
      <c r="D261" s="1" t="s">
        <v>2510</v>
      </c>
      <c r="E261" s="1" t="s">
        <v>2511</v>
      </c>
      <c r="F261" s="1" t="s">
        <v>2512</v>
      </c>
      <c r="G261" s="1" t="s">
        <v>4</v>
      </c>
      <c r="H261" s="1" t="s">
        <v>71</v>
      </c>
      <c r="I261" s="1" t="s">
        <v>2462</v>
      </c>
      <c r="J261" s="1" t="s">
        <v>2462</v>
      </c>
      <c r="K261" s="1">
        <v>814</v>
      </c>
      <c r="L261" s="1">
        <v>8</v>
      </c>
      <c r="M261" s="1" t="s">
        <v>49</v>
      </c>
      <c r="N261" s="1" t="s">
        <v>2513</v>
      </c>
      <c r="O261" s="1" t="s">
        <v>18</v>
      </c>
      <c r="P261" s="1" t="s">
        <v>9</v>
      </c>
      <c r="Q261" s="1" t="s">
        <v>1306</v>
      </c>
      <c r="R261" s="1" t="s">
        <v>10</v>
      </c>
      <c r="S261" s="3" t="s">
        <v>2514</v>
      </c>
      <c r="T261" s="4">
        <v>603</v>
      </c>
      <c r="U261" s="4" t="s">
        <v>2515</v>
      </c>
      <c r="V261" s="5">
        <v>300</v>
      </c>
      <c r="W261" s="4" t="s">
        <v>2515</v>
      </c>
      <c r="X261" s="5">
        <v>300</v>
      </c>
      <c r="Y261" s="4">
        <f t="shared" si="11"/>
        <v>814</v>
      </c>
      <c r="Z261" s="1">
        <v>814</v>
      </c>
      <c r="AA261" s="1" t="s">
        <v>2516</v>
      </c>
      <c r="AC261" s="1" t="s">
        <v>15</v>
      </c>
      <c r="AD261" s="6">
        <v>46080</v>
      </c>
      <c r="AE261" s="6">
        <v>46124</v>
      </c>
      <c r="AF261" s="1" t="s">
        <v>16</v>
      </c>
    </row>
    <row r="262" spans="1:32" x14ac:dyDescent="0.3">
      <c r="A262" s="1">
        <v>298</v>
      </c>
      <c r="B262" s="2">
        <v>45994.595879629604</v>
      </c>
      <c r="C262" s="1" t="s">
        <v>2517</v>
      </c>
      <c r="D262" s="1" t="s">
        <v>2518</v>
      </c>
      <c r="E262" s="1" t="s">
        <v>2519</v>
      </c>
      <c r="F262" s="1" t="s">
        <v>2520</v>
      </c>
      <c r="G262" s="1" t="s">
        <v>4</v>
      </c>
      <c r="H262" s="1" t="s">
        <v>71</v>
      </c>
      <c r="I262" s="1" t="s">
        <v>2462</v>
      </c>
      <c r="J262" s="1" t="s">
        <v>2462</v>
      </c>
      <c r="K262" s="1">
        <v>814</v>
      </c>
      <c r="L262" s="1">
        <v>9</v>
      </c>
      <c r="M262" s="1" t="s">
        <v>49</v>
      </c>
      <c r="N262" s="1" t="s">
        <v>2521</v>
      </c>
      <c r="O262" s="1" t="s">
        <v>213</v>
      </c>
      <c r="P262" s="1" t="s">
        <v>9</v>
      </c>
      <c r="Q262" s="1">
        <v>0</v>
      </c>
      <c r="R262" s="1" t="s">
        <v>10</v>
      </c>
      <c r="S262" s="3" t="s">
        <v>2522</v>
      </c>
      <c r="T262" s="4">
        <v>602</v>
      </c>
      <c r="U262" s="4" t="s">
        <v>2523</v>
      </c>
      <c r="V262" s="5">
        <v>1190</v>
      </c>
      <c r="W262" s="4" t="s">
        <v>1634</v>
      </c>
      <c r="X262" s="5">
        <v>100</v>
      </c>
      <c r="Y262" s="4">
        <f t="shared" si="11"/>
        <v>1904</v>
      </c>
      <c r="Z262" s="1">
        <v>814</v>
      </c>
      <c r="AA262" s="1" t="s">
        <v>2524</v>
      </c>
      <c r="AC262" s="1" t="s">
        <v>15</v>
      </c>
      <c r="AD262" s="6">
        <v>46080</v>
      </c>
      <c r="AE262" s="6">
        <v>46125</v>
      </c>
      <c r="AF262" s="1" t="s">
        <v>16</v>
      </c>
    </row>
    <row r="263" spans="1:32" x14ac:dyDescent="0.3">
      <c r="A263" s="1">
        <v>63</v>
      </c>
      <c r="B263" s="2">
        <v>45945.642592592594</v>
      </c>
      <c r="C263" s="1" t="s">
        <v>2525</v>
      </c>
      <c r="D263" s="1" t="s">
        <v>2526</v>
      </c>
      <c r="E263" s="1" t="s">
        <v>2527</v>
      </c>
      <c r="F263" s="1" t="s">
        <v>2528</v>
      </c>
      <c r="G263" s="1" t="s">
        <v>4</v>
      </c>
      <c r="H263" s="1" t="s">
        <v>71</v>
      </c>
      <c r="I263" s="1" t="s">
        <v>2462</v>
      </c>
      <c r="J263" s="1" t="s">
        <v>2462</v>
      </c>
      <c r="K263" s="1">
        <v>814</v>
      </c>
      <c r="L263" s="1">
        <v>11</v>
      </c>
      <c r="M263" s="1" t="s">
        <v>49</v>
      </c>
      <c r="N263" s="1" t="s">
        <v>2529</v>
      </c>
      <c r="O263" s="1" t="s">
        <v>2530</v>
      </c>
      <c r="P263" s="1" t="s">
        <v>98</v>
      </c>
      <c r="Q263" s="1" t="s">
        <v>2531</v>
      </c>
      <c r="R263" s="1" t="s">
        <v>10</v>
      </c>
      <c r="S263" s="3" t="s">
        <v>2532</v>
      </c>
      <c r="T263" s="4">
        <v>599</v>
      </c>
      <c r="U263" s="4" t="s">
        <v>333</v>
      </c>
      <c r="V263" s="5">
        <v>500</v>
      </c>
      <c r="W263" s="4" t="s">
        <v>2533</v>
      </c>
      <c r="X263" s="5" t="s">
        <v>409</v>
      </c>
      <c r="Y263" s="4">
        <f t="shared" si="11"/>
        <v>1114</v>
      </c>
      <c r="Z263" s="1">
        <v>814</v>
      </c>
      <c r="AA263" s="1" t="s">
        <v>2534</v>
      </c>
      <c r="AC263" s="1" t="s">
        <v>15</v>
      </c>
      <c r="AD263" s="6">
        <v>46080</v>
      </c>
      <c r="AE263" s="6">
        <v>46123</v>
      </c>
      <c r="AF263" s="1" t="s">
        <v>16</v>
      </c>
    </row>
    <row r="264" spans="1:32" x14ac:dyDescent="0.3">
      <c r="A264" s="1">
        <v>12</v>
      </c>
      <c r="B264" s="2">
        <v>45917.386574074073</v>
      </c>
      <c r="C264" s="1" t="s">
        <v>2535</v>
      </c>
      <c r="D264" s="1" t="s">
        <v>2536</v>
      </c>
      <c r="E264" s="1" t="s">
        <v>2537</v>
      </c>
      <c r="F264" s="1" t="s">
        <v>2538</v>
      </c>
      <c r="G264" s="1" t="s">
        <v>4</v>
      </c>
      <c r="H264" s="1" t="s">
        <v>2539</v>
      </c>
      <c r="I264" s="1" t="s">
        <v>2462</v>
      </c>
      <c r="J264" s="1" t="s">
        <v>2462</v>
      </c>
      <c r="K264" s="1">
        <v>407</v>
      </c>
      <c r="L264" s="1">
        <v>12</v>
      </c>
      <c r="M264" s="1" t="s">
        <v>20</v>
      </c>
      <c r="N264" s="1" t="s">
        <v>2049</v>
      </c>
      <c r="O264" s="1" t="s">
        <v>2540</v>
      </c>
      <c r="P264" s="1" t="s">
        <v>9</v>
      </c>
      <c r="Q264" s="1">
        <v>0</v>
      </c>
      <c r="R264" s="1" t="s">
        <v>10</v>
      </c>
      <c r="S264" s="3" t="s">
        <v>2541</v>
      </c>
      <c r="T264" s="4">
        <v>595</v>
      </c>
      <c r="U264" s="4" t="s">
        <v>2251</v>
      </c>
      <c r="V264" s="5">
        <v>1500</v>
      </c>
      <c r="W264" s="4" t="s">
        <v>2352</v>
      </c>
      <c r="X264" s="5">
        <v>200</v>
      </c>
      <c r="Y264" s="4">
        <f t="shared" si="11"/>
        <v>1707</v>
      </c>
      <c r="Z264" s="1">
        <v>407</v>
      </c>
      <c r="AA264" s="1" t="s">
        <v>2542</v>
      </c>
      <c r="AC264" s="1" t="s">
        <v>15</v>
      </c>
      <c r="AD264" s="6">
        <v>46080</v>
      </c>
      <c r="AE264" s="6">
        <v>46122</v>
      </c>
      <c r="AF264" s="1" t="s">
        <v>16</v>
      </c>
    </row>
    <row r="265" spans="1:32" x14ac:dyDescent="0.3">
      <c r="A265" s="1">
        <v>43</v>
      </c>
      <c r="B265" s="2">
        <v>45932.12872685185</v>
      </c>
      <c r="C265" s="1" t="s">
        <v>2543</v>
      </c>
      <c r="D265" s="1" t="s">
        <v>2544</v>
      </c>
      <c r="E265" s="1" t="s">
        <v>2545</v>
      </c>
      <c r="F265" s="1" t="s">
        <v>2546</v>
      </c>
      <c r="G265" s="1" t="s">
        <v>17</v>
      </c>
      <c r="H265" s="1" t="s">
        <v>2547</v>
      </c>
      <c r="I265" s="1" t="s">
        <v>2462</v>
      </c>
      <c r="J265" s="1" t="s">
        <v>2462</v>
      </c>
      <c r="K265" s="1">
        <v>814</v>
      </c>
      <c r="L265" s="1">
        <v>13</v>
      </c>
      <c r="M265" s="1" t="s">
        <v>49</v>
      </c>
      <c r="N265" s="1" t="s">
        <v>2548</v>
      </c>
      <c r="O265" s="1" t="s">
        <v>2549</v>
      </c>
      <c r="P265" s="1" t="s">
        <v>98</v>
      </c>
      <c r="Q265" s="1" t="s">
        <v>2550</v>
      </c>
      <c r="R265" s="1" t="s">
        <v>177</v>
      </c>
      <c r="S265" s="3" t="s">
        <v>2551</v>
      </c>
      <c r="T265" s="4">
        <v>596</v>
      </c>
      <c r="U265" s="4" t="s">
        <v>332</v>
      </c>
      <c r="V265" s="5">
        <v>2000</v>
      </c>
      <c r="W265" s="4" t="s">
        <v>333</v>
      </c>
      <c r="X265" s="5">
        <v>500</v>
      </c>
      <c r="Y265" s="4">
        <f t="shared" si="11"/>
        <v>2314</v>
      </c>
      <c r="Z265" s="1">
        <v>814</v>
      </c>
      <c r="AA265" s="1" t="s">
        <v>2552</v>
      </c>
      <c r="AC265" s="1" t="s">
        <v>15</v>
      </c>
      <c r="AD265" s="6">
        <v>46080</v>
      </c>
      <c r="AE265" s="6">
        <v>46122</v>
      </c>
      <c r="AF265" s="1" t="s">
        <v>16</v>
      </c>
    </row>
    <row r="266" spans="1:32" x14ac:dyDescent="0.3">
      <c r="A266" s="1">
        <v>44</v>
      </c>
      <c r="B266" s="2">
        <v>45932.15824074074</v>
      </c>
      <c r="C266" s="1" t="s">
        <v>2553</v>
      </c>
      <c r="D266" s="1" t="s">
        <v>2544</v>
      </c>
      <c r="E266" s="1" t="s">
        <v>2554</v>
      </c>
      <c r="F266" s="1" t="s">
        <v>2555</v>
      </c>
      <c r="G266" s="1" t="s">
        <v>4</v>
      </c>
      <c r="H266" s="1" t="s">
        <v>2556</v>
      </c>
      <c r="I266" s="1" t="s">
        <v>2462</v>
      </c>
      <c r="J266" s="1" t="s">
        <v>2462</v>
      </c>
      <c r="K266" s="1">
        <v>385</v>
      </c>
      <c r="L266" s="1">
        <v>14</v>
      </c>
      <c r="M266" s="1" t="s">
        <v>2557</v>
      </c>
      <c r="N266" s="1" t="s">
        <v>2558</v>
      </c>
      <c r="O266" s="1" t="s">
        <v>2559</v>
      </c>
      <c r="P266" s="1" t="s">
        <v>9</v>
      </c>
      <c r="Q266" s="1" t="s">
        <v>1306</v>
      </c>
      <c r="R266" s="1" t="s">
        <v>9</v>
      </c>
      <c r="S266" s="3" t="s">
        <v>2560</v>
      </c>
      <c r="T266" s="4">
        <v>597</v>
      </c>
      <c r="U266" s="4" t="s">
        <v>332</v>
      </c>
      <c r="V266" s="5">
        <v>2000</v>
      </c>
      <c r="W266" s="4" t="s">
        <v>333</v>
      </c>
      <c r="X266" s="5">
        <v>500</v>
      </c>
      <c r="Y266" s="4">
        <f t="shared" si="11"/>
        <v>1885</v>
      </c>
      <c r="Z266" s="1">
        <v>385</v>
      </c>
      <c r="AA266" s="1" t="s">
        <v>2561</v>
      </c>
      <c r="AC266" s="1" t="s">
        <v>15</v>
      </c>
      <c r="AD266" s="6">
        <v>46080</v>
      </c>
      <c r="AE266" s="6">
        <v>46123</v>
      </c>
      <c r="AF266" s="1" t="s">
        <v>16</v>
      </c>
    </row>
    <row r="267" spans="1:32" x14ac:dyDescent="0.3">
      <c r="A267" s="1">
        <v>11</v>
      </c>
      <c r="B267" s="2">
        <v>45917.33148148148</v>
      </c>
      <c r="C267" s="1" t="s">
        <v>2562</v>
      </c>
      <c r="D267" s="1" t="s">
        <v>2563</v>
      </c>
      <c r="E267" s="1" t="s">
        <v>2564</v>
      </c>
      <c r="F267" s="1" t="s">
        <v>2565</v>
      </c>
      <c r="G267" s="1" t="s">
        <v>4</v>
      </c>
      <c r="H267" s="1" t="s">
        <v>71</v>
      </c>
      <c r="I267" s="1" t="s">
        <v>2462</v>
      </c>
      <c r="J267" s="1" t="s">
        <v>2462</v>
      </c>
      <c r="K267" s="1">
        <v>407</v>
      </c>
      <c r="L267" s="1">
        <v>10</v>
      </c>
      <c r="M267" s="1" t="s">
        <v>20</v>
      </c>
      <c r="N267" s="1" t="s">
        <v>2566</v>
      </c>
      <c r="O267" s="1" t="s">
        <v>213</v>
      </c>
      <c r="P267" s="1" t="s">
        <v>9</v>
      </c>
      <c r="Q267" s="1">
        <v>0</v>
      </c>
      <c r="R267" s="1" t="s">
        <v>10</v>
      </c>
      <c r="S267" s="3" t="s">
        <v>2567</v>
      </c>
      <c r="T267" s="4">
        <v>594</v>
      </c>
      <c r="U267" s="4" t="s">
        <v>75</v>
      </c>
      <c r="V267" s="5">
        <v>500</v>
      </c>
      <c r="W267" s="4" t="s">
        <v>76</v>
      </c>
      <c r="X267" s="5">
        <v>100</v>
      </c>
      <c r="Y267" s="4">
        <f t="shared" si="11"/>
        <v>807</v>
      </c>
      <c r="Z267" s="1">
        <v>407</v>
      </c>
      <c r="AA267" s="1" t="s">
        <v>2568</v>
      </c>
      <c r="AC267" s="1" t="s">
        <v>15</v>
      </c>
      <c r="AD267" s="6">
        <v>46080</v>
      </c>
      <c r="AE267" s="6">
        <v>46167</v>
      </c>
      <c r="AF267" s="1" t="s">
        <v>16</v>
      </c>
    </row>
    <row r="268" spans="1:32" x14ac:dyDescent="0.3">
      <c r="A268" s="1">
        <v>709</v>
      </c>
      <c r="B268" s="2">
        <v>46053.5569791667</v>
      </c>
      <c r="C268" s="1" t="s">
        <v>2569</v>
      </c>
      <c r="D268" s="1" t="s">
        <v>2570</v>
      </c>
      <c r="E268" s="1" t="s">
        <v>2571</v>
      </c>
      <c r="F268" s="1" t="s">
        <v>2572</v>
      </c>
      <c r="G268" s="1" t="s">
        <v>17</v>
      </c>
      <c r="H268" s="1" t="s">
        <v>18</v>
      </c>
      <c r="I268" s="1" t="s">
        <v>2573</v>
      </c>
      <c r="J268" s="1" t="s">
        <v>2573</v>
      </c>
      <c r="K268" s="1">
        <v>787</v>
      </c>
      <c r="L268" s="1">
        <v>1</v>
      </c>
      <c r="M268" s="1" t="s">
        <v>7</v>
      </c>
      <c r="N268" s="1" t="s">
        <v>2574</v>
      </c>
      <c r="O268" s="1" t="s">
        <v>2575</v>
      </c>
      <c r="P268" s="1" t="s">
        <v>98</v>
      </c>
      <c r="Q268" s="1" t="s">
        <v>2576</v>
      </c>
      <c r="R268" s="1" t="s">
        <v>10</v>
      </c>
      <c r="S268" s="3" t="s">
        <v>2577</v>
      </c>
      <c r="T268" s="4">
        <v>787</v>
      </c>
      <c r="U268" s="4" t="s">
        <v>2578</v>
      </c>
      <c r="V268" s="5" t="s">
        <v>1210</v>
      </c>
      <c r="W268" s="4" t="s">
        <v>2579</v>
      </c>
      <c r="Y268" s="4">
        <f t="shared" si="11"/>
        <v>1987</v>
      </c>
      <c r="Z268" s="4">
        <v>787</v>
      </c>
      <c r="AA268" s="1" t="s">
        <v>2580</v>
      </c>
      <c r="AB268" s="1" t="s">
        <v>18</v>
      </c>
      <c r="AC268" s="1" t="s">
        <v>15</v>
      </c>
      <c r="AD268" s="6">
        <v>46080</v>
      </c>
      <c r="AE268" s="6">
        <v>46092</v>
      </c>
      <c r="AF268" s="1" t="s">
        <v>16</v>
      </c>
    </row>
    <row r="269" spans="1:32" x14ac:dyDescent="0.3">
      <c r="A269" s="1">
        <v>510</v>
      </c>
      <c r="B269" s="2">
        <v>46022.3045486111</v>
      </c>
      <c r="C269" s="1" t="s">
        <v>44</v>
      </c>
      <c r="D269" s="1" t="s">
        <v>2581</v>
      </c>
      <c r="E269" s="1" t="s">
        <v>2582</v>
      </c>
      <c r="F269" s="1" t="s">
        <v>2583</v>
      </c>
      <c r="G269" s="1" t="s">
        <v>17</v>
      </c>
      <c r="H269" s="1" t="s">
        <v>71</v>
      </c>
      <c r="I269" s="1" t="s">
        <v>2573</v>
      </c>
      <c r="J269" s="1" t="s">
        <v>2573</v>
      </c>
      <c r="K269" s="1">
        <v>523</v>
      </c>
      <c r="L269" s="1">
        <v>2</v>
      </c>
      <c r="M269" s="1" t="s">
        <v>20</v>
      </c>
      <c r="N269" s="1" t="s">
        <v>474</v>
      </c>
      <c r="O269" s="1" t="s">
        <v>2584</v>
      </c>
      <c r="P269" s="1" t="s">
        <v>9</v>
      </c>
      <c r="Q269" s="1">
        <v>0</v>
      </c>
      <c r="R269" s="1" t="s">
        <v>10</v>
      </c>
      <c r="S269" s="3" t="s">
        <v>2585</v>
      </c>
      <c r="T269" s="4">
        <v>609</v>
      </c>
      <c r="U269" s="4" t="s">
        <v>1995</v>
      </c>
      <c r="V269" s="5">
        <v>1100</v>
      </c>
      <c r="W269" s="4" t="s">
        <v>659</v>
      </c>
      <c r="X269" s="5">
        <v>150</v>
      </c>
      <c r="Y269" s="4">
        <f t="shared" si="11"/>
        <v>1473</v>
      </c>
      <c r="Z269" s="4">
        <v>523</v>
      </c>
      <c r="AA269" s="1" t="s">
        <v>2586</v>
      </c>
      <c r="AB269" s="1" t="s">
        <v>56</v>
      </c>
      <c r="AC269" s="1" t="s">
        <v>15</v>
      </c>
      <c r="AD269" s="6">
        <v>46080</v>
      </c>
      <c r="AE269" s="6">
        <v>46083</v>
      </c>
      <c r="AF269" s="1" t="s">
        <v>16</v>
      </c>
    </row>
    <row r="270" spans="1:32" x14ac:dyDescent="0.3">
      <c r="A270" s="1">
        <v>85</v>
      </c>
      <c r="B270" s="2">
        <v>45952.536192129628</v>
      </c>
      <c r="C270" s="1" t="s">
        <v>2587</v>
      </c>
      <c r="D270" s="1" t="s">
        <v>2588</v>
      </c>
      <c r="E270" s="1" t="s">
        <v>2589</v>
      </c>
      <c r="F270" s="1" t="s">
        <v>2590</v>
      </c>
      <c r="G270" s="1" t="s">
        <v>4</v>
      </c>
      <c r="H270" s="1" t="s">
        <v>2591</v>
      </c>
      <c r="I270" s="1" t="s">
        <v>110</v>
      </c>
      <c r="J270" s="1" t="s">
        <v>2592</v>
      </c>
      <c r="K270" s="1">
        <v>875</v>
      </c>
      <c r="L270" s="1">
        <v>1</v>
      </c>
      <c r="M270" s="1" t="s">
        <v>49</v>
      </c>
      <c r="N270" s="1" t="s">
        <v>2593</v>
      </c>
      <c r="O270" s="1" t="s">
        <v>2594</v>
      </c>
      <c r="P270" s="1" t="s">
        <v>98</v>
      </c>
      <c r="Q270" s="1" t="s">
        <v>2595</v>
      </c>
      <c r="R270" s="1" t="s">
        <v>10</v>
      </c>
      <c r="S270" s="3" t="s">
        <v>2596</v>
      </c>
      <c r="T270" s="4">
        <v>610</v>
      </c>
      <c r="U270" s="4" t="s">
        <v>2597</v>
      </c>
      <c r="V270" s="5">
        <v>1000</v>
      </c>
      <c r="W270" s="4" t="s">
        <v>520</v>
      </c>
      <c r="X270" s="5">
        <v>300</v>
      </c>
      <c r="Y270" s="4">
        <f t="shared" si="11"/>
        <v>1575</v>
      </c>
      <c r="Z270" s="4">
        <v>875</v>
      </c>
      <c r="AA270" s="1" t="s">
        <v>2598</v>
      </c>
      <c r="AB270" s="1" t="s">
        <v>18</v>
      </c>
      <c r="AC270" s="1" t="s">
        <v>15</v>
      </c>
      <c r="AD270" s="6">
        <v>46080</v>
      </c>
      <c r="AE270" s="6">
        <v>46083</v>
      </c>
      <c r="AF270" s="1" t="s">
        <v>16</v>
      </c>
    </row>
    <row r="271" spans="1:32" x14ac:dyDescent="0.3">
      <c r="A271" s="1">
        <v>323</v>
      </c>
      <c r="B271" s="2">
        <v>46001.214375000003</v>
      </c>
      <c r="C271" s="1" t="s">
        <v>2599</v>
      </c>
      <c r="D271" s="1" t="s">
        <v>2600</v>
      </c>
      <c r="E271" s="1" t="s">
        <v>2601</v>
      </c>
      <c r="F271" s="1" t="s">
        <v>2602</v>
      </c>
      <c r="G271" s="1" t="s">
        <v>4</v>
      </c>
      <c r="H271" s="1" t="s">
        <v>18</v>
      </c>
      <c r="I271" s="1" t="s">
        <v>110</v>
      </c>
      <c r="J271" s="1" t="s">
        <v>2592</v>
      </c>
      <c r="K271" s="1">
        <v>787</v>
      </c>
      <c r="L271" s="1">
        <v>2</v>
      </c>
      <c r="M271" s="1" t="s">
        <v>7</v>
      </c>
      <c r="N271" s="1" t="s">
        <v>2603</v>
      </c>
      <c r="O271" s="1" t="s">
        <v>2604</v>
      </c>
      <c r="P271" s="1" t="s">
        <v>98</v>
      </c>
      <c r="Q271" s="1" t="s">
        <v>2605</v>
      </c>
      <c r="R271" s="1" t="s">
        <v>10</v>
      </c>
      <c r="S271" s="3" t="s">
        <v>2606</v>
      </c>
      <c r="T271" s="4">
        <v>614</v>
      </c>
      <c r="U271" s="4" t="s">
        <v>194</v>
      </c>
      <c r="V271" s="5">
        <v>1000</v>
      </c>
      <c r="W271" s="4" t="s">
        <v>75</v>
      </c>
      <c r="X271" s="5">
        <v>500</v>
      </c>
      <c r="Y271" s="4">
        <f t="shared" si="11"/>
        <v>1287</v>
      </c>
      <c r="Z271" s="4">
        <v>787</v>
      </c>
      <c r="AA271" s="1" t="s">
        <v>2607</v>
      </c>
      <c r="AB271" s="1" t="s">
        <v>18</v>
      </c>
      <c r="AC271" s="1" t="s">
        <v>15</v>
      </c>
      <c r="AD271" s="6">
        <v>46080</v>
      </c>
      <c r="AE271" s="6">
        <v>46099</v>
      </c>
      <c r="AF271" s="1" t="s">
        <v>16</v>
      </c>
    </row>
    <row r="272" spans="1:32" x14ac:dyDescent="0.3">
      <c r="A272" s="1">
        <v>90</v>
      </c>
      <c r="B272" s="2">
        <v>45952.68246527778</v>
      </c>
      <c r="C272" s="1" t="s">
        <v>2608</v>
      </c>
      <c r="D272" s="1" t="s">
        <v>2609</v>
      </c>
      <c r="E272" s="1" t="s">
        <v>2610</v>
      </c>
      <c r="F272" s="1" t="s">
        <v>2611</v>
      </c>
      <c r="G272" s="1" t="s">
        <v>17</v>
      </c>
      <c r="H272" s="1" t="s">
        <v>71</v>
      </c>
      <c r="I272" s="1" t="s">
        <v>110</v>
      </c>
      <c r="J272" s="1" t="s">
        <v>2592</v>
      </c>
      <c r="K272" s="1">
        <v>523</v>
      </c>
      <c r="L272" s="1">
        <v>3</v>
      </c>
      <c r="M272" s="1" t="s">
        <v>20</v>
      </c>
      <c r="N272" s="1" t="s">
        <v>1091</v>
      </c>
      <c r="O272" s="1" t="s">
        <v>2612</v>
      </c>
      <c r="P272" s="1" t="s">
        <v>9</v>
      </c>
      <c r="Q272" s="1">
        <v>0</v>
      </c>
      <c r="R272" s="1" t="s">
        <v>10</v>
      </c>
      <c r="S272" s="3" t="s">
        <v>2613</v>
      </c>
      <c r="T272" s="4">
        <v>611</v>
      </c>
      <c r="U272" s="4" t="s">
        <v>2614</v>
      </c>
      <c r="V272" s="5">
        <v>1715</v>
      </c>
      <c r="W272" s="4" t="s">
        <v>2615</v>
      </c>
      <c r="Y272" s="4">
        <f t="shared" si="11"/>
        <v>2238</v>
      </c>
      <c r="Z272" s="1">
        <v>523</v>
      </c>
      <c r="AA272" s="1" t="s">
        <v>2616</v>
      </c>
      <c r="AC272" s="1" t="s">
        <v>15</v>
      </c>
      <c r="AD272" s="6">
        <v>46080</v>
      </c>
      <c r="AE272" s="6">
        <v>46128</v>
      </c>
      <c r="AF272" s="1" t="s">
        <v>16</v>
      </c>
    </row>
    <row r="273" spans="1:32" x14ac:dyDescent="0.3">
      <c r="A273" s="1">
        <v>450</v>
      </c>
      <c r="B273" s="2">
        <v>46020.558043981502</v>
      </c>
      <c r="C273" s="1" t="s">
        <v>2617</v>
      </c>
      <c r="D273" s="1" t="s">
        <v>2618</v>
      </c>
      <c r="E273" s="1" t="s">
        <v>2619</v>
      </c>
      <c r="F273" s="1" t="s">
        <v>2620</v>
      </c>
      <c r="G273" s="1" t="s">
        <v>4</v>
      </c>
      <c r="H273" s="1" t="s">
        <v>27</v>
      </c>
      <c r="I273" s="1" t="s">
        <v>110</v>
      </c>
      <c r="J273" s="1" t="s">
        <v>2592</v>
      </c>
      <c r="K273" s="1">
        <v>787</v>
      </c>
      <c r="L273" s="1">
        <v>3</v>
      </c>
      <c r="M273" s="1" t="s">
        <v>7</v>
      </c>
      <c r="N273" s="1" t="s">
        <v>2621</v>
      </c>
      <c r="O273" s="1" t="s">
        <v>2622</v>
      </c>
      <c r="P273" s="1" t="s">
        <v>98</v>
      </c>
      <c r="Q273" s="1" t="s">
        <v>2623</v>
      </c>
      <c r="R273" s="1" t="s">
        <v>10</v>
      </c>
      <c r="S273" s="3" t="s">
        <v>2624</v>
      </c>
      <c r="T273" s="4">
        <v>616</v>
      </c>
      <c r="U273" s="4" t="s">
        <v>2625</v>
      </c>
      <c r="V273" s="5">
        <v>650</v>
      </c>
      <c r="W273" s="4" t="s">
        <v>620</v>
      </c>
      <c r="X273" s="5">
        <v>800</v>
      </c>
      <c r="Y273" s="4">
        <f t="shared" si="11"/>
        <v>637</v>
      </c>
      <c r="Z273" s="4">
        <v>787</v>
      </c>
      <c r="AA273" s="1" t="s">
        <v>2626</v>
      </c>
      <c r="AB273" s="1" t="s">
        <v>56</v>
      </c>
      <c r="AC273" s="1" t="s">
        <v>15</v>
      </c>
      <c r="AD273" s="6">
        <v>46080</v>
      </c>
      <c r="AE273" s="6">
        <v>46083</v>
      </c>
      <c r="AF273" s="1" t="s">
        <v>16</v>
      </c>
    </row>
    <row r="274" spans="1:32" x14ac:dyDescent="0.3">
      <c r="A274" s="1">
        <v>551</v>
      </c>
      <c r="B274" s="2">
        <v>46023.024386574099</v>
      </c>
      <c r="C274" s="1" t="s">
        <v>2627</v>
      </c>
      <c r="D274" s="1" t="s">
        <v>2628</v>
      </c>
      <c r="E274" s="1" t="s">
        <v>2629</v>
      </c>
      <c r="F274" s="1" t="s">
        <v>2630</v>
      </c>
      <c r="G274" s="1" t="s">
        <v>17</v>
      </c>
      <c r="H274" s="1" t="s">
        <v>71</v>
      </c>
      <c r="I274" s="1" t="s">
        <v>110</v>
      </c>
      <c r="J274" s="1" t="s">
        <v>2592</v>
      </c>
      <c r="K274" s="1">
        <v>523</v>
      </c>
      <c r="L274" s="1">
        <v>4</v>
      </c>
      <c r="M274" s="1" t="s">
        <v>20</v>
      </c>
      <c r="N274" s="1" t="s">
        <v>1091</v>
      </c>
      <c r="O274" s="1" t="s">
        <v>2631</v>
      </c>
      <c r="P274" s="1" t="s">
        <v>9</v>
      </c>
      <c r="Q274" s="1">
        <v>0</v>
      </c>
      <c r="R274" s="1" t="s">
        <v>10</v>
      </c>
      <c r="S274" s="3" t="s">
        <v>2632</v>
      </c>
      <c r="T274" s="4">
        <v>619</v>
      </c>
      <c r="U274" s="4" t="s">
        <v>699</v>
      </c>
      <c r="V274" s="5">
        <v>1500</v>
      </c>
      <c r="W274" s="4" t="s">
        <v>493</v>
      </c>
      <c r="X274" s="5">
        <v>700</v>
      </c>
      <c r="Y274" s="4">
        <f t="shared" si="11"/>
        <v>1323</v>
      </c>
      <c r="Z274" s="1">
        <v>523</v>
      </c>
      <c r="AA274" s="1" t="s">
        <v>2633</v>
      </c>
      <c r="AC274" s="1" t="s">
        <v>15</v>
      </c>
      <c r="AD274" s="6">
        <v>46080</v>
      </c>
      <c r="AE274" s="6">
        <v>46122</v>
      </c>
      <c r="AF274" s="1" t="s">
        <v>16</v>
      </c>
    </row>
    <row r="275" spans="1:32" x14ac:dyDescent="0.3">
      <c r="A275" s="1">
        <v>500</v>
      </c>
      <c r="B275" s="2">
        <v>46022.111203703702</v>
      </c>
      <c r="C275" s="1" t="s">
        <v>2634</v>
      </c>
      <c r="D275" s="1" t="s">
        <v>2635</v>
      </c>
      <c r="E275" s="1" t="s">
        <v>2636</v>
      </c>
      <c r="F275" s="1" t="s">
        <v>2637</v>
      </c>
      <c r="G275" s="1" t="s">
        <v>17</v>
      </c>
      <c r="H275" s="1" t="s">
        <v>71</v>
      </c>
      <c r="I275" s="1" t="s">
        <v>110</v>
      </c>
      <c r="J275" s="1" t="s">
        <v>2592</v>
      </c>
      <c r="K275" s="1">
        <v>787</v>
      </c>
      <c r="M275" s="1" t="s">
        <v>7</v>
      </c>
      <c r="N275" s="1" t="s">
        <v>2638</v>
      </c>
      <c r="O275" s="1" t="s">
        <v>2639</v>
      </c>
      <c r="P275" s="1" t="s">
        <v>9</v>
      </c>
      <c r="Q275" s="1">
        <v>0</v>
      </c>
      <c r="R275" s="1" t="s">
        <v>10</v>
      </c>
      <c r="S275" s="3" t="s">
        <v>2640</v>
      </c>
      <c r="T275" s="4">
        <v>617</v>
      </c>
      <c r="U275" s="4" t="s">
        <v>2641</v>
      </c>
      <c r="V275" s="5" t="s">
        <v>2642</v>
      </c>
      <c r="W275" s="4" t="s">
        <v>2643</v>
      </c>
      <c r="X275" s="5" t="s">
        <v>243</v>
      </c>
      <c r="Y275" s="4">
        <f t="shared" si="11"/>
        <v>1387</v>
      </c>
      <c r="AA275" s="1" t="s">
        <v>2644</v>
      </c>
      <c r="AC275" s="1" t="s">
        <v>15</v>
      </c>
      <c r="AD275" s="6">
        <v>46080</v>
      </c>
      <c r="AE275" s="6">
        <v>46149</v>
      </c>
      <c r="AF275" s="1" t="s">
        <v>16</v>
      </c>
    </row>
    <row r="276" spans="1:32" x14ac:dyDescent="0.3">
      <c r="A276" s="1">
        <v>249</v>
      </c>
      <c r="B276" s="2">
        <v>45986.082233796304</v>
      </c>
      <c r="C276" s="1" t="s">
        <v>2645</v>
      </c>
      <c r="D276" s="1" t="s">
        <v>2646</v>
      </c>
      <c r="E276" s="1" t="s">
        <v>2647</v>
      </c>
      <c r="F276" s="1" t="s">
        <v>2648</v>
      </c>
      <c r="G276" s="1" t="s">
        <v>17</v>
      </c>
      <c r="H276" s="1" t="s">
        <v>47</v>
      </c>
      <c r="I276" s="1" t="s">
        <v>858</v>
      </c>
      <c r="J276" s="1" t="s">
        <v>858</v>
      </c>
      <c r="K276" s="1">
        <v>755</v>
      </c>
      <c r="L276" s="1">
        <v>2</v>
      </c>
      <c r="M276" s="1" t="s">
        <v>49</v>
      </c>
      <c r="N276" s="1" t="s">
        <v>2649</v>
      </c>
      <c r="O276" s="1" t="s">
        <v>2650</v>
      </c>
      <c r="P276" s="1" t="s">
        <v>9</v>
      </c>
      <c r="Q276" s="1">
        <v>0</v>
      </c>
      <c r="R276" s="1" t="s">
        <v>10</v>
      </c>
      <c r="S276" s="3" t="s">
        <v>2651</v>
      </c>
      <c r="T276" s="4">
        <v>623</v>
      </c>
      <c r="U276" s="4" t="s">
        <v>2652</v>
      </c>
      <c r="V276" s="5">
        <v>3000</v>
      </c>
      <c r="W276" s="4" t="s">
        <v>2279</v>
      </c>
      <c r="X276" s="5">
        <v>300</v>
      </c>
      <c r="Y276" s="4">
        <f t="shared" si="11"/>
        <v>3455</v>
      </c>
      <c r="Z276" s="4">
        <v>755</v>
      </c>
      <c r="AA276" s="1" t="s">
        <v>2653</v>
      </c>
      <c r="AB276" s="1" t="s">
        <v>42</v>
      </c>
      <c r="AC276" s="1" t="s">
        <v>15</v>
      </c>
      <c r="AD276" s="6">
        <v>46080</v>
      </c>
      <c r="AE276" s="6">
        <v>46080</v>
      </c>
      <c r="AF276" s="1" t="s">
        <v>16</v>
      </c>
    </row>
    <row r="277" spans="1:32" x14ac:dyDescent="0.3">
      <c r="A277" s="1">
        <v>463</v>
      </c>
      <c r="B277" s="2">
        <v>46021.1004861111</v>
      </c>
      <c r="C277" s="1" t="s">
        <v>2654</v>
      </c>
      <c r="D277" s="1" t="s">
        <v>2655</v>
      </c>
      <c r="E277" s="1" t="s">
        <v>2656</v>
      </c>
      <c r="F277" s="1" t="s">
        <v>2657</v>
      </c>
      <c r="G277" s="1" t="s">
        <v>4</v>
      </c>
      <c r="H277" s="1" t="s">
        <v>71</v>
      </c>
      <c r="I277" s="1" t="s">
        <v>858</v>
      </c>
      <c r="J277" s="1" t="s">
        <v>858</v>
      </c>
      <c r="K277" s="1">
        <v>319</v>
      </c>
      <c r="L277" s="1">
        <v>3</v>
      </c>
      <c r="M277" s="1" t="s">
        <v>20</v>
      </c>
      <c r="N277" s="1" t="s">
        <v>2658</v>
      </c>
      <c r="O277" s="1" t="s">
        <v>213</v>
      </c>
      <c r="P277" s="1" t="s">
        <v>9</v>
      </c>
      <c r="Q277" s="1">
        <v>0</v>
      </c>
      <c r="R277" s="1" t="s">
        <v>10</v>
      </c>
      <c r="S277" s="3" t="s">
        <v>2659</v>
      </c>
      <c r="T277" s="4">
        <v>628</v>
      </c>
      <c r="U277" s="4" t="s">
        <v>2279</v>
      </c>
      <c r="V277" s="5">
        <v>300</v>
      </c>
      <c r="W277" s="4" t="s">
        <v>2660</v>
      </c>
      <c r="X277" s="5">
        <v>50</v>
      </c>
      <c r="Y277" s="4">
        <f t="shared" ref="Y277:Y289" si="12">K277+V277-X277</f>
        <v>569</v>
      </c>
      <c r="Z277" s="1">
        <v>319</v>
      </c>
      <c r="AA277" s="1" t="s">
        <v>2661</v>
      </c>
      <c r="AC277" s="1" t="s">
        <v>15</v>
      </c>
      <c r="AD277" s="6">
        <v>46080</v>
      </c>
      <c r="AE277" s="6">
        <v>46126</v>
      </c>
      <c r="AF277" s="1" t="s">
        <v>16</v>
      </c>
    </row>
    <row r="278" spans="1:32" x14ac:dyDescent="0.3">
      <c r="A278" s="1">
        <v>205</v>
      </c>
      <c r="B278" s="2">
        <v>45983.495937500003</v>
      </c>
      <c r="C278" s="1" t="s">
        <v>2662</v>
      </c>
      <c r="D278" s="1" t="s">
        <v>1940</v>
      </c>
      <c r="E278" s="1" t="s">
        <v>2663</v>
      </c>
      <c r="F278" s="1" t="s">
        <v>2664</v>
      </c>
      <c r="G278" s="1" t="s">
        <v>17</v>
      </c>
      <c r="H278" s="1" t="s">
        <v>71</v>
      </c>
      <c r="I278" s="1" t="s">
        <v>858</v>
      </c>
      <c r="J278" s="1" t="s">
        <v>858</v>
      </c>
      <c r="K278" s="1">
        <v>755</v>
      </c>
      <c r="L278" s="1">
        <v>4</v>
      </c>
      <c r="M278" s="1" t="s">
        <v>49</v>
      </c>
      <c r="N278" s="1" t="s">
        <v>2665</v>
      </c>
      <c r="O278" s="1" t="s">
        <v>2666</v>
      </c>
      <c r="P278" s="1" t="s">
        <v>9</v>
      </c>
      <c r="Q278" s="1">
        <v>0</v>
      </c>
      <c r="R278" s="1" t="s">
        <v>10</v>
      </c>
      <c r="S278" s="3" t="s">
        <v>2667</v>
      </c>
      <c r="T278" s="4">
        <v>621</v>
      </c>
      <c r="U278" s="4" t="s">
        <v>2668</v>
      </c>
      <c r="V278" s="5">
        <v>1100</v>
      </c>
      <c r="W278" s="4" t="s">
        <v>2669</v>
      </c>
      <c r="X278" s="5">
        <v>100</v>
      </c>
      <c r="Y278" s="4">
        <f t="shared" si="12"/>
        <v>1755</v>
      </c>
      <c r="Z278" s="4">
        <v>755</v>
      </c>
      <c r="AA278" s="1" t="s">
        <v>2670</v>
      </c>
      <c r="AC278" s="1" t="s">
        <v>15</v>
      </c>
      <c r="AD278" s="6">
        <v>46080</v>
      </c>
      <c r="AE278" s="6">
        <v>46131</v>
      </c>
      <c r="AF278" s="1" t="s">
        <v>16</v>
      </c>
    </row>
    <row r="279" spans="1:32" x14ac:dyDescent="0.3">
      <c r="A279" s="1">
        <v>405</v>
      </c>
      <c r="B279" s="2">
        <v>46014.246793981503</v>
      </c>
      <c r="C279" s="1" t="s">
        <v>2671</v>
      </c>
      <c r="D279" s="1" t="s">
        <v>2672</v>
      </c>
      <c r="E279" s="1" t="s">
        <v>2673</v>
      </c>
      <c r="F279" s="1" t="s">
        <v>2674</v>
      </c>
      <c r="G279" s="1" t="s">
        <v>17</v>
      </c>
      <c r="H279" s="1" t="s">
        <v>71</v>
      </c>
      <c r="I279" s="1" t="s">
        <v>858</v>
      </c>
      <c r="J279" s="1" t="s">
        <v>858</v>
      </c>
      <c r="K279" s="1">
        <v>319</v>
      </c>
      <c r="L279" s="1">
        <v>5</v>
      </c>
      <c r="M279" s="1" t="s">
        <v>20</v>
      </c>
      <c r="N279" s="1" t="s">
        <v>2675</v>
      </c>
      <c r="O279" s="1" t="s">
        <v>2676</v>
      </c>
      <c r="P279" s="1" t="s">
        <v>9</v>
      </c>
      <c r="Q279" s="1">
        <v>0</v>
      </c>
      <c r="R279" s="1" t="s">
        <v>10</v>
      </c>
      <c r="S279" s="3" t="s">
        <v>2677</v>
      </c>
      <c r="T279" s="4">
        <v>627</v>
      </c>
      <c r="U279" s="4" t="s">
        <v>2288</v>
      </c>
      <c r="V279" s="5">
        <v>3000</v>
      </c>
      <c r="W279" s="4" t="s">
        <v>128</v>
      </c>
      <c r="X279" s="5">
        <v>100</v>
      </c>
      <c r="Y279" s="4">
        <f t="shared" si="12"/>
        <v>3219</v>
      </c>
      <c r="Z279" s="1">
        <v>319</v>
      </c>
      <c r="AA279" s="1" t="s">
        <v>2678</v>
      </c>
      <c r="AC279" s="1" t="s">
        <v>15</v>
      </c>
      <c r="AD279" s="6">
        <v>46080</v>
      </c>
      <c r="AE279" s="6">
        <v>46131</v>
      </c>
      <c r="AF279" s="1" t="s">
        <v>16</v>
      </c>
    </row>
    <row r="280" spans="1:32" x14ac:dyDescent="0.3">
      <c r="A280" s="1">
        <v>67</v>
      </c>
      <c r="B280" s="2">
        <v>45946.982152777775</v>
      </c>
      <c r="C280" s="1" t="s">
        <v>2679</v>
      </c>
      <c r="D280" s="1" t="s">
        <v>2680</v>
      </c>
      <c r="E280" s="1" t="s">
        <v>2681</v>
      </c>
      <c r="F280" s="1" t="s">
        <v>2682</v>
      </c>
      <c r="G280" s="1" t="s">
        <v>4</v>
      </c>
      <c r="H280" s="1" t="s">
        <v>47</v>
      </c>
      <c r="I280" s="1" t="s">
        <v>187</v>
      </c>
      <c r="J280" s="1" t="s">
        <v>187</v>
      </c>
      <c r="K280" s="1">
        <v>583</v>
      </c>
      <c r="L280" s="1">
        <v>0</v>
      </c>
      <c r="M280" s="1" t="s">
        <v>7</v>
      </c>
      <c r="N280" s="1" t="s">
        <v>2683</v>
      </c>
      <c r="O280" s="1" t="s">
        <v>2684</v>
      </c>
      <c r="P280" s="1" t="s">
        <v>9</v>
      </c>
      <c r="Q280" s="1">
        <v>0</v>
      </c>
      <c r="R280" s="1" t="s">
        <v>10</v>
      </c>
      <c r="S280" s="3" t="s">
        <v>2685</v>
      </c>
      <c r="T280" s="4">
        <v>632</v>
      </c>
      <c r="U280" s="4" t="s">
        <v>2686</v>
      </c>
      <c r="V280" s="5">
        <v>2520</v>
      </c>
      <c r="W280" s="4" t="s">
        <v>2687</v>
      </c>
      <c r="X280" s="5">
        <v>900</v>
      </c>
      <c r="Y280" s="4">
        <f t="shared" si="12"/>
        <v>2203</v>
      </c>
      <c r="Z280" s="1">
        <v>583</v>
      </c>
      <c r="AA280" s="1" t="s">
        <v>2688</v>
      </c>
      <c r="AC280" s="1" t="s">
        <v>15</v>
      </c>
      <c r="AD280" s="6">
        <v>46080</v>
      </c>
      <c r="AE280" s="6">
        <v>46144</v>
      </c>
      <c r="AF280" s="6" t="s">
        <v>16</v>
      </c>
    </row>
    <row r="281" spans="1:32" x14ac:dyDescent="0.3">
      <c r="A281" s="1">
        <v>65</v>
      </c>
      <c r="B281" s="2">
        <v>45946.984652777777</v>
      </c>
      <c r="C281" s="1" t="s">
        <v>2689</v>
      </c>
      <c r="D281" s="1" t="s">
        <v>2690</v>
      </c>
      <c r="E281" s="1" t="s">
        <v>2691</v>
      </c>
      <c r="F281" s="1" t="s">
        <v>2692</v>
      </c>
      <c r="G281" s="1" t="s">
        <v>4</v>
      </c>
      <c r="H281" s="1" t="s">
        <v>18</v>
      </c>
      <c r="I281" s="1" t="s">
        <v>187</v>
      </c>
      <c r="J281" s="1" t="s">
        <v>187</v>
      </c>
      <c r="K281" s="1">
        <v>755</v>
      </c>
      <c r="L281" s="1">
        <v>1</v>
      </c>
      <c r="M281" s="1" t="s">
        <v>7</v>
      </c>
      <c r="N281" s="1" t="s">
        <v>2693</v>
      </c>
      <c r="O281" s="1" t="s">
        <v>2694</v>
      </c>
      <c r="P281" s="1" t="s">
        <v>98</v>
      </c>
      <c r="Q281" s="1" t="s">
        <v>2695</v>
      </c>
      <c r="R281" s="1" t="s">
        <v>10</v>
      </c>
      <c r="S281" s="3" t="s">
        <v>290</v>
      </c>
      <c r="T281" s="4">
        <v>633</v>
      </c>
      <c r="U281" s="4" t="s">
        <v>2686</v>
      </c>
      <c r="V281" s="5">
        <v>2520</v>
      </c>
      <c r="W281" s="4" t="s">
        <v>2687</v>
      </c>
      <c r="X281" s="5">
        <v>900</v>
      </c>
      <c r="Y281" s="4">
        <f t="shared" si="12"/>
        <v>2375</v>
      </c>
      <c r="Z281" s="4">
        <v>755</v>
      </c>
      <c r="AA281" s="1" t="s">
        <v>2696</v>
      </c>
      <c r="AB281" s="1" t="s">
        <v>18</v>
      </c>
      <c r="AC281" s="1" t="s">
        <v>15</v>
      </c>
      <c r="AD281" s="6">
        <v>46080</v>
      </c>
      <c r="AE281" s="6">
        <v>46090</v>
      </c>
      <c r="AF281" s="1" t="s">
        <v>16</v>
      </c>
    </row>
    <row r="282" spans="1:32" x14ac:dyDescent="0.3">
      <c r="A282" s="1">
        <v>433</v>
      </c>
      <c r="B282" s="2">
        <v>46018.779756944401</v>
      </c>
      <c r="C282" s="1" t="s">
        <v>2697</v>
      </c>
      <c r="D282" s="1" t="s">
        <v>2698</v>
      </c>
      <c r="E282" s="1" t="s">
        <v>2699</v>
      </c>
      <c r="F282" s="1" t="s">
        <v>2700</v>
      </c>
      <c r="G282" s="1" t="s">
        <v>17</v>
      </c>
      <c r="H282" s="1" t="s">
        <v>47</v>
      </c>
      <c r="I282" s="1" t="s">
        <v>2701</v>
      </c>
      <c r="J282" s="1" t="s">
        <v>2701</v>
      </c>
      <c r="K282" s="1">
        <v>583</v>
      </c>
      <c r="L282" s="1">
        <v>1</v>
      </c>
      <c r="M282" s="1" t="s">
        <v>7</v>
      </c>
      <c r="N282" s="1" t="s">
        <v>2702</v>
      </c>
      <c r="O282" s="1" t="s">
        <v>2703</v>
      </c>
      <c r="P282" s="1" t="s">
        <v>98</v>
      </c>
      <c r="Q282" s="1" t="s">
        <v>2704</v>
      </c>
      <c r="R282" s="1" t="s">
        <v>177</v>
      </c>
      <c r="S282" s="3" t="s">
        <v>2705</v>
      </c>
      <c r="T282" s="4">
        <v>638</v>
      </c>
      <c r="U282" s="4" t="s">
        <v>114</v>
      </c>
      <c r="V282" s="5">
        <v>2500</v>
      </c>
      <c r="W282" s="4" t="s">
        <v>75</v>
      </c>
      <c r="X282" s="5">
        <v>500</v>
      </c>
      <c r="Y282" s="4">
        <f t="shared" si="12"/>
        <v>2583</v>
      </c>
      <c r="Z282" s="4">
        <v>583</v>
      </c>
      <c r="AA282" s="1" t="s">
        <v>2706</v>
      </c>
      <c r="AC282" s="1" t="s">
        <v>15</v>
      </c>
      <c r="AD282" s="6">
        <v>46080</v>
      </c>
      <c r="AE282" s="6">
        <v>46111</v>
      </c>
      <c r="AF282" s="1" t="s">
        <v>16</v>
      </c>
    </row>
    <row r="283" spans="1:32" x14ac:dyDescent="0.3">
      <c r="A283" s="1">
        <v>680</v>
      </c>
      <c r="B283" s="2">
        <v>46052.465740740699</v>
      </c>
      <c r="C283" s="1" t="s">
        <v>2707</v>
      </c>
      <c r="D283" s="1" t="s">
        <v>2708</v>
      </c>
      <c r="E283" s="1" t="s">
        <v>2709</v>
      </c>
      <c r="F283" s="1" t="s">
        <v>2710</v>
      </c>
      <c r="G283" s="1" t="s">
        <v>4</v>
      </c>
      <c r="H283" s="1" t="s">
        <v>2711</v>
      </c>
      <c r="I283" s="1" t="s">
        <v>2701</v>
      </c>
      <c r="J283" s="1" t="s">
        <v>2701</v>
      </c>
      <c r="K283" s="1">
        <v>319</v>
      </c>
      <c r="L283" s="1">
        <v>2</v>
      </c>
      <c r="M283" s="1" t="s">
        <v>20</v>
      </c>
      <c r="N283" s="1" t="s">
        <v>1306</v>
      </c>
      <c r="O283" s="1" t="s">
        <v>2712</v>
      </c>
      <c r="P283" s="1" t="s">
        <v>9</v>
      </c>
      <c r="Q283" s="1">
        <v>0</v>
      </c>
      <c r="R283" s="1" t="s">
        <v>10</v>
      </c>
      <c r="S283" s="3" t="s">
        <v>515</v>
      </c>
      <c r="T283" s="4">
        <v>319</v>
      </c>
      <c r="U283" s="4" t="s">
        <v>1373</v>
      </c>
      <c r="V283" s="5">
        <v>2500</v>
      </c>
      <c r="W283" s="4" t="s">
        <v>1834</v>
      </c>
      <c r="X283" s="5">
        <v>400</v>
      </c>
      <c r="Y283" s="4">
        <f t="shared" si="12"/>
        <v>2419</v>
      </c>
      <c r="Z283" s="1">
        <v>319</v>
      </c>
      <c r="AA283" s="1" t="s">
        <v>2713</v>
      </c>
      <c r="AC283" s="1" t="s">
        <v>15</v>
      </c>
      <c r="AD283" s="6">
        <v>46080</v>
      </c>
      <c r="AE283" s="6">
        <v>46124</v>
      </c>
      <c r="AF283" s="1" t="s">
        <v>16</v>
      </c>
    </row>
    <row r="284" spans="1:32" x14ac:dyDescent="0.3">
      <c r="A284" s="1">
        <v>444</v>
      </c>
      <c r="B284" s="2">
        <v>46019.916712963</v>
      </c>
      <c r="C284" s="1" t="s">
        <v>2714</v>
      </c>
      <c r="D284" s="1" t="s">
        <v>2715</v>
      </c>
      <c r="E284" s="1" t="s">
        <v>2716</v>
      </c>
      <c r="F284" s="1" t="s">
        <v>2717</v>
      </c>
      <c r="G284" s="1" t="s">
        <v>4</v>
      </c>
      <c r="H284" s="1" t="s">
        <v>2718</v>
      </c>
      <c r="I284" s="1" t="s">
        <v>923</v>
      </c>
      <c r="J284" s="1" t="s">
        <v>923</v>
      </c>
      <c r="K284" s="1">
        <v>523</v>
      </c>
      <c r="L284" s="1">
        <v>1</v>
      </c>
      <c r="M284" s="1" t="s">
        <v>20</v>
      </c>
      <c r="N284" s="1" t="s">
        <v>2719</v>
      </c>
      <c r="O284" s="1" t="s">
        <v>1952</v>
      </c>
      <c r="P284" s="1" t="s">
        <v>9</v>
      </c>
      <c r="Q284" s="1">
        <v>0</v>
      </c>
      <c r="R284" s="1" t="s">
        <v>177</v>
      </c>
      <c r="S284" s="3" t="s">
        <v>2720</v>
      </c>
      <c r="T284" s="4">
        <v>642</v>
      </c>
      <c r="U284" s="4" t="s">
        <v>2721</v>
      </c>
      <c r="V284" s="5">
        <v>1180</v>
      </c>
      <c r="W284" s="4" t="s">
        <v>1811</v>
      </c>
      <c r="X284" s="5">
        <v>600</v>
      </c>
      <c r="Y284" s="4">
        <f t="shared" si="12"/>
        <v>1103</v>
      </c>
      <c r="Z284" s="4">
        <v>523</v>
      </c>
      <c r="AA284" s="1" t="s">
        <v>2722</v>
      </c>
      <c r="AB284" s="1" t="s">
        <v>56</v>
      </c>
      <c r="AC284" s="1" t="s">
        <v>15</v>
      </c>
      <c r="AD284" s="6">
        <v>46080</v>
      </c>
      <c r="AE284" s="6">
        <v>46082</v>
      </c>
      <c r="AF284" s="1" t="s">
        <v>16</v>
      </c>
    </row>
    <row r="285" spans="1:32" x14ac:dyDescent="0.3">
      <c r="A285" s="1">
        <v>762</v>
      </c>
      <c r="B285" s="2">
        <v>46080.820821759298</v>
      </c>
      <c r="C285" s="11" t="s">
        <v>2723</v>
      </c>
      <c r="D285" s="11" t="s">
        <v>2724</v>
      </c>
      <c r="E285" s="1" t="s">
        <v>2725</v>
      </c>
      <c r="F285" s="1" t="s">
        <v>2726</v>
      </c>
      <c r="G285" s="3" t="s">
        <v>17</v>
      </c>
      <c r="H285" s="3" t="s">
        <v>71</v>
      </c>
      <c r="I285" s="3" t="s">
        <v>2391</v>
      </c>
      <c r="J285" s="11" t="s">
        <v>2727</v>
      </c>
      <c r="K285" s="1">
        <v>755</v>
      </c>
      <c r="L285" s="1">
        <v>2</v>
      </c>
      <c r="M285" s="3" t="s">
        <v>49</v>
      </c>
      <c r="N285" s="7" t="s">
        <v>2728</v>
      </c>
      <c r="O285" s="3" t="s">
        <v>2729</v>
      </c>
      <c r="P285" s="3" t="s">
        <v>9</v>
      </c>
      <c r="R285" s="3" t="s">
        <v>10</v>
      </c>
      <c r="S285" s="7" t="s">
        <v>2730</v>
      </c>
      <c r="T285" s="4">
        <v>831</v>
      </c>
      <c r="U285" s="7" t="s">
        <v>1067</v>
      </c>
      <c r="V285" s="5">
        <v>1000</v>
      </c>
      <c r="W285" s="7" t="s">
        <v>75</v>
      </c>
      <c r="X285" s="5">
        <v>500</v>
      </c>
      <c r="Y285" s="4">
        <f t="shared" si="12"/>
        <v>1255</v>
      </c>
      <c r="Z285" s="4">
        <f>K285</f>
        <v>755</v>
      </c>
      <c r="AA285" s="3" t="s">
        <v>2731</v>
      </c>
      <c r="AB285" s="1" t="s">
        <v>56</v>
      </c>
      <c r="AC285" s="1" t="s">
        <v>15</v>
      </c>
      <c r="AD285" s="6">
        <v>46098</v>
      </c>
      <c r="AE285" s="6">
        <v>46098</v>
      </c>
      <c r="AF285" s="1" t="s">
        <v>16</v>
      </c>
    </row>
    <row r="286" spans="1:32" x14ac:dyDescent="0.3">
      <c r="A286" s="1">
        <v>576</v>
      </c>
      <c r="B286" s="2">
        <v>46026.100995370398</v>
      </c>
      <c r="C286" s="1" t="s">
        <v>2732</v>
      </c>
      <c r="D286" s="1" t="s">
        <v>2733</v>
      </c>
      <c r="E286" s="1" t="s">
        <v>2734</v>
      </c>
      <c r="F286" s="1" t="s">
        <v>2735</v>
      </c>
      <c r="G286" s="1" t="s">
        <v>4</v>
      </c>
      <c r="H286" s="1" t="s">
        <v>47</v>
      </c>
      <c r="I286" s="1" t="s">
        <v>2727</v>
      </c>
      <c r="J286" s="1" t="s">
        <v>2727</v>
      </c>
      <c r="K286" s="1">
        <v>814</v>
      </c>
      <c r="L286" s="1">
        <v>1</v>
      </c>
      <c r="M286" s="1" t="s">
        <v>49</v>
      </c>
      <c r="N286" s="1" t="s">
        <v>2736</v>
      </c>
      <c r="O286" s="1" t="s">
        <v>2737</v>
      </c>
      <c r="P286" s="1" t="s">
        <v>98</v>
      </c>
      <c r="Q286" s="1" t="s">
        <v>2738</v>
      </c>
      <c r="R286" s="1" t="s">
        <v>10</v>
      </c>
      <c r="S286" s="3" t="s">
        <v>2739</v>
      </c>
      <c r="T286" s="4">
        <v>643</v>
      </c>
      <c r="U286" s="4" t="s">
        <v>2740</v>
      </c>
      <c r="W286" s="4" t="s">
        <v>1651</v>
      </c>
      <c r="Y286" s="4">
        <f t="shared" si="12"/>
        <v>814</v>
      </c>
      <c r="Z286" s="4">
        <v>814</v>
      </c>
      <c r="AA286" s="1" t="s">
        <v>2741</v>
      </c>
      <c r="AB286" s="1" t="s">
        <v>56</v>
      </c>
      <c r="AC286" s="1" t="s">
        <v>15</v>
      </c>
      <c r="AD286" s="6">
        <v>46080</v>
      </c>
      <c r="AE286" s="6">
        <v>46086</v>
      </c>
      <c r="AF286" s="1" t="s">
        <v>16</v>
      </c>
    </row>
    <row r="287" spans="1:32" x14ac:dyDescent="0.3">
      <c r="A287" s="1">
        <v>379</v>
      </c>
      <c r="B287" s="2">
        <v>46009.538773148102</v>
      </c>
      <c r="C287" s="1" t="s">
        <v>2742</v>
      </c>
      <c r="D287" s="1" t="s">
        <v>2743</v>
      </c>
      <c r="E287" s="1" t="s">
        <v>2744</v>
      </c>
      <c r="F287" s="1" t="s">
        <v>2745</v>
      </c>
      <c r="G287" s="1" t="s">
        <v>17</v>
      </c>
      <c r="H287" s="1" t="s">
        <v>2746</v>
      </c>
      <c r="I287" s="1" t="s">
        <v>1229</v>
      </c>
      <c r="J287" s="1" t="s">
        <v>2747</v>
      </c>
      <c r="K287" s="1">
        <v>814</v>
      </c>
      <c r="M287" s="1" t="s">
        <v>49</v>
      </c>
      <c r="N287" s="1" t="s">
        <v>2748</v>
      </c>
      <c r="O287" s="1" t="s">
        <v>2749</v>
      </c>
      <c r="P287" s="1" t="s">
        <v>98</v>
      </c>
      <c r="Q287" s="1" t="s">
        <v>2750</v>
      </c>
      <c r="R287" s="1" t="s">
        <v>10</v>
      </c>
      <c r="S287" s="3" t="s">
        <v>2751</v>
      </c>
      <c r="T287" s="4">
        <v>459</v>
      </c>
      <c r="U287" s="4" t="s">
        <v>2687</v>
      </c>
      <c r="V287" s="5">
        <v>900</v>
      </c>
      <c r="W287" s="4" t="s">
        <v>2752</v>
      </c>
      <c r="X287" s="5">
        <v>300</v>
      </c>
      <c r="Y287" s="4">
        <f t="shared" si="12"/>
        <v>1414</v>
      </c>
      <c r="AA287" s="1" t="s">
        <v>2753</v>
      </c>
      <c r="AB287" s="1" t="s">
        <v>130</v>
      </c>
      <c r="AC287" s="1" t="s">
        <v>15</v>
      </c>
      <c r="AD287" s="6">
        <v>46080</v>
      </c>
      <c r="AE287" s="6">
        <v>46148</v>
      </c>
      <c r="AF287" s="1" t="s">
        <v>16</v>
      </c>
    </row>
    <row r="288" spans="1:32" x14ac:dyDescent="0.3">
      <c r="A288" s="1">
        <v>764</v>
      </c>
      <c r="B288" s="2">
        <v>46080.870902777802</v>
      </c>
      <c r="C288" s="11" t="s">
        <v>2754</v>
      </c>
      <c r="D288" s="11" t="s">
        <v>2755</v>
      </c>
      <c r="E288" s="1" t="s">
        <v>2756</v>
      </c>
      <c r="F288" s="1" t="s">
        <v>2757</v>
      </c>
      <c r="G288" s="3" t="s">
        <v>17</v>
      </c>
      <c r="H288" s="3" t="s">
        <v>18</v>
      </c>
      <c r="I288" s="3" t="s">
        <v>2747</v>
      </c>
      <c r="J288" s="11" t="s">
        <v>2747</v>
      </c>
      <c r="K288" s="1">
        <v>755</v>
      </c>
      <c r="L288" s="1">
        <v>1</v>
      </c>
      <c r="M288" s="3" t="s">
        <v>49</v>
      </c>
      <c r="N288" s="7" t="s">
        <v>2758</v>
      </c>
      <c r="O288" s="3" t="s">
        <v>2759</v>
      </c>
      <c r="P288" s="3" t="s">
        <v>9</v>
      </c>
      <c r="Q288" s="3" t="s">
        <v>1046</v>
      </c>
      <c r="R288" s="3" t="s">
        <v>10</v>
      </c>
      <c r="S288" s="7" t="s">
        <v>1400</v>
      </c>
      <c r="T288" s="4">
        <v>895</v>
      </c>
      <c r="U288" s="7" t="s">
        <v>2760</v>
      </c>
      <c r="V288" s="5">
        <v>1382</v>
      </c>
      <c r="W288" s="7" t="s">
        <v>2761</v>
      </c>
      <c r="X288" s="5">
        <v>1382</v>
      </c>
      <c r="Y288" s="4">
        <f t="shared" si="12"/>
        <v>755</v>
      </c>
      <c r="Z288" s="4">
        <f>K288</f>
        <v>755</v>
      </c>
      <c r="AA288" s="3" t="s">
        <v>2762</v>
      </c>
      <c r="AB288" s="1" t="s">
        <v>117</v>
      </c>
      <c r="AC288" s="1" t="s">
        <v>15</v>
      </c>
      <c r="AD288" s="6">
        <v>46098</v>
      </c>
      <c r="AE288" s="6">
        <v>46099</v>
      </c>
      <c r="AF288" s="1" t="s">
        <v>16</v>
      </c>
    </row>
    <row r="289" spans="1:32" x14ac:dyDescent="0.3">
      <c r="A289" s="1">
        <v>752</v>
      </c>
      <c r="B289" s="2">
        <v>46072.220914351899</v>
      </c>
      <c r="C289" s="1" t="s">
        <v>2763</v>
      </c>
      <c r="D289" s="1" t="s">
        <v>2764</v>
      </c>
      <c r="E289" s="1" t="s">
        <v>2765</v>
      </c>
      <c r="F289" s="1" t="s">
        <v>2766</v>
      </c>
      <c r="G289" s="1" t="s">
        <v>17</v>
      </c>
      <c r="H289" s="1" t="s">
        <v>942</v>
      </c>
      <c r="I289" s="1" t="s">
        <v>2747</v>
      </c>
      <c r="J289" s="1" t="s">
        <v>2747</v>
      </c>
      <c r="K289" s="1">
        <v>814</v>
      </c>
      <c r="L289" s="1">
        <v>2</v>
      </c>
      <c r="M289" s="1" t="s">
        <v>49</v>
      </c>
      <c r="N289" s="1" t="s">
        <v>1046</v>
      </c>
      <c r="O289" s="1" t="s">
        <v>2767</v>
      </c>
      <c r="P289" s="1" t="s">
        <v>9</v>
      </c>
      <c r="Q289" s="1" t="s">
        <v>1046</v>
      </c>
      <c r="R289" s="1" t="s">
        <v>10</v>
      </c>
      <c r="S289" s="3" t="s">
        <v>947</v>
      </c>
      <c r="T289" s="4">
        <v>814</v>
      </c>
      <c r="U289" s="4" t="s">
        <v>2768</v>
      </c>
      <c r="V289" s="5">
        <v>1500</v>
      </c>
      <c r="W289" s="4" t="s">
        <v>1396</v>
      </c>
      <c r="X289" s="5">
        <v>200</v>
      </c>
      <c r="Y289" s="4">
        <f t="shared" si="12"/>
        <v>2114</v>
      </c>
      <c r="Z289" s="4">
        <v>814</v>
      </c>
      <c r="AA289" s="1" t="s">
        <v>2769</v>
      </c>
      <c r="AB289" s="1" t="s">
        <v>950</v>
      </c>
      <c r="AC289" s="1" t="s">
        <v>15</v>
      </c>
      <c r="AD289" s="6">
        <v>46099</v>
      </c>
      <c r="AE289" s="6">
        <v>46100</v>
      </c>
      <c r="AF289" s="7" t="s">
        <v>16</v>
      </c>
    </row>
    <row r="290" spans="1:32" x14ac:dyDescent="0.3">
      <c r="A290" s="1">
        <v>874</v>
      </c>
      <c r="B290" s="2">
        <v>46161.900347222203</v>
      </c>
      <c r="C290" s="1" t="s">
        <v>2770</v>
      </c>
      <c r="D290" s="1" t="s">
        <v>2771</v>
      </c>
      <c r="E290" s="1" t="s">
        <v>2772</v>
      </c>
      <c r="F290" s="1" t="s">
        <v>2773</v>
      </c>
      <c r="G290" s="1" t="s">
        <v>4</v>
      </c>
      <c r="H290" s="1" t="s">
        <v>71</v>
      </c>
      <c r="I290" s="1" t="s">
        <v>2747</v>
      </c>
      <c r="J290" s="1" t="s">
        <v>2747</v>
      </c>
      <c r="K290" s="1">
        <v>407</v>
      </c>
      <c r="L290" s="1" t="s">
        <v>2774</v>
      </c>
      <c r="M290" s="1" t="s">
        <v>2775</v>
      </c>
      <c r="N290" s="1" t="s">
        <v>474</v>
      </c>
      <c r="O290" s="1" t="s">
        <v>2776</v>
      </c>
      <c r="P290" s="3" t="s">
        <v>9</v>
      </c>
      <c r="Q290" s="4" t="s">
        <v>1992</v>
      </c>
      <c r="R290" s="4" t="s">
        <v>10</v>
      </c>
      <c r="S290" s="5" t="s">
        <v>1891</v>
      </c>
      <c r="T290" s="4" t="s">
        <v>2777</v>
      </c>
      <c r="U290" s="5" t="s">
        <v>2778</v>
      </c>
      <c r="V290" s="4" t="s">
        <v>2779</v>
      </c>
      <c r="X290" s="1"/>
      <c r="Y290" s="1"/>
      <c r="Z290" s="1"/>
      <c r="AC290" s="1" t="s">
        <v>15</v>
      </c>
      <c r="AD290" s="6">
        <v>46162</v>
      </c>
      <c r="AE290" s="6">
        <v>46164</v>
      </c>
      <c r="AF290" s="1" t="s">
        <v>16</v>
      </c>
    </row>
    <row r="291" spans="1:32" x14ac:dyDescent="0.3">
      <c r="A291" s="1">
        <v>345</v>
      </c>
      <c r="B291" s="2">
        <v>46006.272395833301</v>
      </c>
      <c r="C291" s="1" t="s">
        <v>2780</v>
      </c>
      <c r="D291" s="1" t="s">
        <v>2781</v>
      </c>
      <c r="E291" s="1" t="s">
        <v>2782</v>
      </c>
      <c r="F291" s="1" t="s">
        <v>2783</v>
      </c>
      <c r="G291" s="1" t="s">
        <v>17</v>
      </c>
      <c r="H291" s="1" t="s">
        <v>27</v>
      </c>
      <c r="I291" s="1" t="s">
        <v>2747</v>
      </c>
      <c r="J291" s="1" t="s">
        <v>2747</v>
      </c>
      <c r="K291" s="1">
        <v>407</v>
      </c>
      <c r="M291" s="1" t="s">
        <v>2784</v>
      </c>
      <c r="N291" s="1" t="s">
        <v>2785</v>
      </c>
      <c r="O291" s="1" t="s">
        <v>2786</v>
      </c>
      <c r="P291" s="1" t="s">
        <v>9</v>
      </c>
      <c r="Q291" s="1">
        <v>0</v>
      </c>
      <c r="R291" s="1" t="s">
        <v>10</v>
      </c>
      <c r="S291" s="3" t="s">
        <v>2787</v>
      </c>
      <c r="T291" s="4">
        <v>646</v>
      </c>
      <c r="U291" s="4" t="s">
        <v>2788</v>
      </c>
      <c r="V291" s="5">
        <v>1100</v>
      </c>
      <c r="W291" s="4" t="s">
        <v>2789</v>
      </c>
      <c r="X291" s="5">
        <v>200</v>
      </c>
      <c r="Y291" s="4">
        <f t="shared" ref="Y291:Y295" si="13">K291+V291-X291</f>
        <v>1307</v>
      </c>
      <c r="AA291" s="1" t="s">
        <v>2790</v>
      </c>
      <c r="AB291" s="1" t="s">
        <v>130</v>
      </c>
      <c r="AC291" s="1" t="s">
        <v>15</v>
      </c>
      <c r="AD291" s="6">
        <v>46080</v>
      </c>
      <c r="AE291" s="6">
        <v>46149</v>
      </c>
      <c r="AF291" s="1" t="s">
        <v>16</v>
      </c>
    </row>
    <row r="292" spans="1:32" x14ac:dyDescent="0.3">
      <c r="A292" s="1">
        <v>325</v>
      </c>
      <c r="B292" s="2">
        <v>46001.827060185198</v>
      </c>
      <c r="C292" s="1" t="s">
        <v>2791</v>
      </c>
      <c r="D292" s="1" t="s">
        <v>2792</v>
      </c>
      <c r="E292" s="1" t="s">
        <v>2793</v>
      </c>
      <c r="F292" s="1" t="s">
        <v>2794</v>
      </c>
      <c r="G292" s="1" t="s">
        <v>17</v>
      </c>
      <c r="H292" s="1" t="s">
        <v>942</v>
      </c>
      <c r="I292" s="1" t="s">
        <v>2795</v>
      </c>
      <c r="J292" s="1" t="s">
        <v>2795</v>
      </c>
      <c r="K292" s="1">
        <v>755</v>
      </c>
      <c r="L292" s="1">
        <v>1</v>
      </c>
      <c r="M292" s="1" t="s">
        <v>49</v>
      </c>
      <c r="N292" s="1" t="s">
        <v>2796</v>
      </c>
      <c r="O292" s="1" t="s">
        <v>2797</v>
      </c>
      <c r="P292" s="1" t="s">
        <v>98</v>
      </c>
      <c r="Q292" s="1" t="s">
        <v>2798</v>
      </c>
      <c r="R292" s="1" t="s">
        <v>177</v>
      </c>
      <c r="S292" s="3" t="s">
        <v>2799</v>
      </c>
      <c r="T292" s="4">
        <v>653</v>
      </c>
      <c r="U292" s="4" t="s">
        <v>332</v>
      </c>
      <c r="V292" s="5">
        <v>2000</v>
      </c>
      <c r="W292" s="4" t="s">
        <v>547</v>
      </c>
      <c r="X292" s="5">
        <v>300</v>
      </c>
      <c r="Y292" s="4">
        <f t="shared" si="13"/>
        <v>2455</v>
      </c>
      <c r="Z292" s="4">
        <v>755</v>
      </c>
      <c r="AA292" s="1" t="s">
        <v>2800</v>
      </c>
      <c r="AB292" s="1" t="s">
        <v>18</v>
      </c>
      <c r="AC292" s="1" t="s">
        <v>15</v>
      </c>
      <c r="AD292" s="6">
        <v>46080</v>
      </c>
      <c r="AE292" s="6">
        <v>46083</v>
      </c>
      <c r="AF292" s="1" t="s">
        <v>16</v>
      </c>
    </row>
    <row r="293" spans="1:32" x14ac:dyDescent="0.3">
      <c r="A293" s="1">
        <v>599</v>
      </c>
      <c r="B293" s="2">
        <v>46035.797314814801</v>
      </c>
      <c r="C293" s="1" t="s">
        <v>2801</v>
      </c>
      <c r="D293" s="1" t="s">
        <v>2802</v>
      </c>
      <c r="E293" s="1" t="s">
        <v>2803</v>
      </c>
      <c r="F293" s="1" t="s">
        <v>2804</v>
      </c>
      <c r="G293" s="1" t="s">
        <v>17</v>
      </c>
      <c r="H293" s="1" t="s">
        <v>47</v>
      </c>
      <c r="I293" s="1" t="s">
        <v>2795</v>
      </c>
      <c r="J293" s="1" t="s">
        <v>2795</v>
      </c>
      <c r="K293" s="1">
        <v>755</v>
      </c>
      <c r="M293" s="1" t="s">
        <v>49</v>
      </c>
      <c r="N293" s="1" t="s">
        <v>2805</v>
      </c>
      <c r="O293" s="1" t="s">
        <v>2806</v>
      </c>
      <c r="P293" s="1" t="s">
        <v>9</v>
      </c>
      <c r="Q293" s="1">
        <v>0</v>
      </c>
      <c r="R293" s="1" t="s">
        <v>9</v>
      </c>
      <c r="S293" s="3" t="s">
        <v>142</v>
      </c>
      <c r="T293" s="4">
        <v>605</v>
      </c>
      <c r="U293" s="4" t="s">
        <v>2807</v>
      </c>
      <c r="V293" s="5" t="s">
        <v>2808</v>
      </c>
      <c r="W293" s="4" t="s">
        <v>40</v>
      </c>
      <c r="X293" s="5">
        <v>1500</v>
      </c>
      <c r="Y293" s="4">
        <f t="shared" si="13"/>
        <v>2055</v>
      </c>
      <c r="Z293" s="1">
        <v>755</v>
      </c>
      <c r="AA293" s="1" t="s">
        <v>2809</v>
      </c>
      <c r="AB293" s="1" t="s">
        <v>42</v>
      </c>
      <c r="AC293" s="1" t="s">
        <v>15</v>
      </c>
      <c r="AD293" s="6">
        <v>46080</v>
      </c>
      <c r="AE293" s="6">
        <v>46113</v>
      </c>
      <c r="AF293" s="1" t="s">
        <v>16</v>
      </c>
    </row>
    <row r="294" spans="1:32" x14ac:dyDescent="0.3">
      <c r="A294" s="1">
        <v>121</v>
      </c>
      <c r="B294" s="2">
        <v>45966.5953703704</v>
      </c>
      <c r="C294" s="1" t="s">
        <v>2810</v>
      </c>
      <c r="D294" s="1" t="s">
        <v>2811</v>
      </c>
      <c r="E294" s="1" t="s">
        <v>2812</v>
      </c>
      <c r="F294" s="1" t="s">
        <v>2813</v>
      </c>
      <c r="G294" s="1" t="s">
        <v>4</v>
      </c>
      <c r="H294" s="1" t="s">
        <v>27</v>
      </c>
      <c r="I294" s="1" t="s">
        <v>2814</v>
      </c>
      <c r="J294" s="1" t="s">
        <v>2814</v>
      </c>
      <c r="K294" s="1">
        <v>407</v>
      </c>
      <c r="L294" s="1">
        <v>0</v>
      </c>
      <c r="M294" s="1" t="s">
        <v>2815</v>
      </c>
      <c r="N294" s="1" t="s">
        <v>2815</v>
      </c>
      <c r="O294" s="1" t="s">
        <v>2816</v>
      </c>
      <c r="P294" s="1" t="s">
        <v>9</v>
      </c>
      <c r="Q294" s="1">
        <v>0</v>
      </c>
      <c r="R294" s="1" t="s">
        <v>10</v>
      </c>
      <c r="S294" s="3" t="s">
        <v>2817</v>
      </c>
      <c r="T294" s="4">
        <v>656</v>
      </c>
      <c r="U294" s="4" t="s">
        <v>1067</v>
      </c>
      <c r="V294" s="5">
        <v>1000</v>
      </c>
      <c r="W294" s="4" t="s">
        <v>2818</v>
      </c>
      <c r="X294" s="5">
        <v>50</v>
      </c>
      <c r="Y294" s="4">
        <f t="shared" si="13"/>
        <v>1357</v>
      </c>
      <c r="Z294" s="1">
        <v>407</v>
      </c>
      <c r="AA294" s="1" t="s">
        <v>2819</v>
      </c>
      <c r="AB294" s="1" t="s">
        <v>130</v>
      </c>
      <c r="AC294" s="1" t="s">
        <v>15</v>
      </c>
      <c r="AD294" s="6">
        <v>46080</v>
      </c>
      <c r="AE294" s="6">
        <v>46122</v>
      </c>
      <c r="AF294" s="1" t="s">
        <v>16</v>
      </c>
    </row>
    <row r="295" spans="1:32" x14ac:dyDescent="0.3">
      <c r="A295" s="1">
        <v>670</v>
      </c>
      <c r="B295" s="2">
        <v>46051.988148148099</v>
      </c>
      <c r="C295" s="1" t="s">
        <v>2820</v>
      </c>
      <c r="D295" s="1" t="s">
        <v>2821</v>
      </c>
      <c r="E295" s="1" t="s">
        <v>2822</v>
      </c>
      <c r="F295" s="1" t="s">
        <v>2823</v>
      </c>
      <c r="G295" s="1" t="s">
        <v>17</v>
      </c>
      <c r="H295" s="1" t="s">
        <v>18</v>
      </c>
      <c r="I295" s="1" t="s">
        <v>2824</v>
      </c>
      <c r="J295" s="1" t="s">
        <v>2824</v>
      </c>
      <c r="K295" s="1">
        <v>787</v>
      </c>
      <c r="L295" s="1">
        <v>1</v>
      </c>
      <c r="M295" s="1" t="s">
        <v>7</v>
      </c>
      <c r="N295" s="1" t="s">
        <v>2825</v>
      </c>
      <c r="O295" s="1" t="s">
        <v>2826</v>
      </c>
      <c r="P295" s="1" t="s">
        <v>9</v>
      </c>
      <c r="Q295" s="1">
        <v>0</v>
      </c>
      <c r="R295" s="1" t="s">
        <v>177</v>
      </c>
      <c r="S295" s="3" t="s">
        <v>2827</v>
      </c>
      <c r="T295" s="4">
        <v>627</v>
      </c>
      <c r="U295" s="4" t="s">
        <v>2828</v>
      </c>
      <c r="V295" s="5">
        <v>1200</v>
      </c>
      <c r="W295" s="4" t="s">
        <v>2829</v>
      </c>
      <c r="X295" s="5">
        <v>1500</v>
      </c>
      <c r="Y295" s="4">
        <f t="shared" si="13"/>
        <v>487</v>
      </c>
      <c r="Z295" s="4">
        <v>627</v>
      </c>
      <c r="AA295" s="1" t="s">
        <v>2830</v>
      </c>
      <c r="AB295" s="1" t="s">
        <v>18</v>
      </c>
      <c r="AC295" s="1" t="s">
        <v>15</v>
      </c>
      <c r="AD295" s="6">
        <v>46080</v>
      </c>
      <c r="AE295" s="6">
        <v>46100</v>
      </c>
      <c r="AF295" s="1" t="s">
        <v>16</v>
      </c>
    </row>
    <row r="296" spans="1:32" x14ac:dyDescent="0.3">
      <c r="A296" s="1">
        <v>685</v>
      </c>
      <c r="B296" s="2">
        <v>46052.514432870397</v>
      </c>
      <c r="C296" s="1" t="s">
        <v>2831</v>
      </c>
      <c r="D296" s="1" t="s">
        <v>2017</v>
      </c>
      <c r="E296" s="1" t="s">
        <v>2832</v>
      </c>
      <c r="F296" s="1" t="s">
        <v>2833</v>
      </c>
      <c r="G296" s="1" t="s">
        <v>4</v>
      </c>
      <c r="H296" s="1" t="s">
        <v>474</v>
      </c>
      <c r="I296" s="1" t="s">
        <v>2824</v>
      </c>
      <c r="J296" s="1" t="s">
        <v>2824</v>
      </c>
      <c r="K296" s="1">
        <v>523</v>
      </c>
      <c r="L296" s="1">
        <v>2</v>
      </c>
      <c r="M296" s="1" t="s">
        <v>20</v>
      </c>
      <c r="N296" s="1" t="s">
        <v>474</v>
      </c>
      <c r="O296" s="1" t="s">
        <v>1962</v>
      </c>
      <c r="P296" s="1" t="s">
        <v>9</v>
      </c>
      <c r="Q296" s="1">
        <v>0</v>
      </c>
      <c r="R296" s="1" t="s">
        <v>177</v>
      </c>
      <c r="S296" s="3" t="s">
        <v>2834</v>
      </c>
      <c r="T296" s="4">
        <v>325</v>
      </c>
      <c r="U296" s="4" t="s">
        <v>2835</v>
      </c>
      <c r="V296" s="5">
        <v>1120</v>
      </c>
      <c r="W296" s="4" t="s">
        <v>75</v>
      </c>
      <c r="X296" s="5">
        <v>500</v>
      </c>
      <c r="Y296" s="4">
        <f t="shared" ref="Y296:Y313" si="14">K296+V296-X296</f>
        <v>1143</v>
      </c>
      <c r="Z296" s="1">
        <v>523</v>
      </c>
      <c r="AA296" s="1" t="s">
        <v>2836</v>
      </c>
      <c r="AC296" s="1" t="s">
        <v>15</v>
      </c>
      <c r="AD296" s="6">
        <v>46080</v>
      </c>
      <c r="AE296" s="6">
        <v>46125</v>
      </c>
      <c r="AF296" s="1" t="s">
        <v>16</v>
      </c>
    </row>
    <row r="297" spans="1:32" x14ac:dyDescent="0.3">
      <c r="A297" s="1">
        <v>647</v>
      </c>
      <c r="B297" s="2">
        <v>46047.352245370399</v>
      </c>
      <c r="C297" s="1" t="s">
        <v>2837</v>
      </c>
      <c r="D297" s="1" t="s">
        <v>2838</v>
      </c>
      <c r="E297" s="1" t="s">
        <v>2839</v>
      </c>
      <c r="F297" s="1" t="s">
        <v>2840</v>
      </c>
      <c r="G297" s="1" t="s">
        <v>17</v>
      </c>
      <c r="H297" s="1" t="s">
        <v>71</v>
      </c>
      <c r="I297" s="1" t="s">
        <v>2841</v>
      </c>
      <c r="J297" s="1" t="s">
        <v>2841</v>
      </c>
      <c r="K297" s="1">
        <v>787</v>
      </c>
      <c r="L297" s="1">
        <v>0</v>
      </c>
      <c r="M297" s="1" t="s">
        <v>7</v>
      </c>
      <c r="N297" s="1" t="s">
        <v>2842</v>
      </c>
      <c r="O297" s="1" t="s">
        <v>2843</v>
      </c>
      <c r="P297" s="1" t="s">
        <v>9</v>
      </c>
      <c r="Q297" s="1">
        <v>0</v>
      </c>
      <c r="R297" s="1" t="s">
        <v>177</v>
      </c>
      <c r="S297" s="3" t="s">
        <v>2844</v>
      </c>
      <c r="T297" s="4">
        <v>575</v>
      </c>
      <c r="U297" s="4" t="s">
        <v>513</v>
      </c>
      <c r="V297" s="5">
        <v>300</v>
      </c>
      <c r="W297" s="4" t="s">
        <v>866</v>
      </c>
      <c r="X297" s="5">
        <v>400</v>
      </c>
      <c r="Y297" s="4">
        <f t="shared" si="14"/>
        <v>687</v>
      </c>
      <c r="Z297" s="1">
        <v>787</v>
      </c>
      <c r="AA297" s="1" t="s">
        <v>2845</v>
      </c>
      <c r="AC297" s="1" t="s">
        <v>15</v>
      </c>
      <c r="AD297" s="6">
        <v>46080</v>
      </c>
      <c r="AE297" s="6">
        <v>46124</v>
      </c>
      <c r="AF297" s="6" t="s">
        <v>16</v>
      </c>
    </row>
    <row r="298" spans="1:32" x14ac:dyDescent="0.3">
      <c r="A298" s="1">
        <v>365</v>
      </c>
      <c r="B298" s="2">
        <v>46008.066967592596</v>
      </c>
      <c r="C298" s="1" t="s">
        <v>2846</v>
      </c>
      <c r="D298" s="1" t="s">
        <v>2847</v>
      </c>
      <c r="E298" s="1" t="s">
        <v>2848</v>
      </c>
      <c r="F298" s="1" t="s">
        <v>2849</v>
      </c>
      <c r="G298" s="1" t="s">
        <v>4</v>
      </c>
      <c r="H298" s="1" t="s">
        <v>71</v>
      </c>
      <c r="I298" s="1" t="s">
        <v>1012</v>
      </c>
      <c r="J298" s="1" t="s">
        <v>1012</v>
      </c>
      <c r="K298" s="1">
        <v>407</v>
      </c>
      <c r="L298" s="1">
        <v>1</v>
      </c>
      <c r="M298" s="1" t="s">
        <v>20</v>
      </c>
      <c r="N298" s="1" t="s">
        <v>134</v>
      </c>
      <c r="O298" s="1" t="s">
        <v>2850</v>
      </c>
      <c r="P298" s="1" t="s">
        <v>9</v>
      </c>
      <c r="Q298" s="1">
        <v>0</v>
      </c>
      <c r="R298" s="1" t="s">
        <v>10</v>
      </c>
      <c r="S298" s="3" t="s">
        <v>2851</v>
      </c>
      <c r="T298" s="4">
        <v>677</v>
      </c>
      <c r="U298" s="4" t="s">
        <v>2808</v>
      </c>
      <c r="V298" s="5">
        <v>2800</v>
      </c>
      <c r="W298" s="4" t="s">
        <v>233</v>
      </c>
      <c r="X298" s="5">
        <v>800</v>
      </c>
      <c r="Y298" s="4">
        <f t="shared" si="14"/>
        <v>2407</v>
      </c>
      <c r="Z298" s="4">
        <v>407</v>
      </c>
      <c r="AA298" s="1" t="s">
        <v>2852</v>
      </c>
      <c r="AB298" s="1" t="s">
        <v>56</v>
      </c>
      <c r="AC298" s="1" t="s">
        <v>15</v>
      </c>
      <c r="AD298" s="6">
        <v>46080</v>
      </c>
      <c r="AE298" s="6">
        <v>46084</v>
      </c>
      <c r="AF298" s="1" t="s">
        <v>16</v>
      </c>
    </row>
    <row r="299" spans="1:32" x14ac:dyDescent="0.3">
      <c r="A299" s="1">
        <v>17</v>
      </c>
      <c r="B299" s="2">
        <v>45919.416527777779</v>
      </c>
      <c r="C299" s="1" t="s">
        <v>2853</v>
      </c>
      <c r="D299" s="1" t="s">
        <v>2854</v>
      </c>
      <c r="E299" s="1" t="s">
        <v>2855</v>
      </c>
      <c r="F299" s="1" t="s">
        <v>2856</v>
      </c>
      <c r="G299" s="1" t="s">
        <v>17</v>
      </c>
      <c r="H299" s="1" t="s">
        <v>47</v>
      </c>
      <c r="I299" s="1" t="s">
        <v>1012</v>
      </c>
      <c r="J299" s="1" t="s">
        <v>1012</v>
      </c>
      <c r="K299" s="1">
        <v>755</v>
      </c>
      <c r="L299" s="1">
        <v>2</v>
      </c>
      <c r="M299" s="1" t="s">
        <v>7</v>
      </c>
      <c r="N299" s="1" t="s">
        <v>2857</v>
      </c>
      <c r="O299" s="1" t="s">
        <v>2858</v>
      </c>
      <c r="P299" s="1" t="s">
        <v>98</v>
      </c>
      <c r="Q299" s="1" t="s">
        <v>2859</v>
      </c>
      <c r="R299" s="1" t="s">
        <v>10</v>
      </c>
      <c r="S299" s="3" t="s">
        <v>2860</v>
      </c>
      <c r="T299" s="4">
        <v>658</v>
      </c>
      <c r="U299" s="4" t="s">
        <v>2861</v>
      </c>
      <c r="V299" s="5">
        <v>1800</v>
      </c>
      <c r="W299" s="4" t="s">
        <v>1280</v>
      </c>
      <c r="X299" s="5">
        <v>750</v>
      </c>
      <c r="Y299" s="4">
        <f t="shared" si="14"/>
        <v>1805</v>
      </c>
      <c r="Z299" s="4">
        <v>755</v>
      </c>
      <c r="AA299" s="1" t="s">
        <v>2862</v>
      </c>
      <c r="AB299" s="1" t="s">
        <v>56</v>
      </c>
      <c r="AC299" s="1" t="s">
        <v>15</v>
      </c>
      <c r="AD299" s="6">
        <v>46080</v>
      </c>
      <c r="AE299" s="6">
        <v>46085</v>
      </c>
      <c r="AF299" s="1" t="s">
        <v>16</v>
      </c>
    </row>
    <row r="300" spans="1:32" x14ac:dyDescent="0.3">
      <c r="A300" s="1">
        <v>107</v>
      </c>
      <c r="B300" s="2">
        <v>45958.616354166697</v>
      </c>
      <c r="C300" s="1" t="s">
        <v>2863</v>
      </c>
      <c r="D300" s="1" t="s">
        <v>2864</v>
      </c>
      <c r="E300" s="1" t="s">
        <v>2865</v>
      </c>
      <c r="F300" s="1" t="s">
        <v>2866</v>
      </c>
      <c r="G300" s="1" t="s">
        <v>4</v>
      </c>
      <c r="H300" s="1" t="s">
        <v>18</v>
      </c>
      <c r="I300" s="1" t="s">
        <v>1012</v>
      </c>
      <c r="J300" s="1" t="s">
        <v>1012</v>
      </c>
      <c r="K300" s="1">
        <v>755</v>
      </c>
      <c r="L300" s="1">
        <v>3</v>
      </c>
      <c r="M300" s="1" t="s">
        <v>7</v>
      </c>
      <c r="N300" s="1" t="s">
        <v>1170</v>
      </c>
      <c r="O300" s="1" t="s">
        <v>2867</v>
      </c>
      <c r="P300" s="1" t="s">
        <v>98</v>
      </c>
      <c r="Q300" s="1" t="s">
        <v>2868</v>
      </c>
      <c r="R300" s="1" t="s">
        <v>10</v>
      </c>
      <c r="S300" s="3" t="s">
        <v>2869</v>
      </c>
      <c r="T300" s="4">
        <v>662</v>
      </c>
      <c r="U300" s="4" t="s">
        <v>2870</v>
      </c>
      <c r="V300" s="5">
        <v>2400</v>
      </c>
      <c r="W300" s="4" t="s">
        <v>166</v>
      </c>
      <c r="X300" s="5">
        <v>2500</v>
      </c>
      <c r="Y300" s="4">
        <f t="shared" si="14"/>
        <v>655</v>
      </c>
      <c r="Z300" s="4">
        <v>755</v>
      </c>
      <c r="AA300" s="1" t="s">
        <v>2871</v>
      </c>
      <c r="AB300" s="1" t="s">
        <v>18</v>
      </c>
      <c r="AC300" s="1" t="s">
        <v>15</v>
      </c>
      <c r="AD300" s="6">
        <v>46080</v>
      </c>
      <c r="AE300" s="6">
        <v>46093</v>
      </c>
      <c r="AF300" s="1" t="s">
        <v>16</v>
      </c>
    </row>
    <row r="301" spans="1:32" x14ac:dyDescent="0.3">
      <c r="A301" s="1">
        <v>140</v>
      </c>
      <c r="B301" s="2">
        <v>45978.579224537003</v>
      </c>
      <c r="C301" s="1" t="s">
        <v>2872</v>
      </c>
      <c r="D301" s="1" t="s">
        <v>2873</v>
      </c>
      <c r="E301" s="1" t="s">
        <v>2874</v>
      </c>
      <c r="F301" s="1" t="s">
        <v>2875</v>
      </c>
      <c r="G301" s="1" t="s">
        <v>17</v>
      </c>
      <c r="H301" s="1" t="s">
        <v>71</v>
      </c>
      <c r="I301" s="1" t="s">
        <v>1012</v>
      </c>
      <c r="J301" s="1" t="s">
        <v>1012</v>
      </c>
      <c r="K301" s="1">
        <v>755</v>
      </c>
      <c r="L301" s="1">
        <v>4</v>
      </c>
      <c r="M301" s="1" t="s">
        <v>7</v>
      </c>
      <c r="N301" s="1" t="s">
        <v>2876</v>
      </c>
      <c r="O301" s="1" t="s">
        <v>2877</v>
      </c>
      <c r="P301" s="1" t="s">
        <v>98</v>
      </c>
      <c r="Q301" s="1" t="s">
        <v>2878</v>
      </c>
      <c r="R301" s="1" t="s">
        <v>10</v>
      </c>
      <c r="S301" s="3" t="s">
        <v>2879</v>
      </c>
      <c r="T301" s="4">
        <v>665</v>
      </c>
      <c r="U301" s="4" t="s">
        <v>2880</v>
      </c>
      <c r="V301" s="5" t="s">
        <v>2881</v>
      </c>
      <c r="W301" s="4" t="s">
        <v>2882</v>
      </c>
      <c r="X301" s="5">
        <v>150</v>
      </c>
      <c r="Y301" s="4">
        <f t="shared" si="14"/>
        <v>1889</v>
      </c>
      <c r="Z301" s="1">
        <v>755</v>
      </c>
      <c r="AA301" s="1" t="s">
        <v>2883</v>
      </c>
      <c r="AC301" s="1" t="s">
        <v>15</v>
      </c>
      <c r="AD301" s="6">
        <v>46080</v>
      </c>
      <c r="AE301" s="6">
        <v>46142</v>
      </c>
      <c r="AF301" s="1" t="s">
        <v>16</v>
      </c>
    </row>
    <row r="302" spans="1:32" x14ac:dyDescent="0.3">
      <c r="A302" s="1">
        <v>352</v>
      </c>
      <c r="B302" s="2">
        <v>46007.5210532407</v>
      </c>
      <c r="C302" s="1" t="s">
        <v>2884</v>
      </c>
      <c r="D302" s="1" t="s">
        <v>2885</v>
      </c>
      <c r="E302" s="1" t="s">
        <v>2886</v>
      </c>
      <c r="F302" s="1" t="s">
        <v>2887</v>
      </c>
      <c r="G302" s="1" t="s">
        <v>4</v>
      </c>
      <c r="H302" s="1" t="s">
        <v>71</v>
      </c>
      <c r="I302" s="1" t="s">
        <v>1012</v>
      </c>
      <c r="J302" s="1" t="s">
        <v>1012</v>
      </c>
      <c r="K302" s="1">
        <v>755</v>
      </c>
      <c r="L302" s="1">
        <v>5</v>
      </c>
      <c r="M302" s="1" t="s">
        <v>7</v>
      </c>
      <c r="N302" s="1" t="s">
        <v>2888</v>
      </c>
      <c r="O302" s="1" t="s">
        <v>2889</v>
      </c>
      <c r="P302" s="1" t="s">
        <v>9</v>
      </c>
      <c r="Q302" s="1">
        <v>0</v>
      </c>
      <c r="R302" s="1" t="s">
        <v>10</v>
      </c>
      <c r="S302" s="3" t="s">
        <v>2890</v>
      </c>
      <c r="T302" s="4">
        <v>675</v>
      </c>
      <c r="U302" s="4" t="s">
        <v>2288</v>
      </c>
      <c r="V302" s="5">
        <v>3000</v>
      </c>
      <c r="W302" s="4" t="s">
        <v>400</v>
      </c>
      <c r="X302" s="5">
        <v>200</v>
      </c>
      <c r="Y302" s="4">
        <f t="shared" si="14"/>
        <v>3555</v>
      </c>
      <c r="Z302" s="1">
        <v>755</v>
      </c>
      <c r="AA302" s="1" t="s">
        <v>2891</v>
      </c>
      <c r="AC302" s="1" t="s">
        <v>15</v>
      </c>
      <c r="AD302" s="6">
        <v>46080</v>
      </c>
      <c r="AE302" s="6">
        <v>46123</v>
      </c>
      <c r="AF302" s="1" t="s">
        <v>16</v>
      </c>
    </row>
    <row r="303" spans="1:32" x14ac:dyDescent="0.3">
      <c r="A303" s="1">
        <v>111</v>
      </c>
      <c r="B303" s="2">
        <v>45960.712372685201</v>
      </c>
      <c r="C303" s="1" t="s">
        <v>2892</v>
      </c>
      <c r="D303" s="1" t="s">
        <v>2893</v>
      </c>
      <c r="E303" s="1" t="s">
        <v>2894</v>
      </c>
      <c r="F303" s="1" t="s">
        <v>2895</v>
      </c>
      <c r="G303" s="1" t="s">
        <v>17</v>
      </c>
      <c r="H303" s="1" t="s">
        <v>71</v>
      </c>
      <c r="I303" s="1" t="s">
        <v>1012</v>
      </c>
      <c r="J303" s="1" t="s">
        <v>1012</v>
      </c>
      <c r="K303" s="1">
        <v>755</v>
      </c>
      <c r="M303" s="1" t="s">
        <v>7</v>
      </c>
      <c r="N303" s="1" t="s">
        <v>1046</v>
      </c>
      <c r="O303" s="1" t="s">
        <v>2896</v>
      </c>
      <c r="P303" s="1" t="s">
        <v>98</v>
      </c>
      <c r="Q303" s="1" t="s">
        <v>1278</v>
      </c>
      <c r="R303" s="1" t="s">
        <v>10</v>
      </c>
      <c r="S303" s="3" t="s">
        <v>2897</v>
      </c>
      <c r="T303" s="4">
        <v>663</v>
      </c>
      <c r="U303" s="4" t="s">
        <v>2898</v>
      </c>
      <c r="V303" s="5">
        <v>1400</v>
      </c>
      <c r="W303" s="4" t="s">
        <v>493</v>
      </c>
      <c r="X303" s="5">
        <v>700</v>
      </c>
      <c r="Y303" s="4">
        <f t="shared" si="14"/>
        <v>1455</v>
      </c>
      <c r="AA303" s="1" t="s">
        <v>2899</v>
      </c>
      <c r="AC303" s="1" t="s">
        <v>15</v>
      </c>
      <c r="AD303" s="6">
        <v>46080</v>
      </c>
      <c r="AE303" s="6">
        <v>46148</v>
      </c>
      <c r="AF303" s="1" t="s">
        <v>16</v>
      </c>
    </row>
    <row r="304" spans="1:32" x14ac:dyDescent="0.3">
      <c r="A304" s="1">
        <v>329</v>
      </c>
      <c r="B304" s="2">
        <v>46001.787013888897</v>
      </c>
      <c r="C304" s="1" t="s">
        <v>2900</v>
      </c>
      <c r="D304" s="1" t="s">
        <v>2901</v>
      </c>
      <c r="E304" s="1" t="s">
        <v>2902</v>
      </c>
      <c r="F304" s="1" t="s">
        <v>2903</v>
      </c>
      <c r="G304" s="1" t="s">
        <v>4</v>
      </c>
      <c r="H304" s="1" t="s">
        <v>47</v>
      </c>
      <c r="I304" s="1" t="s">
        <v>1012</v>
      </c>
      <c r="J304" s="1" t="s">
        <v>1012</v>
      </c>
      <c r="K304" s="1">
        <v>407</v>
      </c>
      <c r="M304" s="1" t="s">
        <v>2904</v>
      </c>
      <c r="N304" s="1" t="s">
        <v>2905</v>
      </c>
      <c r="O304" s="1" t="s">
        <v>2906</v>
      </c>
      <c r="P304" s="1" t="s">
        <v>98</v>
      </c>
      <c r="Q304" s="1" t="s">
        <v>2907</v>
      </c>
      <c r="R304" s="1" t="s">
        <v>10</v>
      </c>
      <c r="S304" s="3" t="s">
        <v>2908</v>
      </c>
      <c r="T304" s="4">
        <v>673</v>
      </c>
      <c r="U304" s="4" t="s">
        <v>2909</v>
      </c>
      <c r="V304" s="5">
        <v>3000</v>
      </c>
      <c r="W304" s="4" t="s">
        <v>516</v>
      </c>
      <c r="X304" s="5">
        <v>100</v>
      </c>
      <c r="Y304" s="4">
        <f t="shared" si="14"/>
        <v>3307</v>
      </c>
      <c r="AA304" s="1" t="s">
        <v>2910</v>
      </c>
      <c r="AC304" s="1" t="s">
        <v>15</v>
      </c>
      <c r="AD304" s="6">
        <v>46080</v>
      </c>
      <c r="AE304" s="6">
        <v>46148</v>
      </c>
      <c r="AF304" s="1" t="s">
        <v>16</v>
      </c>
    </row>
    <row r="305" spans="1:32" x14ac:dyDescent="0.3">
      <c r="A305" s="1">
        <v>528</v>
      </c>
      <c r="B305" s="2">
        <v>46022.734490740702</v>
      </c>
      <c r="C305" s="1" t="s">
        <v>2911</v>
      </c>
      <c r="D305" s="1" t="s">
        <v>2912</v>
      </c>
      <c r="E305" s="1" t="s">
        <v>2913</v>
      </c>
      <c r="F305" s="1" t="s">
        <v>2914</v>
      </c>
      <c r="G305" s="1" t="s">
        <v>4</v>
      </c>
      <c r="H305" s="1" t="s">
        <v>71</v>
      </c>
      <c r="I305" s="1" t="s">
        <v>1012</v>
      </c>
      <c r="J305" s="1" t="s">
        <v>1012</v>
      </c>
      <c r="K305" s="1">
        <v>755</v>
      </c>
      <c r="M305" s="1" t="s">
        <v>7</v>
      </c>
      <c r="N305" s="1" t="s">
        <v>2915</v>
      </c>
      <c r="O305" s="1" t="s">
        <v>2889</v>
      </c>
      <c r="P305" s="1" t="s">
        <v>9</v>
      </c>
      <c r="Q305" s="1">
        <v>0</v>
      </c>
      <c r="R305" s="1" t="s">
        <v>10</v>
      </c>
      <c r="S305" s="3" t="s">
        <v>2916</v>
      </c>
      <c r="T305" s="4">
        <v>683</v>
      </c>
      <c r="U305" s="4" t="s">
        <v>2250</v>
      </c>
      <c r="V305" s="5">
        <v>3000</v>
      </c>
      <c r="W305" s="4" t="s">
        <v>2917</v>
      </c>
      <c r="X305" s="5">
        <v>250</v>
      </c>
      <c r="Y305" s="4">
        <f t="shared" si="14"/>
        <v>3505</v>
      </c>
      <c r="AA305" s="1" t="s">
        <v>2918</v>
      </c>
      <c r="AC305" s="1" t="s">
        <v>15</v>
      </c>
      <c r="AD305" s="6">
        <v>46080</v>
      </c>
      <c r="AE305" s="6">
        <v>46148</v>
      </c>
      <c r="AF305" s="1" t="s">
        <v>16</v>
      </c>
    </row>
    <row r="306" spans="1:32" x14ac:dyDescent="0.3">
      <c r="A306" s="1">
        <v>654</v>
      </c>
      <c r="B306" s="2">
        <v>46049.194201388898</v>
      </c>
      <c r="C306" s="1" t="s">
        <v>2919</v>
      </c>
      <c r="D306" s="1" t="s">
        <v>2920</v>
      </c>
      <c r="E306" s="1" t="s">
        <v>2921</v>
      </c>
      <c r="F306" s="1" t="s">
        <v>2922</v>
      </c>
      <c r="G306" s="1" t="s">
        <v>17</v>
      </c>
      <c r="H306" s="1" t="s">
        <v>71</v>
      </c>
      <c r="I306" s="1" t="s">
        <v>2923</v>
      </c>
      <c r="J306" s="1" t="s">
        <v>2923</v>
      </c>
      <c r="K306" s="1">
        <v>814</v>
      </c>
      <c r="L306" s="1">
        <v>1</v>
      </c>
      <c r="M306" s="1" t="s">
        <v>49</v>
      </c>
      <c r="N306" s="1" t="s">
        <v>2924</v>
      </c>
      <c r="O306" s="1" t="s">
        <v>2925</v>
      </c>
      <c r="P306" s="1" t="s">
        <v>9</v>
      </c>
      <c r="Q306" s="1">
        <v>0</v>
      </c>
      <c r="R306" s="1" t="s">
        <v>10</v>
      </c>
      <c r="S306" s="3" t="s">
        <v>762</v>
      </c>
      <c r="T306" s="4">
        <v>649</v>
      </c>
      <c r="U306" s="4" t="s">
        <v>2926</v>
      </c>
      <c r="V306" s="5" t="s">
        <v>2927</v>
      </c>
      <c r="W306" s="4" t="s">
        <v>2928</v>
      </c>
      <c r="X306" s="5">
        <v>482</v>
      </c>
      <c r="Y306" s="4">
        <f t="shared" si="14"/>
        <v>653.24</v>
      </c>
      <c r="Z306" s="4">
        <v>814</v>
      </c>
      <c r="AA306" s="1" t="s">
        <v>2929</v>
      </c>
      <c r="AB306" s="1" t="s">
        <v>56</v>
      </c>
      <c r="AC306" s="1" t="s">
        <v>15</v>
      </c>
      <c r="AD306" s="6">
        <v>46080</v>
      </c>
      <c r="AE306" s="6">
        <v>46080</v>
      </c>
      <c r="AF306" s="1" t="s">
        <v>16</v>
      </c>
    </row>
    <row r="307" spans="1:32" x14ac:dyDescent="0.3">
      <c r="A307" s="1">
        <v>292</v>
      </c>
      <c r="B307" s="2">
        <v>45992.648182870398</v>
      </c>
      <c r="C307" s="1" t="s">
        <v>2930</v>
      </c>
      <c r="D307" s="1" t="s">
        <v>2931</v>
      </c>
      <c r="E307" s="1" t="s">
        <v>2932</v>
      </c>
      <c r="F307" s="1" t="s">
        <v>2933</v>
      </c>
      <c r="G307" s="1" t="s">
        <v>4</v>
      </c>
      <c r="H307" s="1" t="s">
        <v>2934</v>
      </c>
      <c r="I307" s="1" t="s">
        <v>2923</v>
      </c>
      <c r="J307" s="1" t="s">
        <v>2923</v>
      </c>
      <c r="K307" s="1">
        <v>407</v>
      </c>
      <c r="L307" s="1">
        <v>2</v>
      </c>
      <c r="M307" s="1" t="s">
        <v>2935</v>
      </c>
      <c r="N307" s="1" t="s">
        <v>2936</v>
      </c>
      <c r="O307" s="1" t="s">
        <v>2937</v>
      </c>
      <c r="P307" s="1" t="s">
        <v>9</v>
      </c>
      <c r="Q307" s="1">
        <v>0</v>
      </c>
      <c r="R307" s="1" t="s">
        <v>10</v>
      </c>
      <c r="S307" s="3" t="s">
        <v>2938</v>
      </c>
      <c r="T307" s="4">
        <v>687</v>
      </c>
      <c r="U307" s="4" t="s">
        <v>2939</v>
      </c>
      <c r="V307" s="5" t="s">
        <v>2940</v>
      </c>
      <c r="W307" s="4" t="s">
        <v>2941</v>
      </c>
      <c r="X307" s="5" t="s">
        <v>2942</v>
      </c>
      <c r="Y307" s="4">
        <f t="shared" si="14"/>
        <v>875.89</v>
      </c>
      <c r="Z307" s="4">
        <v>407</v>
      </c>
      <c r="AA307" s="1" t="s">
        <v>2943</v>
      </c>
      <c r="AB307" s="1" t="s">
        <v>56</v>
      </c>
      <c r="AC307" s="1" t="s">
        <v>15</v>
      </c>
      <c r="AD307" s="6">
        <v>46080</v>
      </c>
      <c r="AE307" s="6">
        <v>46081</v>
      </c>
      <c r="AF307" s="1" t="s">
        <v>16</v>
      </c>
    </row>
    <row r="308" spans="1:32" x14ac:dyDescent="0.3">
      <c r="A308" s="1">
        <v>741</v>
      </c>
      <c r="B308" s="2">
        <v>46061.866678240702</v>
      </c>
      <c r="C308" s="1" t="s">
        <v>2944</v>
      </c>
      <c r="D308" s="1" t="s">
        <v>2945</v>
      </c>
      <c r="E308" s="1" t="s">
        <v>2946</v>
      </c>
      <c r="F308" s="1" t="s">
        <v>2947</v>
      </c>
      <c r="G308" s="1" t="s">
        <v>17</v>
      </c>
      <c r="H308" s="1" t="s">
        <v>71</v>
      </c>
      <c r="I308" s="1" t="s">
        <v>2923</v>
      </c>
      <c r="J308" s="1" t="s">
        <v>2923</v>
      </c>
      <c r="K308" s="1">
        <v>755</v>
      </c>
      <c r="L308" s="1">
        <v>3</v>
      </c>
      <c r="M308" s="1" t="s">
        <v>1636</v>
      </c>
      <c r="N308" s="1" t="s">
        <v>1636</v>
      </c>
      <c r="O308" s="1" t="s">
        <v>2948</v>
      </c>
      <c r="P308" s="1" t="s">
        <v>9</v>
      </c>
      <c r="Q308" s="1" t="s">
        <v>1091</v>
      </c>
      <c r="R308" s="1" t="s">
        <v>10</v>
      </c>
      <c r="S308" s="3" t="s">
        <v>457</v>
      </c>
      <c r="T308" s="4">
        <v>325</v>
      </c>
      <c r="U308" s="4" t="s">
        <v>1543</v>
      </c>
      <c r="V308" s="5">
        <v>465</v>
      </c>
      <c r="W308" s="4" t="s">
        <v>866</v>
      </c>
      <c r="X308" s="5">
        <v>400</v>
      </c>
      <c r="Y308" s="4">
        <f t="shared" si="14"/>
        <v>820</v>
      </c>
      <c r="Z308" s="4">
        <v>755</v>
      </c>
      <c r="AA308" s="1" t="s">
        <v>2949</v>
      </c>
      <c r="AB308" s="1" t="s">
        <v>56</v>
      </c>
      <c r="AC308" s="1" t="s">
        <v>15</v>
      </c>
      <c r="AD308" s="6">
        <v>46080</v>
      </c>
      <c r="AE308" s="6">
        <v>46080</v>
      </c>
      <c r="AF308" s="1" t="s">
        <v>16</v>
      </c>
    </row>
    <row r="309" spans="1:32" x14ac:dyDescent="0.3">
      <c r="A309" s="1">
        <v>616</v>
      </c>
      <c r="B309" s="2">
        <v>46040.525347222203</v>
      </c>
      <c r="C309" s="1" t="s">
        <v>2950</v>
      </c>
      <c r="D309" s="1" t="s">
        <v>2951</v>
      </c>
      <c r="E309" s="1" t="s">
        <v>2952</v>
      </c>
      <c r="F309" s="32" t="s">
        <v>2953</v>
      </c>
      <c r="G309" s="1" t="s">
        <v>17</v>
      </c>
      <c r="H309" s="1" t="s">
        <v>47</v>
      </c>
      <c r="I309" s="1" t="s">
        <v>2954</v>
      </c>
      <c r="J309" s="1" t="s">
        <v>2955</v>
      </c>
      <c r="K309" s="1">
        <v>814</v>
      </c>
      <c r="L309" s="1">
        <v>1</v>
      </c>
      <c r="M309" s="1" t="s">
        <v>49</v>
      </c>
      <c r="N309" s="1" t="s">
        <v>2956</v>
      </c>
      <c r="O309" s="1" t="s">
        <v>2957</v>
      </c>
      <c r="P309" s="1" t="s">
        <v>98</v>
      </c>
      <c r="Q309" s="1" t="s">
        <v>2958</v>
      </c>
      <c r="R309" s="1" t="s">
        <v>10</v>
      </c>
      <c r="S309" s="3" t="s">
        <v>2959</v>
      </c>
      <c r="U309" s="4" t="s">
        <v>2960</v>
      </c>
      <c r="W309" s="4" t="s">
        <v>1448</v>
      </c>
      <c r="X309" s="5">
        <v>100</v>
      </c>
      <c r="Y309" s="4">
        <f t="shared" si="14"/>
        <v>714</v>
      </c>
      <c r="Z309" s="4">
        <v>814</v>
      </c>
      <c r="AA309" s="1" t="s">
        <v>2961</v>
      </c>
      <c r="AB309" s="1" t="s">
        <v>42</v>
      </c>
      <c r="AC309" s="1" t="s">
        <v>15</v>
      </c>
      <c r="AD309" s="6">
        <v>46080</v>
      </c>
      <c r="AE309" s="6">
        <v>46097</v>
      </c>
      <c r="AF309" s="1" t="s">
        <v>16</v>
      </c>
    </row>
    <row r="310" spans="1:32" x14ac:dyDescent="0.3">
      <c r="A310" s="1">
        <v>117</v>
      </c>
      <c r="B310" s="2">
        <v>45964.799745370401</v>
      </c>
      <c r="C310" s="1" t="s">
        <v>2962</v>
      </c>
      <c r="D310" s="1" t="s">
        <v>2963</v>
      </c>
      <c r="E310" s="1" t="s">
        <v>2964</v>
      </c>
      <c r="F310" s="1" t="s">
        <v>2965</v>
      </c>
      <c r="G310" s="1" t="s">
        <v>17</v>
      </c>
      <c r="H310" s="1" t="s">
        <v>18</v>
      </c>
      <c r="I310" s="1" t="s">
        <v>2966</v>
      </c>
      <c r="J310" s="1" t="s">
        <v>2966</v>
      </c>
      <c r="K310" s="1">
        <v>755</v>
      </c>
      <c r="L310" s="1">
        <v>1</v>
      </c>
      <c r="M310" s="1" t="s">
        <v>49</v>
      </c>
      <c r="N310" s="1" t="s">
        <v>2967</v>
      </c>
      <c r="O310" s="1" t="s">
        <v>2968</v>
      </c>
      <c r="P310" s="1" t="s">
        <v>98</v>
      </c>
      <c r="Q310" s="1" t="s">
        <v>2969</v>
      </c>
      <c r="R310" s="1" t="s">
        <v>10</v>
      </c>
      <c r="S310" s="3" t="s">
        <v>2970</v>
      </c>
      <c r="T310" s="4">
        <v>690</v>
      </c>
      <c r="U310" s="4" t="s">
        <v>2971</v>
      </c>
      <c r="V310" s="5">
        <v>2700</v>
      </c>
      <c r="W310" s="4" t="s">
        <v>1554</v>
      </c>
      <c r="X310" s="5">
        <v>300</v>
      </c>
      <c r="Y310" s="4">
        <f t="shared" si="14"/>
        <v>3155</v>
      </c>
      <c r="Z310" s="4">
        <v>755</v>
      </c>
      <c r="AA310" s="1" t="s">
        <v>2972</v>
      </c>
      <c r="AB310" s="1" t="s">
        <v>18</v>
      </c>
      <c r="AC310" s="1" t="s">
        <v>15</v>
      </c>
      <c r="AD310" s="6">
        <v>46080</v>
      </c>
      <c r="AE310" s="6">
        <v>46080</v>
      </c>
      <c r="AF310" s="1" t="s">
        <v>16</v>
      </c>
    </row>
    <row r="311" spans="1:32" x14ac:dyDescent="0.3">
      <c r="A311" s="1">
        <v>51</v>
      </c>
      <c r="B311" s="2">
        <v>45935.042870370373</v>
      </c>
      <c r="C311" s="1" t="s">
        <v>2973</v>
      </c>
      <c r="D311" s="1" t="s">
        <v>2974</v>
      </c>
      <c r="E311" s="1" t="s">
        <v>2975</v>
      </c>
      <c r="F311" s="1" t="s">
        <v>2976</v>
      </c>
      <c r="G311" s="1" t="s">
        <v>17</v>
      </c>
      <c r="H311" s="1" t="s">
        <v>18</v>
      </c>
      <c r="I311" s="1" t="s">
        <v>2966</v>
      </c>
      <c r="J311" s="1" t="s">
        <v>2966</v>
      </c>
      <c r="K311" s="1">
        <v>755</v>
      </c>
      <c r="L311" s="1">
        <v>2</v>
      </c>
      <c r="M311" s="1" t="s">
        <v>49</v>
      </c>
      <c r="N311" s="1" t="s">
        <v>2977</v>
      </c>
      <c r="O311" s="1" t="s">
        <v>2978</v>
      </c>
      <c r="P311" s="1" t="s">
        <v>9</v>
      </c>
      <c r="Q311" s="1">
        <v>0</v>
      </c>
      <c r="R311" s="1" t="s">
        <v>10</v>
      </c>
      <c r="S311" s="3" t="s">
        <v>2979</v>
      </c>
      <c r="T311" s="4">
        <v>688</v>
      </c>
      <c r="U311" s="4" t="s">
        <v>2980</v>
      </c>
      <c r="V311" s="5">
        <v>150</v>
      </c>
      <c r="W311" s="4" t="s">
        <v>23</v>
      </c>
      <c r="X311" s="5">
        <v>0</v>
      </c>
      <c r="Y311" s="4">
        <f t="shared" si="14"/>
        <v>905</v>
      </c>
      <c r="Z311" s="4">
        <v>755</v>
      </c>
      <c r="AA311" s="1" t="s">
        <v>2981</v>
      </c>
      <c r="AB311" s="1" t="s">
        <v>18</v>
      </c>
      <c r="AC311" s="1" t="s">
        <v>15</v>
      </c>
      <c r="AD311" s="6">
        <v>46080</v>
      </c>
      <c r="AE311" s="6">
        <v>46098</v>
      </c>
      <c r="AF311" s="1" t="s">
        <v>16</v>
      </c>
    </row>
    <row r="312" spans="1:32" x14ac:dyDescent="0.3">
      <c r="A312" s="1">
        <v>502</v>
      </c>
      <c r="B312" s="2">
        <v>46022.174212963</v>
      </c>
      <c r="C312" s="1" t="s">
        <v>2982</v>
      </c>
      <c r="D312" s="1" t="s">
        <v>2983</v>
      </c>
      <c r="E312" s="1" t="s">
        <v>2984</v>
      </c>
      <c r="F312" s="1" t="s">
        <v>2985</v>
      </c>
      <c r="G312" s="1" t="s">
        <v>4</v>
      </c>
      <c r="H312" s="1" t="s">
        <v>71</v>
      </c>
      <c r="I312" s="1" t="s">
        <v>2966</v>
      </c>
      <c r="J312" s="1" t="s">
        <v>2966</v>
      </c>
      <c r="K312" s="1">
        <v>583</v>
      </c>
      <c r="L312" s="1">
        <v>3</v>
      </c>
      <c r="M312" s="1" t="s">
        <v>7</v>
      </c>
      <c r="N312" s="1" t="s">
        <v>2986</v>
      </c>
      <c r="O312" s="1" t="s">
        <v>2987</v>
      </c>
      <c r="P312" s="1" t="s">
        <v>9</v>
      </c>
      <c r="Q312" s="1">
        <v>0</v>
      </c>
      <c r="R312" s="1" t="s">
        <v>10</v>
      </c>
      <c r="S312" s="3" t="s">
        <v>2988</v>
      </c>
      <c r="T312" s="4">
        <v>695</v>
      </c>
      <c r="U312" s="4" t="s">
        <v>2989</v>
      </c>
      <c r="V312" s="5">
        <v>2550</v>
      </c>
      <c r="W312" s="4" t="s">
        <v>76</v>
      </c>
      <c r="X312" s="5">
        <v>100</v>
      </c>
      <c r="Y312" s="4">
        <f t="shared" si="14"/>
        <v>3033</v>
      </c>
      <c r="Z312" s="1">
        <v>583</v>
      </c>
      <c r="AA312" s="1" t="s">
        <v>2990</v>
      </c>
      <c r="AC312" s="1" t="s">
        <v>15</v>
      </c>
      <c r="AD312" s="6">
        <v>46080</v>
      </c>
      <c r="AE312" s="6">
        <v>46122</v>
      </c>
      <c r="AF312" s="1" t="s">
        <v>16</v>
      </c>
    </row>
    <row r="313" spans="1:32" x14ac:dyDescent="0.3">
      <c r="A313" s="1">
        <v>129</v>
      </c>
      <c r="B313" s="2">
        <v>45971.630543981497</v>
      </c>
      <c r="C313" s="1" t="s">
        <v>2991</v>
      </c>
      <c r="D313" s="1" t="s">
        <v>2992</v>
      </c>
      <c r="E313" s="1" t="s">
        <v>2993</v>
      </c>
      <c r="F313" s="1" t="s">
        <v>2994</v>
      </c>
      <c r="G313" s="1" t="s">
        <v>17</v>
      </c>
      <c r="H313" s="1" t="s">
        <v>71</v>
      </c>
      <c r="I313" s="1" t="s">
        <v>2966</v>
      </c>
      <c r="J313" s="1" t="s">
        <v>2966</v>
      </c>
      <c r="K313" s="1">
        <v>583</v>
      </c>
      <c r="M313" s="1" t="s">
        <v>7</v>
      </c>
      <c r="N313" s="1" t="s">
        <v>2995</v>
      </c>
      <c r="O313" s="1" t="s">
        <v>2996</v>
      </c>
      <c r="P313" s="1" t="s">
        <v>98</v>
      </c>
      <c r="Q313" s="1" t="s">
        <v>2997</v>
      </c>
      <c r="R313" s="1" t="s">
        <v>10</v>
      </c>
      <c r="S313" s="3" t="s">
        <v>2998</v>
      </c>
      <c r="T313" s="4">
        <v>692</v>
      </c>
      <c r="U313" s="4" t="s">
        <v>2999</v>
      </c>
      <c r="V313" s="5">
        <v>2880</v>
      </c>
      <c r="W313" s="4" t="s">
        <v>1015</v>
      </c>
      <c r="X313" s="5">
        <v>1000</v>
      </c>
      <c r="Y313" s="4">
        <f t="shared" si="14"/>
        <v>2463</v>
      </c>
      <c r="AA313" s="1" t="s">
        <v>3000</v>
      </c>
      <c r="AC313" s="1" t="s">
        <v>15</v>
      </c>
      <c r="AD313" s="6">
        <v>46080</v>
      </c>
      <c r="AE313" s="6">
        <v>46153</v>
      </c>
      <c r="AF313" s="1" t="s">
        <v>16</v>
      </c>
    </row>
    <row r="314" spans="1:32" x14ac:dyDescent="0.3">
      <c r="A314" s="1">
        <v>821</v>
      </c>
      <c r="B314" s="2">
        <v>46122.469409722202</v>
      </c>
      <c r="C314" s="3" t="s">
        <v>3001</v>
      </c>
      <c r="D314" s="3" t="s">
        <v>3002</v>
      </c>
      <c r="E314" s="7" t="s">
        <v>3003</v>
      </c>
      <c r="F314" s="3" t="s">
        <v>3004</v>
      </c>
      <c r="G314" s="3" t="s">
        <v>4</v>
      </c>
      <c r="H314" s="3" t="s">
        <v>71</v>
      </c>
      <c r="I314" s="3" t="s">
        <v>2966</v>
      </c>
      <c r="J314" s="3" t="s">
        <v>2966</v>
      </c>
      <c r="K314" s="1">
        <v>583</v>
      </c>
      <c r="M314" s="3" t="s">
        <v>7</v>
      </c>
      <c r="N314" s="7" t="s">
        <v>3005</v>
      </c>
      <c r="O314" s="3" t="s">
        <v>213</v>
      </c>
      <c r="P314" s="3" t="s">
        <v>9</v>
      </c>
      <c r="Q314" s="3"/>
      <c r="R314" s="3" t="s">
        <v>177</v>
      </c>
      <c r="S314" s="7" t="s">
        <v>155</v>
      </c>
      <c r="T314" s="1"/>
      <c r="U314" s="7" t="s">
        <v>76</v>
      </c>
      <c r="V314" s="1"/>
      <c r="W314" s="7" t="s">
        <v>409</v>
      </c>
      <c r="X314" s="1"/>
      <c r="Y314" s="1"/>
      <c r="Z314" s="3"/>
      <c r="AA314" s="3" t="s">
        <v>3006</v>
      </c>
      <c r="AB314" s="7"/>
      <c r="AC314" s="3" t="s">
        <v>15</v>
      </c>
      <c r="AD314" s="3"/>
      <c r="AE314" s="7" t="s">
        <v>750</v>
      </c>
      <c r="AF314" s="7" t="s">
        <v>16</v>
      </c>
    </row>
    <row r="315" spans="1:32" x14ac:dyDescent="0.3">
      <c r="A315" s="1">
        <v>341</v>
      </c>
      <c r="B315" s="2">
        <v>46005.003043981502</v>
      </c>
      <c r="C315" s="33" t="s">
        <v>3007</v>
      </c>
      <c r="D315" s="11" t="s">
        <v>3008</v>
      </c>
      <c r="E315" s="1" t="s">
        <v>3009</v>
      </c>
      <c r="F315" s="1" t="s">
        <v>3010</v>
      </c>
      <c r="G315" s="3" t="s">
        <v>4</v>
      </c>
      <c r="H315" s="3" t="s">
        <v>71</v>
      </c>
      <c r="I315" s="3" t="s">
        <v>3011</v>
      </c>
      <c r="J315" s="11" t="s">
        <v>3011</v>
      </c>
      <c r="K315" s="1">
        <v>755</v>
      </c>
      <c r="L315" s="1">
        <v>1</v>
      </c>
      <c r="M315" s="3" t="s">
        <v>20</v>
      </c>
      <c r="N315" s="3" t="s">
        <v>902</v>
      </c>
      <c r="O315" s="3" t="s">
        <v>3012</v>
      </c>
      <c r="P315" s="3" t="s">
        <v>9</v>
      </c>
      <c r="R315" s="3" t="s">
        <v>10</v>
      </c>
      <c r="S315" s="7" t="s">
        <v>3013</v>
      </c>
      <c r="T315" s="4">
        <v>697</v>
      </c>
      <c r="U315" s="7" t="s">
        <v>3014</v>
      </c>
      <c r="V315" s="5">
        <v>1300</v>
      </c>
      <c r="W315" s="7" t="s">
        <v>513</v>
      </c>
      <c r="X315" s="5">
        <v>300</v>
      </c>
      <c r="Y315" s="4">
        <f t="shared" ref="Y315:Y341" si="15">K315+V315-X315</f>
        <v>1755</v>
      </c>
      <c r="Z315" s="4">
        <f>K315</f>
        <v>755</v>
      </c>
      <c r="AA315" s="3" t="s">
        <v>3015</v>
      </c>
      <c r="AB315" s="1" t="s">
        <v>56</v>
      </c>
      <c r="AC315" s="1" t="s">
        <v>15</v>
      </c>
      <c r="AD315" s="6">
        <v>46098</v>
      </c>
      <c r="AE315" s="6">
        <v>46098</v>
      </c>
      <c r="AF315" s="1" t="s">
        <v>16</v>
      </c>
    </row>
    <row r="316" spans="1:32" x14ac:dyDescent="0.3">
      <c r="A316" s="1">
        <v>624</v>
      </c>
      <c r="B316" s="2">
        <v>46041.589456018497</v>
      </c>
      <c r="C316" s="1" t="s">
        <v>3016</v>
      </c>
      <c r="D316" s="1" t="s">
        <v>3017</v>
      </c>
      <c r="E316" s="1" t="s">
        <v>3018</v>
      </c>
      <c r="F316" s="1" t="s">
        <v>3019</v>
      </c>
      <c r="G316" s="1" t="s">
        <v>4</v>
      </c>
      <c r="H316" s="1" t="s">
        <v>228</v>
      </c>
      <c r="I316" s="1" t="s">
        <v>3020</v>
      </c>
      <c r="J316" s="1" t="s">
        <v>3020</v>
      </c>
      <c r="K316" s="1">
        <v>755</v>
      </c>
      <c r="M316" s="1" t="s">
        <v>7</v>
      </c>
      <c r="N316" s="1" t="s">
        <v>3021</v>
      </c>
      <c r="O316" s="1" t="s">
        <v>3022</v>
      </c>
      <c r="P316" s="1" t="s">
        <v>9</v>
      </c>
      <c r="Q316" s="1">
        <v>0</v>
      </c>
      <c r="R316" s="1" t="s">
        <v>10</v>
      </c>
      <c r="S316" s="3" t="s">
        <v>3023</v>
      </c>
      <c r="T316" s="4">
        <v>895</v>
      </c>
      <c r="U316" s="4" t="s">
        <v>3024</v>
      </c>
      <c r="V316" s="5">
        <v>1200</v>
      </c>
      <c r="W316" s="4" t="s">
        <v>712</v>
      </c>
      <c r="X316" s="5">
        <v>500</v>
      </c>
      <c r="Y316" s="4">
        <f t="shared" si="15"/>
        <v>1455</v>
      </c>
      <c r="Z316" s="1">
        <v>755</v>
      </c>
      <c r="AA316" s="1" t="s">
        <v>3025</v>
      </c>
      <c r="AC316" s="1" t="s">
        <v>15</v>
      </c>
      <c r="AD316" s="6">
        <v>46080</v>
      </c>
      <c r="AE316" s="6">
        <v>46108</v>
      </c>
      <c r="AF316" s="1" t="s">
        <v>16</v>
      </c>
    </row>
    <row r="317" spans="1:32" x14ac:dyDescent="0.3">
      <c r="A317" s="1">
        <v>92</v>
      </c>
      <c r="B317" s="2">
        <v>45953.585243055553</v>
      </c>
      <c r="C317" s="1" t="s">
        <v>3026</v>
      </c>
      <c r="D317" s="1" t="s">
        <v>3027</v>
      </c>
      <c r="E317" s="1" t="s">
        <v>3028</v>
      </c>
      <c r="F317" s="1" t="s">
        <v>3029</v>
      </c>
      <c r="G317" s="1" t="s">
        <v>4</v>
      </c>
      <c r="H317" s="1" t="s">
        <v>71</v>
      </c>
      <c r="I317" s="1" t="s">
        <v>1725</v>
      </c>
      <c r="J317" s="1" t="s">
        <v>1725</v>
      </c>
      <c r="K317" s="1">
        <v>319</v>
      </c>
      <c r="L317" s="1">
        <v>1</v>
      </c>
      <c r="M317" s="1" t="s">
        <v>20</v>
      </c>
      <c r="N317" s="1" t="s">
        <v>189</v>
      </c>
      <c r="O317" s="1" t="s">
        <v>3030</v>
      </c>
      <c r="P317" s="1" t="s">
        <v>9</v>
      </c>
      <c r="Q317" s="1">
        <v>0</v>
      </c>
      <c r="R317" s="1" t="s">
        <v>10</v>
      </c>
      <c r="S317" s="3" t="s">
        <v>3031</v>
      </c>
      <c r="T317" s="4">
        <v>707</v>
      </c>
      <c r="U317" s="4" t="s">
        <v>1015</v>
      </c>
      <c r="V317" s="5">
        <v>1000</v>
      </c>
      <c r="W317" s="4" t="s">
        <v>3032</v>
      </c>
      <c r="X317" s="5">
        <v>350</v>
      </c>
      <c r="Y317" s="4">
        <f t="shared" si="15"/>
        <v>969</v>
      </c>
      <c r="Z317" s="4">
        <v>319</v>
      </c>
      <c r="AA317" s="1" t="s">
        <v>3033</v>
      </c>
      <c r="AB317" s="1" t="s">
        <v>56</v>
      </c>
      <c r="AC317" s="1" t="s">
        <v>15</v>
      </c>
      <c r="AD317" s="6">
        <v>46080</v>
      </c>
      <c r="AE317" s="6">
        <v>46080</v>
      </c>
      <c r="AF317" s="1" t="s">
        <v>16</v>
      </c>
    </row>
    <row r="318" spans="1:32" x14ac:dyDescent="0.3">
      <c r="A318" s="1">
        <v>59</v>
      </c>
      <c r="B318" s="2">
        <v>45940.863692129627</v>
      </c>
      <c r="C318" s="1" t="s">
        <v>3034</v>
      </c>
      <c r="D318" s="1" t="s">
        <v>3035</v>
      </c>
      <c r="E318" s="1" t="s">
        <v>3036</v>
      </c>
      <c r="F318" s="1" t="s">
        <v>3037</v>
      </c>
      <c r="G318" s="1" t="s">
        <v>17</v>
      </c>
      <c r="H318" s="1" t="s">
        <v>47</v>
      </c>
      <c r="I318" s="1" t="s">
        <v>1725</v>
      </c>
      <c r="J318" s="1" t="s">
        <v>1725</v>
      </c>
      <c r="K318" s="1">
        <v>583</v>
      </c>
      <c r="L318" s="1">
        <v>2</v>
      </c>
      <c r="M318" s="1" t="s">
        <v>7</v>
      </c>
      <c r="N318" s="1" t="s">
        <v>3038</v>
      </c>
      <c r="O318" s="1" t="s">
        <v>3039</v>
      </c>
      <c r="P318" s="1" t="s">
        <v>98</v>
      </c>
      <c r="Q318" s="1" t="s">
        <v>3040</v>
      </c>
      <c r="R318" s="1" t="s">
        <v>10</v>
      </c>
      <c r="S318" s="3" t="s">
        <v>3041</v>
      </c>
      <c r="T318" s="4">
        <v>704</v>
      </c>
      <c r="U318" s="4" t="s">
        <v>3042</v>
      </c>
      <c r="V318" s="5">
        <v>1400</v>
      </c>
      <c r="W318" s="4" t="s">
        <v>3043</v>
      </c>
      <c r="Y318" s="4">
        <f t="shared" si="15"/>
        <v>1983</v>
      </c>
      <c r="Z318" s="4">
        <v>583</v>
      </c>
      <c r="AA318" s="1" t="s">
        <v>3044</v>
      </c>
      <c r="AB318" s="1" t="s">
        <v>56</v>
      </c>
      <c r="AC318" s="1" t="s">
        <v>15</v>
      </c>
      <c r="AD318" s="6">
        <v>46080</v>
      </c>
      <c r="AE318" s="6">
        <v>46080</v>
      </c>
      <c r="AF318" s="1" t="s">
        <v>16</v>
      </c>
    </row>
    <row r="319" spans="1:32" x14ac:dyDescent="0.3">
      <c r="A319" s="1">
        <v>754</v>
      </c>
      <c r="B319" s="2">
        <v>46076.557245370401</v>
      </c>
      <c r="C319" s="3" t="s">
        <v>3045</v>
      </c>
      <c r="D319" s="3" t="s">
        <v>3046</v>
      </c>
      <c r="E319" s="1" t="s">
        <v>3047</v>
      </c>
      <c r="F319" s="1" t="s">
        <v>3048</v>
      </c>
      <c r="G319" s="1" t="s">
        <v>17</v>
      </c>
      <c r="H319" s="3" t="s">
        <v>18</v>
      </c>
      <c r="I319" s="3" t="s">
        <v>1725</v>
      </c>
      <c r="J319" s="3" t="s">
        <v>1725</v>
      </c>
      <c r="K319" s="1">
        <v>755</v>
      </c>
      <c r="L319" s="1">
        <v>3</v>
      </c>
      <c r="M319" s="3" t="s">
        <v>49</v>
      </c>
      <c r="N319" s="7" t="s">
        <v>3049</v>
      </c>
      <c r="O319" s="3" t="s">
        <v>3050</v>
      </c>
      <c r="P319" s="3" t="s">
        <v>98</v>
      </c>
      <c r="Q319" s="3" t="s">
        <v>3051</v>
      </c>
      <c r="R319" s="3" t="s">
        <v>177</v>
      </c>
      <c r="S319" s="7" t="s">
        <v>253</v>
      </c>
      <c r="U319" s="7" t="s">
        <v>3052</v>
      </c>
      <c r="V319" s="5">
        <v>1400</v>
      </c>
      <c r="W319" s="7" t="s">
        <v>409</v>
      </c>
      <c r="X319" s="5">
        <v>200</v>
      </c>
      <c r="Y319" s="4">
        <f t="shared" si="15"/>
        <v>1955</v>
      </c>
      <c r="Z319" s="34">
        <v>755</v>
      </c>
      <c r="AA319" s="3" t="s">
        <v>3053</v>
      </c>
      <c r="AB319" s="7" t="s">
        <v>117</v>
      </c>
      <c r="AC319" s="1" t="s">
        <v>15</v>
      </c>
      <c r="AD319" s="6">
        <v>46080</v>
      </c>
      <c r="AE319" s="6">
        <v>46080</v>
      </c>
      <c r="AF319" s="1" t="s">
        <v>16</v>
      </c>
    </row>
    <row r="320" spans="1:32" x14ac:dyDescent="0.3">
      <c r="A320" s="1">
        <v>49</v>
      </c>
      <c r="B320" s="2">
        <v>45934.480486111112</v>
      </c>
      <c r="C320" s="1" t="s">
        <v>3054</v>
      </c>
      <c r="D320" s="1" t="s">
        <v>3055</v>
      </c>
      <c r="E320" s="1" t="s">
        <v>3056</v>
      </c>
      <c r="F320" s="1" t="s">
        <v>3057</v>
      </c>
      <c r="G320" s="1" t="s">
        <v>4</v>
      </c>
      <c r="H320" s="1" t="s">
        <v>47</v>
      </c>
      <c r="I320" s="1" t="s">
        <v>1725</v>
      </c>
      <c r="J320" s="1" t="s">
        <v>1725</v>
      </c>
      <c r="K320" s="1">
        <v>755</v>
      </c>
      <c r="L320" s="1">
        <v>4</v>
      </c>
      <c r="M320" s="1" t="s">
        <v>49</v>
      </c>
      <c r="N320" s="1" t="s">
        <v>3058</v>
      </c>
      <c r="O320" s="1" t="s">
        <v>3059</v>
      </c>
      <c r="P320" s="1" t="s">
        <v>98</v>
      </c>
      <c r="Q320" s="1" t="s">
        <v>3060</v>
      </c>
      <c r="R320" s="1" t="s">
        <v>177</v>
      </c>
      <c r="S320" s="3" t="s">
        <v>3061</v>
      </c>
      <c r="T320" s="4">
        <v>701</v>
      </c>
      <c r="U320" s="4" t="s">
        <v>3062</v>
      </c>
      <c r="V320" s="5">
        <v>1600</v>
      </c>
      <c r="W320" s="4" t="s">
        <v>115</v>
      </c>
      <c r="X320" s="5">
        <v>1500</v>
      </c>
      <c r="Y320" s="4">
        <f t="shared" si="15"/>
        <v>855</v>
      </c>
      <c r="Z320" s="4">
        <v>755</v>
      </c>
      <c r="AA320" s="1" t="s">
        <v>3063</v>
      </c>
      <c r="AB320" s="1" t="s">
        <v>42</v>
      </c>
      <c r="AC320" s="1" t="s">
        <v>15</v>
      </c>
      <c r="AD320" s="6">
        <v>46080</v>
      </c>
      <c r="AE320" s="6">
        <v>46084</v>
      </c>
      <c r="AF320" s="1" t="s">
        <v>16</v>
      </c>
    </row>
    <row r="321" spans="1:32" x14ac:dyDescent="0.3">
      <c r="A321" s="1">
        <v>744</v>
      </c>
      <c r="B321" s="2">
        <v>46063.707361111097</v>
      </c>
      <c r="C321" s="1" t="s">
        <v>3064</v>
      </c>
      <c r="D321" s="1" t="s">
        <v>3065</v>
      </c>
      <c r="E321" s="1" t="s">
        <v>3066</v>
      </c>
      <c r="F321" s="1" t="s">
        <v>3067</v>
      </c>
      <c r="G321" s="1" t="s">
        <v>4</v>
      </c>
      <c r="H321" s="1" t="s">
        <v>71</v>
      </c>
      <c r="I321" s="1" t="s">
        <v>1725</v>
      </c>
      <c r="J321" s="1" t="s">
        <v>1725</v>
      </c>
      <c r="K321" s="1">
        <v>583</v>
      </c>
      <c r="L321" s="1">
        <v>6</v>
      </c>
      <c r="M321" s="1" t="s">
        <v>7</v>
      </c>
      <c r="N321" s="1" t="s">
        <v>3068</v>
      </c>
      <c r="O321" s="1" t="s">
        <v>3069</v>
      </c>
      <c r="P321" s="1" t="s">
        <v>9</v>
      </c>
      <c r="Q321" s="1">
        <v>0</v>
      </c>
      <c r="R321" s="1" t="s">
        <v>10</v>
      </c>
      <c r="S321" s="3" t="s">
        <v>3070</v>
      </c>
      <c r="T321" s="4">
        <v>519</v>
      </c>
      <c r="U321" s="4" t="s">
        <v>3052</v>
      </c>
      <c r="V321" s="5">
        <v>1400</v>
      </c>
      <c r="W321" s="4" t="s">
        <v>3071</v>
      </c>
      <c r="X321" s="5">
        <v>565</v>
      </c>
      <c r="Y321" s="4">
        <f t="shared" si="15"/>
        <v>1418</v>
      </c>
      <c r="Z321" s="1">
        <v>583</v>
      </c>
      <c r="AA321" s="1" t="s">
        <v>3072</v>
      </c>
      <c r="AC321" s="1" t="s">
        <v>15</v>
      </c>
      <c r="AD321" s="6">
        <v>46080</v>
      </c>
      <c r="AE321" s="6">
        <v>46127</v>
      </c>
      <c r="AF321" s="1" t="s">
        <v>16</v>
      </c>
    </row>
    <row r="322" spans="1:32" x14ac:dyDescent="0.3">
      <c r="A322" s="1">
        <v>32</v>
      </c>
      <c r="B322" s="2">
        <v>45926.217291666668</v>
      </c>
      <c r="C322" s="1" t="s">
        <v>3073</v>
      </c>
      <c r="D322" s="1" t="s">
        <v>3074</v>
      </c>
      <c r="E322" s="1" t="s">
        <v>3075</v>
      </c>
      <c r="F322" s="1" t="s">
        <v>3076</v>
      </c>
      <c r="G322" s="1" t="s">
        <v>4</v>
      </c>
      <c r="H322" s="1" t="s">
        <v>27</v>
      </c>
      <c r="I322" s="1" t="s">
        <v>1725</v>
      </c>
      <c r="J322" s="1" t="s">
        <v>1725</v>
      </c>
      <c r="K322" s="1">
        <v>583</v>
      </c>
      <c r="M322" s="1" t="s">
        <v>7</v>
      </c>
      <c r="N322" s="1" t="s">
        <v>3077</v>
      </c>
      <c r="O322" s="1" t="s">
        <v>3078</v>
      </c>
      <c r="P322" s="1" t="s">
        <v>9</v>
      </c>
      <c r="Q322" s="1" t="s">
        <v>3079</v>
      </c>
      <c r="R322" s="1" t="s">
        <v>10</v>
      </c>
      <c r="S322" s="3" t="s">
        <v>3080</v>
      </c>
      <c r="T322" s="4">
        <v>698</v>
      </c>
      <c r="U322" s="4" t="s">
        <v>3081</v>
      </c>
      <c r="V322" s="5" t="s">
        <v>22</v>
      </c>
      <c r="W322" s="4" t="s">
        <v>1067</v>
      </c>
      <c r="X322" s="5">
        <v>1000</v>
      </c>
      <c r="Y322" s="4">
        <f t="shared" si="15"/>
        <v>2583</v>
      </c>
      <c r="AA322" s="1" t="s">
        <v>3082</v>
      </c>
      <c r="AB322" s="1" t="s">
        <v>130</v>
      </c>
      <c r="AC322" s="1" t="s">
        <v>15</v>
      </c>
      <c r="AD322" s="6">
        <v>46080</v>
      </c>
      <c r="AE322" s="6">
        <v>46148</v>
      </c>
      <c r="AF322" s="1" t="s">
        <v>16</v>
      </c>
    </row>
    <row r="323" spans="1:32" x14ac:dyDescent="0.3">
      <c r="A323" s="1">
        <v>81</v>
      </c>
      <c r="B323" s="2">
        <v>45951.921203703707</v>
      </c>
      <c r="C323" s="1" t="s">
        <v>3083</v>
      </c>
      <c r="D323" s="1" t="s">
        <v>3084</v>
      </c>
      <c r="E323" s="1" t="s">
        <v>3085</v>
      </c>
      <c r="F323" s="1" t="s">
        <v>3086</v>
      </c>
      <c r="G323" s="1" t="s">
        <v>17</v>
      </c>
      <c r="H323" s="1" t="s">
        <v>71</v>
      </c>
      <c r="I323" s="1" t="s">
        <v>1725</v>
      </c>
      <c r="J323" s="1" t="s">
        <v>1725</v>
      </c>
      <c r="K323" s="1">
        <v>319</v>
      </c>
      <c r="M323" s="1" t="s">
        <v>20</v>
      </c>
      <c r="N323" s="1" t="s">
        <v>3087</v>
      </c>
      <c r="O323" s="1" t="s">
        <v>3088</v>
      </c>
      <c r="P323" s="1" t="s">
        <v>9</v>
      </c>
      <c r="Q323" s="1">
        <v>0</v>
      </c>
      <c r="R323" s="1" t="s">
        <v>10</v>
      </c>
      <c r="S323" s="3" t="s">
        <v>3089</v>
      </c>
      <c r="T323" s="4">
        <v>706</v>
      </c>
      <c r="U323" s="4" t="s">
        <v>332</v>
      </c>
      <c r="V323" s="5">
        <v>2000</v>
      </c>
      <c r="W323" s="4" t="s">
        <v>3090</v>
      </c>
      <c r="X323" s="5">
        <v>280</v>
      </c>
      <c r="Y323" s="4">
        <f t="shared" si="15"/>
        <v>2039</v>
      </c>
      <c r="AA323" s="1" t="s">
        <v>3091</v>
      </c>
      <c r="AC323" s="1" t="s">
        <v>15</v>
      </c>
      <c r="AD323" s="6">
        <v>46080</v>
      </c>
      <c r="AE323" s="6">
        <v>46148</v>
      </c>
      <c r="AF323" s="1" t="s">
        <v>16</v>
      </c>
    </row>
    <row r="324" spans="1:32" x14ac:dyDescent="0.3">
      <c r="A324" s="1">
        <v>152</v>
      </c>
      <c r="B324" s="2">
        <v>45982.381203703699</v>
      </c>
      <c r="C324" s="1" t="s">
        <v>3092</v>
      </c>
      <c r="D324" s="1" t="s">
        <v>3093</v>
      </c>
      <c r="E324" s="1" t="s">
        <v>3094</v>
      </c>
      <c r="F324" s="1" t="s">
        <v>3095</v>
      </c>
      <c r="G324" s="1" t="s">
        <v>17</v>
      </c>
      <c r="H324" s="1" t="s">
        <v>71</v>
      </c>
      <c r="I324" s="1" t="s">
        <v>1725</v>
      </c>
      <c r="J324" s="1" t="s">
        <v>1725</v>
      </c>
      <c r="K324" s="1">
        <v>319</v>
      </c>
      <c r="M324" s="1" t="s">
        <v>20</v>
      </c>
      <c r="N324" s="1" t="s">
        <v>3096</v>
      </c>
      <c r="O324" s="1" t="s">
        <v>3097</v>
      </c>
      <c r="P324" s="1" t="s">
        <v>98</v>
      </c>
      <c r="Q324" s="1" t="s">
        <v>3098</v>
      </c>
      <c r="R324" s="1" t="s">
        <v>10</v>
      </c>
      <c r="S324" s="3" t="s">
        <v>958</v>
      </c>
      <c r="T324" s="4">
        <v>714</v>
      </c>
      <c r="U324" s="4" t="s">
        <v>3099</v>
      </c>
      <c r="V324" s="5">
        <v>416</v>
      </c>
      <c r="W324" s="4" t="s">
        <v>1281</v>
      </c>
      <c r="X324" s="5">
        <v>20</v>
      </c>
      <c r="Y324" s="4">
        <f t="shared" si="15"/>
        <v>715</v>
      </c>
      <c r="AA324" s="1" t="s">
        <v>3100</v>
      </c>
      <c r="AC324" s="1" t="s">
        <v>15</v>
      </c>
      <c r="AD324" s="6">
        <v>46080</v>
      </c>
      <c r="AE324" s="6">
        <v>46148</v>
      </c>
      <c r="AF324" s="1" t="s">
        <v>16</v>
      </c>
    </row>
    <row r="325" spans="1:32" x14ac:dyDescent="0.3">
      <c r="A325" s="1">
        <v>173</v>
      </c>
      <c r="B325" s="2">
        <v>45982.5577430556</v>
      </c>
      <c r="C325" s="1" t="s">
        <v>3101</v>
      </c>
      <c r="D325" s="1" t="s">
        <v>3102</v>
      </c>
      <c r="E325" s="1" t="s">
        <v>3103</v>
      </c>
      <c r="F325" s="1" t="s">
        <v>3104</v>
      </c>
      <c r="G325" s="1" t="s">
        <v>4</v>
      </c>
      <c r="H325" s="1" t="s">
        <v>71</v>
      </c>
      <c r="I325" s="1" t="s">
        <v>1725</v>
      </c>
      <c r="J325" s="1" t="s">
        <v>1725</v>
      </c>
      <c r="K325" s="1">
        <v>319</v>
      </c>
      <c r="M325" s="1" t="s">
        <v>20</v>
      </c>
      <c r="N325" s="1" t="s">
        <v>902</v>
      </c>
      <c r="O325" s="1" t="s">
        <v>3105</v>
      </c>
      <c r="P325" s="1" t="s">
        <v>9</v>
      </c>
      <c r="Q325" s="1" t="s">
        <v>3106</v>
      </c>
      <c r="R325" s="1" t="s">
        <v>10</v>
      </c>
      <c r="S325" s="3" t="s">
        <v>3107</v>
      </c>
      <c r="T325" s="4">
        <v>715</v>
      </c>
      <c r="U325" s="4" t="s">
        <v>3108</v>
      </c>
      <c r="V325" s="5">
        <v>1900</v>
      </c>
      <c r="W325" s="4" t="s">
        <v>3109</v>
      </c>
      <c r="X325" s="5" t="s">
        <v>3110</v>
      </c>
      <c r="Y325" s="4">
        <f t="shared" si="15"/>
        <v>1118.55</v>
      </c>
      <c r="AA325" s="1" t="s">
        <v>3111</v>
      </c>
      <c r="AC325" s="1" t="s">
        <v>15</v>
      </c>
      <c r="AD325" s="6">
        <v>46080</v>
      </c>
      <c r="AE325" s="6">
        <v>46148</v>
      </c>
      <c r="AF325" s="1" t="s">
        <v>16</v>
      </c>
    </row>
    <row r="326" spans="1:32" x14ac:dyDescent="0.3">
      <c r="A326" s="1">
        <v>178</v>
      </c>
      <c r="B326" s="2">
        <v>45982.635659722197</v>
      </c>
      <c r="C326" s="1" t="s">
        <v>3112</v>
      </c>
      <c r="D326" s="1" t="s">
        <v>3113</v>
      </c>
      <c r="E326" s="1" t="s">
        <v>3114</v>
      </c>
      <c r="F326" s="1" t="s">
        <v>3115</v>
      </c>
      <c r="G326" s="1" t="s">
        <v>17</v>
      </c>
      <c r="H326" s="1" t="s">
        <v>71</v>
      </c>
      <c r="I326" s="1" t="s">
        <v>1725</v>
      </c>
      <c r="J326" s="1" t="s">
        <v>1725</v>
      </c>
      <c r="K326" s="1">
        <v>319</v>
      </c>
      <c r="M326" s="1" t="s">
        <v>20</v>
      </c>
      <c r="N326" s="1" t="s">
        <v>2022</v>
      </c>
      <c r="O326" s="1" t="s">
        <v>3116</v>
      </c>
      <c r="P326" s="1" t="s">
        <v>9</v>
      </c>
      <c r="Q326" s="1">
        <v>0</v>
      </c>
      <c r="R326" s="1" t="s">
        <v>10</v>
      </c>
      <c r="S326" s="3" t="s">
        <v>3117</v>
      </c>
      <c r="T326" s="4">
        <v>716</v>
      </c>
      <c r="U326" s="4" t="s">
        <v>3118</v>
      </c>
      <c r="V326" s="5">
        <v>1700</v>
      </c>
      <c r="W326" s="4" t="s">
        <v>1094</v>
      </c>
      <c r="X326" s="5">
        <v>800</v>
      </c>
      <c r="Y326" s="4">
        <f t="shared" si="15"/>
        <v>1219</v>
      </c>
      <c r="AA326" s="1" t="s">
        <v>3119</v>
      </c>
      <c r="AC326" s="1" t="s">
        <v>15</v>
      </c>
      <c r="AD326" s="6">
        <v>46080</v>
      </c>
      <c r="AE326" s="6">
        <v>46148</v>
      </c>
      <c r="AF326" s="1" t="s">
        <v>16</v>
      </c>
    </row>
    <row r="327" spans="1:32" x14ac:dyDescent="0.3">
      <c r="A327" s="1">
        <v>251</v>
      </c>
      <c r="B327" s="2">
        <v>45986.295532407399</v>
      </c>
      <c r="C327" s="1" t="s">
        <v>3120</v>
      </c>
      <c r="D327" s="1" t="s">
        <v>3121</v>
      </c>
      <c r="E327" s="1" t="s">
        <v>3122</v>
      </c>
      <c r="F327" s="1" t="s">
        <v>3123</v>
      </c>
      <c r="G327" s="1" t="s">
        <v>17</v>
      </c>
      <c r="H327" s="1" t="s">
        <v>47</v>
      </c>
      <c r="I327" s="1" t="s">
        <v>1725</v>
      </c>
      <c r="J327" s="1" t="s">
        <v>1725</v>
      </c>
      <c r="K327" s="1">
        <v>319</v>
      </c>
      <c r="M327" s="1" t="s">
        <v>20</v>
      </c>
      <c r="N327" s="1" t="s">
        <v>1209</v>
      </c>
      <c r="O327" s="1" t="s">
        <v>3124</v>
      </c>
      <c r="P327" s="1" t="s">
        <v>9</v>
      </c>
      <c r="Q327" s="1">
        <v>0</v>
      </c>
      <c r="R327" s="1" t="s">
        <v>10</v>
      </c>
      <c r="S327" s="3" t="s">
        <v>1342</v>
      </c>
      <c r="T327" s="4">
        <v>720</v>
      </c>
      <c r="U327" s="4" t="s">
        <v>3125</v>
      </c>
      <c r="V327" s="5">
        <v>1500</v>
      </c>
      <c r="W327" s="4" t="s">
        <v>2669</v>
      </c>
      <c r="X327" s="5">
        <v>100</v>
      </c>
      <c r="Y327" s="4">
        <f t="shared" si="15"/>
        <v>1719</v>
      </c>
      <c r="AA327" s="1" t="s">
        <v>3126</v>
      </c>
      <c r="AC327" s="1" t="s">
        <v>15</v>
      </c>
      <c r="AD327" s="6">
        <v>46080</v>
      </c>
      <c r="AE327" s="6">
        <v>46154</v>
      </c>
      <c r="AF327" s="1" t="s">
        <v>16</v>
      </c>
    </row>
    <row r="328" spans="1:32" x14ac:dyDescent="0.3">
      <c r="A328" s="1">
        <v>421</v>
      </c>
      <c r="B328" s="2">
        <v>46015.990590277797</v>
      </c>
      <c r="C328" s="1" t="s">
        <v>3127</v>
      </c>
      <c r="D328" s="1" t="s">
        <v>3128</v>
      </c>
      <c r="E328" s="1" t="s">
        <v>3129</v>
      </c>
      <c r="F328" s="1" t="s">
        <v>3130</v>
      </c>
      <c r="G328" s="1" t="s">
        <v>4</v>
      </c>
      <c r="H328" s="1" t="s">
        <v>47</v>
      </c>
      <c r="I328" s="1" t="s">
        <v>1725</v>
      </c>
      <c r="J328" s="1" t="s">
        <v>1725</v>
      </c>
      <c r="K328" s="1">
        <v>583</v>
      </c>
      <c r="M328" s="1" t="s">
        <v>7</v>
      </c>
      <c r="N328" s="1" t="s">
        <v>3131</v>
      </c>
      <c r="O328" s="1" t="s">
        <v>3132</v>
      </c>
      <c r="P328" s="1" t="s">
        <v>9</v>
      </c>
      <c r="Q328" s="1">
        <v>0</v>
      </c>
      <c r="R328" s="1" t="s">
        <v>10</v>
      </c>
      <c r="S328" s="3" t="s">
        <v>3133</v>
      </c>
      <c r="T328" s="4">
        <v>727</v>
      </c>
      <c r="U328" s="4" t="s">
        <v>3134</v>
      </c>
      <c r="V328" s="5">
        <v>1000</v>
      </c>
      <c r="W328" s="4" t="s">
        <v>2279</v>
      </c>
      <c r="X328" s="5">
        <v>300</v>
      </c>
      <c r="Y328" s="4">
        <f t="shared" si="15"/>
        <v>1283</v>
      </c>
      <c r="AA328" s="1" t="s">
        <v>3135</v>
      </c>
      <c r="AC328" s="1" t="s">
        <v>15</v>
      </c>
      <c r="AD328" s="6">
        <v>46080</v>
      </c>
      <c r="AE328" s="6">
        <v>46151</v>
      </c>
      <c r="AF328" s="1" t="s">
        <v>16</v>
      </c>
    </row>
    <row r="329" spans="1:32" x14ac:dyDescent="0.3">
      <c r="A329" s="1">
        <v>552</v>
      </c>
      <c r="B329" s="2">
        <v>46023.024236111101</v>
      </c>
      <c r="C329" s="1" t="s">
        <v>3136</v>
      </c>
      <c r="D329" s="1" t="s">
        <v>3137</v>
      </c>
      <c r="E329" s="1" t="s">
        <v>3138</v>
      </c>
      <c r="F329" s="1" t="s">
        <v>3139</v>
      </c>
      <c r="G329" s="1" t="s">
        <v>17</v>
      </c>
      <c r="H329" s="1" t="s">
        <v>71</v>
      </c>
      <c r="I329" s="1" t="s">
        <v>1725</v>
      </c>
      <c r="J329" s="1" t="s">
        <v>1725</v>
      </c>
      <c r="K329" s="1">
        <v>319</v>
      </c>
      <c r="M329" s="1" t="s">
        <v>20</v>
      </c>
      <c r="N329" s="1" t="s">
        <v>189</v>
      </c>
      <c r="O329" s="1" t="s">
        <v>3140</v>
      </c>
      <c r="P329" s="1" t="s">
        <v>9</v>
      </c>
      <c r="Q329" s="1">
        <v>0</v>
      </c>
      <c r="R329" s="1" t="s">
        <v>10</v>
      </c>
      <c r="S329" s="3" t="s">
        <v>3141</v>
      </c>
      <c r="T329" s="4">
        <v>740</v>
      </c>
      <c r="U329" s="4" t="s">
        <v>3142</v>
      </c>
      <c r="V329" s="5">
        <v>508</v>
      </c>
      <c r="W329" s="4" t="s">
        <v>3143</v>
      </c>
      <c r="X329" s="5">
        <v>100</v>
      </c>
      <c r="Y329" s="4">
        <f t="shared" si="15"/>
        <v>727</v>
      </c>
      <c r="AA329" s="1" t="s">
        <v>3144</v>
      </c>
      <c r="AC329" s="1" t="s">
        <v>15</v>
      </c>
      <c r="AD329" s="6">
        <v>46080</v>
      </c>
      <c r="AE329" s="6">
        <v>46148</v>
      </c>
      <c r="AF329" s="1" t="s">
        <v>16</v>
      </c>
    </row>
    <row r="330" spans="1:32" x14ac:dyDescent="0.3">
      <c r="A330" s="1">
        <v>554</v>
      </c>
      <c r="B330" s="2">
        <v>46023.035752314798</v>
      </c>
      <c r="C330" s="1" t="s">
        <v>3145</v>
      </c>
      <c r="D330" s="1" t="s">
        <v>3146</v>
      </c>
      <c r="E330" s="1" t="s">
        <v>3147</v>
      </c>
      <c r="F330" s="1" t="s">
        <v>3148</v>
      </c>
      <c r="G330" s="1" t="s">
        <v>4</v>
      </c>
      <c r="H330" s="1" t="s">
        <v>71</v>
      </c>
      <c r="I330" s="1" t="s">
        <v>1725</v>
      </c>
      <c r="J330" s="1" t="s">
        <v>1725</v>
      </c>
      <c r="K330" s="1">
        <v>755</v>
      </c>
      <c r="M330" s="1" t="s">
        <v>49</v>
      </c>
      <c r="N330" s="1" t="s">
        <v>3149</v>
      </c>
      <c r="O330" s="1" t="s">
        <v>213</v>
      </c>
      <c r="P330" s="1" t="s">
        <v>98</v>
      </c>
      <c r="Q330" s="1" t="s">
        <v>3150</v>
      </c>
      <c r="R330" s="1" t="s">
        <v>10</v>
      </c>
      <c r="S330" s="3" t="s">
        <v>3151</v>
      </c>
      <c r="T330" s="4">
        <v>741</v>
      </c>
      <c r="U330" s="4" t="s">
        <v>3152</v>
      </c>
      <c r="V330" s="5">
        <v>2100</v>
      </c>
      <c r="W330" s="4" t="s">
        <v>2203</v>
      </c>
      <c r="X330" s="5">
        <v>700</v>
      </c>
      <c r="Y330" s="4">
        <f t="shared" si="15"/>
        <v>2155</v>
      </c>
      <c r="AA330" s="1" t="s">
        <v>3153</v>
      </c>
      <c r="AC330" s="1" t="s">
        <v>15</v>
      </c>
      <c r="AD330" s="6">
        <v>46080</v>
      </c>
      <c r="AE330" s="6">
        <v>46148</v>
      </c>
      <c r="AF330" s="1" t="s">
        <v>16</v>
      </c>
    </row>
    <row r="331" spans="1:32" x14ac:dyDescent="0.3">
      <c r="A331" s="1">
        <v>842</v>
      </c>
      <c r="B331" s="2">
        <v>46139.068530092598</v>
      </c>
      <c r="C331" s="3" t="s">
        <v>3154</v>
      </c>
      <c r="D331" s="3" t="s">
        <v>1372</v>
      </c>
      <c r="E331" s="7" t="s">
        <v>3155</v>
      </c>
      <c r="F331" s="3" t="s">
        <v>3156</v>
      </c>
      <c r="G331" s="3" t="s">
        <v>17</v>
      </c>
      <c r="H331" s="3" t="s">
        <v>71</v>
      </c>
      <c r="I331" s="3" t="s">
        <v>758</v>
      </c>
      <c r="J331" s="3" t="s">
        <v>858</v>
      </c>
      <c r="K331" s="1">
        <v>755</v>
      </c>
      <c r="M331" s="3" t="s">
        <v>7</v>
      </c>
      <c r="N331" s="7" t="s">
        <v>3157</v>
      </c>
      <c r="O331" s="3" t="s">
        <v>3158</v>
      </c>
      <c r="P331" s="3" t="s">
        <v>9</v>
      </c>
      <c r="Q331" s="3"/>
      <c r="R331" s="3" t="s">
        <v>10</v>
      </c>
      <c r="S331" s="7" t="s">
        <v>1010</v>
      </c>
      <c r="T331" s="1">
        <v>383</v>
      </c>
      <c r="U331" s="7" t="s">
        <v>194</v>
      </c>
      <c r="V331" s="1">
        <v>1000</v>
      </c>
      <c r="W331" s="7" t="s">
        <v>409</v>
      </c>
      <c r="X331" s="7" t="s">
        <v>409</v>
      </c>
      <c r="Y331" s="4">
        <f t="shared" si="15"/>
        <v>1555</v>
      </c>
      <c r="Z331" s="3"/>
      <c r="AA331" s="3" t="s">
        <v>3159</v>
      </c>
      <c r="AB331" s="7"/>
      <c r="AC331" s="1" t="s">
        <v>15</v>
      </c>
      <c r="AD331" s="3" t="s">
        <v>3160</v>
      </c>
      <c r="AE331" s="7" t="s">
        <v>3160</v>
      </c>
      <c r="AF331" s="7" t="s">
        <v>16</v>
      </c>
    </row>
    <row r="332" spans="1:32" x14ac:dyDescent="0.3">
      <c r="A332" s="1">
        <v>583</v>
      </c>
      <c r="B332" s="2">
        <v>46029.0215046296</v>
      </c>
      <c r="C332" s="1" t="s">
        <v>3161</v>
      </c>
      <c r="D332" s="1" t="s">
        <v>3162</v>
      </c>
      <c r="E332" s="1" t="s">
        <v>3163</v>
      </c>
      <c r="F332" s="1" t="s">
        <v>3164</v>
      </c>
      <c r="G332" s="1" t="s">
        <v>4</v>
      </c>
      <c r="H332" s="1" t="s">
        <v>3165</v>
      </c>
      <c r="I332" s="1" t="s">
        <v>1725</v>
      </c>
      <c r="J332" s="1" t="s">
        <v>1725</v>
      </c>
      <c r="K332" s="1">
        <v>319</v>
      </c>
      <c r="M332" s="1" t="s">
        <v>20</v>
      </c>
      <c r="N332" s="1" t="s">
        <v>474</v>
      </c>
      <c r="O332" s="1" t="s">
        <v>3166</v>
      </c>
      <c r="P332" s="1" t="s">
        <v>98</v>
      </c>
      <c r="Q332" s="1" t="s">
        <v>3167</v>
      </c>
      <c r="R332" s="1" t="s">
        <v>177</v>
      </c>
      <c r="S332" s="3" t="s">
        <v>3168</v>
      </c>
      <c r="T332" s="4">
        <v>745</v>
      </c>
      <c r="U332" s="4" t="s">
        <v>3169</v>
      </c>
      <c r="V332" s="5">
        <v>1892</v>
      </c>
      <c r="W332" s="4" t="s">
        <v>194</v>
      </c>
      <c r="X332" s="5">
        <v>1000</v>
      </c>
      <c r="Y332" s="4">
        <f t="shared" si="15"/>
        <v>1211</v>
      </c>
      <c r="AA332" s="1" t="s">
        <v>3170</v>
      </c>
      <c r="AC332" s="1" t="s">
        <v>15</v>
      </c>
      <c r="AD332" s="6">
        <v>46080</v>
      </c>
      <c r="AE332" s="6">
        <v>46148</v>
      </c>
      <c r="AF332" s="1" t="s">
        <v>16</v>
      </c>
    </row>
    <row r="333" spans="1:32" x14ac:dyDescent="0.3">
      <c r="A333" s="1">
        <v>664</v>
      </c>
      <c r="B333" s="2">
        <v>46050.925810185203</v>
      </c>
      <c r="C333" s="1" t="s">
        <v>3171</v>
      </c>
      <c r="D333" s="1" t="s">
        <v>3172</v>
      </c>
      <c r="E333" s="1" t="s">
        <v>3173</v>
      </c>
      <c r="F333" s="1" t="s">
        <v>3174</v>
      </c>
      <c r="G333" s="1" t="s">
        <v>4</v>
      </c>
      <c r="H333" s="1" t="s">
        <v>189</v>
      </c>
      <c r="I333" s="1" t="s">
        <v>1725</v>
      </c>
      <c r="J333" s="1" t="s">
        <v>1725</v>
      </c>
      <c r="K333" s="1">
        <v>319</v>
      </c>
      <c r="M333" s="1" t="s">
        <v>20</v>
      </c>
      <c r="N333" s="1" t="s">
        <v>3175</v>
      </c>
      <c r="O333" s="1" t="s">
        <v>3176</v>
      </c>
      <c r="P333" s="1" t="s">
        <v>9</v>
      </c>
      <c r="Q333" s="1" t="s">
        <v>3177</v>
      </c>
      <c r="R333" s="1" t="s">
        <v>10</v>
      </c>
      <c r="S333" s="3" t="s">
        <v>3178</v>
      </c>
      <c r="T333" s="4">
        <v>350</v>
      </c>
      <c r="U333" s="4" t="s">
        <v>3179</v>
      </c>
      <c r="V333" s="5">
        <v>1500</v>
      </c>
      <c r="W333" s="4" t="s">
        <v>832</v>
      </c>
      <c r="X333" s="5">
        <v>100</v>
      </c>
      <c r="Y333" s="4">
        <f t="shared" si="15"/>
        <v>1719</v>
      </c>
      <c r="AA333" s="1" t="s">
        <v>3180</v>
      </c>
      <c r="AC333" s="1" t="s">
        <v>15</v>
      </c>
      <c r="AD333" s="6">
        <v>46080</v>
      </c>
      <c r="AE333" s="6">
        <v>46148</v>
      </c>
      <c r="AF333" s="1" t="s">
        <v>16</v>
      </c>
    </row>
    <row r="334" spans="1:32" x14ac:dyDescent="0.3">
      <c r="A334" s="1">
        <v>426</v>
      </c>
      <c r="B334" s="2">
        <v>46018.020868055602</v>
      </c>
      <c r="C334" s="1" t="s">
        <v>3181</v>
      </c>
      <c r="D334" s="1" t="s">
        <v>3182</v>
      </c>
      <c r="E334" s="1" t="s">
        <v>3183</v>
      </c>
      <c r="F334" s="1" t="s">
        <v>3184</v>
      </c>
      <c r="G334" s="1" t="s">
        <v>17</v>
      </c>
      <c r="H334" s="1" t="s">
        <v>189</v>
      </c>
      <c r="I334" s="1" t="s">
        <v>1725</v>
      </c>
      <c r="J334" s="1" t="s">
        <v>1725</v>
      </c>
      <c r="K334" s="1">
        <v>319</v>
      </c>
      <c r="L334" s="1">
        <v>5</v>
      </c>
      <c r="M334" s="1" t="s">
        <v>20</v>
      </c>
      <c r="N334" s="1" t="s">
        <v>902</v>
      </c>
      <c r="O334" s="1" t="s">
        <v>3185</v>
      </c>
      <c r="P334" s="1" t="s">
        <v>98</v>
      </c>
      <c r="Q334" s="1" t="s">
        <v>3186</v>
      </c>
      <c r="R334" s="1" t="s">
        <v>10</v>
      </c>
      <c r="S334" s="3" t="s">
        <v>3187</v>
      </c>
      <c r="T334" s="4">
        <v>728</v>
      </c>
      <c r="U334" s="4" t="s">
        <v>1990</v>
      </c>
      <c r="V334" s="5">
        <v>1900</v>
      </c>
      <c r="W334" s="4" t="s">
        <v>533</v>
      </c>
      <c r="X334" s="5">
        <v>450</v>
      </c>
      <c r="Y334" s="4">
        <f t="shared" si="15"/>
        <v>1769</v>
      </c>
      <c r="Z334" s="1">
        <v>319</v>
      </c>
      <c r="AA334" s="1" t="s">
        <v>3188</v>
      </c>
      <c r="AC334" s="1" t="s">
        <v>15</v>
      </c>
      <c r="AD334" s="6">
        <v>46080</v>
      </c>
      <c r="AE334" s="6">
        <v>46167</v>
      </c>
      <c r="AF334" s="1" t="s">
        <v>16</v>
      </c>
    </row>
    <row r="335" spans="1:32" x14ac:dyDescent="0.3">
      <c r="A335" s="1">
        <v>637</v>
      </c>
      <c r="B335" s="2">
        <v>46045.5391087963</v>
      </c>
      <c r="C335" s="1" t="s">
        <v>3189</v>
      </c>
      <c r="D335" s="1" t="s">
        <v>3190</v>
      </c>
      <c r="E335" s="1" t="s">
        <v>3191</v>
      </c>
      <c r="F335" s="1" t="s">
        <v>3192</v>
      </c>
      <c r="G335" s="1" t="s">
        <v>17</v>
      </c>
      <c r="H335" s="1" t="s">
        <v>18</v>
      </c>
      <c r="I335" s="1" t="s">
        <v>3193</v>
      </c>
      <c r="J335" s="1" t="s">
        <v>3193</v>
      </c>
      <c r="K335" s="1">
        <v>755</v>
      </c>
      <c r="L335" s="1">
        <v>1</v>
      </c>
      <c r="M335" s="1" t="s">
        <v>7</v>
      </c>
      <c r="N335" s="1" t="s">
        <v>3194</v>
      </c>
      <c r="O335" s="1" t="s">
        <v>3195</v>
      </c>
      <c r="P335" s="1" t="s">
        <v>98</v>
      </c>
      <c r="Q335" s="1" t="s">
        <v>3196</v>
      </c>
      <c r="R335" s="1" t="s">
        <v>10</v>
      </c>
      <c r="S335" s="3" t="s">
        <v>526</v>
      </c>
      <c r="T335" s="4">
        <v>755</v>
      </c>
      <c r="U335" s="4" t="s">
        <v>3197</v>
      </c>
      <c r="V335" s="5" t="s">
        <v>1995</v>
      </c>
      <c r="W335" s="4" t="s">
        <v>3198</v>
      </c>
      <c r="X335" s="5">
        <v>500</v>
      </c>
      <c r="Y335" s="4">
        <f t="shared" si="15"/>
        <v>1355</v>
      </c>
      <c r="Z335" s="4">
        <v>755</v>
      </c>
      <c r="AA335" s="1" t="s">
        <v>3199</v>
      </c>
      <c r="AB335" s="1" t="s">
        <v>18</v>
      </c>
      <c r="AC335" s="1" t="s">
        <v>15</v>
      </c>
      <c r="AD335" s="6">
        <v>46080</v>
      </c>
      <c r="AE335" s="6">
        <v>46104</v>
      </c>
      <c r="AF335" s="1" t="s">
        <v>16</v>
      </c>
    </row>
    <row r="336" spans="1:32" x14ac:dyDescent="0.3">
      <c r="A336" s="1">
        <v>642</v>
      </c>
      <c r="B336" s="2">
        <v>46045.808553240699</v>
      </c>
      <c r="C336" s="1" t="s">
        <v>1996</v>
      </c>
      <c r="D336" s="1" t="s">
        <v>3200</v>
      </c>
      <c r="E336" s="1" t="s">
        <v>3201</v>
      </c>
      <c r="F336" s="1" t="s">
        <v>3202</v>
      </c>
      <c r="G336" s="1" t="s">
        <v>17</v>
      </c>
      <c r="H336" s="1" t="s">
        <v>3203</v>
      </c>
      <c r="I336" s="1" t="s">
        <v>161</v>
      </c>
      <c r="J336" s="1" t="s">
        <v>161</v>
      </c>
      <c r="K336" s="1">
        <v>523</v>
      </c>
      <c r="M336" s="1" t="s">
        <v>3204</v>
      </c>
      <c r="N336" s="1" t="s">
        <v>3205</v>
      </c>
      <c r="O336" s="1" t="s">
        <v>3206</v>
      </c>
      <c r="P336" s="1" t="s">
        <v>9</v>
      </c>
      <c r="Q336" s="1">
        <v>0</v>
      </c>
      <c r="R336" s="1" t="s">
        <v>10</v>
      </c>
      <c r="S336" s="3" t="s">
        <v>3207</v>
      </c>
      <c r="T336" s="4">
        <v>600</v>
      </c>
      <c r="U336" s="4" t="s">
        <v>699</v>
      </c>
      <c r="V336" s="5">
        <v>1500</v>
      </c>
      <c r="W336" s="4" t="s">
        <v>361</v>
      </c>
      <c r="X336" s="5">
        <v>0</v>
      </c>
      <c r="Y336" s="4">
        <f t="shared" si="15"/>
        <v>2023</v>
      </c>
      <c r="Z336" s="1">
        <v>523</v>
      </c>
      <c r="AA336" s="1" t="s">
        <v>3208</v>
      </c>
      <c r="AB336" s="1" t="s">
        <v>1334</v>
      </c>
      <c r="AC336" s="1" t="s">
        <v>15</v>
      </c>
      <c r="AD336" s="6">
        <v>46080</v>
      </c>
      <c r="AE336" s="6">
        <v>46080</v>
      </c>
      <c r="AF336" s="1" t="s">
        <v>16</v>
      </c>
    </row>
    <row r="337" spans="1:32" x14ac:dyDescent="0.3">
      <c r="A337" s="1">
        <v>639</v>
      </c>
      <c r="B337" s="2">
        <v>46045.582326388903</v>
      </c>
      <c r="C337" s="1" t="s">
        <v>3209</v>
      </c>
      <c r="D337" s="1" t="s">
        <v>3210</v>
      </c>
      <c r="E337" s="1" t="s">
        <v>3211</v>
      </c>
      <c r="F337" s="1" t="s">
        <v>3212</v>
      </c>
      <c r="G337" s="1" t="s">
        <v>17</v>
      </c>
      <c r="H337" s="1" t="s">
        <v>3213</v>
      </c>
      <c r="I337" s="1" t="s">
        <v>3214</v>
      </c>
      <c r="J337" s="1" t="s">
        <v>3214</v>
      </c>
      <c r="K337" s="1">
        <v>875</v>
      </c>
      <c r="L337" s="1">
        <v>0</v>
      </c>
      <c r="M337" s="1" t="s">
        <v>49</v>
      </c>
      <c r="N337" s="1" t="s">
        <v>3215</v>
      </c>
      <c r="O337" s="1" t="s">
        <v>3216</v>
      </c>
      <c r="P337" s="1" t="s">
        <v>9</v>
      </c>
      <c r="Q337" s="1">
        <v>0</v>
      </c>
      <c r="R337" s="1" t="s">
        <v>9</v>
      </c>
      <c r="S337" s="3" t="s">
        <v>1198</v>
      </c>
      <c r="T337" s="4">
        <v>875</v>
      </c>
      <c r="U337" s="4" t="s">
        <v>243</v>
      </c>
      <c r="V337" s="5">
        <v>2000</v>
      </c>
      <c r="W337" s="4" t="s">
        <v>409</v>
      </c>
      <c r="X337" s="5">
        <v>200</v>
      </c>
      <c r="Y337" s="4">
        <f t="shared" si="15"/>
        <v>2675</v>
      </c>
      <c r="Z337" s="1">
        <v>875</v>
      </c>
      <c r="AA337" s="1" t="s">
        <v>3217</v>
      </c>
      <c r="AC337" s="1" t="s">
        <v>15</v>
      </c>
      <c r="AD337" s="6">
        <v>46080</v>
      </c>
      <c r="AE337" s="6">
        <v>46122</v>
      </c>
      <c r="AF337" s="1" t="s">
        <v>16</v>
      </c>
    </row>
    <row r="338" spans="1:32" x14ac:dyDescent="0.3">
      <c r="A338" s="1">
        <v>679</v>
      </c>
      <c r="B338" s="2">
        <v>46052.462164351797</v>
      </c>
      <c r="C338" s="1" t="s">
        <v>3218</v>
      </c>
      <c r="D338" s="1" t="s">
        <v>3219</v>
      </c>
      <c r="E338" s="1" t="s">
        <v>3220</v>
      </c>
      <c r="F338" s="1" t="s">
        <v>3221</v>
      </c>
      <c r="G338" s="1" t="s">
        <v>4</v>
      </c>
      <c r="H338" s="1" t="s">
        <v>27</v>
      </c>
      <c r="I338" s="1" t="s">
        <v>3214</v>
      </c>
      <c r="J338" s="1" t="s">
        <v>3214</v>
      </c>
      <c r="K338" s="1">
        <v>523</v>
      </c>
      <c r="L338" s="1">
        <v>0</v>
      </c>
      <c r="M338" s="1" t="s">
        <v>3222</v>
      </c>
      <c r="N338" s="1" t="s">
        <v>3223</v>
      </c>
      <c r="O338" s="1" t="s">
        <v>3224</v>
      </c>
      <c r="P338" s="1" t="s">
        <v>9</v>
      </c>
      <c r="Q338" s="1">
        <v>0</v>
      </c>
      <c r="R338" s="1" t="s">
        <v>10</v>
      </c>
      <c r="S338" s="3" t="s">
        <v>3225</v>
      </c>
      <c r="T338" s="4">
        <v>319</v>
      </c>
      <c r="U338" s="4" t="s">
        <v>1738</v>
      </c>
      <c r="V338" s="5">
        <v>1500</v>
      </c>
      <c r="W338" s="4" t="s">
        <v>1013</v>
      </c>
      <c r="Y338" s="4">
        <f t="shared" si="15"/>
        <v>2023</v>
      </c>
      <c r="Z338" s="1">
        <v>523</v>
      </c>
      <c r="AA338" s="1" t="s">
        <v>3226</v>
      </c>
      <c r="AC338" s="1" t="s">
        <v>15</v>
      </c>
      <c r="AD338" s="6">
        <v>46080</v>
      </c>
      <c r="AE338" s="6">
        <v>46123</v>
      </c>
      <c r="AF338" s="1" t="s">
        <v>16</v>
      </c>
    </row>
    <row r="339" spans="1:32" x14ac:dyDescent="0.3">
      <c r="A339" s="1">
        <v>416</v>
      </c>
      <c r="B339" s="2">
        <v>46015.398125</v>
      </c>
      <c r="C339" s="1" t="s">
        <v>3227</v>
      </c>
      <c r="D339" s="1" t="s">
        <v>3228</v>
      </c>
      <c r="E339" s="1" t="s">
        <v>3229</v>
      </c>
      <c r="F339" s="1" t="s">
        <v>3230</v>
      </c>
      <c r="G339" s="1" t="s">
        <v>17</v>
      </c>
      <c r="H339" s="1" t="s">
        <v>71</v>
      </c>
      <c r="I339" s="1" t="s">
        <v>3231</v>
      </c>
      <c r="J339" s="1" t="s">
        <v>3231</v>
      </c>
      <c r="K339" s="1">
        <v>875</v>
      </c>
      <c r="L339" s="1">
        <v>1</v>
      </c>
      <c r="M339" s="1" t="s">
        <v>49</v>
      </c>
      <c r="N339" s="1" t="s">
        <v>3232</v>
      </c>
      <c r="O339" s="1" t="s">
        <v>3233</v>
      </c>
      <c r="P339" s="1" t="s">
        <v>9</v>
      </c>
      <c r="Q339" s="1">
        <v>0</v>
      </c>
      <c r="R339" s="1" t="s">
        <v>10</v>
      </c>
      <c r="S339" s="3" t="s">
        <v>3234</v>
      </c>
      <c r="T339" s="4">
        <v>699</v>
      </c>
      <c r="U339" s="4" t="s">
        <v>114</v>
      </c>
      <c r="V339" s="5">
        <v>2500</v>
      </c>
      <c r="W339" s="4" t="s">
        <v>194</v>
      </c>
      <c r="X339" s="5">
        <v>1000</v>
      </c>
      <c r="Y339" s="4">
        <f t="shared" si="15"/>
        <v>2375</v>
      </c>
      <c r="Z339" s="4">
        <v>875</v>
      </c>
      <c r="AA339" s="1" t="s">
        <v>3235</v>
      </c>
      <c r="AB339" s="1" t="s">
        <v>56</v>
      </c>
      <c r="AC339" s="1" t="s">
        <v>15</v>
      </c>
      <c r="AD339" s="6">
        <v>46080</v>
      </c>
      <c r="AE339" s="6">
        <v>46093</v>
      </c>
      <c r="AF339" s="1" t="s">
        <v>16</v>
      </c>
    </row>
    <row r="340" spans="1:32" x14ac:dyDescent="0.3">
      <c r="A340" s="1">
        <v>673</v>
      </c>
      <c r="B340" s="2">
        <v>46052.200011574103</v>
      </c>
      <c r="C340" s="1" t="s">
        <v>3236</v>
      </c>
      <c r="D340" s="1" t="s">
        <v>3237</v>
      </c>
      <c r="E340" s="1" t="s">
        <v>3238</v>
      </c>
      <c r="F340" s="1" t="s">
        <v>3239</v>
      </c>
      <c r="G340" s="1" t="s">
        <v>4</v>
      </c>
      <c r="H340" s="1" t="s">
        <v>27</v>
      </c>
      <c r="I340" s="1" t="s">
        <v>3231</v>
      </c>
      <c r="J340" s="1" t="s">
        <v>3231</v>
      </c>
      <c r="K340" s="1">
        <v>523</v>
      </c>
      <c r="L340" s="1">
        <v>2</v>
      </c>
      <c r="M340" s="1" t="s">
        <v>3240</v>
      </c>
      <c r="N340" s="1" t="s">
        <v>3241</v>
      </c>
      <c r="O340" s="1" t="s">
        <v>3242</v>
      </c>
      <c r="P340" s="1" t="s">
        <v>9</v>
      </c>
      <c r="Q340" s="1" t="s">
        <v>9</v>
      </c>
      <c r="R340" s="1" t="s">
        <v>10</v>
      </c>
      <c r="S340" s="3" t="s">
        <v>1198</v>
      </c>
      <c r="T340" s="4">
        <v>875</v>
      </c>
      <c r="U340" s="4" t="s">
        <v>3243</v>
      </c>
      <c r="V340" s="5" t="s">
        <v>114</v>
      </c>
      <c r="W340" s="4" t="s">
        <v>76</v>
      </c>
      <c r="X340" s="5">
        <v>100</v>
      </c>
      <c r="Y340" s="4">
        <f t="shared" si="15"/>
        <v>2923</v>
      </c>
      <c r="Z340" s="1">
        <v>523</v>
      </c>
      <c r="AA340" s="1" t="s">
        <v>3244</v>
      </c>
      <c r="AC340" s="1" t="s">
        <v>15</v>
      </c>
      <c r="AD340" s="6">
        <v>46080</v>
      </c>
      <c r="AE340" s="6">
        <v>46122</v>
      </c>
      <c r="AF340" s="1" t="s">
        <v>16</v>
      </c>
    </row>
    <row r="341" spans="1:32" x14ac:dyDescent="0.3">
      <c r="A341" s="1">
        <v>687</v>
      </c>
      <c r="B341" s="2">
        <v>46052.660243055601</v>
      </c>
      <c r="C341" s="1" t="s">
        <v>3245</v>
      </c>
      <c r="D341" s="1" t="s">
        <v>3246</v>
      </c>
      <c r="E341" s="1" t="s">
        <v>3247</v>
      </c>
      <c r="F341" s="1" t="s">
        <v>3248</v>
      </c>
      <c r="G341" s="1" t="s">
        <v>4</v>
      </c>
      <c r="H341" s="1" t="s">
        <v>3249</v>
      </c>
      <c r="I341" s="1" t="s">
        <v>3231</v>
      </c>
      <c r="J341" s="1" t="s">
        <v>3231</v>
      </c>
      <c r="K341" s="1">
        <v>875</v>
      </c>
      <c r="L341" s="1">
        <v>3</v>
      </c>
      <c r="M341" s="1" t="s">
        <v>49</v>
      </c>
      <c r="N341" s="1" t="s">
        <v>3250</v>
      </c>
      <c r="O341" s="1" t="s">
        <v>3251</v>
      </c>
      <c r="P341" s="1" t="s">
        <v>9</v>
      </c>
      <c r="Q341" s="1" t="s">
        <v>9</v>
      </c>
      <c r="R341" s="1" t="s">
        <v>10</v>
      </c>
      <c r="S341" s="3" t="s">
        <v>3252</v>
      </c>
      <c r="U341" s="4" t="s">
        <v>3253</v>
      </c>
      <c r="V341" s="5" t="s">
        <v>948</v>
      </c>
      <c r="W341" s="4" t="s">
        <v>3254</v>
      </c>
      <c r="Y341" s="4">
        <f t="shared" si="15"/>
        <v>4375</v>
      </c>
      <c r="Z341" s="4">
        <v>875</v>
      </c>
      <c r="AA341" s="1" t="s">
        <v>3255</v>
      </c>
      <c r="AC341" s="1" t="s">
        <v>15</v>
      </c>
      <c r="AD341" s="6">
        <v>46080</v>
      </c>
      <c r="AE341" s="6">
        <v>46122</v>
      </c>
      <c r="AF341" s="1" t="s">
        <v>16</v>
      </c>
    </row>
    <row r="342" spans="1:32" ht="17.399999999999999" x14ac:dyDescent="0.4">
      <c r="A342">
        <v>861</v>
      </c>
      <c r="B342" s="8">
        <v>46153.049016203702</v>
      </c>
      <c r="C342" s="9" t="s">
        <v>3256</v>
      </c>
      <c r="D342" s="9" t="s">
        <v>3257</v>
      </c>
      <c r="E342" s="10" t="s">
        <v>3258</v>
      </c>
      <c r="F342" s="35" t="s">
        <v>3259</v>
      </c>
      <c r="G342" s="9" t="s">
        <v>17</v>
      </c>
      <c r="H342" s="9" t="s">
        <v>71</v>
      </c>
      <c r="I342" s="9" t="s">
        <v>3260</v>
      </c>
      <c r="J342" s="9" t="s">
        <v>3260</v>
      </c>
      <c r="K342" s="1">
        <v>814</v>
      </c>
      <c r="M342" s="9" t="s">
        <v>49</v>
      </c>
      <c r="N342" s="10" t="s">
        <v>3261</v>
      </c>
      <c r="O342" s="9" t="s">
        <v>213</v>
      </c>
      <c r="P342" s="9" t="s">
        <v>9</v>
      </c>
      <c r="Q342" s="10"/>
      <c r="R342" s="9" t="s">
        <v>10</v>
      </c>
      <c r="S342" s="1"/>
      <c r="T342" s="1"/>
      <c r="U342" s="10" t="s">
        <v>1552</v>
      </c>
      <c r="V342" s="10" t="s">
        <v>1014</v>
      </c>
      <c r="W342" s="10" t="s">
        <v>1554</v>
      </c>
      <c r="X342" s="1"/>
      <c r="Y342" s="10"/>
      <c r="Z342" s="10"/>
      <c r="AA342" s="9" t="s">
        <v>3262</v>
      </c>
      <c r="AB342" s="9"/>
      <c r="AC342" s="10" t="s">
        <v>15</v>
      </c>
      <c r="AD342" s="10" t="s">
        <v>203</v>
      </c>
      <c r="AE342" s="9" t="s">
        <v>3263</v>
      </c>
      <c r="AF342" s="1" t="s">
        <v>16</v>
      </c>
    </row>
    <row r="343" spans="1:32" x14ac:dyDescent="0.3">
      <c r="A343" s="1">
        <v>621</v>
      </c>
      <c r="B343" s="2">
        <v>46041.411284722199</v>
      </c>
      <c r="C343" s="1" t="s">
        <v>3264</v>
      </c>
      <c r="D343" s="1" t="s">
        <v>3265</v>
      </c>
      <c r="E343" s="1" t="s">
        <v>3266</v>
      </c>
      <c r="F343" s="1" t="s">
        <v>3267</v>
      </c>
      <c r="G343" s="1" t="s">
        <v>17</v>
      </c>
      <c r="H343" s="1" t="s">
        <v>71</v>
      </c>
      <c r="I343" s="1" t="s">
        <v>3268</v>
      </c>
      <c r="J343" s="1" t="s">
        <v>3268</v>
      </c>
      <c r="K343" s="1">
        <v>814</v>
      </c>
      <c r="L343" s="1">
        <v>1</v>
      </c>
      <c r="M343" s="1" t="s">
        <v>49</v>
      </c>
      <c r="N343" s="1" t="s">
        <v>3269</v>
      </c>
      <c r="O343" s="1" t="s">
        <v>3270</v>
      </c>
      <c r="P343" s="1" t="s">
        <v>9</v>
      </c>
      <c r="Q343" s="1">
        <v>0</v>
      </c>
      <c r="R343" s="1" t="s">
        <v>10</v>
      </c>
      <c r="S343" s="3" t="s">
        <v>1382</v>
      </c>
      <c r="T343" s="4">
        <v>649</v>
      </c>
      <c r="U343" s="4" t="s">
        <v>3032</v>
      </c>
      <c r="V343" s="5">
        <v>350</v>
      </c>
      <c r="W343" s="4" t="s">
        <v>3271</v>
      </c>
      <c r="Y343" s="4">
        <f t="shared" ref="Y343:Y363" si="16">K343+V343-X343</f>
        <v>1164</v>
      </c>
      <c r="Z343" s="4">
        <v>814</v>
      </c>
      <c r="AA343" s="1" t="s">
        <v>3272</v>
      </c>
      <c r="AB343" s="1" t="s">
        <v>56</v>
      </c>
      <c r="AC343" s="1" t="s">
        <v>15</v>
      </c>
      <c r="AD343" s="6">
        <v>46080</v>
      </c>
      <c r="AE343" s="6">
        <v>46098</v>
      </c>
      <c r="AF343" s="1" t="s">
        <v>16</v>
      </c>
    </row>
    <row r="344" spans="1:32" x14ac:dyDescent="0.3">
      <c r="A344" s="1">
        <v>696</v>
      </c>
      <c r="B344" s="2">
        <v>46052.607673611099</v>
      </c>
      <c r="C344" s="1" t="s">
        <v>3273</v>
      </c>
      <c r="D344" s="1" t="s">
        <v>3274</v>
      </c>
      <c r="E344" s="1" t="s">
        <v>3275</v>
      </c>
      <c r="F344" s="1" t="s">
        <v>3276</v>
      </c>
      <c r="G344" s="1" t="s">
        <v>17</v>
      </c>
      <c r="H344" s="1" t="s">
        <v>3277</v>
      </c>
      <c r="I344" s="1" t="s">
        <v>3268</v>
      </c>
      <c r="J344" s="1" t="s">
        <v>3268</v>
      </c>
      <c r="K344" s="1">
        <v>755</v>
      </c>
      <c r="L344" s="1">
        <v>2</v>
      </c>
      <c r="M344" s="1" t="s">
        <v>7</v>
      </c>
      <c r="N344" s="1" t="s">
        <v>3278</v>
      </c>
      <c r="O344" s="1" t="s">
        <v>3279</v>
      </c>
      <c r="P344" s="1" t="s">
        <v>9</v>
      </c>
      <c r="Q344" s="1">
        <v>0</v>
      </c>
      <c r="R344" s="1" t="s">
        <v>177</v>
      </c>
      <c r="S344" s="3" t="s">
        <v>526</v>
      </c>
      <c r="T344" s="4">
        <v>755</v>
      </c>
      <c r="U344" s="4" t="s">
        <v>3280</v>
      </c>
      <c r="V344" s="5">
        <v>950</v>
      </c>
      <c r="W344" s="4" t="s">
        <v>712</v>
      </c>
      <c r="X344" s="5">
        <v>500</v>
      </c>
      <c r="Y344" s="4">
        <f t="shared" si="16"/>
        <v>1205</v>
      </c>
      <c r="Z344" s="4">
        <v>755</v>
      </c>
      <c r="AA344" s="1" t="s">
        <v>3281</v>
      </c>
      <c r="AB344" s="1" t="s">
        <v>56</v>
      </c>
      <c r="AC344" s="1" t="s">
        <v>15</v>
      </c>
      <c r="AD344" s="6">
        <v>46080</v>
      </c>
      <c r="AE344" s="6">
        <v>46091</v>
      </c>
      <c r="AF344" s="1" t="s">
        <v>16</v>
      </c>
    </row>
    <row r="345" spans="1:32" x14ac:dyDescent="0.3">
      <c r="A345" s="1">
        <v>708</v>
      </c>
      <c r="B345" s="2">
        <v>46053.5152199074</v>
      </c>
      <c r="C345" s="1" t="s">
        <v>3282</v>
      </c>
      <c r="D345" s="1" t="s">
        <v>3283</v>
      </c>
      <c r="E345" s="1" t="s">
        <v>3284</v>
      </c>
      <c r="F345" s="1" t="s">
        <v>3285</v>
      </c>
      <c r="G345" s="1" t="s">
        <v>4</v>
      </c>
      <c r="H345" s="1" t="s">
        <v>47</v>
      </c>
      <c r="I345" s="1" t="s">
        <v>3268</v>
      </c>
      <c r="J345" s="1" t="s">
        <v>3268</v>
      </c>
      <c r="K345" s="1">
        <v>814</v>
      </c>
      <c r="L345" s="1">
        <v>3</v>
      </c>
      <c r="M345" s="1" t="s">
        <v>49</v>
      </c>
      <c r="N345" s="1" t="s">
        <v>1073</v>
      </c>
      <c r="O345" s="1" t="s">
        <v>3286</v>
      </c>
      <c r="P345" s="1" t="s">
        <v>9</v>
      </c>
      <c r="Q345" s="1">
        <v>0</v>
      </c>
      <c r="R345" s="1" t="s">
        <v>177</v>
      </c>
      <c r="S345" s="3" t="s">
        <v>211</v>
      </c>
      <c r="T345" s="4">
        <v>649</v>
      </c>
      <c r="U345" s="4" t="s">
        <v>115</v>
      </c>
      <c r="V345" s="5">
        <v>1500</v>
      </c>
      <c r="W345" s="4" t="s">
        <v>513</v>
      </c>
      <c r="X345" s="5">
        <v>300</v>
      </c>
      <c r="Y345" s="4">
        <f t="shared" si="16"/>
        <v>2014</v>
      </c>
      <c r="Z345" s="4">
        <v>814</v>
      </c>
      <c r="AA345" s="1" t="s">
        <v>3287</v>
      </c>
      <c r="AB345" s="1" t="s">
        <v>56</v>
      </c>
      <c r="AC345" s="1" t="s">
        <v>15</v>
      </c>
      <c r="AD345" s="6">
        <v>46080</v>
      </c>
      <c r="AE345" s="6">
        <v>46086</v>
      </c>
      <c r="AF345" s="1" t="s">
        <v>16</v>
      </c>
    </row>
    <row r="346" spans="1:32" ht="17.399999999999999" x14ac:dyDescent="0.4">
      <c r="A346" s="1">
        <v>663</v>
      </c>
      <c r="B346" s="2">
        <v>46050.927928240701</v>
      </c>
      <c r="C346" s="1" t="s">
        <v>3288</v>
      </c>
      <c r="D346" s="1" t="s">
        <v>3289</v>
      </c>
      <c r="E346" s="1" t="s">
        <v>3290</v>
      </c>
      <c r="F346" s="23" t="s">
        <v>3291</v>
      </c>
      <c r="G346" s="1" t="s">
        <v>17</v>
      </c>
      <c r="H346" s="1" t="s">
        <v>47</v>
      </c>
      <c r="I346" s="1" t="s">
        <v>3268</v>
      </c>
      <c r="J346" s="1" t="s">
        <v>3268</v>
      </c>
      <c r="K346" s="1">
        <v>814</v>
      </c>
      <c r="L346" s="1">
        <v>4</v>
      </c>
      <c r="M346" s="1" t="s">
        <v>49</v>
      </c>
      <c r="N346" s="1" t="s">
        <v>3292</v>
      </c>
      <c r="O346" s="1" t="s">
        <v>3293</v>
      </c>
      <c r="P346" s="1" t="s">
        <v>9</v>
      </c>
      <c r="Q346" s="1">
        <v>0</v>
      </c>
      <c r="R346" s="1" t="s">
        <v>10</v>
      </c>
      <c r="S346" s="3" t="s">
        <v>3294</v>
      </c>
      <c r="T346" s="4">
        <v>645</v>
      </c>
      <c r="U346" s="4" t="s">
        <v>3295</v>
      </c>
      <c r="V346" s="5">
        <v>800</v>
      </c>
      <c r="W346" s="4" t="s">
        <v>1635</v>
      </c>
      <c r="X346" s="5">
        <v>325</v>
      </c>
      <c r="Y346" s="4">
        <f t="shared" si="16"/>
        <v>1289</v>
      </c>
      <c r="Z346" s="1">
        <v>814</v>
      </c>
      <c r="AA346" s="1" t="s">
        <v>3296</v>
      </c>
      <c r="AB346" s="1" t="s">
        <v>56</v>
      </c>
      <c r="AC346" s="1" t="s">
        <v>15</v>
      </c>
      <c r="AD346" s="6">
        <v>46080</v>
      </c>
      <c r="AE346" s="6">
        <v>46083</v>
      </c>
      <c r="AF346" s="1" t="s">
        <v>16</v>
      </c>
    </row>
    <row r="347" spans="1:32" x14ac:dyDescent="0.3">
      <c r="A347" s="1">
        <v>746</v>
      </c>
      <c r="B347" s="2">
        <v>46065.125081018501</v>
      </c>
      <c r="C347" s="1" t="s">
        <v>3297</v>
      </c>
      <c r="D347" s="1" t="s">
        <v>3265</v>
      </c>
      <c r="E347" s="1" t="s">
        <v>3298</v>
      </c>
      <c r="F347" s="1" t="s">
        <v>3299</v>
      </c>
      <c r="G347" s="1" t="s">
        <v>17</v>
      </c>
      <c r="H347" s="1" t="s">
        <v>71</v>
      </c>
      <c r="I347" s="1" t="s">
        <v>3268</v>
      </c>
      <c r="J347" s="1" t="s">
        <v>3268</v>
      </c>
      <c r="K347" s="1">
        <v>755</v>
      </c>
      <c r="L347" s="1">
        <v>5</v>
      </c>
      <c r="M347" s="1" t="s">
        <v>7</v>
      </c>
      <c r="N347" s="1" t="s">
        <v>3300</v>
      </c>
      <c r="O347" s="1" t="s">
        <v>3301</v>
      </c>
      <c r="P347" s="1" t="s">
        <v>9</v>
      </c>
      <c r="Q347" s="1">
        <v>0</v>
      </c>
      <c r="R347" s="1" t="s">
        <v>10</v>
      </c>
      <c r="S347" s="3" t="s">
        <v>76</v>
      </c>
      <c r="T347" s="4">
        <v>100</v>
      </c>
      <c r="U347" s="4" t="s">
        <v>513</v>
      </c>
      <c r="V347" s="5">
        <v>300</v>
      </c>
      <c r="W347" s="4" t="s">
        <v>76</v>
      </c>
      <c r="X347" s="5">
        <v>100</v>
      </c>
      <c r="Y347" s="4">
        <f t="shared" si="16"/>
        <v>955</v>
      </c>
      <c r="Z347" s="1">
        <v>755</v>
      </c>
      <c r="AA347" s="1" t="s">
        <v>3302</v>
      </c>
      <c r="AB347" s="1" t="s">
        <v>56</v>
      </c>
      <c r="AC347" s="1" t="s">
        <v>15</v>
      </c>
      <c r="AD347" s="6">
        <v>46080</v>
      </c>
      <c r="AE347" s="6">
        <v>46113</v>
      </c>
      <c r="AF347" s="1" t="s">
        <v>16</v>
      </c>
    </row>
    <row r="348" spans="1:32" x14ac:dyDescent="0.3">
      <c r="A348" s="1">
        <v>668</v>
      </c>
      <c r="B348" s="2">
        <v>46051.912835648203</v>
      </c>
      <c r="C348" s="1" t="s">
        <v>3274</v>
      </c>
      <c r="D348" s="1" t="s">
        <v>3303</v>
      </c>
      <c r="E348" s="1" t="s">
        <v>3304</v>
      </c>
      <c r="F348" s="1" t="s">
        <v>3305</v>
      </c>
      <c r="G348" s="1" t="s">
        <v>17</v>
      </c>
      <c r="H348" s="1" t="s">
        <v>47</v>
      </c>
      <c r="I348" s="1" t="s">
        <v>3268</v>
      </c>
      <c r="J348" s="1" t="s">
        <v>3268</v>
      </c>
      <c r="K348" s="1">
        <v>814</v>
      </c>
      <c r="L348" s="1">
        <v>6</v>
      </c>
      <c r="M348" s="1" t="s">
        <v>49</v>
      </c>
      <c r="N348" s="1" t="s">
        <v>3306</v>
      </c>
      <c r="O348" s="1" t="s">
        <v>3307</v>
      </c>
      <c r="P348" s="1" t="s">
        <v>9</v>
      </c>
      <c r="Q348" s="1">
        <v>0</v>
      </c>
      <c r="R348" s="1" t="s">
        <v>177</v>
      </c>
      <c r="S348" s="3" t="s">
        <v>3308</v>
      </c>
      <c r="T348" s="4">
        <v>649</v>
      </c>
      <c r="U348" s="4" t="s">
        <v>3309</v>
      </c>
      <c r="V348" s="5">
        <v>600</v>
      </c>
      <c r="W348" s="4" t="s">
        <v>3310</v>
      </c>
      <c r="X348" s="5">
        <v>300</v>
      </c>
      <c r="Y348" s="4">
        <f t="shared" si="16"/>
        <v>1114</v>
      </c>
      <c r="Z348" s="1">
        <v>814</v>
      </c>
      <c r="AA348" s="1" t="s">
        <v>3311</v>
      </c>
      <c r="AC348" s="1" t="s">
        <v>15</v>
      </c>
      <c r="AD348" s="6">
        <v>46080</v>
      </c>
      <c r="AE348" s="6">
        <v>46122</v>
      </c>
      <c r="AF348" s="1" t="s">
        <v>16</v>
      </c>
    </row>
    <row r="349" spans="1:32" x14ac:dyDescent="0.3">
      <c r="A349" s="1">
        <v>702</v>
      </c>
      <c r="B349" s="2">
        <v>46053.433275463001</v>
      </c>
      <c r="C349" s="1" t="s">
        <v>3313</v>
      </c>
      <c r="D349" s="1" t="s">
        <v>3314</v>
      </c>
      <c r="E349" s="1" t="s">
        <v>3315</v>
      </c>
      <c r="F349" s="1" t="s">
        <v>3316</v>
      </c>
      <c r="G349" s="1" t="s">
        <v>4</v>
      </c>
      <c r="H349" s="1" t="s">
        <v>71</v>
      </c>
      <c r="I349" s="1" t="s">
        <v>3268</v>
      </c>
      <c r="J349" s="1" t="s">
        <v>3268</v>
      </c>
      <c r="K349" s="1">
        <v>407</v>
      </c>
      <c r="L349" s="1">
        <v>7</v>
      </c>
      <c r="M349" s="1" t="s">
        <v>977</v>
      </c>
      <c r="N349" s="1" t="s">
        <v>3317</v>
      </c>
      <c r="O349" s="1" t="s">
        <v>3318</v>
      </c>
      <c r="P349" s="1" t="s">
        <v>9</v>
      </c>
      <c r="Q349" s="1">
        <v>0</v>
      </c>
      <c r="R349" s="1" t="s">
        <v>177</v>
      </c>
      <c r="S349" s="3" t="s">
        <v>211</v>
      </c>
      <c r="T349" s="4">
        <v>649</v>
      </c>
      <c r="U349" s="4" t="s">
        <v>115</v>
      </c>
      <c r="V349" s="5">
        <v>1500</v>
      </c>
      <c r="W349" s="4" t="s">
        <v>75</v>
      </c>
      <c r="X349" s="5">
        <v>500</v>
      </c>
      <c r="Y349" s="4">
        <f t="shared" si="16"/>
        <v>1407</v>
      </c>
      <c r="Z349" s="1">
        <v>407</v>
      </c>
      <c r="AA349" s="1" t="s">
        <v>3319</v>
      </c>
      <c r="AC349" s="1" t="s">
        <v>15</v>
      </c>
      <c r="AD349" s="6">
        <v>46080</v>
      </c>
      <c r="AE349" s="6">
        <v>46132</v>
      </c>
      <c r="AF349" s="1" t="s">
        <v>16</v>
      </c>
    </row>
    <row r="350" spans="1:32" x14ac:dyDescent="0.3">
      <c r="A350" s="1">
        <v>705</v>
      </c>
      <c r="B350" s="2">
        <v>46053.484583333302</v>
      </c>
      <c r="C350" s="1" t="s">
        <v>3320</v>
      </c>
      <c r="D350" s="1" t="s">
        <v>3321</v>
      </c>
      <c r="E350" s="1" t="s">
        <v>3322</v>
      </c>
      <c r="F350" s="1" t="s">
        <v>3323</v>
      </c>
      <c r="G350" s="1" t="s">
        <v>4</v>
      </c>
      <c r="H350" s="1" t="s">
        <v>71</v>
      </c>
      <c r="I350" s="1" t="s">
        <v>3268</v>
      </c>
      <c r="J350" s="1" t="s">
        <v>3268</v>
      </c>
      <c r="K350" s="1">
        <v>407</v>
      </c>
      <c r="M350" s="1" t="s">
        <v>20</v>
      </c>
      <c r="N350" s="1" t="s">
        <v>3324</v>
      </c>
      <c r="O350" s="1" t="s">
        <v>3325</v>
      </c>
      <c r="P350" s="1" t="s">
        <v>9</v>
      </c>
      <c r="Q350" s="1">
        <v>0</v>
      </c>
      <c r="R350" s="1" t="s">
        <v>177</v>
      </c>
      <c r="S350" s="3" t="s">
        <v>211</v>
      </c>
      <c r="T350" s="4">
        <v>649</v>
      </c>
      <c r="U350" s="4" t="s">
        <v>115</v>
      </c>
      <c r="V350" s="5">
        <v>1500</v>
      </c>
      <c r="W350" s="4" t="s">
        <v>513</v>
      </c>
      <c r="X350" s="5">
        <v>300</v>
      </c>
      <c r="Y350" s="4">
        <f t="shared" si="16"/>
        <v>1607</v>
      </c>
      <c r="AA350" s="1" t="s">
        <v>3326</v>
      </c>
      <c r="AC350" s="1" t="s">
        <v>15</v>
      </c>
      <c r="AD350" s="6">
        <v>46080</v>
      </c>
      <c r="AE350" s="6">
        <v>46148</v>
      </c>
      <c r="AF350" s="1" t="s">
        <v>16</v>
      </c>
    </row>
    <row r="351" spans="1:32" x14ac:dyDescent="0.3">
      <c r="A351" s="1">
        <v>710</v>
      </c>
      <c r="B351" s="2">
        <v>46053.563645833303</v>
      </c>
      <c r="C351" s="1" t="s">
        <v>3327</v>
      </c>
      <c r="D351" s="1" t="s">
        <v>3328</v>
      </c>
      <c r="E351" s="1" t="s">
        <v>3329</v>
      </c>
      <c r="F351" s="26" t="s">
        <v>3330</v>
      </c>
      <c r="G351" s="1" t="s">
        <v>17</v>
      </c>
      <c r="H351" s="1" t="s">
        <v>3331</v>
      </c>
      <c r="I351" s="1" t="s">
        <v>3268</v>
      </c>
      <c r="J351" s="1" t="s">
        <v>3268</v>
      </c>
      <c r="K351" s="1">
        <v>407</v>
      </c>
      <c r="M351" s="1" t="s">
        <v>20</v>
      </c>
      <c r="N351" s="1" t="s">
        <v>3332</v>
      </c>
      <c r="O351" s="1" t="s">
        <v>3333</v>
      </c>
      <c r="P351" s="1" t="s">
        <v>9</v>
      </c>
      <c r="Q351" s="1">
        <v>0</v>
      </c>
      <c r="R351" s="1" t="s">
        <v>177</v>
      </c>
      <c r="S351" s="3" t="s">
        <v>1635</v>
      </c>
      <c r="T351" s="4">
        <v>325</v>
      </c>
      <c r="U351" s="4" t="s">
        <v>3334</v>
      </c>
      <c r="V351" s="5" t="s">
        <v>194</v>
      </c>
      <c r="W351" s="4" t="s">
        <v>832</v>
      </c>
      <c r="X351" s="5">
        <v>100</v>
      </c>
      <c r="Y351" s="4">
        <f t="shared" si="16"/>
        <v>1307</v>
      </c>
      <c r="AA351" s="1" t="s">
        <v>3335</v>
      </c>
      <c r="AC351" s="1" t="s">
        <v>15</v>
      </c>
      <c r="AD351" s="6">
        <v>46080</v>
      </c>
      <c r="AE351" s="6">
        <v>46148</v>
      </c>
      <c r="AF351" s="1" t="s">
        <v>16</v>
      </c>
    </row>
    <row r="352" spans="1:32" x14ac:dyDescent="0.3">
      <c r="A352" s="1">
        <v>712</v>
      </c>
      <c r="B352" s="2">
        <v>46053.614560185197</v>
      </c>
      <c r="C352" s="1" t="s">
        <v>3336</v>
      </c>
      <c r="D352" s="1" t="s">
        <v>3337</v>
      </c>
      <c r="E352" s="1" t="s">
        <v>3338</v>
      </c>
      <c r="F352" s="1" t="s">
        <v>3339</v>
      </c>
      <c r="G352" s="1" t="s">
        <v>4</v>
      </c>
      <c r="H352" s="1" t="s">
        <v>71</v>
      </c>
      <c r="I352" s="1" t="s">
        <v>3268</v>
      </c>
      <c r="J352" s="1" t="s">
        <v>3268</v>
      </c>
      <c r="K352" s="1">
        <v>407</v>
      </c>
      <c r="M352" s="1" t="s">
        <v>3340</v>
      </c>
      <c r="N352" s="1" t="s">
        <v>3341</v>
      </c>
      <c r="O352" s="1" t="s">
        <v>3325</v>
      </c>
      <c r="P352" s="1" t="s">
        <v>9</v>
      </c>
      <c r="Q352" s="1">
        <v>0</v>
      </c>
      <c r="R352" s="1" t="s">
        <v>10</v>
      </c>
      <c r="S352" s="3" t="s">
        <v>958</v>
      </c>
      <c r="T352" s="4">
        <v>714</v>
      </c>
      <c r="U352" s="4" t="s">
        <v>115</v>
      </c>
      <c r="V352" s="5">
        <v>1500</v>
      </c>
      <c r="W352" s="4" t="s">
        <v>409</v>
      </c>
      <c r="X352" s="5">
        <v>200</v>
      </c>
      <c r="Y352" s="4">
        <f t="shared" si="16"/>
        <v>1707</v>
      </c>
      <c r="AA352" s="1" t="s">
        <v>3342</v>
      </c>
      <c r="AC352" s="1" t="s">
        <v>15</v>
      </c>
      <c r="AD352" s="6">
        <v>46080</v>
      </c>
      <c r="AE352" s="6">
        <v>46149</v>
      </c>
      <c r="AF352" s="1" t="s">
        <v>16</v>
      </c>
    </row>
    <row r="353" spans="1:32" x14ac:dyDescent="0.3">
      <c r="A353" s="1">
        <v>766</v>
      </c>
      <c r="B353" s="2">
        <v>46081.258807870399</v>
      </c>
      <c r="C353" s="11" t="s">
        <v>3343</v>
      </c>
      <c r="D353" s="11" t="s">
        <v>3344</v>
      </c>
      <c r="E353" s="1" t="s">
        <v>3345</v>
      </c>
      <c r="F353" s="1" t="s">
        <v>3346</v>
      </c>
      <c r="G353" s="3" t="s">
        <v>17</v>
      </c>
      <c r="H353" s="3" t="s">
        <v>18</v>
      </c>
      <c r="I353" s="3" t="s">
        <v>3347</v>
      </c>
      <c r="J353" s="11" t="s">
        <v>3347</v>
      </c>
      <c r="K353" s="1">
        <v>755</v>
      </c>
      <c r="L353" s="1">
        <v>1</v>
      </c>
      <c r="M353" s="3" t="s">
        <v>49</v>
      </c>
      <c r="N353" s="7" t="s">
        <v>3348</v>
      </c>
      <c r="O353" s="3" t="s">
        <v>3349</v>
      </c>
      <c r="P353" s="3" t="s">
        <v>98</v>
      </c>
      <c r="Q353" s="3" t="s">
        <v>3350</v>
      </c>
      <c r="R353" s="3" t="s">
        <v>10</v>
      </c>
      <c r="S353" s="7" t="s">
        <v>3351</v>
      </c>
      <c r="T353" s="4">
        <v>755</v>
      </c>
      <c r="U353" s="7" t="s">
        <v>1134</v>
      </c>
      <c r="V353" s="5">
        <v>2200</v>
      </c>
      <c r="W353" s="7" t="s">
        <v>513</v>
      </c>
      <c r="X353" s="5">
        <v>300</v>
      </c>
      <c r="Y353" s="4">
        <f t="shared" si="16"/>
        <v>2655</v>
      </c>
      <c r="Z353" s="4">
        <f>K353</f>
        <v>755</v>
      </c>
      <c r="AA353" s="3" t="s">
        <v>3352</v>
      </c>
      <c r="AB353" s="1" t="s">
        <v>117</v>
      </c>
      <c r="AC353" s="1" t="s">
        <v>15</v>
      </c>
      <c r="AD353" s="6">
        <v>46098</v>
      </c>
      <c r="AE353" s="6">
        <v>46098</v>
      </c>
      <c r="AF353" s="1" t="s">
        <v>16</v>
      </c>
    </row>
    <row r="354" spans="1:32" x14ac:dyDescent="0.3">
      <c r="A354" s="1">
        <v>770</v>
      </c>
      <c r="B354" s="2">
        <v>46082.426921296297</v>
      </c>
      <c r="C354" s="11" t="s">
        <v>3353</v>
      </c>
      <c r="D354" s="11" t="s">
        <v>3354</v>
      </c>
      <c r="E354" s="1" t="s">
        <v>3355</v>
      </c>
      <c r="F354" s="1" t="s">
        <v>3356</v>
      </c>
      <c r="G354" s="3" t="s">
        <v>4</v>
      </c>
      <c r="H354" s="3" t="s">
        <v>47</v>
      </c>
      <c r="I354" s="3" t="s">
        <v>3347</v>
      </c>
      <c r="J354" s="11" t="s">
        <v>3347</v>
      </c>
      <c r="K354" s="1">
        <v>755</v>
      </c>
      <c r="L354" s="1">
        <v>2</v>
      </c>
      <c r="M354" s="3" t="s">
        <v>49</v>
      </c>
      <c r="N354" s="7" t="s">
        <v>3357</v>
      </c>
      <c r="O354" s="3" t="s">
        <v>213</v>
      </c>
      <c r="P354" s="3" t="s">
        <v>9</v>
      </c>
      <c r="R354" s="3" t="s">
        <v>10</v>
      </c>
      <c r="S354" s="7" t="s">
        <v>3358</v>
      </c>
      <c r="T354" s="4">
        <v>714</v>
      </c>
      <c r="U354" s="7" t="s">
        <v>3359</v>
      </c>
      <c r="V354" s="5">
        <v>1500</v>
      </c>
      <c r="W354" s="7" t="s">
        <v>3360</v>
      </c>
      <c r="X354" s="5">
        <v>100</v>
      </c>
      <c r="Y354" s="4">
        <f t="shared" si="16"/>
        <v>2155</v>
      </c>
      <c r="Z354" s="4">
        <f>K354</f>
        <v>755</v>
      </c>
      <c r="AA354" s="3" t="s">
        <v>3361</v>
      </c>
      <c r="AB354" s="1" t="s">
        <v>56</v>
      </c>
      <c r="AC354" s="1" t="s">
        <v>15</v>
      </c>
      <c r="AD354" s="6">
        <v>46098</v>
      </c>
      <c r="AE354" s="6">
        <v>46103</v>
      </c>
      <c r="AF354" s="1" t="s">
        <v>16</v>
      </c>
    </row>
    <row r="355" spans="1:32" x14ac:dyDescent="0.3">
      <c r="A355" s="1">
        <v>309</v>
      </c>
      <c r="B355" s="2">
        <v>45996.849907407399</v>
      </c>
      <c r="C355" s="1" t="s">
        <v>3362</v>
      </c>
      <c r="D355" s="1" t="s">
        <v>3363</v>
      </c>
      <c r="E355" s="1" t="s">
        <v>3364</v>
      </c>
      <c r="F355" s="1" t="s">
        <v>3365</v>
      </c>
      <c r="G355" s="1" t="s">
        <v>4</v>
      </c>
      <c r="H355" s="1" t="s">
        <v>71</v>
      </c>
      <c r="I355" s="1" t="s">
        <v>3347</v>
      </c>
      <c r="J355" s="1" t="s">
        <v>3347</v>
      </c>
      <c r="K355" s="1">
        <v>407</v>
      </c>
      <c r="L355" s="1">
        <v>3</v>
      </c>
      <c r="M355" s="1" t="s">
        <v>20</v>
      </c>
      <c r="N355" s="1" t="s">
        <v>1046</v>
      </c>
      <c r="O355" s="1" t="s">
        <v>3366</v>
      </c>
      <c r="P355" s="1" t="s">
        <v>9</v>
      </c>
      <c r="Q355" s="1" t="s">
        <v>1046</v>
      </c>
      <c r="R355" s="1" t="s">
        <v>10</v>
      </c>
      <c r="S355" s="3" t="s">
        <v>3367</v>
      </c>
      <c r="T355" s="4">
        <v>409</v>
      </c>
      <c r="U355" s="4" t="s">
        <v>3368</v>
      </c>
      <c r="V355" s="5">
        <v>1700</v>
      </c>
      <c r="W355" s="4" t="s">
        <v>400</v>
      </c>
      <c r="X355" s="5">
        <v>200</v>
      </c>
      <c r="Y355" s="4">
        <f t="shared" si="16"/>
        <v>1907</v>
      </c>
      <c r="Z355" s="4">
        <v>407</v>
      </c>
      <c r="AA355" s="1" t="s">
        <v>3369</v>
      </c>
      <c r="AC355" s="1" t="s">
        <v>15</v>
      </c>
      <c r="AD355" s="6">
        <v>46080</v>
      </c>
      <c r="AE355" s="6">
        <v>46123</v>
      </c>
      <c r="AF355" s="1" t="s">
        <v>16</v>
      </c>
    </row>
    <row r="356" spans="1:32" x14ac:dyDescent="0.3">
      <c r="A356" s="1">
        <v>565</v>
      </c>
      <c r="B356" s="2">
        <v>46023.956250000003</v>
      </c>
      <c r="C356" s="1" t="s">
        <v>3370</v>
      </c>
      <c r="D356" s="1" t="s">
        <v>3371</v>
      </c>
      <c r="E356" s="1" t="s">
        <v>3372</v>
      </c>
      <c r="F356" s="1" t="s">
        <v>3373</v>
      </c>
      <c r="G356" s="1" t="s">
        <v>4</v>
      </c>
      <c r="H356" s="1" t="s">
        <v>47</v>
      </c>
      <c r="I356" s="1" t="s">
        <v>3347</v>
      </c>
      <c r="J356" s="1" t="s">
        <v>3347</v>
      </c>
      <c r="K356" s="1">
        <v>407</v>
      </c>
      <c r="L356" s="1">
        <v>4</v>
      </c>
      <c r="M356" s="1" t="s">
        <v>20</v>
      </c>
      <c r="N356" s="1" t="s">
        <v>189</v>
      </c>
      <c r="O356" s="1" t="s">
        <v>3374</v>
      </c>
      <c r="P356" s="1" t="s">
        <v>98</v>
      </c>
      <c r="Q356" s="1" t="s">
        <v>1278</v>
      </c>
      <c r="R356" s="1" t="s">
        <v>10</v>
      </c>
      <c r="S356" s="3" t="s">
        <v>477</v>
      </c>
      <c r="T356" s="4">
        <v>450</v>
      </c>
      <c r="U356" s="4" t="s">
        <v>2898</v>
      </c>
      <c r="V356" s="5">
        <v>1400</v>
      </c>
      <c r="W356" s="4" t="s">
        <v>400</v>
      </c>
      <c r="X356" s="5">
        <v>200</v>
      </c>
      <c r="Y356" s="4">
        <f t="shared" si="16"/>
        <v>1607</v>
      </c>
      <c r="Z356" s="1">
        <v>407</v>
      </c>
      <c r="AA356" s="1" t="s">
        <v>3375</v>
      </c>
      <c r="AC356" s="1" t="s">
        <v>15</v>
      </c>
      <c r="AD356" s="6">
        <v>46080</v>
      </c>
      <c r="AE356" s="6">
        <v>46122</v>
      </c>
      <c r="AF356" s="1" t="s">
        <v>16</v>
      </c>
    </row>
    <row r="357" spans="1:32" x14ac:dyDescent="0.3">
      <c r="A357" s="1">
        <v>590</v>
      </c>
      <c r="B357" s="2">
        <v>46031.630717592598</v>
      </c>
      <c r="C357" s="1" t="s">
        <v>3376</v>
      </c>
      <c r="D357" s="1" t="s">
        <v>3377</v>
      </c>
      <c r="E357" s="1" t="s">
        <v>3378</v>
      </c>
      <c r="F357" s="1" t="s">
        <v>3379</v>
      </c>
      <c r="G357" s="1" t="s">
        <v>4</v>
      </c>
      <c r="H357" s="1" t="s">
        <v>71</v>
      </c>
      <c r="I357" s="1" t="s">
        <v>3347</v>
      </c>
      <c r="J357" s="1" t="s">
        <v>3347</v>
      </c>
      <c r="K357" s="1">
        <v>814</v>
      </c>
      <c r="M357" s="1" t="s">
        <v>49</v>
      </c>
      <c r="N357" s="1" t="s">
        <v>3380</v>
      </c>
      <c r="O357" s="1" t="s">
        <v>213</v>
      </c>
      <c r="P357" s="1" t="s">
        <v>9</v>
      </c>
      <c r="Q357" s="1">
        <v>0</v>
      </c>
      <c r="R357" s="1" t="s">
        <v>10</v>
      </c>
      <c r="S357" s="3" t="s">
        <v>947</v>
      </c>
      <c r="T357" s="4">
        <v>814</v>
      </c>
      <c r="U357" s="4" t="s">
        <v>3381</v>
      </c>
      <c r="V357" s="5" t="s">
        <v>3382</v>
      </c>
      <c r="W357" s="4" t="s">
        <v>400</v>
      </c>
      <c r="X357" s="5">
        <v>200</v>
      </c>
      <c r="Y357" s="4">
        <f t="shared" si="16"/>
        <v>1924</v>
      </c>
      <c r="AA357" s="1" t="s">
        <v>3383</v>
      </c>
      <c r="AC357" s="1" t="s">
        <v>15</v>
      </c>
      <c r="AD357" s="6">
        <v>46080</v>
      </c>
      <c r="AE357" s="6">
        <v>46167</v>
      </c>
      <c r="AF357" s="1" t="s">
        <v>16</v>
      </c>
    </row>
    <row r="358" spans="1:32" x14ac:dyDescent="0.3">
      <c r="A358" s="1">
        <v>694</v>
      </c>
      <c r="B358" s="2">
        <v>46052.8754050926</v>
      </c>
      <c r="C358" s="1" t="s">
        <v>3384</v>
      </c>
      <c r="D358" s="1" t="s">
        <v>3385</v>
      </c>
      <c r="E358" s="1" t="s">
        <v>3386</v>
      </c>
      <c r="F358" s="1" t="s">
        <v>3387</v>
      </c>
      <c r="G358" s="1" t="s">
        <v>4</v>
      </c>
      <c r="H358" s="1" t="s">
        <v>71</v>
      </c>
      <c r="I358" s="1" t="s">
        <v>239</v>
      </c>
      <c r="J358" s="1" t="s">
        <v>3388</v>
      </c>
      <c r="K358" s="1">
        <v>755</v>
      </c>
      <c r="L358" s="1">
        <v>4</v>
      </c>
      <c r="M358" s="1" t="s">
        <v>7</v>
      </c>
      <c r="N358" s="1" t="s">
        <v>1988</v>
      </c>
      <c r="O358" s="1" t="s">
        <v>3389</v>
      </c>
      <c r="P358" s="1" t="s">
        <v>9</v>
      </c>
      <c r="Q358" s="1">
        <v>0</v>
      </c>
      <c r="R358" s="1" t="s">
        <v>10</v>
      </c>
      <c r="S358" s="3" t="s">
        <v>3312</v>
      </c>
      <c r="T358" s="4">
        <v>605</v>
      </c>
      <c r="U358" s="4" t="s">
        <v>1989</v>
      </c>
      <c r="V358" s="5">
        <v>2300</v>
      </c>
      <c r="W358" s="4" t="s">
        <v>522</v>
      </c>
      <c r="X358" s="5">
        <v>500</v>
      </c>
      <c r="Y358" s="4">
        <f t="shared" si="16"/>
        <v>2555</v>
      </c>
      <c r="Z358" s="1">
        <v>755</v>
      </c>
      <c r="AA358" s="1" t="s">
        <v>3390</v>
      </c>
      <c r="AC358" s="1" t="s">
        <v>15</v>
      </c>
      <c r="AD358" s="6">
        <v>46080</v>
      </c>
      <c r="AE358" s="6">
        <v>46122</v>
      </c>
      <c r="AF358" s="1" t="s">
        <v>16</v>
      </c>
    </row>
    <row r="359" spans="1:32" x14ac:dyDescent="0.3">
      <c r="A359" s="1">
        <v>666</v>
      </c>
      <c r="B359" s="2">
        <v>46050.604722222197</v>
      </c>
      <c r="C359" s="1" t="s">
        <v>3391</v>
      </c>
      <c r="D359" s="1" t="s">
        <v>3392</v>
      </c>
      <c r="E359" s="1" t="s">
        <v>3393</v>
      </c>
      <c r="F359" s="1" t="s">
        <v>3394</v>
      </c>
      <c r="G359" s="1" t="s">
        <v>4</v>
      </c>
      <c r="H359" s="1" t="s">
        <v>47</v>
      </c>
      <c r="I359" s="1" t="s">
        <v>1897</v>
      </c>
      <c r="J359" s="1" t="s">
        <v>3388</v>
      </c>
      <c r="K359" s="1">
        <v>755</v>
      </c>
      <c r="L359" s="1">
        <v>0</v>
      </c>
      <c r="M359" s="1" t="s">
        <v>7</v>
      </c>
      <c r="N359" s="1" t="s">
        <v>3395</v>
      </c>
      <c r="O359" s="1" t="s">
        <v>3396</v>
      </c>
      <c r="P359" s="1" t="s">
        <v>9</v>
      </c>
      <c r="Q359" s="1">
        <v>0</v>
      </c>
      <c r="R359" s="1" t="s">
        <v>10</v>
      </c>
      <c r="S359" s="3" t="s">
        <v>3397</v>
      </c>
      <c r="T359" s="4">
        <v>464</v>
      </c>
      <c r="U359" s="4" t="s">
        <v>3398</v>
      </c>
      <c r="V359" s="5">
        <v>2540</v>
      </c>
      <c r="W359" s="4" t="s">
        <v>75</v>
      </c>
      <c r="X359" s="5">
        <v>500</v>
      </c>
      <c r="Y359" s="4">
        <f t="shared" si="16"/>
        <v>2795</v>
      </c>
      <c r="Z359" s="1">
        <v>755</v>
      </c>
      <c r="AA359" s="1" t="s">
        <v>3399</v>
      </c>
      <c r="AC359" s="1" t="s">
        <v>15</v>
      </c>
      <c r="AD359" s="6">
        <v>46080</v>
      </c>
      <c r="AE359" s="6">
        <v>46125</v>
      </c>
      <c r="AF359" s="1" t="s">
        <v>16</v>
      </c>
    </row>
    <row r="360" spans="1:32" x14ac:dyDescent="0.3">
      <c r="A360" s="1">
        <v>677</v>
      </c>
      <c r="B360" s="2">
        <v>46052.385439814803</v>
      </c>
      <c r="C360" s="1" t="s">
        <v>1994</v>
      </c>
      <c r="D360" s="1" t="s">
        <v>3400</v>
      </c>
      <c r="E360" s="1" t="s">
        <v>3401</v>
      </c>
      <c r="F360" s="1" t="s">
        <v>3402</v>
      </c>
      <c r="G360" s="1" t="s">
        <v>4</v>
      </c>
      <c r="H360" s="1" t="s">
        <v>18</v>
      </c>
      <c r="I360" s="1" t="s">
        <v>3388</v>
      </c>
      <c r="J360" s="1" t="s">
        <v>3388</v>
      </c>
      <c r="K360" s="1">
        <v>814</v>
      </c>
      <c r="L360" s="1">
        <v>1</v>
      </c>
      <c r="M360" s="1" t="s">
        <v>49</v>
      </c>
      <c r="N360" s="1" t="s">
        <v>3403</v>
      </c>
      <c r="O360" s="1" t="s">
        <v>3404</v>
      </c>
      <c r="P360" s="1" t="s">
        <v>9</v>
      </c>
      <c r="Q360" s="1">
        <v>0</v>
      </c>
      <c r="R360" s="1" t="s">
        <v>10</v>
      </c>
      <c r="S360" s="3" t="s">
        <v>3405</v>
      </c>
      <c r="T360" s="4">
        <v>814</v>
      </c>
      <c r="U360" s="4" t="s">
        <v>3406</v>
      </c>
      <c r="V360" s="5">
        <v>2334</v>
      </c>
      <c r="W360" s="4" t="s">
        <v>513</v>
      </c>
      <c r="X360" s="5">
        <v>300</v>
      </c>
      <c r="Y360" s="4">
        <f t="shared" si="16"/>
        <v>2848</v>
      </c>
      <c r="Z360" s="4">
        <v>814</v>
      </c>
      <c r="AA360" s="1" t="s">
        <v>3407</v>
      </c>
      <c r="AB360" s="1" t="s">
        <v>18</v>
      </c>
      <c r="AC360" s="1" t="s">
        <v>15</v>
      </c>
      <c r="AD360" s="6">
        <v>46080</v>
      </c>
      <c r="AE360" s="6">
        <v>46090</v>
      </c>
      <c r="AF360" s="1" t="s">
        <v>16</v>
      </c>
    </row>
    <row r="361" spans="1:32" x14ac:dyDescent="0.3">
      <c r="A361" s="1">
        <v>559</v>
      </c>
      <c r="B361" s="2">
        <v>46023.126064814802</v>
      </c>
      <c r="C361" s="1" t="s">
        <v>3408</v>
      </c>
      <c r="D361" s="1" t="s">
        <v>3409</v>
      </c>
      <c r="E361" s="1" t="s">
        <v>3410</v>
      </c>
      <c r="F361" s="1" t="s">
        <v>3411</v>
      </c>
      <c r="G361" s="1" t="s">
        <v>4</v>
      </c>
      <c r="H361" s="1" t="s">
        <v>71</v>
      </c>
      <c r="I361" s="1" t="s">
        <v>3388</v>
      </c>
      <c r="J361" s="1" t="s">
        <v>3388</v>
      </c>
      <c r="K361" s="1">
        <v>755</v>
      </c>
      <c r="L361" s="1">
        <v>2</v>
      </c>
      <c r="M361" s="1" t="s">
        <v>7</v>
      </c>
      <c r="N361" s="1" t="s">
        <v>3412</v>
      </c>
      <c r="O361" s="1" t="s">
        <v>1993</v>
      </c>
      <c r="P361" s="1" t="s">
        <v>9</v>
      </c>
      <c r="Q361" s="1">
        <v>0</v>
      </c>
      <c r="R361" s="1" t="s">
        <v>10</v>
      </c>
      <c r="S361" s="3" t="s">
        <v>1297</v>
      </c>
      <c r="T361" s="4">
        <v>855</v>
      </c>
      <c r="U361" s="4" t="s">
        <v>243</v>
      </c>
      <c r="V361" s="5">
        <v>2000</v>
      </c>
      <c r="W361" s="4" t="s">
        <v>115</v>
      </c>
      <c r="X361" s="5">
        <v>1500</v>
      </c>
      <c r="Y361" s="4">
        <f t="shared" si="16"/>
        <v>1255</v>
      </c>
      <c r="Z361" s="4">
        <v>755</v>
      </c>
      <c r="AA361" s="1" t="s">
        <v>3413</v>
      </c>
      <c r="AB361" s="1" t="s">
        <v>56</v>
      </c>
      <c r="AC361" s="1" t="s">
        <v>15</v>
      </c>
      <c r="AD361" s="6">
        <v>46080</v>
      </c>
      <c r="AE361" s="6">
        <v>46098</v>
      </c>
      <c r="AF361" s="1" t="s">
        <v>16</v>
      </c>
    </row>
    <row r="362" spans="1:32" x14ac:dyDescent="0.3">
      <c r="A362" s="1">
        <v>482</v>
      </c>
      <c r="B362" s="2">
        <v>46021.897696759297</v>
      </c>
      <c r="C362" s="1" t="s">
        <v>3414</v>
      </c>
      <c r="D362" s="1" t="s">
        <v>3415</v>
      </c>
      <c r="E362" s="1" t="s">
        <v>3416</v>
      </c>
      <c r="F362" s="1" t="s">
        <v>3417</v>
      </c>
      <c r="G362" s="1" t="s">
        <v>17</v>
      </c>
      <c r="H362" s="1" t="s">
        <v>71</v>
      </c>
      <c r="I362" s="1" t="s">
        <v>3388</v>
      </c>
      <c r="J362" s="1" t="s">
        <v>3388</v>
      </c>
      <c r="K362" s="1">
        <v>407</v>
      </c>
      <c r="L362" s="1">
        <v>3</v>
      </c>
      <c r="M362" s="1" t="s">
        <v>20</v>
      </c>
      <c r="N362" s="1" t="s">
        <v>902</v>
      </c>
      <c r="O362" s="1" t="s">
        <v>3418</v>
      </c>
      <c r="P362" s="1" t="s">
        <v>9</v>
      </c>
      <c r="Q362" s="1" t="s">
        <v>1046</v>
      </c>
      <c r="R362" s="1" t="s">
        <v>9</v>
      </c>
      <c r="S362" s="3" t="s">
        <v>3419</v>
      </c>
      <c r="T362" s="4">
        <v>488</v>
      </c>
      <c r="U362" s="4" t="s">
        <v>2288</v>
      </c>
      <c r="V362" s="5">
        <v>3000</v>
      </c>
      <c r="W362" s="4" t="s">
        <v>333</v>
      </c>
      <c r="X362" s="5">
        <v>500</v>
      </c>
      <c r="Y362" s="4">
        <f t="shared" si="16"/>
        <v>2907</v>
      </c>
      <c r="Z362" s="1">
        <v>407</v>
      </c>
      <c r="AA362" s="1" t="s">
        <v>3420</v>
      </c>
      <c r="AC362" s="1" t="s">
        <v>15</v>
      </c>
      <c r="AD362" s="6">
        <v>46080</v>
      </c>
      <c r="AE362" s="6">
        <v>46122</v>
      </c>
      <c r="AF362" s="1" t="s">
        <v>16</v>
      </c>
    </row>
    <row r="363" spans="1:32" x14ac:dyDescent="0.3">
      <c r="A363" s="1">
        <v>840</v>
      </c>
      <c r="B363" s="2">
        <v>46134.573217592602</v>
      </c>
      <c r="C363" s="3" t="s">
        <v>3421</v>
      </c>
      <c r="D363" s="3" t="s">
        <v>3422</v>
      </c>
      <c r="E363" s="7" t="s">
        <v>3423</v>
      </c>
      <c r="F363" s="3" t="s">
        <v>3424</v>
      </c>
      <c r="G363" s="3" t="s">
        <v>17</v>
      </c>
      <c r="H363" s="3" t="s">
        <v>3425</v>
      </c>
      <c r="I363" s="3" t="s">
        <v>3426</v>
      </c>
      <c r="J363" s="3"/>
      <c r="K363" s="1">
        <v>814</v>
      </c>
      <c r="M363" s="3" t="s">
        <v>49</v>
      </c>
      <c r="N363" s="7" t="s">
        <v>3427</v>
      </c>
      <c r="O363" s="3" t="s">
        <v>251</v>
      </c>
      <c r="P363" s="3" t="s">
        <v>9</v>
      </c>
      <c r="Q363" s="3"/>
      <c r="R363" s="3" t="s">
        <v>9</v>
      </c>
      <c r="S363" s="7" t="s">
        <v>3428</v>
      </c>
      <c r="T363" s="1">
        <v>950</v>
      </c>
      <c r="U363" s="7" t="s">
        <v>3429</v>
      </c>
      <c r="V363" s="1">
        <v>2000</v>
      </c>
      <c r="W363" s="7" t="s">
        <v>75</v>
      </c>
      <c r="X363" s="7" t="s">
        <v>75</v>
      </c>
      <c r="Y363" s="4">
        <f t="shared" si="16"/>
        <v>2314</v>
      </c>
      <c r="Z363" s="3"/>
      <c r="AA363" s="3" t="s">
        <v>3430</v>
      </c>
      <c r="AB363" s="7"/>
      <c r="AC363" s="1" t="s">
        <v>15</v>
      </c>
      <c r="AD363" s="3" t="s">
        <v>30</v>
      </c>
      <c r="AE363" s="7" t="s">
        <v>31</v>
      </c>
      <c r="AF363" s="7" t="s">
        <v>16</v>
      </c>
    </row>
    <row r="364" spans="1:32" ht="17.399999999999999" x14ac:dyDescent="0.4">
      <c r="A364" s="13">
        <v>866</v>
      </c>
      <c r="B364" s="14">
        <v>46156.503761574102</v>
      </c>
      <c r="C364" s="15" t="s">
        <v>3431</v>
      </c>
      <c r="D364" s="15" t="s">
        <v>3432</v>
      </c>
      <c r="E364" s="16" t="s">
        <v>3433</v>
      </c>
      <c r="F364" s="17" t="s">
        <v>3434</v>
      </c>
      <c r="G364" s="15" t="s">
        <v>4</v>
      </c>
      <c r="H364" s="15" t="s">
        <v>3435</v>
      </c>
      <c r="I364" s="15" t="s">
        <v>2010</v>
      </c>
      <c r="J364" s="15"/>
      <c r="K364" s="1">
        <v>814</v>
      </c>
      <c r="M364" s="15" t="s">
        <v>49</v>
      </c>
      <c r="N364" s="16" t="s">
        <v>3436</v>
      </c>
      <c r="O364" s="15" t="s">
        <v>3437</v>
      </c>
      <c r="P364" s="15" t="s">
        <v>98</v>
      </c>
      <c r="Q364" s="16" t="s">
        <v>3438</v>
      </c>
      <c r="R364" s="15" t="s">
        <v>10</v>
      </c>
      <c r="S364" s="1"/>
      <c r="T364" s="1"/>
      <c r="U364" s="16" t="s">
        <v>1400</v>
      </c>
      <c r="V364" s="16" t="s">
        <v>40</v>
      </c>
      <c r="W364" s="16" t="s">
        <v>525</v>
      </c>
      <c r="X364" s="1"/>
      <c r="Y364" s="16"/>
      <c r="Z364" s="16"/>
      <c r="AA364" s="15" t="s">
        <v>3439</v>
      </c>
      <c r="AB364" s="15"/>
      <c r="AC364" s="16" t="s">
        <v>15</v>
      </c>
      <c r="AD364" s="16" t="s">
        <v>3263</v>
      </c>
      <c r="AE364" s="15" t="s">
        <v>3440</v>
      </c>
      <c r="AF364" s="1" t="s">
        <v>16</v>
      </c>
    </row>
    <row r="365" spans="1:32" ht="17.399999999999999" x14ac:dyDescent="0.4">
      <c r="A365">
        <v>865</v>
      </c>
      <c r="B365" s="8">
        <v>46156.374895833302</v>
      </c>
      <c r="C365" s="9" t="s">
        <v>3441</v>
      </c>
      <c r="D365" s="9" t="s">
        <v>3442</v>
      </c>
      <c r="E365" s="10" t="s">
        <v>3443</v>
      </c>
      <c r="F365" s="35" t="s">
        <v>3444</v>
      </c>
      <c r="G365" s="9" t="s">
        <v>4</v>
      </c>
      <c r="H365" s="9" t="s">
        <v>71</v>
      </c>
      <c r="I365" s="9" t="s">
        <v>2010</v>
      </c>
      <c r="J365" s="9"/>
      <c r="K365" s="9" t="s">
        <v>3445</v>
      </c>
      <c r="L365" s="9" t="s">
        <v>3446</v>
      </c>
      <c r="M365" s="9" t="s">
        <v>3447</v>
      </c>
      <c r="N365" s="10" t="s">
        <v>360</v>
      </c>
      <c r="O365" s="9" t="s">
        <v>3448</v>
      </c>
      <c r="P365" s="9" t="s">
        <v>98</v>
      </c>
      <c r="Q365" s="10" t="s">
        <v>3449</v>
      </c>
      <c r="R365" s="9" t="s">
        <v>10</v>
      </c>
      <c r="S365" s="10" t="s">
        <v>3450</v>
      </c>
      <c r="T365" s="10" t="s">
        <v>3451</v>
      </c>
      <c r="U365" s="10" t="s">
        <v>3452</v>
      </c>
      <c r="V365" s="9" t="s">
        <v>3453</v>
      </c>
      <c r="W365" s="9" t="s">
        <v>3454</v>
      </c>
      <c r="X365" s="10" t="s">
        <v>3455</v>
      </c>
      <c r="Y365" s="10" t="s">
        <v>3456</v>
      </c>
      <c r="Z365" s="10" t="s">
        <v>2030</v>
      </c>
      <c r="AA365" s="9" t="s">
        <v>3457</v>
      </c>
      <c r="AB365" s="9" t="s">
        <v>3458</v>
      </c>
      <c r="AC365" s="10" t="s">
        <v>15</v>
      </c>
      <c r="AD365" s="10"/>
      <c r="AE365" s="9" t="s">
        <v>3459</v>
      </c>
      <c r="AF365" s="1" t="s">
        <v>16</v>
      </c>
    </row>
    <row r="366" spans="1:32" ht="17.399999999999999" x14ac:dyDescent="0.4">
      <c r="A366">
        <v>877</v>
      </c>
      <c r="B366" s="8">
        <v>46165.931203703702</v>
      </c>
      <c r="C366" s="9" t="s">
        <v>3460</v>
      </c>
      <c r="D366" s="9" t="s">
        <v>3461</v>
      </c>
      <c r="E366" s="10" t="s">
        <v>3462</v>
      </c>
      <c r="F366" s="35" t="s">
        <v>3463</v>
      </c>
      <c r="G366" s="9" t="s">
        <v>4</v>
      </c>
      <c r="H366" s="9" t="s">
        <v>71</v>
      </c>
      <c r="I366" s="9" t="s">
        <v>366</v>
      </c>
      <c r="J366" s="9" t="s">
        <v>366</v>
      </c>
      <c r="K366" s="9" t="s">
        <v>7</v>
      </c>
      <c r="L366" s="9" t="s">
        <v>3464</v>
      </c>
      <c r="M366" s="9" t="s">
        <v>3465</v>
      </c>
      <c r="N366" s="10" t="s">
        <v>3466</v>
      </c>
      <c r="O366" s="9" t="s">
        <v>3467</v>
      </c>
      <c r="P366" s="9" t="s">
        <v>9</v>
      </c>
      <c r="Q366" s="10"/>
      <c r="R366" s="9" t="s">
        <v>177</v>
      </c>
      <c r="S366" s="10" t="s">
        <v>3468</v>
      </c>
      <c r="T366" s="10" t="s">
        <v>3469</v>
      </c>
      <c r="U366" s="10" t="s">
        <v>3470</v>
      </c>
      <c r="V366" s="9" t="s">
        <v>3471</v>
      </c>
      <c r="W366" s="9" t="s">
        <v>3472</v>
      </c>
      <c r="X366" s="10" t="s">
        <v>3473</v>
      </c>
      <c r="Y366" s="10" t="s">
        <v>3474</v>
      </c>
      <c r="Z366" s="10" t="s">
        <v>382</v>
      </c>
      <c r="AA366" s="9" t="s">
        <v>3475</v>
      </c>
      <c r="AB366" s="9" t="s">
        <v>3476</v>
      </c>
      <c r="AC366" s="10" t="s">
        <v>15</v>
      </c>
      <c r="AD366" s="10"/>
      <c r="AE366" s="9" t="s">
        <v>3477</v>
      </c>
      <c r="AF366" s="1" t="s">
        <v>16</v>
      </c>
    </row>
    <row r="367" spans="1:32" x14ac:dyDescent="0.3">
      <c r="A367" s="1">
        <v>120</v>
      </c>
      <c r="B367" s="2">
        <v>45965.802789351903</v>
      </c>
      <c r="C367" s="1" t="s">
        <v>3479</v>
      </c>
      <c r="D367" s="1" t="s">
        <v>3480</v>
      </c>
      <c r="E367" s="1" t="s">
        <v>3481</v>
      </c>
      <c r="F367" s="1" t="s">
        <v>3482</v>
      </c>
      <c r="G367" s="1" t="s">
        <v>17</v>
      </c>
      <c r="H367" s="1" t="s">
        <v>71</v>
      </c>
      <c r="I367" s="1" t="s">
        <v>2966</v>
      </c>
      <c r="J367" s="1" t="s">
        <v>2966</v>
      </c>
      <c r="K367" s="1">
        <v>583</v>
      </c>
      <c r="M367" s="1" t="s">
        <v>7</v>
      </c>
      <c r="N367" s="1" t="s">
        <v>3483</v>
      </c>
      <c r="O367" s="1" t="s">
        <v>3484</v>
      </c>
      <c r="P367" s="1" t="s">
        <v>9</v>
      </c>
      <c r="Q367" s="1">
        <v>0</v>
      </c>
      <c r="R367" s="1" t="s">
        <v>10</v>
      </c>
      <c r="S367" s="3" t="s">
        <v>3485</v>
      </c>
      <c r="T367" s="4">
        <v>691</v>
      </c>
      <c r="U367" s="4" t="s">
        <v>3486</v>
      </c>
      <c r="V367" s="5" t="s">
        <v>3487</v>
      </c>
      <c r="W367" s="4" t="s">
        <v>3488</v>
      </c>
      <c r="X367" s="5">
        <v>88</v>
      </c>
      <c r="Y367" s="4">
        <f t="shared" ref="Y367" si="17">K367+V367-X367</f>
        <v>25061.599999999999</v>
      </c>
      <c r="AA367" s="1" t="s">
        <v>3489</v>
      </c>
      <c r="AC367" s="1" t="s">
        <v>43</v>
      </c>
      <c r="AD367" s="6">
        <v>46080</v>
      </c>
      <c r="AE367" s="6">
        <v>46167</v>
      </c>
      <c r="AF367" s="1" t="s">
        <v>16</v>
      </c>
    </row>
    <row r="368" spans="1:32" ht="17.399999999999999" x14ac:dyDescent="0.4">
      <c r="A368">
        <v>863</v>
      </c>
      <c r="B368" s="8">
        <v>46154.423969907402</v>
      </c>
      <c r="C368" s="9" t="s">
        <v>3491</v>
      </c>
      <c r="D368" s="9" t="s">
        <v>3492</v>
      </c>
      <c r="E368" s="10" t="s">
        <v>3493</v>
      </c>
      <c r="F368" s="35" t="s">
        <v>3494</v>
      </c>
      <c r="G368" s="9" t="s">
        <v>17</v>
      </c>
      <c r="H368" s="9" t="s">
        <v>3495</v>
      </c>
      <c r="I368" s="9" t="s">
        <v>3478</v>
      </c>
      <c r="J368" s="9" t="s">
        <v>3478</v>
      </c>
      <c r="K368" s="1">
        <v>787</v>
      </c>
      <c r="M368" s="9" t="s">
        <v>3496</v>
      </c>
      <c r="N368" s="10" t="s">
        <v>3497</v>
      </c>
      <c r="O368" s="9" t="s">
        <v>3498</v>
      </c>
      <c r="P368" s="9" t="s">
        <v>9</v>
      </c>
      <c r="Q368" s="10"/>
      <c r="R368" s="9" t="s">
        <v>10</v>
      </c>
      <c r="S368" s="1"/>
      <c r="T368" s="1"/>
      <c r="U368" s="10" t="s">
        <v>23</v>
      </c>
      <c r="V368" s="10" t="s">
        <v>3499</v>
      </c>
      <c r="W368" s="10" t="s">
        <v>3500</v>
      </c>
      <c r="X368" s="1"/>
      <c r="Y368" s="10"/>
      <c r="Z368" s="10"/>
      <c r="AA368" s="9" t="s">
        <v>3501</v>
      </c>
      <c r="AB368" s="9"/>
      <c r="AC368" s="10" t="s">
        <v>15</v>
      </c>
      <c r="AD368" s="10" t="s">
        <v>203</v>
      </c>
      <c r="AE368" s="9" t="s">
        <v>3459</v>
      </c>
      <c r="AF368" s="1" t="s">
        <v>16</v>
      </c>
    </row>
    <row r="369" spans="1:32" x14ac:dyDescent="0.3">
      <c r="A369" s="1">
        <v>757</v>
      </c>
      <c r="B369" s="2">
        <v>46080.209016203698</v>
      </c>
      <c r="C369" s="1" t="s">
        <v>3502</v>
      </c>
      <c r="D369" s="1" t="s">
        <v>3503</v>
      </c>
      <c r="E369" s="25" t="s">
        <v>3504</v>
      </c>
      <c r="F369" s="1" t="s">
        <v>3505</v>
      </c>
      <c r="G369" s="3" t="s">
        <v>4</v>
      </c>
      <c r="H369" s="3" t="s">
        <v>1334</v>
      </c>
      <c r="I369" s="3" t="s">
        <v>2462</v>
      </c>
      <c r="J369" s="11" t="s">
        <v>2462</v>
      </c>
      <c r="K369" s="1">
        <v>755</v>
      </c>
      <c r="L369" s="1">
        <v>1</v>
      </c>
      <c r="M369" s="3" t="s">
        <v>20</v>
      </c>
      <c r="N369" s="3" t="s">
        <v>3506</v>
      </c>
      <c r="O369" s="3" t="s">
        <v>3507</v>
      </c>
      <c r="P369" s="7" t="s">
        <v>3508</v>
      </c>
      <c r="Q369" s="3" t="s">
        <v>3509</v>
      </c>
      <c r="R369" s="3" t="s">
        <v>9</v>
      </c>
      <c r="S369" s="7" t="s">
        <v>3510</v>
      </c>
      <c r="T369" s="1">
        <v>350</v>
      </c>
      <c r="U369" s="7" t="s">
        <v>3490</v>
      </c>
      <c r="V369" s="1">
        <v>600</v>
      </c>
      <c r="W369" s="7" t="s">
        <v>518</v>
      </c>
      <c r="X369" s="1">
        <v>200</v>
      </c>
      <c r="Y369" s="4">
        <f t="shared" ref="Y369:Y371" si="18">K369+V369-X369</f>
        <v>1155</v>
      </c>
      <c r="Z369" s="4">
        <f>K369</f>
        <v>755</v>
      </c>
      <c r="AA369" s="3" t="s">
        <v>3511</v>
      </c>
      <c r="AB369" s="1" t="s">
        <v>56</v>
      </c>
      <c r="AC369" s="1" t="s">
        <v>15</v>
      </c>
      <c r="AD369" s="6">
        <v>46098</v>
      </c>
      <c r="AE369" s="6">
        <v>46168</v>
      </c>
      <c r="AF369" s="1" t="s">
        <v>16</v>
      </c>
    </row>
    <row r="370" spans="1:32" x14ac:dyDescent="0.3">
      <c r="A370" s="18">
        <v>534</v>
      </c>
      <c r="B370" s="19">
        <v>46022.803842592599</v>
      </c>
      <c r="C370" s="20" t="s">
        <v>1653</v>
      </c>
      <c r="D370" s="20" t="s">
        <v>3512</v>
      </c>
      <c r="E370" s="20" t="s">
        <v>3513</v>
      </c>
      <c r="F370" s="20" t="s">
        <v>3514</v>
      </c>
      <c r="G370" s="20" t="s">
        <v>4</v>
      </c>
      <c r="H370" s="20" t="s">
        <v>71</v>
      </c>
      <c r="I370" s="20" t="s">
        <v>2701</v>
      </c>
      <c r="J370" s="20" t="s">
        <v>2701</v>
      </c>
      <c r="K370" s="1">
        <v>319</v>
      </c>
      <c r="M370" s="20" t="s">
        <v>20</v>
      </c>
      <c r="N370" s="20" t="s">
        <v>1091</v>
      </c>
      <c r="O370" s="20" t="s">
        <v>213</v>
      </c>
      <c r="P370" s="20" t="s">
        <v>9</v>
      </c>
      <c r="Q370" s="20">
        <v>0</v>
      </c>
      <c r="R370" s="20" t="s">
        <v>10</v>
      </c>
      <c r="S370" s="3" t="s">
        <v>504</v>
      </c>
      <c r="T370" s="4">
        <v>640</v>
      </c>
      <c r="U370" s="22" t="s">
        <v>166</v>
      </c>
      <c r="V370" s="24">
        <v>2500</v>
      </c>
      <c r="W370" s="22" t="s">
        <v>400</v>
      </c>
      <c r="X370" s="5">
        <v>200</v>
      </c>
      <c r="Y370" s="22">
        <f t="shared" si="18"/>
        <v>2619</v>
      </c>
      <c r="Z370" s="20">
        <v>319</v>
      </c>
      <c r="AA370" s="20" t="s">
        <v>3515</v>
      </c>
      <c r="AB370" s="20"/>
      <c r="AC370" s="20" t="s">
        <v>15</v>
      </c>
      <c r="AD370" s="36">
        <v>46080</v>
      </c>
      <c r="AE370" s="36">
        <v>46168</v>
      </c>
      <c r="AF370" s="1" t="s">
        <v>16</v>
      </c>
    </row>
    <row r="371" spans="1:32" x14ac:dyDescent="0.3">
      <c r="A371" s="18">
        <v>638</v>
      </c>
      <c r="B371" s="19">
        <v>46045.544675925899</v>
      </c>
      <c r="C371" s="20" t="s">
        <v>3516</v>
      </c>
      <c r="D371" s="20" t="s">
        <v>3517</v>
      </c>
      <c r="E371" s="20" t="s">
        <v>3518</v>
      </c>
      <c r="F371" s="20" t="s">
        <v>3519</v>
      </c>
      <c r="G371" s="20" t="s">
        <v>4</v>
      </c>
      <c r="H371" s="20" t="s">
        <v>47</v>
      </c>
      <c r="I371" s="20" t="s">
        <v>3193</v>
      </c>
      <c r="J371" s="20" t="s">
        <v>3193</v>
      </c>
      <c r="K371" s="1">
        <v>814</v>
      </c>
      <c r="L371" s="1">
        <v>3</v>
      </c>
      <c r="M371" s="20" t="s">
        <v>49</v>
      </c>
      <c r="N371" s="20" t="s">
        <v>3520</v>
      </c>
      <c r="O371" s="20" t="s">
        <v>3521</v>
      </c>
      <c r="P371" s="20" t="s">
        <v>9</v>
      </c>
      <c r="Q371" s="20">
        <v>0</v>
      </c>
      <c r="R371" s="20" t="s">
        <v>9</v>
      </c>
      <c r="S371" s="3" t="s">
        <v>253</v>
      </c>
      <c r="T371" s="4">
        <v>755</v>
      </c>
      <c r="U371" s="22" t="s">
        <v>1995</v>
      </c>
      <c r="V371" s="24">
        <v>1100</v>
      </c>
      <c r="W371" s="22" t="s">
        <v>75</v>
      </c>
      <c r="X371" s="5">
        <v>500</v>
      </c>
      <c r="Y371" s="22">
        <f t="shared" si="18"/>
        <v>1414</v>
      </c>
      <c r="Z371" s="22">
        <v>814</v>
      </c>
      <c r="AA371" s="20" t="s">
        <v>3522</v>
      </c>
      <c r="AB371" s="20"/>
      <c r="AC371" s="20" t="s">
        <v>15</v>
      </c>
      <c r="AD371" s="36">
        <v>46080</v>
      </c>
      <c r="AE371" s="36">
        <v>46168</v>
      </c>
      <c r="AF371" s="1" t="s">
        <v>16</v>
      </c>
    </row>
    <row r="372" spans="1:32" x14ac:dyDescent="0.3">
      <c r="A372" s="18">
        <v>873</v>
      </c>
      <c r="B372" s="19">
        <v>46160.453541666699</v>
      </c>
      <c r="C372" s="20" t="s">
        <v>3524</v>
      </c>
      <c r="D372" s="20" t="s">
        <v>3525</v>
      </c>
      <c r="E372" s="20" t="s">
        <v>3526</v>
      </c>
      <c r="F372" s="20" t="s">
        <v>3527</v>
      </c>
      <c r="G372" s="20" t="s">
        <v>4</v>
      </c>
      <c r="H372" s="20" t="s">
        <v>71</v>
      </c>
      <c r="I372" s="20" t="s">
        <v>2747</v>
      </c>
      <c r="J372" s="20"/>
      <c r="K372" s="20">
        <v>407</v>
      </c>
      <c r="L372" s="20" t="s">
        <v>3528</v>
      </c>
      <c r="M372" s="20" t="s">
        <v>3529</v>
      </c>
      <c r="N372" s="20" t="s">
        <v>474</v>
      </c>
      <c r="O372" s="20" t="s">
        <v>3530</v>
      </c>
      <c r="P372" s="21" t="s">
        <v>9</v>
      </c>
      <c r="Q372" s="22"/>
      <c r="R372" s="22" t="s">
        <v>9</v>
      </c>
      <c r="S372" s="24" t="s">
        <v>3419</v>
      </c>
      <c r="T372" s="22" t="s">
        <v>3531</v>
      </c>
      <c r="U372" s="24" t="s">
        <v>3532</v>
      </c>
      <c r="V372" s="22" t="s">
        <v>3533</v>
      </c>
      <c r="W372" s="22"/>
      <c r="X372" s="20"/>
      <c r="Y372" s="20"/>
      <c r="Z372" s="20"/>
      <c r="AA372" s="20"/>
      <c r="AB372" s="20"/>
      <c r="AC372" s="20" t="s">
        <v>15</v>
      </c>
      <c r="AD372" s="36">
        <v>46162</v>
      </c>
      <c r="AE372" s="36">
        <v>46167</v>
      </c>
      <c r="AF372" s="1" t="s">
        <v>16</v>
      </c>
    </row>
    <row r="373" spans="1:32" ht="17.399999999999999" x14ac:dyDescent="0.4">
      <c r="A373" s="38">
        <v>849</v>
      </c>
      <c r="B373" s="39">
        <v>46143.580474536997</v>
      </c>
      <c r="C373" s="37" t="s">
        <v>3534</v>
      </c>
      <c r="D373" s="37" t="s">
        <v>3535</v>
      </c>
      <c r="E373" s="40" t="s">
        <v>3536</v>
      </c>
      <c r="F373" s="41" t="s">
        <v>3537</v>
      </c>
      <c r="G373" s="37" t="s">
        <v>4</v>
      </c>
      <c r="H373" s="37" t="s">
        <v>71</v>
      </c>
      <c r="I373" s="37" t="s">
        <v>1974</v>
      </c>
      <c r="J373" s="37"/>
      <c r="K373" s="37" t="s">
        <v>7</v>
      </c>
      <c r="L373" s="37" t="s">
        <v>3538</v>
      </c>
      <c r="M373" s="37" t="s">
        <v>3539</v>
      </c>
      <c r="N373" s="40" t="s">
        <v>3540</v>
      </c>
      <c r="O373" s="37" t="s">
        <v>3541</v>
      </c>
      <c r="P373" s="37" t="s">
        <v>9</v>
      </c>
      <c r="Q373" s="37"/>
      <c r="R373" s="37" t="s">
        <v>9</v>
      </c>
      <c r="S373" s="40" t="s">
        <v>3523</v>
      </c>
      <c r="T373" s="40" t="s">
        <v>3542</v>
      </c>
      <c r="U373" s="40" t="s">
        <v>103</v>
      </c>
      <c r="V373" s="37" t="s">
        <v>3543</v>
      </c>
      <c r="W373" s="37" t="s">
        <v>3544</v>
      </c>
      <c r="X373" s="40" t="s">
        <v>3545</v>
      </c>
      <c r="Y373" s="40" t="s">
        <v>3546</v>
      </c>
      <c r="Z373" s="40" t="s">
        <v>2965</v>
      </c>
      <c r="AA373" s="37" t="s">
        <v>3547</v>
      </c>
      <c r="AB373" s="37" t="s">
        <v>3545</v>
      </c>
      <c r="AC373" s="40" t="s">
        <v>15</v>
      </c>
      <c r="AD373" s="40"/>
      <c r="AE373" s="37" t="s">
        <v>3477</v>
      </c>
      <c r="AF373" s="1" t="s">
        <v>16</v>
      </c>
    </row>
    <row r="374" spans="1:32" customFormat="1" ht="17.399999999999999" x14ac:dyDescent="0.4">
      <c r="A374">
        <v>879</v>
      </c>
      <c r="B374" s="8">
        <v>46167.311585648102</v>
      </c>
      <c r="C374" s="9" t="s">
        <v>3548</v>
      </c>
      <c r="D374" s="9" t="s">
        <v>3549</v>
      </c>
      <c r="E374" s="10" t="s">
        <v>3550</v>
      </c>
      <c r="F374" s="42" t="s">
        <v>3551</v>
      </c>
      <c r="G374" s="9" t="s">
        <v>4</v>
      </c>
      <c r="H374" s="9" t="s">
        <v>47</v>
      </c>
      <c r="I374" s="9" t="s">
        <v>123</v>
      </c>
      <c r="J374" s="9" t="s">
        <v>123</v>
      </c>
      <c r="K374" s="9" t="s">
        <v>7</v>
      </c>
      <c r="L374" s="9" t="s">
        <v>3552</v>
      </c>
      <c r="M374" s="9" t="s">
        <v>3553</v>
      </c>
      <c r="N374" s="10" t="s">
        <v>3554</v>
      </c>
      <c r="O374" s="9" t="s">
        <v>3555</v>
      </c>
      <c r="P374" s="9" t="s">
        <v>9</v>
      </c>
      <c r="Q374" s="10"/>
      <c r="R374" s="9" t="s">
        <v>9</v>
      </c>
      <c r="S374" s="10" t="s">
        <v>155</v>
      </c>
      <c r="T374" s="10" t="s">
        <v>3556</v>
      </c>
      <c r="U374" s="10" t="s">
        <v>483</v>
      </c>
      <c r="V374" s="5"/>
      <c r="W374" s="9"/>
      <c r="X374" s="10"/>
      <c r="Y374" s="10"/>
      <c r="Z374" s="10"/>
      <c r="AA374" s="9" t="s">
        <v>3557</v>
      </c>
      <c r="AB374" s="9"/>
      <c r="AC374" s="10" t="s">
        <v>15</v>
      </c>
      <c r="AD374" s="10" t="s">
        <v>3160</v>
      </c>
      <c r="AE374" s="9" t="s">
        <v>3558</v>
      </c>
      <c r="AF374" s="1" t="s">
        <v>16</v>
      </c>
    </row>
    <row r="375" spans="1:32" customFormat="1" ht="17.399999999999999" x14ac:dyDescent="0.4">
      <c r="A375">
        <v>880</v>
      </c>
      <c r="B375" s="8">
        <v>46167.477662037003</v>
      </c>
      <c r="C375" s="9" t="s">
        <v>3559</v>
      </c>
      <c r="D375" s="9" t="s">
        <v>3560</v>
      </c>
      <c r="E375" s="10" t="s">
        <v>3561</v>
      </c>
      <c r="F375" s="42" t="s">
        <v>3562</v>
      </c>
      <c r="G375" s="9" t="s">
        <v>17</v>
      </c>
      <c r="H375" s="9" t="s">
        <v>47</v>
      </c>
      <c r="I375" s="9" t="s">
        <v>123</v>
      </c>
      <c r="J375" s="9"/>
      <c r="K375" s="9" t="s">
        <v>7</v>
      </c>
      <c r="L375" s="9" t="s">
        <v>3563</v>
      </c>
      <c r="M375" s="9" t="s">
        <v>3553</v>
      </c>
      <c r="N375" s="10" t="s">
        <v>3564</v>
      </c>
      <c r="O375" s="9" t="s">
        <v>3565</v>
      </c>
      <c r="P375" s="9" t="s">
        <v>9</v>
      </c>
      <c r="Q375" s="10"/>
      <c r="R375" s="9" t="s">
        <v>9</v>
      </c>
      <c r="S375" s="10" t="s">
        <v>155</v>
      </c>
      <c r="T375" s="10" t="s">
        <v>3556</v>
      </c>
      <c r="U375" s="10" t="s">
        <v>866</v>
      </c>
      <c r="V375" s="5"/>
      <c r="W375" s="9"/>
      <c r="X375" s="10"/>
      <c r="Y375" s="10"/>
      <c r="Z375" s="10"/>
      <c r="AA375" s="9" t="s">
        <v>3566</v>
      </c>
      <c r="AB375" s="9"/>
      <c r="AC375" s="10" t="s">
        <v>15</v>
      </c>
      <c r="AD375" s="10" t="s">
        <v>3160</v>
      </c>
      <c r="AE375" s="9" t="s">
        <v>3558</v>
      </c>
      <c r="AF375" s="1" t="s">
        <v>16</v>
      </c>
    </row>
  </sheetData>
  <phoneticPr fontId="1" type="noConversion"/>
  <conditionalFormatting sqref="F1:F369">
    <cfRule type="duplicateValues" dxfId="7" priority="232"/>
  </conditionalFormatting>
  <conditionalFormatting sqref="F368:F369">
    <cfRule type="duplicateValues" dxfId="6" priority="34"/>
  </conditionalFormatting>
  <conditionalFormatting sqref="F370">
    <cfRule type="duplicateValues" dxfId="5" priority="10"/>
  </conditionalFormatting>
  <conditionalFormatting sqref="F371">
    <cfRule type="duplicateValues" dxfId="4" priority="8"/>
  </conditionalFormatting>
  <conditionalFormatting sqref="F372">
    <cfRule type="duplicateValues" dxfId="3" priority="4"/>
  </conditionalFormatting>
  <conditionalFormatting sqref="F373">
    <cfRule type="duplicateValues" dxfId="2" priority="3"/>
  </conditionalFormatting>
  <conditionalFormatting sqref="F374:F375">
    <cfRule type="duplicateValues" dxfId="1" priority="23"/>
  </conditionalFormatting>
  <conditionalFormatting sqref="R1:R66 R68:R103 R106 R108:R109 R111:R115 R119:R195 R197:R200 R202:R209 R212:R367">
    <cfRule type="containsText" dxfId="0" priority="17" operator="containsText" text="and">
      <formula>NOT(ISERROR(SEARCH("and",R1)))</formula>
    </cfRule>
  </conditionalFormatting>
  <hyperlinks>
    <hyperlink ref="F4" r:id="rId1" display="mailto:samfabio@gmail.com" xr:uid="{D2DA7EB8-E920-4506-92AE-3F1646655A60}"/>
    <hyperlink ref="F223" r:id="rId2" xr:uid="{2CEEC3DC-3106-48DA-98C0-062C28EF667E}"/>
    <hyperlink ref="F309" r:id="rId3" xr:uid="{7B555B30-8FF1-42EC-9AA8-393D11510A17}"/>
    <hyperlink ref="F160" r:id="rId4" xr:uid="{A395B249-2F58-43D6-A43A-7A26863CFB9E}"/>
    <hyperlink ref="F103" r:id="rId5" xr:uid="{3DAA2B04-54D4-4845-8DD0-B716E16186EC}"/>
    <hyperlink ref="F209" r:id="rId6" xr:uid="{25774BBD-3048-4DA3-A17A-B0726590495C}"/>
    <hyperlink ref="F210" r:id="rId7" xr:uid="{EB8BD197-4F17-4705-B013-F883EB506FB3}"/>
    <hyperlink ref="F351" r:id="rId8" xr:uid="{AB2840BA-21BC-4D39-883A-9B25C542721D}"/>
    <hyperlink ref="F143" r:id="rId9" xr:uid="{A8DB46DD-872F-4882-9534-F05A4F3A46D9}"/>
    <hyperlink ref="F142" r:id="rId10" xr:uid="{BB5E47BD-8DD0-424D-925E-0C17AC1AA670}"/>
    <hyperlink ref="F17" r:id="rId11" xr:uid="{51F45F47-B7A6-4D85-A72E-116768BFBE6E}"/>
    <hyperlink ref="F97" r:id="rId12" xr:uid="{821BC2AF-AC30-4D00-AA5A-8D0E11987F18}"/>
    <hyperlink ref="F346" r:id="rId13" xr:uid="{D8D6A6A7-3148-4B88-B146-2A3867425DF8}"/>
  </hyperlinks>
  <pageMargins left="0.7" right="0.7" top="0.75" bottom="0.75" header="0.3" footer="0.3"/>
  <pageSetup orientation="portrait" horizontalDpi="1200" verticalDpi="1200"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edited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 유정</dc:creator>
  <cp:lastModifiedBy>이 유정</cp:lastModifiedBy>
  <dcterms:created xsi:type="dcterms:W3CDTF">2026-05-28T11:43:45Z</dcterms:created>
  <dcterms:modified xsi:type="dcterms:W3CDTF">2026-05-29T03:08:45Z</dcterms:modified>
</cp:coreProperties>
</file>
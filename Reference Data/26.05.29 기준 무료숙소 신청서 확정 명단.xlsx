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jeung.kim\Desktop\Claude\Project_B\20260601_Accomodation Planning\"/>
    </mc:Choice>
  </mc:AlternateContent>
  <xr:revisionPtr revIDLastSave="0" documentId="13_ncr:1_{FE70BED7-1F89-4973-B4A9-F1F6F7370546}" xr6:coauthVersionLast="47" xr6:coauthVersionMax="47" xr10:uidLastSave="{00000000-0000-0000-0000-000000000000}"/>
  <bookViews>
    <workbookView xWindow="-3070" yWindow="-17290" windowWidth="21600" windowHeight="12650" activeTab="2" xr2:uid="{00000000-000D-0000-FFFF-FFFF00000000}"/>
  </bookViews>
  <sheets>
    <sheet name="World Bank Categories" sheetId="3" r:id="rId1"/>
    <sheet name="26.05.29 기준 전체 숙소 신청자 명단" sheetId="1" r:id="rId2"/>
    <sheet name="무료숙소확정전체명단" sheetId="4" r:id="rId3"/>
    <sheet name="가족단위명단" sheetId="6" r:id="rId4"/>
    <sheet name="개인 단위 명단" sheetId="7" r:id="rId5"/>
    <sheet name="노랑은 지난확정" sheetId="2" state="hidden" r:id="rId6"/>
  </sheets>
  <definedNames>
    <definedName name="_xlnm._FilterDatabase" localSheetId="1" hidden="1">'26.05.29 기준 전체 숙소 신청자 명단'!$A$4:$W$932</definedName>
    <definedName name="_xlnm._FilterDatabase" localSheetId="3" hidden="1">가족단위명단!$A$8:$X$35</definedName>
    <definedName name="_xlnm._FilterDatabase" localSheetId="4" hidden="1">'개인 단위 명단'!$A$4:$W$554</definedName>
    <definedName name="_xlnm._FilterDatabase" localSheetId="2" hidden="1">무료숙소확정전체명단!$A$4:$W$580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6" l="1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I554" i="7"/>
  <c r="I553" i="7"/>
  <c r="I552" i="7"/>
  <c r="I551" i="7"/>
  <c r="I550" i="7"/>
  <c r="I548" i="7"/>
  <c r="I547" i="7"/>
  <c r="I546" i="7"/>
  <c r="I545" i="7"/>
  <c r="I544" i="7"/>
  <c r="I543" i="7"/>
  <c r="I542" i="7"/>
  <c r="I541" i="7"/>
  <c r="I540" i="7"/>
  <c r="I539" i="7"/>
  <c r="I538" i="7"/>
  <c r="I537" i="7"/>
  <c r="I536" i="7"/>
  <c r="I535" i="7"/>
  <c r="I534" i="7"/>
  <c r="I533" i="7"/>
  <c r="I532" i="7"/>
  <c r="I531" i="7"/>
  <c r="I530" i="7"/>
  <c r="I529" i="7"/>
  <c r="I528" i="7"/>
  <c r="I527" i="7"/>
  <c r="I526" i="7"/>
  <c r="I525" i="7"/>
  <c r="I524" i="7"/>
  <c r="I523" i="7"/>
  <c r="I522" i="7"/>
  <c r="I521" i="7"/>
  <c r="I520" i="7"/>
  <c r="I519" i="7"/>
  <c r="I518" i="7"/>
  <c r="I517" i="7"/>
  <c r="I515" i="7"/>
  <c r="I514" i="7"/>
  <c r="I513" i="7"/>
  <c r="I512" i="7"/>
  <c r="I511" i="7"/>
  <c r="I510" i="7"/>
  <c r="I509" i="7"/>
  <c r="I508" i="7"/>
  <c r="I507" i="7"/>
  <c r="I506" i="7"/>
  <c r="I505" i="7"/>
  <c r="I504" i="7"/>
  <c r="I503" i="7"/>
  <c r="I502" i="7"/>
  <c r="I501" i="7"/>
  <c r="I500" i="7"/>
  <c r="I499" i="7"/>
  <c r="I498" i="7"/>
  <c r="I497" i="7"/>
  <c r="I496" i="7"/>
  <c r="I495" i="7"/>
  <c r="I494" i="7"/>
  <c r="I493" i="7"/>
  <c r="I492" i="7"/>
  <c r="I491" i="7"/>
  <c r="I490" i="7"/>
  <c r="I489" i="7"/>
  <c r="I488" i="7"/>
  <c r="I487" i="7"/>
  <c r="I486" i="7"/>
  <c r="I485" i="7"/>
  <c r="I484" i="7"/>
  <c r="I483" i="7"/>
  <c r="I482" i="7"/>
  <c r="I481" i="7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60" i="7"/>
  <c r="I459" i="7"/>
  <c r="I458" i="7"/>
  <c r="I457" i="7"/>
  <c r="I456" i="7"/>
  <c r="I455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7" i="7"/>
  <c r="I376" i="7"/>
  <c r="I375" i="7"/>
  <c r="I374" i="7"/>
  <c r="I373" i="7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J2" i="7"/>
  <c r="G2" i="7"/>
  <c r="D2" i="7"/>
  <c r="A2" i="7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580" i="4"/>
  <c r="I579" i="4"/>
  <c r="I578" i="4"/>
  <c r="I577" i="4"/>
  <c r="I576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J2" i="4"/>
  <c r="G2" i="4"/>
  <c r="D2" i="4"/>
  <c r="A2" i="4"/>
  <c r="J2" i="1"/>
  <c r="G2" i="1"/>
  <c r="D2" i="1"/>
  <c r="A2" i="1"/>
  <c r="I932" i="1"/>
  <c r="I931" i="1"/>
  <c r="I930" i="1"/>
  <c r="I929" i="1"/>
  <c r="I928" i="1"/>
  <c r="I927" i="1"/>
  <c r="I926" i="1"/>
  <c r="I925" i="1"/>
  <c r="I924" i="1"/>
  <c r="I923" i="1"/>
  <c r="I922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2" i="1"/>
  <c r="I871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E4" i="6" l="1"/>
  <c r="E3" i="6" s="1"/>
  <c r="A4" i="6"/>
  <c r="B4" i="6"/>
  <c r="B3" i="6" s="1"/>
  <c r="C4" i="6"/>
  <c r="C3" i="6" s="1"/>
  <c r="D4" i="6"/>
  <c r="D3" i="6" s="1"/>
  <c r="F4" i="6" l="1"/>
  <c r="A6" i="6" s="1"/>
  <c r="A3" i="6"/>
  <c r="F3" i="6" s="1"/>
</calcChain>
</file>

<file path=xl/sharedStrings.xml><?xml version="1.0" encoding="utf-8"?>
<sst xmlns="http://schemas.openxmlformats.org/spreadsheetml/2006/main" count="43156" uniqueCount="4598">
  <si>
    <t>Timestamp</t>
  </si>
  <si>
    <t>1. Name
As it appears on your passport</t>
  </si>
  <si>
    <t>2. Name (Korean):</t>
  </si>
  <si>
    <t xml:space="preserve">3. Gender:  </t>
  </si>
  <si>
    <t>4.  Date of Birth: (MM-DD-YYYY)</t>
  </si>
  <si>
    <t>5. Nationality
As it appears on your passport</t>
  </si>
  <si>
    <t>6. Affiliation
School/Institution/Organization Name</t>
  </si>
  <si>
    <t>7. Title/Position</t>
  </si>
  <si>
    <t>8. World Bank Category
Found on your Registration Tab</t>
  </si>
  <si>
    <t>9. Email Address
Must be the same email used for registration</t>
  </si>
  <si>
    <t>10. ICMDA Event You Plan to Attend</t>
  </si>
  <si>
    <t>11. Free Accommodation Request Dates</t>
  </si>
  <si>
    <t>12.   Accompanying Family Member(s)(Name/Gender/Relationship):
Are you bringing family member(s)? If yes, please indicate how many will accompany you and provide their name, gender, and relationship
(ex: 1, John Doe, male, husband, John_D@gmail.com)</t>
  </si>
  <si>
    <t>동반자 전체 요악</t>
  </si>
  <si>
    <t>본인 포함 총 인원(가족 단위 경우만)</t>
  </si>
  <si>
    <t xml:space="preserve">13. Consent for Personal Information Use
I hereby consent to the collection and use of the personal information provided above for the purpose of evaluating my application for ICMDA free accommodation and for related communications. </t>
  </si>
  <si>
    <t>등록판정</t>
  </si>
  <si>
    <t>Paid</t>
  </si>
  <si>
    <t>매칭된 godsends 이름</t>
  </si>
  <si>
    <t>매칭된 godsends 생년월일</t>
  </si>
  <si>
    <t>매칭된 godsends 이메일</t>
  </si>
  <si>
    <t>판정 근거</t>
  </si>
  <si>
    <t>Column 1</t>
  </si>
  <si>
    <t>Elisa Mabel Galeano Gamarra</t>
  </si>
  <si>
    <t>Female</t>
  </si>
  <si>
    <t>Paraguay</t>
  </si>
  <si>
    <t>in the process of having an association in Paraguay</t>
  </si>
  <si>
    <t xml:space="preserve">doctor </t>
  </si>
  <si>
    <t>elisamedoficial@gmail.com</t>
  </si>
  <si>
    <t>Pre-Conference + Main Congress</t>
  </si>
  <si>
    <t>June 29, June 30, July 1, July 2, July 3, July 4</t>
  </si>
  <si>
    <t>Agree</t>
  </si>
  <si>
    <t>등록</t>
  </si>
  <si>
    <t>bursary</t>
  </si>
  <si>
    <t>NZAME Yolande</t>
  </si>
  <si>
    <t>Gabon</t>
  </si>
  <si>
    <t xml:space="preserve">Gabon Medical Chrétien </t>
  </si>
  <si>
    <t xml:space="preserve">Membre </t>
  </si>
  <si>
    <t>yolandenzame@gmail.com</t>
  </si>
  <si>
    <t>Main Congress Only</t>
  </si>
  <si>
    <t xml:space="preserve">Rebecca, féminin, fille, vierin.rebecca@hotmail.fr
</t>
  </si>
  <si>
    <t xml:space="preserve">Rebecca [딸] </t>
  </si>
  <si>
    <t>2명/ (자녀 1명)</t>
  </si>
  <si>
    <t>paid</t>
  </si>
  <si>
    <t xml:space="preserve">KALIBBALA EMMANUEL </t>
  </si>
  <si>
    <t>Male</t>
  </si>
  <si>
    <t>UGANDA</t>
  </si>
  <si>
    <t xml:space="preserve">Gulu University </t>
  </si>
  <si>
    <t>Mr.</t>
  </si>
  <si>
    <t>kalex122001@gmail.com</t>
  </si>
  <si>
    <t>KALIBBALA EMMANUEL</t>
  </si>
  <si>
    <t>Edwin Njore Irungu</t>
  </si>
  <si>
    <t>Kenya</t>
  </si>
  <si>
    <t>PCEA Kikuyu Hospital</t>
  </si>
  <si>
    <t>Mr</t>
  </si>
  <si>
    <t>irunguedwin8@gmail.com</t>
  </si>
  <si>
    <t>미등록</t>
  </si>
  <si>
    <t>Blessings  Dendere</t>
  </si>
  <si>
    <t>Zimbabwe</t>
  </si>
  <si>
    <t xml:space="preserve">Christian  Medical Fellowship </t>
  </si>
  <si>
    <t xml:space="preserve">Doctor  </t>
  </si>
  <si>
    <t>blessingszd@gmail.com</t>
  </si>
  <si>
    <t>Blessings Dendere</t>
  </si>
  <si>
    <t>Ilivieda Omamezi Annah</t>
  </si>
  <si>
    <t>Nigeria</t>
  </si>
  <si>
    <t>University of Ilorin</t>
  </si>
  <si>
    <t>Student</t>
  </si>
  <si>
    <t>omasax94@gmail.com</t>
  </si>
  <si>
    <t>Student Conference + Main Congress</t>
  </si>
  <si>
    <t>AGNESS SAIMON KASWAGA</t>
  </si>
  <si>
    <t>Tanzania</t>
  </si>
  <si>
    <t>KCMC</t>
  </si>
  <si>
    <t>MEDICAL DOCTOR</t>
  </si>
  <si>
    <t>Saimonagness58@gmail.com</t>
  </si>
  <si>
    <t>AGNESS S KASWAGA</t>
  </si>
  <si>
    <t>이메일 일치, 이름 유사도 93</t>
  </si>
  <si>
    <t>Virginia Baraza Dangi</t>
  </si>
  <si>
    <t>KCMC University</t>
  </si>
  <si>
    <t>vibaseche23@gmail.com</t>
  </si>
  <si>
    <t>Vibaseche23@gmail.com</t>
  </si>
  <si>
    <t>생년월일 일치, 이메일 일치, 이름 완전일치</t>
  </si>
  <si>
    <t>Muhumuza Ndamage Stephen</t>
  </si>
  <si>
    <t>Not Korean</t>
  </si>
  <si>
    <t>Rwanda</t>
  </si>
  <si>
    <t>Rwanda Christian Medical and Dental Organization</t>
  </si>
  <si>
    <t>Head of Rwanda Christian Medical and a Dental Organization</t>
  </si>
  <si>
    <t>stephen20130@gmail.com</t>
  </si>
  <si>
    <t>Modestin Nahimana</t>
  </si>
  <si>
    <t>Burundi</t>
  </si>
  <si>
    <t>Christian Medical Student Fellowship in Rwanda</t>
  </si>
  <si>
    <t>Member</t>
  </si>
  <si>
    <t>modestin.nahimana@gmail.com</t>
  </si>
  <si>
    <t>UWIMANA Kevine</t>
  </si>
  <si>
    <t>Rwanda Christian medical and dental organization</t>
  </si>
  <si>
    <t>kevineuwimana01@gmail.com</t>
  </si>
  <si>
    <t>Uwimana Kevine</t>
  </si>
  <si>
    <t>Munezero Noella</t>
  </si>
  <si>
    <t>Rwanda christian medical and dental organization</t>
  </si>
  <si>
    <t>Medical Doctor</t>
  </si>
  <si>
    <t>Munono 25@gmail.com</t>
  </si>
  <si>
    <t>Munono25@gmail.com</t>
  </si>
  <si>
    <t>생년월일 일치, 이름 완전일치</t>
  </si>
  <si>
    <t>Uwizeyimana Marie Grace</t>
  </si>
  <si>
    <t>Umg</t>
  </si>
  <si>
    <t>NIYOKWIZERWA Moise</t>
  </si>
  <si>
    <t>Rwanda christian medical and dental organisation</t>
  </si>
  <si>
    <t>Student leader</t>
  </si>
  <si>
    <t>niyokwizerwamoise910@gmail.com</t>
  </si>
  <si>
    <t>Niyokwizerwa Moise</t>
  </si>
  <si>
    <t>NIYIREMA Olive</t>
  </si>
  <si>
    <t>Affiliation is RWanda Christian Medical and Dental Organization Not CMSF RWanda Christian Medical and Dental Organization</t>
  </si>
  <si>
    <t>Doctor</t>
  </si>
  <si>
    <t>olivenini2020@gmail.com</t>
  </si>
  <si>
    <t>Olive NIYIREMA</t>
  </si>
  <si>
    <t>이메일 일치, 이름 유사도 100, 이름 토큰 포함</t>
  </si>
  <si>
    <t>Tusahirwa innocent</t>
  </si>
  <si>
    <t>Rwanda chritian medical and dental organisation</t>
  </si>
  <si>
    <t>Student's leader</t>
  </si>
  <si>
    <t>tuzahirwainnocent@gmail.com</t>
  </si>
  <si>
    <t>ISHIMWE Jacques</t>
  </si>
  <si>
    <t>Rwanda Christian Medical and Dental organization</t>
  </si>
  <si>
    <t>asinathamukakarera@gmail.com</t>
  </si>
  <si>
    <t>Uwingabire Marie Solange</t>
  </si>
  <si>
    <t>University of Rwanda</t>
  </si>
  <si>
    <t>uwingabiresolange19@gmail.com</t>
  </si>
  <si>
    <t>Tobi Joyce Omonefe</t>
  </si>
  <si>
    <t>joycie1619@gmail.com</t>
  </si>
  <si>
    <t>Joyce Tobi</t>
  </si>
  <si>
    <t>joycie2124@gmail.com</t>
  </si>
  <si>
    <t>생년월일 일치, 이름 유사도 100, 이름 토큰 포함</t>
  </si>
  <si>
    <t>Patrick GISUBIZO</t>
  </si>
  <si>
    <t>gisubizopatrick095@gmail.com</t>
  </si>
  <si>
    <t>ABAYISENGA Stella</t>
  </si>
  <si>
    <t>stellabayisenga@gmail.com</t>
  </si>
  <si>
    <t xml:space="preserve">9, Stella,female, children, stellabayisenga@gmail.com
</t>
  </si>
  <si>
    <t xml:space="preserve">Stella [자녀] </t>
  </si>
  <si>
    <t>NGABOYUMWAMI Jean Paul</t>
  </si>
  <si>
    <t>Rwandan ID</t>
  </si>
  <si>
    <t>Medical Student</t>
  </si>
  <si>
    <t>jeanpaulngaboyumwami@gmail.com</t>
  </si>
  <si>
    <t>이메일 일치</t>
  </si>
  <si>
    <t>Mbonimpa James</t>
  </si>
  <si>
    <t>RCMDO ( Rwanda Christian Medical and Dental Organisation</t>
  </si>
  <si>
    <t>jamesmbonimpa904@gmail.com</t>
  </si>
  <si>
    <t>Nsanzimfura Pacifique</t>
  </si>
  <si>
    <t>nsanzimfurapacifique@gmail.com</t>
  </si>
  <si>
    <t>Jean d'Amour HABINSHUTI</t>
  </si>
  <si>
    <t>jdhabinshuti@gmail.com</t>
  </si>
  <si>
    <t>Umuhoza Marie Claire</t>
  </si>
  <si>
    <t>Public Hospital</t>
  </si>
  <si>
    <t>Junior Doctor</t>
  </si>
  <si>
    <t>umumariec1@gmail.com</t>
  </si>
  <si>
    <t>July 1, July 2, July 3, July 4</t>
  </si>
  <si>
    <t>Marie Claire Umuhoza</t>
  </si>
  <si>
    <t>생년월일 일치, 이메일 일치, 이름 유사도 100, 이름 토큰 포함</t>
  </si>
  <si>
    <t>MAOMBI Melanie</t>
  </si>
  <si>
    <t>Resident</t>
  </si>
  <si>
    <t>melaniemaombi@gmail.com</t>
  </si>
  <si>
    <t>1, BITEGETSIMANA GEDEON, male, husband</t>
  </si>
  <si>
    <t>Donath SINABUBARAGA</t>
  </si>
  <si>
    <t>student</t>
  </si>
  <si>
    <t>dosinabubaraga@gmail.com</t>
  </si>
  <si>
    <t>June 30, July 1, July 2, July 3, July 4</t>
  </si>
  <si>
    <t>Ruvimbo Mutize</t>
  </si>
  <si>
    <t>National University of Science and Technology (NUST)</t>
  </si>
  <si>
    <t>mutizer28@gmail.com</t>
  </si>
  <si>
    <t>INGABIRE Emeline</t>
  </si>
  <si>
    <t>Rwanda Christian Medical and Dental Organisation</t>
  </si>
  <si>
    <t>emelinerda@gmail.com</t>
  </si>
  <si>
    <t>Unkwiye hertier</t>
  </si>
  <si>
    <t>Rwanda Christian Medical and Dental Organization (RCMDO)</t>
  </si>
  <si>
    <t>President of Chritian medical student fellowship -Remera chapter</t>
  </si>
  <si>
    <t>hertierunkwiye1@gmail.com</t>
  </si>
  <si>
    <t>BANA Keys Pamela</t>
  </si>
  <si>
    <t>Pamla Keys BANA</t>
  </si>
  <si>
    <t>Rwanda Christian Medical and dental Organization</t>
  </si>
  <si>
    <t>kpamela210@gmail.com</t>
  </si>
  <si>
    <t>MUTABARUKA John</t>
  </si>
  <si>
    <t>Rwanda Christian Medical and Dental Organization.</t>
  </si>
  <si>
    <t>Student Leader</t>
  </si>
  <si>
    <t>mutabarukajohn250@gmail.com</t>
  </si>
  <si>
    <t>KILACH CAROLE JESANG</t>
  </si>
  <si>
    <t>CHRISTIAN MEDICAL FELLOWSHIP- KENYA</t>
  </si>
  <si>
    <t>Dr/Miss/ Regional Leader</t>
  </si>
  <si>
    <t>carolejesang@gmail.com</t>
  </si>
  <si>
    <t>Mugeni Adeline</t>
  </si>
  <si>
    <t>Dr</t>
  </si>
  <si>
    <t>mugenia23@gmail.com</t>
  </si>
  <si>
    <t>Adeline Mugeni</t>
  </si>
  <si>
    <t>KANANGA Wilson</t>
  </si>
  <si>
    <t>Nyamata level two Teaching Hospital</t>
  </si>
  <si>
    <t>Intern Doctor</t>
  </si>
  <si>
    <t>kanawilson01@gmail.com</t>
  </si>
  <si>
    <t>BUTOYI Alphonse</t>
  </si>
  <si>
    <t>Legacy Clinics</t>
  </si>
  <si>
    <t>Senior consultant Obstetrician &amp;Gyneacologist</t>
  </si>
  <si>
    <t>alphonse.butoyi@doctor.com</t>
  </si>
  <si>
    <t>Aline Garcia Pereira</t>
  </si>
  <si>
    <t>Brazil</t>
  </si>
  <si>
    <t>Uniasselvi (University)/ MDC -Medicos de Cristo</t>
  </si>
  <si>
    <t>I am student of Health Management (graduation). But I am also PHD</t>
  </si>
  <si>
    <t>alinegpereira1@gmail.com</t>
  </si>
  <si>
    <t>Aida Olinda Lizano Alarcón</t>
  </si>
  <si>
    <t>Peru</t>
  </si>
  <si>
    <t xml:space="preserve">Asociacion Cristiana de Profesionales de la Salud del Perú </t>
  </si>
  <si>
    <t xml:space="preserve">Medico Internista </t>
  </si>
  <si>
    <t>aida.lizanoo@gmail.com</t>
  </si>
  <si>
    <t>PAUL STEPHEN ATARO AYELLA</t>
  </si>
  <si>
    <t>Uganda</t>
  </si>
  <si>
    <t>ICMDA</t>
  </si>
  <si>
    <t>REGIONAL REPRESENTATIVE EAST AFRICA</t>
  </si>
  <si>
    <t>ATARODRPAPA@GMAIL.COM</t>
  </si>
  <si>
    <t xml:space="preserve">ATARO JANE KARINA, FEMALE.
 ATARO NEEMA ANGIOLETTA, FEMALE DAUGHTERS
</t>
  </si>
  <si>
    <t>ATARO JANE KARINA, FEMALE.
 ATARO NEEMA ANGIOLETTA, FEMALE DAUGHTERS
딸 2명</t>
  </si>
  <si>
    <t>3명/ (자녀 2명)</t>
  </si>
  <si>
    <t>Paul Stephen Ataro Ayella</t>
  </si>
  <si>
    <t>atarodrpapa@gmail.com</t>
  </si>
  <si>
    <t xml:space="preserve">Mugaba Proscovia Mujeere </t>
  </si>
  <si>
    <t>Uganda Christian Medical Fellowship (UCMF)</t>
  </si>
  <si>
    <t xml:space="preserve">Chairperson of UCMF National Executive Committee </t>
  </si>
  <si>
    <t>drprosiemm@gmail.com</t>
  </si>
  <si>
    <t>Proscovia Mujeere Mugaba</t>
  </si>
  <si>
    <t>Mujwala Samuel Kagali</t>
  </si>
  <si>
    <t>Soroti university</t>
  </si>
  <si>
    <t>SOROTI UNIVRSITY CMF CHAIRPERSON</t>
  </si>
  <si>
    <t>2101600045@sun.ac.ug</t>
  </si>
  <si>
    <t>Theodorus Hedwin Kadrianto</t>
  </si>
  <si>
    <t>Indonesia</t>
  </si>
  <si>
    <t>AEO for East Asia, Southeast Asia, Oceania</t>
  </si>
  <si>
    <t>theodorus.hedwin@icmda.net</t>
  </si>
  <si>
    <t>Sally John</t>
  </si>
  <si>
    <t>Sally</t>
  </si>
  <si>
    <t>South Africa</t>
  </si>
  <si>
    <t>Dr Phd</t>
  </si>
  <si>
    <t>Johnsally728@gmail.com</t>
  </si>
  <si>
    <t>johnsally728@gmail.com</t>
  </si>
  <si>
    <t>이메일 일치, 이름 완전일치</t>
  </si>
  <si>
    <t>Kamanzi</t>
  </si>
  <si>
    <t>Umuhire Immaculée</t>
  </si>
  <si>
    <t>Dental Surgeon /Member</t>
  </si>
  <si>
    <t>immakamanziu@gmail.com</t>
  </si>
  <si>
    <t>June 29, July 4</t>
  </si>
  <si>
    <t xml:space="preserve">Kabasinge Kamanzi Icyeza Gracia, Female,
 Daughter, kabkamicyezagracia@gmail.com
</t>
  </si>
  <si>
    <t xml:space="preserve">Kabasinge Kamanzi Icyeza Gracia [딸] 
</t>
  </si>
  <si>
    <t>PETER SATHIYANATHAN MICHEAL JOHN</t>
  </si>
  <si>
    <t>MALAYSIA</t>
  </si>
  <si>
    <t>HEALTHCARE CHRISTIAN FELLOWSHIP MALAYSIA</t>
  </si>
  <si>
    <t>DOCTOR</t>
  </si>
  <si>
    <t>doctorpeter@hotmail.com</t>
  </si>
  <si>
    <t xml:space="preserve">IRINE AARATHANA PETER SATHIYANATHAN, FEMALE, 
- 12 YEARS OLD DAUGHTER , doctorpeter@hotmail.com
</t>
  </si>
  <si>
    <t>IRINE AARATHANA PETER SATHIYANATHAN 
 [딸, 12세]</t>
  </si>
  <si>
    <t>Alina</t>
  </si>
  <si>
    <t>Belarus</t>
  </si>
  <si>
    <t>Belarussian CMF</t>
  </si>
  <si>
    <t>Ophtalmologist</t>
  </si>
  <si>
    <t>kurdunap@gmail.com</t>
  </si>
  <si>
    <t>Alina Kurdun</t>
  </si>
  <si>
    <t>Vincent, Benjamin Terfa</t>
  </si>
  <si>
    <t>Christian Medical and Dental Association of Nigeria - Doctors' Arm</t>
  </si>
  <si>
    <t>benjaminvincent76@gmail.com</t>
  </si>
  <si>
    <t>Vincent Benjamin Terfa</t>
  </si>
  <si>
    <t>NTAGWABIRA Ange Bernice Shekinnah</t>
  </si>
  <si>
    <t>RCMDO</t>
  </si>
  <si>
    <t>Active member</t>
  </si>
  <si>
    <t>angesheky77@gmail.com</t>
  </si>
  <si>
    <t>Ada Mola</t>
  </si>
  <si>
    <t>University of Global Health Equity</t>
  </si>
  <si>
    <t>Medical Student year 4</t>
  </si>
  <si>
    <t>ada.mola@student.ughe.org</t>
  </si>
  <si>
    <t>DUKUZIMANA Joseph</t>
  </si>
  <si>
    <t>Nyamata L2TH</t>
  </si>
  <si>
    <t>Dental Surgeon</t>
  </si>
  <si>
    <t>dukuzimanajoseph@gmail.com</t>
  </si>
  <si>
    <t>Atem Paul</t>
  </si>
  <si>
    <t>Cameroon</t>
  </si>
  <si>
    <t>Mount Zion Clinic, Bamenda, Cameroon</t>
  </si>
  <si>
    <t>Dr.</t>
  </si>
  <si>
    <t>dratempaul2015@gmail.com</t>
  </si>
  <si>
    <t>Yes. One. My wife.</t>
  </si>
  <si>
    <t>Paul Atem</t>
  </si>
  <si>
    <t>Willyanna Ravanielly Oliveira de Carvalho</t>
  </si>
  <si>
    <t>MDC Brazil</t>
  </si>
  <si>
    <t>Young Doctor</t>
  </si>
  <si>
    <t>willyanna634@gmail.com</t>
  </si>
  <si>
    <t>Semby, Johan Kyung Hwa</t>
  </si>
  <si>
    <t>Sweden</t>
  </si>
  <si>
    <t>Linköping University/Linköping University Hospital Department of Opthalmology/ ICMDA Sweden</t>
  </si>
  <si>
    <t>Senior Consultant in Ophthalmology/ Leader, organizer for the delegation from ICMDA Sweden and Finland</t>
  </si>
  <si>
    <t>johan.semby@gmail.com</t>
  </si>
  <si>
    <t>1, Joshua Semby, male, son, joshua.semby7@gmail.com</t>
  </si>
  <si>
    <t>Joshua Semby [아들]</t>
  </si>
  <si>
    <t>Johan Kyung Hwa Semby</t>
  </si>
  <si>
    <t>Edna Ezra Umaru</t>
  </si>
  <si>
    <t>Gombe state university Nigeria</t>
  </si>
  <si>
    <t>Class Academic secretary</t>
  </si>
  <si>
    <t>ednaumaru044@gmail.com</t>
  </si>
  <si>
    <t>NURGUL MAMYROVA</t>
  </si>
  <si>
    <t>Kyrgyz Republic</t>
  </si>
  <si>
    <t>nurgulicmda@gmail.com</t>
  </si>
  <si>
    <t>Yes: Simon Peter Nadeem-my husband, 
My Daughter-Shulmiyat Sarah Nadeem, 
and my son -Timothy Simon Nadeem)</t>
  </si>
  <si>
    <t>Simon Peter Nadeem [배우자(남편)]
Shulmiyat Sarah Nadeem[딸, 18세]
 Timothy Simon Nadeem [아들, 13세]</t>
  </si>
  <si>
    <t>4명/ (자녀 2명, 배우자 1명)</t>
  </si>
  <si>
    <t>Nurgul Mamyrova</t>
  </si>
  <si>
    <t>Tubasiime Ronald</t>
  </si>
  <si>
    <t>Kibogora Hospital</t>
  </si>
  <si>
    <t>General surgeon</t>
  </si>
  <si>
    <t>turona20@gmail.com</t>
  </si>
  <si>
    <t>Ronald Tubasiime</t>
  </si>
  <si>
    <t>Diana</t>
  </si>
  <si>
    <t>Safina</t>
  </si>
  <si>
    <t>Russian Federation</t>
  </si>
  <si>
    <t>Regional representative, Eurasia training administrator</t>
  </si>
  <si>
    <t>diana.safina316@gmail.com</t>
  </si>
  <si>
    <t>Daria Safina, female, daughter 13 years old</t>
  </si>
  <si>
    <t xml:space="preserve">Daria Safina [딸, 13세]
</t>
  </si>
  <si>
    <t>Diana Safina</t>
  </si>
  <si>
    <t>생년월일 일치, 이메일 일치, 이름 유사도 100</t>
  </si>
  <si>
    <t>Grishanovich Elisei</t>
  </si>
  <si>
    <t>Kirov Smu</t>
  </si>
  <si>
    <t>elishagch@gmail.com</t>
  </si>
  <si>
    <t>ELISEI GRISHANOVICH</t>
  </si>
  <si>
    <t>BENJAMIN DUBE</t>
  </si>
  <si>
    <t>ZIMBABWE</t>
  </si>
  <si>
    <t>NATIONAL UNIVERSITY OF SCIENCE AND TECHNOLOGY, ZIMBABWE</t>
  </si>
  <si>
    <t>Chairperson, NUST Christian Medical Fellowship (CMF)</t>
  </si>
  <si>
    <t>benjiedube25@gmail.com</t>
  </si>
  <si>
    <t>DUBE BENJAMIN</t>
  </si>
  <si>
    <t>Budiani Christina Natalia</t>
  </si>
  <si>
    <t>Bethesda Serukam Mission Hospital, West Borneo, Indonesia</t>
  </si>
  <si>
    <t>Anesthesiologist</t>
  </si>
  <si>
    <t>b.christina07@gmail.com</t>
  </si>
  <si>
    <t>Peter Fee</t>
  </si>
  <si>
    <t>United Kingdom</t>
  </si>
  <si>
    <t>Royal Belfast Children's Hospital, Belfast, UK</t>
  </si>
  <si>
    <t>Consultant Anaesthetist</t>
  </si>
  <si>
    <t>peterfee@doctors.org.uk</t>
  </si>
  <si>
    <t>4: Kerry Fee, female, wife, thefees@me.com; Grace Fee,
 female, daughter; Joel Fee, male, son; Toby Fee, male, son.</t>
  </si>
  <si>
    <t xml:space="preserve">Kerry Fee [배우자(아내)] thefees@me.com
Grace Fee [딸, 12세] 
Joel Fee [아들, 14세]
Toby Fee [아들, 10세]
</t>
  </si>
  <si>
    <t>5명/ (자녀 3명, 배우자 1명)</t>
  </si>
  <si>
    <t>Nakanjako</t>
  </si>
  <si>
    <t>Sharon</t>
  </si>
  <si>
    <t>Uganda Christian medical Fellowship</t>
  </si>
  <si>
    <t>Clinical psychologist</t>
  </si>
  <si>
    <t>sharonnakanjako2023@gmail.com</t>
  </si>
  <si>
    <t>Sharon Nakanjako</t>
  </si>
  <si>
    <t>GERISI JOSEPH GERGES SHENODA ISSA</t>
  </si>
  <si>
    <t>Egypt, Arab Rep.</t>
  </si>
  <si>
    <t>CMF Egypt</t>
  </si>
  <si>
    <t>Dentist (GP)</t>
  </si>
  <si>
    <t>gracejoseph771999@gmail.com</t>
  </si>
  <si>
    <t>1, Jena Issa, female, sister, jena.joseph@ngu.edu.eg</t>
  </si>
  <si>
    <t>Gerisi Joseph Gerges Shenoda Issa</t>
  </si>
  <si>
    <t>Greta Gamal Nazir Kross</t>
  </si>
  <si>
    <t>Cmf egypt</t>
  </si>
  <si>
    <t>Pediatric specialist (director of operations of cmf egypt)</t>
  </si>
  <si>
    <t>gretagamal@hotmail.com</t>
  </si>
  <si>
    <t>George robile,male,husband
Jason george,male ,son
Jenny george,female,daughter</t>
  </si>
  <si>
    <t>George robile [배우자(남편)] gretagamal@hotmail.com
 Jason george [아들, 13세]
 Jenny george [딸, 17세]</t>
  </si>
  <si>
    <t>Greta Gamal</t>
  </si>
  <si>
    <t>Meilani</t>
  </si>
  <si>
    <t>CMDF Indonesia</t>
  </si>
  <si>
    <t>Mrs/Coordinator of Mission Department</t>
  </si>
  <si>
    <t>mariameilani1@gmail.com</t>
  </si>
  <si>
    <t>2. 
 Tigor Yeheskiel, male, husband. 
 Matthew Jordan Simanjuntak, male, son.</t>
  </si>
  <si>
    <t xml:space="preserve">Tigor Yeheskiel [배우자(남편)]
Matthew Jordan Simanjuntak [아들, 7세]
</t>
  </si>
  <si>
    <t>3명/ (자녀 1명, 배우자 1명)</t>
  </si>
  <si>
    <t>Pola Ayman Wadea Zaki</t>
  </si>
  <si>
    <t>Faculty of medicine minia university</t>
  </si>
  <si>
    <t>Medical student</t>
  </si>
  <si>
    <t>polaayman333@gmail.com</t>
  </si>
  <si>
    <t>Pola ayman wadea zaki</t>
  </si>
  <si>
    <t>Ebram Adel Karem</t>
  </si>
  <si>
    <t>Faculty of Medicine-Minia university</t>
  </si>
  <si>
    <t>ebramadel264@gmail.com</t>
  </si>
  <si>
    <t>Zawadi Virgily John</t>
  </si>
  <si>
    <t>Mawenzi Refferal Regional Hospital</t>
  </si>
  <si>
    <t>Laboratory Scientist</t>
  </si>
  <si>
    <t>zawadijohn103@gmail.com</t>
  </si>
  <si>
    <t>Zawadi John</t>
  </si>
  <si>
    <t xml:space="preserve">KASONGO MWENYI MAXIME </t>
  </si>
  <si>
    <t>Congo, Dem.Rep.</t>
  </si>
  <si>
    <t xml:space="preserve">Centre de santé pilote et maternité de Masina/Kinshasa </t>
  </si>
  <si>
    <t xml:space="preserve">Chef de service ophtalmologie </t>
  </si>
  <si>
    <t>maxkasongo@gmail.com</t>
  </si>
  <si>
    <t>Christa Adeline</t>
  </si>
  <si>
    <t>Regional Representative for Southeast Asia</t>
  </si>
  <si>
    <t>christa.adeline@icmda.net</t>
  </si>
  <si>
    <t>Quacy Asheeke Grant</t>
  </si>
  <si>
    <t>Guyana</t>
  </si>
  <si>
    <t>Lausanne Movement Caribbean/ICMDA Guyana-Caribbean</t>
  </si>
  <si>
    <t>Regional Director (Lausanne Movement Caribbean)</t>
  </si>
  <si>
    <t>qgrant@lausanne.org</t>
  </si>
  <si>
    <t>LOUIE BENJAMIN KWON BOU</t>
  </si>
  <si>
    <t>NEW ZEALAND</t>
  </si>
  <si>
    <t>University of Otago</t>
  </si>
  <si>
    <t>bklouie@outlook.com</t>
  </si>
  <si>
    <t>June 29, June 30, July 1, July 2, July 3</t>
  </si>
  <si>
    <t>1, Yidao Chua, male, friend, yidaochua@gmail.com</t>
  </si>
  <si>
    <t>Benjamin Louie</t>
  </si>
  <si>
    <t>Mohalenyane Matheko Mary</t>
  </si>
  <si>
    <t>Lesotho</t>
  </si>
  <si>
    <t>Senkatana Oncology Clinic</t>
  </si>
  <si>
    <t>matheko.mohalenyane@gmail.com</t>
  </si>
  <si>
    <t>Matheko Mohalenyane</t>
  </si>
  <si>
    <t>matheko.mohalenyane@yahoo.com</t>
  </si>
  <si>
    <t>Sousa Lucas Cavilane</t>
  </si>
  <si>
    <t>Mozambique</t>
  </si>
  <si>
    <t>Associação Light for Health</t>
  </si>
  <si>
    <t>2 Vogal do Conselho Nacional</t>
  </si>
  <si>
    <t>Sousacavilane@gmail.com</t>
  </si>
  <si>
    <t>sousacavilane@gmail.com</t>
  </si>
  <si>
    <t xml:space="preserve">AKELLO GLORIA </t>
  </si>
  <si>
    <t xml:space="preserve">Makerere University </t>
  </si>
  <si>
    <t>gloakello@gmail.com</t>
  </si>
  <si>
    <t>Akello Gloria</t>
  </si>
  <si>
    <t>Anitha David</t>
  </si>
  <si>
    <t>India</t>
  </si>
  <si>
    <t>Emmanuel Hospital Association</t>
  </si>
  <si>
    <t>Dentist</t>
  </si>
  <si>
    <t>Anitha.David@icmda.net</t>
  </si>
  <si>
    <t>Anitha.David@imcda.net</t>
  </si>
  <si>
    <t xml:space="preserve">Rumala Premika Morel </t>
  </si>
  <si>
    <t>Sri Lanka</t>
  </si>
  <si>
    <t xml:space="preserve">Healthcare Christian Fellowship of Lanka </t>
  </si>
  <si>
    <t xml:space="preserve">Student Ministry Coordinator </t>
  </si>
  <si>
    <t>rumala.morel@gmail.com</t>
  </si>
  <si>
    <t>Rumala Morel</t>
  </si>
  <si>
    <t>Egba Honour Joseph</t>
  </si>
  <si>
    <t>University of Calabar, Calabar, Nigeria.</t>
  </si>
  <si>
    <t>School general secretary</t>
  </si>
  <si>
    <t>honouregba9@gmail.com</t>
  </si>
  <si>
    <t>Abiyu Tadesse Fulea</t>
  </si>
  <si>
    <t>Kim</t>
  </si>
  <si>
    <t>Ethiopia</t>
  </si>
  <si>
    <t>CMF Ethiopia</t>
  </si>
  <si>
    <t>CMF Ethiopia chairperson</t>
  </si>
  <si>
    <t>martabiyju@gmail.com</t>
  </si>
  <si>
    <t>Inayat Sunny</t>
  </si>
  <si>
    <t>Pakistan</t>
  </si>
  <si>
    <t>Glorious Church of Christ</t>
  </si>
  <si>
    <t>Pastor</t>
  </si>
  <si>
    <t>sunny_inayat@yahoo.com</t>
  </si>
  <si>
    <t>Sunny John, Male, Son</t>
  </si>
  <si>
    <t xml:space="preserve">Sunny John [아들]
</t>
  </si>
  <si>
    <t xml:space="preserve">2명/ (자녀 1명) </t>
  </si>
  <si>
    <t>Michelle Eugenia</t>
  </si>
  <si>
    <t>CMDA Indonesia</t>
  </si>
  <si>
    <t>michelle.eugenia23@gmail.com</t>
  </si>
  <si>
    <t>Kezia Christina Viani Wijaya</t>
  </si>
  <si>
    <t>케지아 크리스티나 비아니 위자야</t>
  </si>
  <si>
    <t>keziawij@gmail.com</t>
  </si>
  <si>
    <t>ASINGYA RONALD MUMBERE</t>
  </si>
  <si>
    <t>Kampala international university</t>
  </si>
  <si>
    <t>asingyaronald256256@gmail.com</t>
  </si>
  <si>
    <t>Asingya Ronald Mumbere</t>
  </si>
  <si>
    <t>OCEN JUDE OKELLO</t>
  </si>
  <si>
    <t>Gulu University</t>
  </si>
  <si>
    <t>ocenjudeokello@gmail.com</t>
  </si>
  <si>
    <t>Ocen Jude Okello</t>
  </si>
  <si>
    <t>AGENORWOT FAITH</t>
  </si>
  <si>
    <t>GULU UNIVERSITY</t>
  </si>
  <si>
    <t>Miss</t>
  </si>
  <si>
    <t>faithagenorwot63@gmail.com</t>
  </si>
  <si>
    <t>생년월일 일치, 이메일 일치</t>
  </si>
  <si>
    <t>MOGES ZENEBE WEGAYEHU</t>
  </si>
  <si>
    <t>ADDIS ABABA UNIVERSITY, COLLEGE OF HEALTH SCIENCE</t>
  </si>
  <si>
    <t>Doctor, Assistant professor of Radiology</t>
  </si>
  <si>
    <t>zenebemoges@gmail.com</t>
  </si>
  <si>
    <t>OP 1067008</t>
  </si>
  <si>
    <t>LUANDA MUBYALE LUTYATSO Justin</t>
  </si>
  <si>
    <t>Congo,Rep.</t>
  </si>
  <si>
    <t>AMC Congo Kinshasa</t>
  </si>
  <si>
    <t>mluand2013@gmail.com</t>
  </si>
  <si>
    <t>NSIMIRE BITWENGE Reine: Female, my spouse</t>
  </si>
  <si>
    <t>Enimil Anthony Kwame</t>
  </si>
  <si>
    <t>Ghana</t>
  </si>
  <si>
    <t>Kwame Nkrumah University of Science and Technology</t>
  </si>
  <si>
    <t>Professor/Lecturer</t>
  </si>
  <si>
    <t>Tonash@gmail.com</t>
  </si>
  <si>
    <t>Helena Enimil, Female , Spouse</t>
  </si>
  <si>
    <t>Anthony Enimil</t>
  </si>
  <si>
    <t>tonash@gmail.com</t>
  </si>
  <si>
    <t>ARINDA ANITAH</t>
  </si>
  <si>
    <t>Kampala International University Uganda</t>
  </si>
  <si>
    <t>anitaharinda2001@gmail.com</t>
  </si>
  <si>
    <t>Alina Istrati</t>
  </si>
  <si>
    <t>Romania</t>
  </si>
  <si>
    <t>Nicolae Testemiţanu Moldova State University of Medicine and Pharmacy</t>
  </si>
  <si>
    <t>istratialina16@gmail.com</t>
  </si>
  <si>
    <t>Istrati Alina</t>
  </si>
  <si>
    <t>Bwizabwimana Lys Mika</t>
  </si>
  <si>
    <t>Hope Africa University</t>
  </si>
  <si>
    <t>lysmika@1gmail.com</t>
  </si>
  <si>
    <t>BWIZABWIMANA Lys Mika</t>
  </si>
  <si>
    <t>lysmika1@gmail.com</t>
  </si>
  <si>
    <t>Amigo Jordy Ishimwe</t>
  </si>
  <si>
    <t>BCMDA (Burundi Christian Medical and dental association)</t>
  </si>
  <si>
    <t>Student Leadership</t>
  </si>
  <si>
    <t>amigojordyi@gmail.com</t>
  </si>
  <si>
    <t>HERVE TISTOU HITIMANA</t>
  </si>
  <si>
    <t>BCMDA</t>
  </si>
  <si>
    <t>h.tistou@gmail.com</t>
  </si>
  <si>
    <t>DUSHIME GLADYS</t>
  </si>
  <si>
    <t>During Psychiatry specialization</t>
  </si>
  <si>
    <t>simpledugla1@gmail.com</t>
  </si>
  <si>
    <t>Gladys Dushime</t>
  </si>
  <si>
    <t>OKONGO BERFINA</t>
  </si>
  <si>
    <t>Senegal</t>
  </si>
  <si>
    <t>Association des médecins et dentistes chrétiens du Sénégal</t>
  </si>
  <si>
    <t>Treasury</t>
  </si>
  <si>
    <t>O.berfina1@gmail.com</t>
  </si>
  <si>
    <t>OKONGO Berfina</t>
  </si>
  <si>
    <t>ADONONSI FEGNITI MAHUTON MARIELLE</t>
  </si>
  <si>
    <t>Benin</t>
  </si>
  <si>
    <t>Association des Médecins et Dentistes Chrétiens du Sénégal</t>
  </si>
  <si>
    <t>mariellehy@gmail.com</t>
  </si>
  <si>
    <t>Marielle Adononsi</t>
  </si>
  <si>
    <t>Rebecca Biaye</t>
  </si>
  <si>
    <t>National president</t>
  </si>
  <si>
    <t>rebiaye@gmail.com</t>
  </si>
  <si>
    <t>NAYEBALE MOSES</t>
  </si>
  <si>
    <t>Gulu university</t>
  </si>
  <si>
    <t>Chairperson fellowship</t>
  </si>
  <si>
    <t>mosesnayebale@96.com</t>
  </si>
  <si>
    <t>June 29, June 30, July 1, July 2</t>
  </si>
  <si>
    <t>Moses Nayebale</t>
  </si>
  <si>
    <t>mosesnayebale96@gmail.com</t>
  </si>
  <si>
    <t>OBO Yapo Gilles</t>
  </si>
  <si>
    <t>Côte d’Ivoire</t>
  </si>
  <si>
    <t>AMPCI</t>
  </si>
  <si>
    <t>Medical Officer</t>
  </si>
  <si>
    <t>yapogilles@yahoo.fr</t>
  </si>
  <si>
    <t>GOLIELE-GAMBOU Michelle-Merveille</t>
  </si>
  <si>
    <t>Euromed Université</t>
  </si>
  <si>
    <t>michellegoliele@gmail.com</t>
  </si>
  <si>
    <t>Nermin Botros Zakaria Gohar</t>
  </si>
  <si>
    <t>네르민</t>
  </si>
  <si>
    <t>Faculty of medicine menofia university</t>
  </si>
  <si>
    <t>Assistant lecturer</t>
  </si>
  <si>
    <t>nermenbotros22@gmail.com</t>
  </si>
  <si>
    <t>Nermin botros zakaria</t>
  </si>
  <si>
    <t>ANGELA OZBERTH MAKULE</t>
  </si>
  <si>
    <t>KCMC-UNIVERSITY</t>
  </si>
  <si>
    <t>angelmakule@gmail.com</t>
  </si>
  <si>
    <t>Nancy Botros Zakria Gohar</t>
  </si>
  <si>
    <t>Benha university hospital</t>
  </si>
  <si>
    <t>Cardiothoracic surgery resident</t>
  </si>
  <si>
    <t>nancybotros161@gmail.com</t>
  </si>
  <si>
    <t>Bodoua Adjo Anne-Mireille</t>
  </si>
  <si>
    <t>bodouaanno@gmail.com</t>
  </si>
  <si>
    <t>KISA RONNIE</t>
  </si>
  <si>
    <t>Kabale university</t>
  </si>
  <si>
    <t>ronniekisa@gmail.com</t>
  </si>
  <si>
    <t>Kupualor David Akwafo</t>
  </si>
  <si>
    <t>University of Ghana Medical Centre/St Joseph Hospital, Koforidua</t>
  </si>
  <si>
    <t>Senior Specialist</t>
  </si>
  <si>
    <t>dkupualor@yahoo.com</t>
  </si>
  <si>
    <t>Mrs Sarah Kupualor, Wife, marsar.asaa@yahoo.com</t>
  </si>
  <si>
    <t>David Akwafo Kupualor</t>
  </si>
  <si>
    <t>Uhunmwangho Courage Ukponmwan</t>
  </si>
  <si>
    <t>ICMDA West Africa</t>
  </si>
  <si>
    <t>Regional Secretary</t>
  </si>
  <si>
    <t>ucourage@yahoo.com</t>
  </si>
  <si>
    <t>Courage Uhunmwangho</t>
  </si>
  <si>
    <t>Amoli Purity</t>
  </si>
  <si>
    <t>Islamic University In Uganda</t>
  </si>
  <si>
    <t>amolipurity@gmail.com</t>
  </si>
  <si>
    <t>Amoli purity</t>
  </si>
  <si>
    <t>IKEUBA DELIGHT CHIDEBELU</t>
  </si>
  <si>
    <t>Delight</t>
  </si>
  <si>
    <t>Christian Medical and Dental Association</t>
  </si>
  <si>
    <t>delightikeuba@gmail.com</t>
  </si>
  <si>
    <t>Djembissi simo ornella kelly</t>
  </si>
  <si>
    <t>CMF kenya</t>
  </si>
  <si>
    <t>orkel2018@gmail.com</t>
  </si>
  <si>
    <t>Ornella simo djembissi</t>
  </si>
  <si>
    <t>ABASIRA TRINITY MUNGUFENI</t>
  </si>
  <si>
    <t>KING CEASOR UNIVERSITY, UGANDA CHRISTIAN MEDICAL FELLOWSHIP</t>
  </si>
  <si>
    <t>STUDENT</t>
  </si>
  <si>
    <t>tabasiramungufeni22ag@student.kcu.ac.ug</t>
  </si>
  <si>
    <t>Abasira Trinity Mungufeni</t>
  </si>
  <si>
    <t>Rachel Myrrha Ferreira</t>
  </si>
  <si>
    <t>Universidade Federal de Minas Gerais</t>
  </si>
  <si>
    <t>Medical Resident</t>
  </si>
  <si>
    <t>rachelmyrrhaf@gmail.com</t>
  </si>
  <si>
    <t>Priscila Lemos Goncalves</t>
  </si>
  <si>
    <t>Medicos de Cristo</t>
  </si>
  <si>
    <t>Medicos de Cristo s board</t>
  </si>
  <si>
    <t>Saline.brasil@gmail.com</t>
  </si>
  <si>
    <t>Priscila Lemos Gonçalves</t>
  </si>
  <si>
    <t>saline.brasil@gmail.com</t>
  </si>
  <si>
    <t>KUSONGA LABAN</t>
  </si>
  <si>
    <t>Kabale University/Uganda christian medical fellowship</t>
  </si>
  <si>
    <t>labkusonga20@gmail.com</t>
  </si>
  <si>
    <t>Vidya Sagar Bandikalla</t>
  </si>
  <si>
    <t>비디아 사가르 반디칼라</t>
  </si>
  <si>
    <t>Ortho One Orthopaedic Specialty Centre, Coimbatore, India</t>
  </si>
  <si>
    <t>Orthopaedic surgeon</t>
  </si>
  <si>
    <t>vidyasbandikalla@yahoo.com</t>
  </si>
  <si>
    <t>Jenniffer Laura Daltro Monteiro da Silva Loures</t>
  </si>
  <si>
    <t>icmda Fieldworker Brazil Colombia and Venezuela</t>
  </si>
  <si>
    <t>jldms1@gmail.com</t>
  </si>
  <si>
    <t>Felipe Aleixo Loures ( husband)</t>
  </si>
  <si>
    <t>jenniffer laura daltro monteiro da silva loures</t>
  </si>
  <si>
    <t>Elita Theofani Juliawan</t>
  </si>
  <si>
    <t>Training track facilitator</t>
  </si>
  <si>
    <t>elitatheofani@yahoo.co.id</t>
  </si>
  <si>
    <t>Linda Achieng Thure</t>
  </si>
  <si>
    <t>Pan African Academy of Christian surgeons</t>
  </si>
  <si>
    <t>Surgical resident</t>
  </si>
  <si>
    <t>althure@gmail.com</t>
  </si>
  <si>
    <t>NEMBA GRACE VAIBRA</t>
  </si>
  <si>
    <t>Chad</t>
  </si>
  <si>
    <t>ASSOCIATION DES MEDECINS ET DENTISTES CHRETIENS DU TCHAD(AMDCT)</t>
  </si>
  <si>
    <t>ETUDIANT</t>
  </si>
  <si>
    <t>gracevaibra777@gmail.com</t>
  </si>
  <si>
    <t>Nemba Grâce Vaibra</t>
  </si>
  <si>
    <t>Ika Septiana Eryani</t>
  </si>
  <si>
    <t>Ministry of Health, Indonesia</t>
  </si>
  <si>
    <t>Health Administrator</t>
  </si>
  <si>
    <t>trifosa.ikaseptiana@gmail.com</t>
  </si>
  <si>
    <t>July 2, July 3, July 4</t>
  </si>
  <si>
    <t>Ansino Skyleth</t>
  </si>
  <si>
    <t>Philippines</t>
  </si>
  <si>
    <t>Bileg Community Outreach International</t>
  </si>
  <si>
    <t>Resident Physician</t>
  </si>
  <si>
    <t>skyansinophi@gmail.com</t>
  </si>
  <si>
    <t>Skyleth Ansino</t>
  </si>
  <si>
    <t>Jo Vee Java Dignadice</t>
  </si>
  <si>
    <t>ICMDA/MCCN</t>
  </si>
  <si>
    <t>Global Training Track Coordinator /Director</t>
  </si>
  <si>
    <t>jov@doctor.com</t>
  </si>
  <si>
    <t>Isa Berne J. Dignadice</t>
  </si>
  <si>
    <t>Jo Vee Dignadice</t>
  </si>
  <si>
    <t xml:space="preserve">Dorcas </t>
  </si>
  <si>
    <t xml:space="preserve">Kwete </t>
  </si>
  <si>
    <t xml:space="preserve">Recent graduated </t>
  </si>
  <si>
    <t>dkwete49@gmail.com</t>
  </si>
  <si>
    <t>Finish Fernando</t>
  </si>
  <si>
    <t>Bethesda Serukam Mission Hospital</t>
  </si>
  <si>
    <t>Vice Director</t>
  </si>
  <si>
    <t>finish.fernando@gmail.com</t>
  </si>
  <si>
    <t>Lunkuse Henriettah Dungu</t>
  </si>
  <si>
    <t>Islamic University in Uganda</t>
  </si>
  <si>
    <t>henriettahdungu@gmail.com</t>
  </si>
  <si>
    <t>Zerra Israel Cheyo</t>
  </si>
  <si>
    <t>zerracheyo@gmail.com</t>
  </si>
  <si>
    <t>Senamile Zanele Zwane</t>
  </si>
  <si>
    <t>CMF South Africa</t>
  </si>
  <si>
    <t>zwanezanele34@gmail.com</t>
  </si>
  <si>
    <t>Senamile Zwane</t>
  </si>
  <si>
    <t xml:space="preserve">Dr Rowena John </t>
  </si>
  <si>
    <t>Malaysia</t>
  </si>
  <si>
    <t xml:space="preserve">MINISTRY OF HEALTH MALAYSIA </t>
  </si>
  <si>
    <t xml:space="preserve">PUBLIC HEALTH MEDICINE SPECIALIST </t>
  </si>
  <si>
    <t xml:space="preserve">drrowena25@gmail.com </t>
  </si>
  <si>
    <t>June 30</t>
  </si>
  <si>
    <t xml:space="preserve">1 Sister. </t>
  </si>
  <si>
    <t>ROWENA JOHN</t>
  </si>
  <si>
    <t>AMOUSSOU Modeste Mahussi</t>
  </si>
  <si>
    <t>Association des Médecins Dentistes Chrétiens du Sénégal</t>
  </si>
  <si>
    <t>drdahomey@gmail.com</t>
  </si>
  <si>
    <t>Modeste Mahussi AMOUSSOU</t>
  </si>
  <si>
    <t>Melvar Kelly</t>
  </si>
  <si>
    <t>Moi University</t>
  </si>
  <si>
    <t>Kellymelvar285@gmail.com</t>
  </si>
  <si>
    <t>kellymelvar285@gmail.com</t>
  </si>
  <si>
    <t>BARKA INOCENT MANGALA</t>
  </si>
  <si>
    <t>Université de N'Djamena</t>
  </si>
  <si>
    <t>Étudiant</t>
  </si>
  <si>
    <t>barkaino95@gmail.com</t>
  </si>
  <si>
    <t>NOUBATA M'DRANGAYE, masculin, président, noubata30@gmail.com</t>
  </si>
  <si>
    <t>Barka Inocent Mangala</t>
  </si>
  <si>
    <t>NZISABIRA LEONCE</t>
  </si>
  <si>
    <t>MINISTRY OF PUBLIC HEALTH</t>
  </si>
  <si>
    <t>CHIEF DATA MANAGER</t>
  </si>
  <si>
    <t>leoncenzisa1995@gmail.com</t>
  </si>
  <si>
    <t>OGUNGBANGBE OLUTOLA ESTHER</t>
  </si>
  <si>
    <t>NIGERIA</t>
  </si>
  <si>
    <t>ABIA STATE UNIVERSITY TEACHING HOSPITAL/CMDA NIGERIA</t>
  </si>
  <si>
    <t>SCHOOL WELFARE DIRECTOR/ SISTER'S COORDINATOR</t>
  </si>
  <si>
    <t>estherogungbangbe.eo@gmail.com</t>
  </si>
  <si>
    <t>Ogungbangbe Olutola Esther</t>
  </si>
  <si>
    <t xml:space="preserve">Ekeh Emmanuel Onyekachukwu </t>
  </si>
  <si>
    <t xml:space="preserve">CMDA NIGERIA </t>
  </si>
  <si>
    <t>Student Arm - class coordinator.</t>
  </si>
  <si>
    <t>eeonye@gmail.com</t>
  </si>
  <si>
    <t>Ekeh Emmanuel Onyekachukwu</t>
  </si>
  <si>
    <t>IRIA DOMINION OSAYOMORE</t>
  </si>
  <si>
    <t>Federal Medical Centre, Owo</t>
  </si>
  <si>
    <t>iriadominion@gmail.com</t>
  </si>
  <si>
    <t>Dominion Iria</t>
  </si>
  <si>
    <t>LINGA, fidelis filibus</t>
  </si>
  <si>
    <t>Federal Teaching Hospital, Gombe Gombe state</t>
  </si>
  <si>
    <t>Doctor,</t>
  </si>
  <si>
    <t>drfillinga@gmail.com</t>
  </si>
  <si>
    <t>LINGA, Fidelis Filibus</t>
  </si>
  <si>
    <t>Paul Mayellawos Karuwa</t>
  </si>
  <si>
    <t>CMDA-Nigeria, Kano State Chapter</t>
  </si>
  <si>
    <t>ataschong@gmail.com</t>
  </si>
  <si>
    <t>PAUL MAYELLAWOS KARUWA</t>
  </si>
  <si>
    <t>OMONDO SHALOM</t>
  </si>
  <si>
    <t>Kampala International University</t>
  </si>
  <si>
    <t>madikizelashalom@gmail.com</t>
  </si>
  <si>
    <t>Omondo Shalom</t>
  </si>
  <si>
    <t>Raja Shaleem Samuel</t>
  </si>
  <si>
    <t>LORD'S HOME</t>
  </si>
  <si>
    <t>CEO</t>
  </si>
  <si>
    <t>lordshomepak@gmail.com</t>
  </si>
  <si>
    <t>Adiyana Esti Purwaningrum</t>
  </si>
  <si>
    <t>Indonesia Christian Medical and Dental Association</t>
  </si>
  <si>
    <t>Mission division team work</t>
  </si>
  <si>
    <t>adienesti@gmail.com</t>
  </si>
  <si>
    <t>Etubi Alexander Ibrahim</t>
  </si>
  <si>
    <t>University of Abuja Teaching Hospital/CMDA Nigeria</t>
  </si>
  <si>
    <t>Dr/ICMDA Regional Representative Anglophone west Africa/Deputy CEO 2 CMDA Nigeria</t>
  </si>
  <si>
    <t>alexetubi28@gmail.com</t>
  </si>
  <si>
    <t>LINDAEL GEOFREY MLAY</t>
  </si>
  <si>
    <t>SANYA JUU LUTHERAN HEALTH CENTRE</t>
  </si>
  <si>
    <t>MEDICAL OFFICER IN CHARGE</t>
  </si>
  <si>
    <t>mlaylinda4@gmail.com</t>
  </si>
  <si>
    <t>LINDAEL G MLAY</t>
  </si>
  <si>
    <t>생년월일 일치, 이메일 일치, 이름 유사도 92</t>
  </si>
  <si>
    <t>Estefany Abigail Alonzo Muñoz</t>
  </si>
  <si>
    <t>Guatemala</t>
  </si>
  <si>
    <t>Hospital Universitario Fundación Alcorcón</t>
  </si>
  <si>
    <t>Resident 1 of preventive medicine and public health</t>
  </si>
  <si>
    <t>estefalonzo@gmail.com</t>
  </si>
  <si>
    <t>Cornel Martin Angolile</t>
  </si>
  <si>
    <t>London School of Hygiene &amp; Tropical Medicine</t>
  </si>
  <si>
    <t>cornelangolile@gmail.com</t>
  </si>
  <si>
    <t>Tehillah Zitha</t>
  </si>
  <si>
    <t>Zambia</t>
  </si>
  <si>
    <t>Christian Medical Fellowship Zambia</t>
  </si>
  <si>
    <t>Junior Medical Doctor</t>
  </si>
  <si>
    <t>tehzitha@gmail.com</t>
  </si>
  <si>
    <t>Tanya Alexandra Escobar Morán</t>
  </si>
  <si>
    <t>Universidad San Carlos de Guatemala (USAC)</t>
  </si>
  <si>
    <t>Medical doctor</t>
  </si>
  <si>
    <t>alexamedicinegua@gmail.com</t>
  </si>
  <si>
    <t>Eric Kiprotich Langat</t>
  </si>
  <si>
    <t>Tenwek Mission Hospital</t>
  </si>
  <si>
    <t>ericlangat77@gmail.com</t>
  </si>
  <si>
    <t>Lea Kartyka Sembiring</t>
  </si>
  <si>
    <t>Imperial College London</t>
  </si>
  <si>
    <t>kartykalea@gmail.com</t>
  </si>
  <si>
    <t>Annah Thembwa Muthui</t>
  </si>
  <si>
    <t>Annahmuthui96@gmail.com</t>
  </si>
  <si>
    <t>Biira Eunice</t>
  </si>
  <si>
    <t>eunycebiira@gmail.com</t>
  </si>
  <si>
    <t>Yao Mawuena DANSOU</t>
  </si>
  <si>
    <t>TOGO</t>
  </si>
  <si>
    <t>dansouyaomawuena@gmail.com</t>
  </si>
  <si>
    <t>Peruth Mwesigwa Mbaze</t>
  </si>
  <si>
    <t>Bishop Stuart University</t>
  </si>
  <si>
    <t>Midwifery Tutor</t>
  </si>
  <si>
    <t>peruthmwesigwa@gmail.com</t>
  </si>
  <si>
    <t>KADZAHLO KOMLA DOVENE</t>
  </si>
  <si>
    <t>National malaria control program of Togo</t>
  </si>
  <si>
    <t>Public health specialist</t>
  </si>
  <si>
    <t>tdkadzahlo@gmail.com</t>
  </si>
  <si>
    <t>Kadzahlo Komla Dovenè</t>
  </si>
  <si>
    <t>SEKO Kudzovi Mario</t>
  </si>
  <si>
    <t>AMCT</t>
  </si>
  <si>
    <t>kudzovimarioseko@gmail.com</t>
  </si>
  <si>
    <t>Анна Александровна Зайкина</t>
  </si>
  <si>
    <t>City Polyclinic No. 76 in Saint Petersburg</t>
  </si>
  <si>
    <t>infectiologist</t>
  </si>
  <si>
    <t>ankozay@gmail.com</t>
  </si>
  <si>
    <t>Ann Zaykina</t>
  </si>
  <si>
    <t>Claudia Anastasia Sahetapy</t>
  </si>
  <si>
    <t>SEA Area Representative</t>
  </si>
  <si>
    <t>claudia.anastasia@icmda.net</t>
  </si>
  <si>
    <t>Claudia Anastasia</t>
  </si>
  <si>
    <t>Frisyeni Amanda Mangule</t>
  </si>
  <si>
    <t>Udayana Univercity</t>
  </si>
  <si>
    <t>amandamangule05@gmail.com</t>
  </si>
  <si>
    <t>BIGOGO HERBERT CHARLES</t>
  </si>
  <si>
    <t>UGANDA CHRISTIAN MEDICAL FELLOWSHIP (UCMF)</t>
  </si>
  <si>
    <t>NATIONAL EXECUTIVE- UCMF STUDENTS LIAISON SECRETARY</t>
  </si>
  <si>
    <t>herbertbigogo@gmail.com</t>
  </si>
  <si>
    <t>Kyabu Kapijimpanga</t>
  </si>
  <si>
    <t>Muğla Sıtkı Koçman University</t>
  </si>
  <si>
    <t>Kyabukapiji4@gmail.com</t>
  </si>
  <si>
    <t>TCHALIM</t>
  </si>
  <si>
    <t>member</t>
  </si>
  <si>
    <t>tsolime@yahoo.fr</t>
  </si>
  <si>
    <t>Tchalim</t>
  </si>
  <si>
    <t>ANDRIA BURI ANAK IBRAHIM</t>
  </si>
  <si>
    <t>UNIVERSITY OF MALAYSIA, SARAWAK</t>
  </si>
  <si>
    <t>MEDICAL STUDENT</t>
  </si>
  <si>
    <t>andriaburiibrahim@gmail.com</t>
  </si>
  <si>
    <t>Andria Buri anak Ibrahim</t>
  </si>
  <si>
    <t>ZOTCHI Komi</t>
  </si>
  <si>
    <t>AMCT (Togo)</t>
  </si>
  <si>
    <t>Docteur</t>
  </si>
  <si>
    <t>kzotchi94@gmail.com</t>
  </si>
  <si>
    <t>ZOTCHI Paulin</t>
  </si>
  <si>
    <t>COMBARI Yemboido Emmanuel</t>
  </si>
  <si>
    <t>Burkina Faso</t>
  </si>
  <si>
    <t>combariemmanuel@gmail.com</t>
  </si>
  <si>
    <t>1, TISSOU Mawussé Sandrine Déborah, female, wife, sandrinetissou73@gmail.com 
 2, COMBARI Yaovi Anaël Lamoudi, male, Son (Date of birth: October 1st 2024)</t>
  </si>
  <si>
    <t xml:space="preserve">TISSOU Mawussé Sandrine Déborah [배우자(아내)]
COMBARI Yaovi Anaël Lamoudi [아들, 2세]
</t>
  </si>
  <si>
    <t>Emmanuel Yemboido COMBARI</t>
  </si>
  <si>
    <t>KALGA DOMINIQUE</t>
  </si>
  <si>
    <t>AMCDB/ Burkina Faso</t>
  </si>
  <si>
    <t>Médecin membre de l’association</t>
  </si>
  <si>
    <t>dominiquekalga7@gmail.com</t>
  </si>
  <si>
    <t>1, Ouedraogo W Rebecca Samuella, female, wife,ouedraogosamuella@gmail.com</t>
  </si>
  <si>
    <t>Dominique Kalga</t>
  </si>
  <si>
    <t>Denis Daniel Babo</t>
  </si>
  <si>
    <t>CMDA Tanzania</t>
  </si>
  <si>
    <t>babodanieldenis@gmail.com</t>
  </si>
  <si>
    <t>AHONSOU KODJO MAWU-LAWOE</t>
  </si>
  <si>
    <t>Association des médecins chrétiens du Togo, Hôpital de l'Espérance de Mango</t>
  </si>
  <si>
    <t>Membre actif, médecin missionnaire</t>
  </si>
  <si>
    <t>ahonsou.ricky@gmail.com</t>
  </si>
  <si>
    <t>1, N'SOUGAN Akossiwa Cyntia Do Flora, épouse, nsougancyntia.com@gmail.com</t>
  </si>
  <si>
    <t>AHONSOU Kodjo Mawu-Lawoe Ricky</t>
  </si>
  <si>
    <t>Tariq Parvewz</t>
  </si>
  <si>
    <t>Christian Medical Fellowship of Pakistan</t>
  </si>
  <si>
    <t>ENIOR MEMBER</t>
  </si>
  <si>
    <t>drtariqparvez@gmail.com</t>
  </si>
  <si>
    <t>Mrs Elizebath Tariq,Female</t>
  </si>
  <si>
    <t>Matata Esther Mutheu</t>
  </si>
  <si>
    <t>Kenya Methodist University,Kenya</t>
  </si>
  <si>
    <t>Memberof the Christian Medical Fellowship-Meru,Kenya</t>
  </si>
  <si>
    <t>matataesther62@gmail.com</t>
  </si>
  <si>
    <t>N'SOUGAN Akossiwa Cyntia Do Flora</t>
  </si>
  <si>
    <t>Association des Médecins chrétiens du Togo, Hôpital de l'Espérance de Mango</t>
  </si>
  <si>
    <t>nsougancyntia.com@gmail.com</t>
  </si>
  <si>
    <t>1, AHONSOU Kodjo Mawu-Lawoe, male, husband, ahonsou.ricky@gmail.com</t>
  </si>
  <si>
    <t>ADAMU ADDISSIE NURAMO</t>
  </si>
  <si>
    <t>ADDIS ABABA UNIVERSITY and CMDDF-Ethiopia</t>
  </si>
  <si>
    <t>MD MPH</t>
  </si>
  <si>
    <t>adamu.addissie@aaau.edu.et</t>
  </si>
  <si>
    <t>adamu.addissie@aau.edu.et</t>
  </si>
  <si>
    <t>Samuel Subba</t>
  </si>
  <si>
    <t>Nepal</t>
  </si>
  <si>
    <t>Norvic International Hospital</t>
  </si>
  <si>
    <t>Medical Officer (House Officer)</t>
  </si>
  <si>
    <t>samuelsubba@daum.net</t>
  </si>
  <si>
    <t>Sayouba OUEDRAOGO</t>
  </si>
  <si>
    <t>SARA FONDATION</t>
  </si>
  <si>
    <t>sayoubadelga@gmail.com</t>
  </si>
  <si>
    <t>KOUMOU EBONGA REINE PASCALE</t>
  </si>
  <si>
    <t>reinekoumou1794@yahoo.fr</t>
  </si>
  <si>
    <t>Reine Pascale KOUMOU EBONGA-TENE LENGUE</t>
  </si>
  <si>
    <t>ATEMBA Ariane Peace Ayoka</t>
  </si>
  <si>
    <t>École de médecine AMADOU Ha</t>
  </si>
  <si>
    <t>atembaayoka@gmail.com</t>
  </si>
  <si>
    <t>George Kwasi Johnson Ghartey</t>
  </si>
  <si>
    <t>Christ Fire Light Chapel</t>
  </si>
  <si>
    <t>Senior District Pastor</t>
  </si>
  <si>
    <t>george.ghartey@outlook.com</t>
  </si>
  <si>
    <t>Nyakato Caroline Nshala</t>
  </si>
  <si>
    <t>carolinenshala@gmail.com</t>
  </si>
  <si>
    <t>Augustine Max Lyamarungu</t>
  </si>
  <si>
    <t>CMDA Tanzania chapter</t>
  </si>
  <si>
    <t>Medical officer (MD)</t>
  </si>
  <si>
    <t>agogomax.am@gmail.com</t>
  </si>
  <si>
    <t>Raoul Mbango</t>
  </si>
  <si>
    <t>PAACS</t>
  </si>
  <si>
    <t>mbangoraoul@gmail.com</t>
  </si>
  <si>
    <t>Raoul MBANGO</t>
  </si>
  <si>
    <t>Irakoze Christian</t>
  </si>
  <si>
    <t>Burundi Christian Medical and Dental Association</t>
  </si>
  <si>
    <t>Advisor, National Committee</t>
  </si>
  <si>
    <t>ichris255@gmail.com</t>
  </si>
  <si>
    <t>Christian Irakoze</t>
  </si>
  <si>
    <t>YELLI Prisca Safiatou Wendlasida</t>
  </si>
  <si>
    <t>N/A</t>
  </si>
  <si>
    <t>priscayelli@gmail.com</t>
  </si>
  <si>
    <t>Zache Bonogo, male, husband, bonogozacchaeus@gmail.com; 
Relwende Eldad Meschac Bonogo, male, son; Eleora Wendrabo Smiley Carmelia Bonogo, daughter</t>
  </si>
  <si>
    <t>Zache Bonogo [배우자(남편)]
 Relwende Eldad Meschac Bonogo [아들, 4세]
 Eleora Wendrabo Smiley Carmelia Bonogo [딸, 1세]</t>
  </si>
  <si>
    <t>YELLI Prisca Wendlasida Safiatou</t>
  </si>
  <si>
    <t>NGABIRE GUY BERTHACIE</t>
  </si>
  <si>
    <t>University of BURUNDI</t>
  </si>
  <si>
    <t>nguyberthacie@gmail.com</t>
  </si>
  <si>
    <t>Guy Berthacie Ngabire</t>
  </si>
  <si>
    <t>Thalita Botelho Cutrim</t>
  </si>
  <si>
    <t>Faculdade Ciências Médicas de Minas Gerais</t>
  </si>
  <si>
    <t>MD</t>
  </si>
  <si>
    <t>thalitabotelhocmmg@gmail.com</t>
  </si>
  <si>
    <t>Priyani Nelum Weerakoon</t>
  </si>
  <si>
    <t>Registered Nurse</t>
  </si>
  <si>
    <t>715nelumweerakoon@gmail.com</t>
  </si>
  <si>
    <t>Nelum Weerakoon</t>
  </si>
  <si>
    <t>HATEGEKIMANA Dany Keynes</t>
  </si>
  <si>
    <t>hdanykeynes@gmail.com</t>
  </si>
  <si>
    <t>HATEGEKIMANA DANY KEYNES</t>
  </si>
  <si>
    <t>BUPE HENRY KIBIKI</t>
  </si>
  <si>
    <t>Kilimanjaro Christian Medical Centre (KCMC)</t>
  </si>
  <si>
    <t>Volunteer : Medical Laboratory Scientist ( MLS )</t>
  </si>
  <si>
    <t>bupe14kibiki@gmail.com</t>
  </si>
  <si>
    <t>Aregbesola Erioluwa Gratitude</t>
  </si>
  <si>
    <t>Christian Medical and Dental Association of Nigeria (CMDA Nigeria)</t>
  </si>
  <si>
    <t>Mr/ Student</t>
  </si>
  <si>
    <t>erioluwaaregbesola@gmail.com</t>
  </si>
  <si>
    <t>Feby Febriyanti Tan</t>
  </si>
  <si>
    <t>Trisakti University</t>
  </si>
  <si>
    <t>Drg. / Dentist</t>
  </si>
  <si>
    <t>Febyfebryanti5922@gmail.com</t>
  </si>
  <si>
    <t>Feby Febryanti</t>
  </si>
  <si>
    <t>생년월일 일치, 이메일 일치, 이름 유사도 85</t>
  </si>
  <si>
    <t>MALEKA Justice Illustre</t>
  </si>
  <si>
    <t>Medicals Sciences Superior Institute</t>
  </si>
  <si>
    <t>justiceillustre@gmail.com</t>
  </si>
  <si>
    <t>Alabi Favour Wealth</t>
  </si>
  <si>
    <t>Bingham University Teaching Hospital, Jos</t>
  </si>
  <si>
    <t>School Academic Secretary of CMDA student arm BHUTH Chapter</t>
  </si>
  <si>
    <t>Favouralabiwealth@gmail.com</t>
  </si>
  <si>
    <t>Alabi Favour</t>
  </si>
  <si>
    <t>INGABIRE Laetitia</t>
  </si>
  <si>
    <t>Rwanda christian Medical and Dental association</t>
  </si>
  <si>
    <t>Worship leader</t>
  </si>
  <si>
    <t>ingabirelaetitia47@gmail.com</t>
  </si>
  <si>
    <t>MASRA NGARMBAYE</t>
  </si>
  <si>
    <t>ASSOCIATION DES MEDECINS ET DENTISTES CHRETIENS DU TCHAD- AMDCT</t>
  </si>
  <si>
    <t>DOCTOR MEMBER</t>
  </si>
  <si>
    <t>nmasra@yahoo.com</t>
  </si>
  <si>
    <t>1, Edith Dekoum Nelembaye, female, Wife, nmasra@yahoo.com
 2, Manaseth Toulaboua Ngarmbaye, male, Son, nmasra@yahoo.com</t>
  </si>
  <si>
    <t xml:space="preserve">Edith Dekoum Nelembaye [배우자(아내)]
Manaseth Toulaboua Ngarmbaye [아들, 2세]
</t>
  </si>
  <si>
    <t>Guy Steve NININAHAZWE</t>
  </si>
  <si>
    <t>Hope Africa University. Burundi Christian medical and dental Association</t>
  </si>
  <si>
    <t>niniguysteve@gmail.com</t>
  </si>
  <si>
    <t>Moussa Oumarou</t>
  </si>
  <si>
    <t>Yacouba</t>
  </si>
  <si>
    <t>AMPCN</t>
  </si>
  <si>
    <t>Leader Étudiant</t>
  </si>
  <si>
    <t>yacouboum33@gmail.com</t>
  </si>
  <si>
    <t>MUPFASONI BELYSE</t>
  </si>
  <si>
    <t>UNIVERSITY OF NGOZI</t>
  </si>
  <si>
    <t>DR</t>
  </si>
  <si>
    <t>mupfasonib1@gmail.com</t>
  </si>
  <si>
    <t>NTITENGUHA ALLADIN</t>
  </si>
  <si>
    <t>ASOME( adventist school of medicine of east central africa)</t>
  </si>
  <si>
    <t>undergraduate student at ASOME CMSF(christian medical student fellowship) LEADER</t>
  </si>
  <si>
    <t>ntitenguhaalladin112@gmail.com</t>
  </si>
  <si>
    <t>Ntitenguha Alladin</t>
  </si>
  <si>
    <t>BARAKA CHIZA Bénédicte</t>
  </si>
  <si>
    <t>-</t>
  </si>
  <si>
    <t>AMC/RDC</t>
  </si>
  <si>
    <t>Membre</t>
  </si>
  <si>
    <t>benedicteakonkwa66@gmail.com</t>
  </si>
  <si>
    <t>MAMBO MUSAFIRI Philippe</t>
  </si>
  <si>
    <t>AMC DRC, Kampala International University</t>
  </si>
  <si>
    <t>Provincial Representative to the Ministry of Students and SHO (Resident)</t>
  </si>
  <si>
    <t>philippemusafirimambo@gmail.com</t>
  </si>
  <si>
    <t>Philippe MAMBO MUSAFIRI</t>
  </si>
  <si>
    <t>Iryna Hushcha</t>
  </si>
  <si>
    <t>Fieldworker</t>
  </si>
  <si>
    <t>hushchairyna@gmail.com</t>
  </si>
  <si>
    <t>june 30, July 1, July 2, July 3, July 4</t>
  </si>
  <si>
    <t>Timothy Tam</t>
  </si>
  <si>
    <t>Canada</t>
  </si>
  <si>
    <t>Christian Medical Dental association Canada</t>
  </si>
  <si>
    <t>Treasurer</t>
  </si>
  <si>
    <t>timtamdmd@gmail.com</t>
  </si>
  <si>
    <t>Remy Tam female and wife</t>
  </si>
  <si>
    <t>Mathew Santhosh Thomas</t>
  </si>
  <si>
    <t>Training in Charge</t>
  </si>
  <si>
    <t>santhosh.mathew@icmda.net</t>
  </si>
  <si>
    <t>1 Saira Paulose, wife</t>
  </si>
  <si>
    <t>Gloria Gyamaa Kyeremeh</t>
  </si>
  <si>
    <t>Ghana Christian Medical and dental fellowship</t>
  </si>
  <si>
    <t>Anglophone West Africa AR</t>
  </si>
  <si>
    <t>glorey2013@gmail.com</t>
  </si>
  <si>
    <t>Ebenezer Kofi Apraku, male, husband , aseprak@yahoo.com</t>
  </si>
  <si>
    <t>Sofako Améganvi EGLOH</t>
  </si>
  <si>
    <t>CMF TOGO</t>
  </si>
  <si>
    <t>esofak81@gmail.com</t>
  </si>
  <si>
    <t>1, Afi Kafui BANIBA ATOKO Epse EGLOH, Female, Spouse, kbaniba@gmail.com
 2, Betsaleel Ewousika Améganvi EGLOH, Male, Child, esofak81@gmail.com</t>
  </si>
  <si>
    <t xml:space="preserve">Afi Kafui BANIBA ATOKO Epse EGLOH [배우자(아내)]
Betsaleel Ewousika Améganvi EGLOH [자녀, 3세]
</t>
  </si>
  <si>
    <t>Améganvi Sofako EGLOH</t>
  </si>
  <si>
    <t>Lucky Sarjono Buranda</t>
  </si>
  <si>
    <t>Indonesia CMDF</t>
  </si>
  <si>
    <t>MD / Department of Mission</t>
  </si>
  <si>
    <t>mdburanda@gmail.com</t>
  </si>
  <si>
    <t>LAY LINHHAK</t>
  </si>
  <si>
    <t>Cambodia</t>
  </si>
  <si>
    <t>University Of Health Sciences</t>
  </si>
  <si>
    <t>linhhak213@gmail.com</t>
  </si>
  <si>
    <t>Naro Sodavid, Male, Friend, narodavidktc@gmail.com</t>
  </si>
  <si>
    <t>Naro Sodavid</t>
  </si>
  <si>
    <t>University of Health Sciences</t>
  </si>
  <si>
    <t>narodavidktc@gmail.com</t>
  </si>
  <si>
    <t>Lay Linhhak ,male,friend, linhhak213@gmail.com</t>
  </si>
  <si>
    <t>NARO SODAVID</t>
  </si>
  <si>
    <t>CHHANGSOUR YMEY</t>
  </si>
  <si>
    <t>University of health and sciences</t>
  </si>
  <si>
    <t>Medical students</t>
  </si>
  <si>
    <t>meyboy77@gmail.com</t>
  </si>
  <si>
    <t>ChhangSour Ymey</t>
  </si>
  <si>
    <t>TOUCH KEOMONEY</t>
  </si>
  <si>
    <t>University of Health and Sciences</t>
  </si>
  <si>
    <t>keomonyclever@gmail.com</t>
  </si>
  <si>
    <t>KEOMONEY TOUCH</t>
  </si>
  <si>
    <t>CHHORM SOVANROZA</t>
  </si>
  <si>
    <t>University of health sciences</t>
  </si>
  <si>
    <t>thomasroza66@gmail.com</t>
  </si>
  <si>
    <t>CHHORM Sovanroza</t>
  </si>
  <si>
    <t>Socheata Sokun</t>
  </si>
  <si>
    <t>socheatasokun08@gmail.com</t>
  </si>
  <si>
    <t>Mario botross zakaria gohar</t>
  </si>
  <si>
    <t>Quesna central hospital.</t>
  </si>
  <si>
    <t>Pharmacist</t>
  </si>
  <si>
    <t>Mariobotross2@ gmail.com</t>
  </si>
  <si>
    <t>bursary(신규)</t>
  </si>
  <si>
    <t>Mario Botros Zakaria</t>
  </si>
  <si>
    <t>Mariobotross2@Gmail.com</t>
  </si>
  <si>
    <t>생년월일 일치, 이름 유사도 85</t>
  </si>
  <si>
    <t>SOKUN VANNYLA</t>
  </si>
  <si>
    <t>International University</t>
  </si>
  <si>
    <t>Pharmacist Student</t>
  </si>
  <si>
    <t>vanilapipi2@gmail.com</t>
  </si>
  <si>
    <t>SOKUN SOCHEATA</t>
  </si>
  <si>
    <t>Sokun Vannyla</t>
  </si>
  <si>
    <t>Hannah Meas</t>
  </si>
  <si>
    <t>미어 한나</t>
  </si>
  <si>
    <t>International University (IU)</t>
  </si>
  <si>
    <t>meashannah0106@gmail.com</t>
  </si>
  <si>
    <t>I don’t bring any family members but i have my friends, her name is Vannila and Money</t>
  </si>
  <si>
    <t>MEAS HANNAH</t>
  </si>
  <si>
    <t>DAYANE GONÇALVES DA SILVA</t>
  </si>
  <si>
    <t>다야네</t>
  </si>
  <si>
    <t>MÉDICOS DE CRISTO</t>
  </si>
  <si>
    <t>REPRESENTANTE MISSÕES GRUPO LOCAL MDC BH</t>
  </si>
  <si>
    <t>dayanew17@gmail.com</t>
  </si>
  <si>
    <t>PARE STEVEN</t>
  </si>
  <si>
    <t>Hôpital PROTESTANTE SCHIPHRA</t>
  </si>
  <si>
    <t>Nurse</t>
  </si>
  <si>
    <t>paresteven01@gmail.com</t>
  </si>
  <si>
    <t>Oui 2 personnes m'a femme Zongo TOUNWENDSIDA Micheline et notre bébé PARE ETHAN MATHIS.</t>
  </si>
  <si>
    <t>Zongo TOUNWENDSIDA Micheline(배우자, 아내)
 PARE ETHAN MATHIS.(자녀)</t>
  </si>
  <si>
    <t>3명(배우자 1명, 자녀 1명)</t>
  </si>
  <si>
    <t>STEVEN PARE</t>
  </si>
  <si>
    <t>BUDHA MANI DUNGANA</t>
  </si>
  <si>
    <t>Bhutan</t>
  </si>
  <si>
    <t>GREAT COMMISSION PROJECT</t>
  </si>
  <si>
    <t>COMMISSSIONER</t>
  </si>
  <si>
    <t>benjiruth1968@gmail.com</t>
  </si>
  <si>
    <t>Pre-Conference Only</t>
  </si>
  <si>
    <t>Paul Mwangi Murage</t>
  </si>
  <si>
    <t>Christian Medical Fellowship Kenya</t>
  </si>
  <si>
    <t>Admin assistant</t>
  </si>
  <si>
    <t>paulmwangimurage2047@gmail.com</t>
  </si>
  <si>
    <t>Murage Paul Mwangi</t>
  </si>
  <si>
    <t>Tania Gahama Ineza</t>
  </si>
  <si>
    <t>Secretary</t>
  </si>
  <si>
    <t>gahamatania@gmail.com</t>
  </si>
  <si>
    <t>KIM KYUNGJOONG</t>
  </si>
  <si>
    <t>김경중</t>
  </si>
  <si>
    <t>Korea, Rep.</t>
  </si>
  <si>
    <t>Mercy Medical Center Cambodia / OMF, CMF</t>
  </si>
  <si>
    <t>Gastroenterologist / Missionary</t>
  </si>
  <si>
    <t>jabezkj@gmail.com</t>
  </si>
  <si>
    <t>KYUNGJOONG KIM</t>
  </si>
  <si>
    <t>MUTAMBA KITENGYE BESTON</t>
  </si>
  <si>
    <t>ICMDAS</t>
  </si>
  <si>
    <t>bestonmutamba@gmail.com</t>
  </si>
  <si>
    <t>Beston Mutamba Kitengye</t>
  </si>
  <si>
    <t>Gerelmaa Jargalsaikhan</t>
  </si>
  <si>
    <t>Mongolia</t>
  </si>
  <si>
    <t>Agape Christian Hospital of Mongolia</t>
  </si>
  <si>
    <t>Dr / Surgeon</t>
  </si>
  <si>
    <t>drgerelmaa@ubach.org</t>
  </si>
  <si>
    <t>Yameen Khan Younatan</t>
  </si>
  <si>
    <t>Christian Medical Fellowship, Pakistan</t>
  </si>
  <si>
    <t>Coordinator</t>
  </si>
  <si>
    <t>yameen.k1997@gmail.com</t>
  </si>
  <si>
    <t>Ean Meylik</t>
  </si>
  <si>
    <t>Norton University</t>
  </si>
  <si>
    <t>meyli0602@gmail.com</t>
  </si>
  <si>
    <t>Eat Rithratana</t>
  </si>
  <si>
    <t>Health Science Institute Of RCAF</t>
  </si>
  <si>
    <t>ratanaeat270@gmail.com</t>
  </si>
  <si>
    <t>Sak Lyza</t>
  </si>
  <si>
    <t>saklyza970@gmail.com</t>
  </si>
  <si>
    <t>TRAY CHEAVKUN</t>
  </si>
  <si>
    <t>Cambodian Christian Medical Fellowship</t>
  </si>
  <si>
    <t>traykun@live.com</t>
  </si>
  <si>
    <t>Yes my family, ANG SREYNIN, Female, wife, angsreynin@gmail.com and one daughter 3years old female.</t>
  </si>
  <si>
    <t>ANG SREYNIN [배우자(아내)]
 one daughter [딸, 3세]</t>
  </si>
  <si>
    <t>Kpoughor Watchman</t>
  </si>
  <si>
    <t>Jos University Teaching Hospital, Lamingo, Jos, Plateau State, Nigeria</t>
  </si>
  <si>
    <t>kpoughorw@gmail.com</t>
  </si>
  <si>
    <t>Iveeltsetseg Gelegjamts</t>
  </si>
  <si>
    <t>이웰체첵</t>
  </si>
  <si>
    <t>Ach medical university</t>
  </si>
  <si>
    <t>medical student</t>
  </si>
  <si>
    <t>iveelxo@gmail.com</t>
  </si>
  <si>
    <t>Munkhsuld</t>
  </si>
  <si>
    <t>Mongolian National University of Medical Sciences</t>
  </si>
  <si>
    <t>Munkhsuldsoyolsaihan@gmail.com</t>
  </si>
  <si>
    <t>Grishenok Alena</t>
  </si>
  <si>
    <t xml:space="preserve">ICMDA </t>
  </si>
  <si>
    <t xml:space="preserve">ICMDA Eurasia fieldworker (Russia) </t>
  </si>
  <si>
    <t>alenamely@gmail.com</t>
  </si>
  <si>
    <t>NAOMI BATWEL LOTTO</t>
  </si>
  <si>
    <t>No</t>
  </si>
  <si>
    <t>naomylotto2@gmail.com</t>
  </si>
  <si>
    <t>HESHIMA BOSHI HERVE</t>
  </si>
  <si>
    <t>UNIVERSITE PROTESTANTE AU CONGO, HEAL AFRICA HOSPITAL</t>
  </si>
  <si>
    <t>FAMILY MEDICINE RESIDENT</t>
  </si>
  <si>
    <t>herveheshima@gmail.com</t>
  </si>
  <si>
    <t>Dyhia ALLACHE</t>
  </si>
  <si>
    <t>Algeria</t>
  </si>
  <si>
    <t>Eph azazga maghnem lounis</t>
  </si>
  <si>
    <t>General practitioner</t>
  </si>
  <si>
    <t>dy.allache@gmail.com</t>
  </si>
  <si>
    <t>Jeremiah Abdul Akim Jalloh</t>
  </si>
  <si>
    <t>Sierra Leone</t>
  </si>
  <si>
    <t>Mohamed V University - Rabat, Morcco.</t>
  </si>
  <si>
    <t>Medical Intern</t>
  </si>
  <si>
    <t>jallohjeremiah@gmail.com</t>
  </si>
  <si>
    <t>Julius Lucas Mwimo</t>
  </si>
  <si>
    <t>Post Graduate student</t>
  </si>
  <si>
    <t>juliusmwimo@gmail.com</t>
  </si>
  <si>
    <t>Julius Mwimo</t>
  </si>
  <si>
    <t>TUMAINI OMBENI CROYANCE</t>
  </si>
  <si>
    <t>Croyance</t>
  </si>
  <si>
    <t>Evangelic university of Africa</t>
  </si>
  <si>
    <t>General Physician</t>
  </si>
  <si>
    <t>croyancetumaini0gmail. com</t>
  </si>
  <si>
    <t>Yes one Daniel MPEZ My husband</t>
  </si>
  <si>
    <t>Tumaini OMBENI CROYANCE</t>
  </si>
  <si>
    <t>Croyancetumaini0@gmail.com</t>
  </si>
  <si>
    <t>Mpez Tshimwang Daniel Irenge</t>
  </si>
  <si>
    <t>Daniel</t>
  </si>
  <si>
    <t>University of Lubumbashi</t>
  </si>
  <si>
    <t>mpezdaniel@gmail.com</t>
  </si>
  <si>
    <t>1 Croyance TUMAINI Female my Wife</t>
  </si>
  <si>
    <t>Timothy Anton Anavhe Okhai</t>
  </si>
  <si>
    <t>Healthcare Christian Fellowship International</t>
  </si>
  <si>
    <t>Global Saline Coordinator</t>
  </si>
  <si>
    <t>timokhai@yahoo.co.uk</t>
  </si>
  <si>
    <t>Timothy Anton Okhai</t>
  </si>
  <si>
    <t>Kesanta Gift James</t>
  </si>
  <si>
    <t>ICMDA Tanzanian chapter</t>
  </si>
  <si>
    <t>giftjkesa@gmail.com</t>
  </si>
  <si>
    <t>Gift Kesanta</t>
  </si>
  <si>
    <t>Lema Rahel Lawrence</t>
  </si>
  <si>
    <t>ICMDA Tanzanian Chapter</t>
  </si>
  <si>
    <t>rahellema20@gmail.com</t>
  </si>
  <si>
    <t>Rahel Lawrence Lema</t>
  </si>
  <si>
    <t>Louisa Nneka</t>
  </si>
  <si>
    <t>Nwachukwu</t>
  </si>
  <si>
    <t>CMDA /PAACS</t>
  </si>
  <si>
    <t>drlouisann@gmail.com</t>
  </si>
  <si>
    <t>Louisa Nneka Nwachukwu</t>
  </si>
  <si>
    <t>Queenly Dzidzor Abla Hattoh</t>
  </si>
  <si>
    <t>Ghana Christian Medical and Dental Fellowship, Tamale Teaching Hospital</t>
  </si>
  <si>
    <t>queenlylasidzi@gmail.com</t>
  </si>
  <si>
    <t>Queenly Dzidzor Hattoh</t>
  </si>
  <si>
    <t>Gabriel Laston Ndabila</t>
  </si>
  <si>
    <t>Kilimanjaro Christian Medical Centre</t>
  </si>
  <si>
    <t>gabrielndabila88@gmail.com</t>
  </si>
  <si>
    <t>Gabriel L Ndabila</t>
  </si>
  <si>
    <t>생년월일 일치, 이메일 일치, 이름 유사도 94</t>
  </si>
  <si>
    <t xml:space="preserve">Cynthia Thuo </t>
  </si>
  <si>
    <t>Moi University College of Health Sciences</t>
  </si>
  <si>
    <t>cynthia511w@gmail.com</t>
  </si>
  <si>
    <t>Cynthia Thuo</t>
  </si>
  <si>
    <t xml:space="preserve">Aquilas ELSHA BISIMWA </t>
  </si>
  <si>
    <t>AMC-RDC</t>
  </si>
  <si>
    <t xml:space="preserve">Chargé du forum d'intercession </t>
  </si>
  <si>
    <t>aquilasbisimwa3@gmail.com</t>
  </si>
  <si>
    <t>June 29</t>
  </si>
  <si>
    <t>Aquilas ELISHA BISIMWA</t>
  </si>
  <si>
    <t>Amy Eapen Mathew</t>
  </si>
  <si>
    <t>Madhipura Christian Hospital</t>
  </si>
  <si>
    <t>Anesthesiologist; Community Physician</t>
  </si>
  <si>
    <t>amyeapenmathew@gmail.com</t>
  </si>
  <si>
    <t>Naina Johnson</t>
  </si>
  <si>
    <t>Madhipura Christian Hospital, Madhepura, Bihar</t>
  </si>
  <si>
    <t>Senior Dental Consultant</t>
  </si>
  <si>
    <t>nainajohnson31@gmail.com</t>
  </si>
  <si>
    <t>Casey Gerlach</t>
  </si>
  <si>
    <t>United States</t>
  </si>
  <si>
    <t>Michigan State University College of Osteopathic Medicine</t>
  </si>
  <si>
    <t>Third Year Medical Student</t>
  </si>
  <si>
    <t>gerlac27@msu.edu</t>
  </si>
  <si>
    <t>bursary(확인서 완)</t>
  </si>
  <si>
    <t>Adeoye Blessing Tinuola</t>
  </si>
  <si>
    <t>Ekiti State University</t>
  </si>
  <si>
    <t>blessingtinuola21@gmail.com</t>
  </si>
  <si>
    <t>Chua Yi Dao</t>
  </si>
  <si>
    <t>Singapore</t>
  </si>
  <si>
    <t>University of Otago, New Zealand</t>
  </si>
  <si>
    <t>yidaochua@gmail.com</t>
  </si>
  <si>
    <t>Yidao Chua</t>
  </si>
  <si>
    <t>생년월일 일치, 이메일 일치, 이름 유사도 76</t>
  </si>
  <si>
    <t>FREDERIK WILLEM JOHANNES KELLERMAN</t>
  </si>
  <si>
    <t>SOUTH AFRICA</t>
  </si>
  <si>
    <t>HCFI (Healthcare Christian Fellowship International) and CMC (Christian Medical College)</t>
  </si>
  <si>
    <t>frikkie@live.co.za</t>
  </si>
  <si>
    <t>Frederik Willem Johannes Kellerman</t>
  </si>
  <si>
    <t>Oubda Ouedraogo Zinéwendé Patoensamba</t>
  </si>
  <si>
    <t>Hôpital protestant Schiphra</t>
  </si>
  <si>
    <t>sissi83fr@yahoo.fr</t>
  </si>
  <si>
    <t>SAWADOGO</t>
  </si>
  <si>
    <t>Pamoussa</t>
  </si>
  <si>
    <t>AMDCB</t>
  </si>
  <si>
    <t>Organisator</t>
  </si>
  <si>
    <t>pamsawa13do69@gmail.com</t>
  </si>
  <si>
    <t>2, ILBOUDO Dorcas,femme; SAWADOGO Prince-Junior Boinzemwendé Othniel,fils</t>
  </si>
  <si>
    <t>ILBOUDO Dorcas [동반자]
 SAWADOGO Prince Junior Boinzemwendé Othniel [아들]</t>
  </si>
  <si>
    <t>SAWADOGO Pamoussa</t>
  </si>
  <si>
    <t>Silas Cesar da Silva Ribeiro</t>
  </si>
  <si>
    <t>실라스</t>
  </si>
  <si>
    <t>Pontifical Catholic University of Minas Gerais (PUC)</t>
  </si>
  <si>
    <t>silascesar@hotmail.com</t>
  </si>
  <si>
    <t>Obichukwu Chukwunonso Bill-Clinton</t>
  </si>
  <si>
    <t>오비추쿠 추쿠논소 빌 클린턴</t>
  </si>
  <si>
    <t>University of Nigeria</t>
  </si>
  <si>
    <t>obichukwuclinton@gmail.com</t>
  </si>
  <si>
    <t>Chukwunonso Bill-Clinton Obichukwu</t>
  </si>
  <si>
    <t>Obichukwuclinton@gmail.com</t>
  </si>
  <si>
    <t>Kimbugwe Denis</t>
  </si>
  <si>
    <t>MUJHU CARE Ltd</t>
  </si>
  <si>
    <t>denisskimbigwe@gmail.com</t>
  </si>
  <si>
    <t>denisskimbugwe@gmail.com</t>
  </si>
  <si>
    <t>OBI-AGUOCHA ADAUGO CHINYERE</t>
  </si>
  <si>
    <t>Christian Medical and Dental Association of Nigeria-Students' (Gregory University Teaching Hospital Chapter)</t>
  </si>
  <si>
    <t>adaceejay307@gmail.com</t>
  </si>
  <si>
    <t>Adaugo Obi-Aguocha</t>
  </si>
  <si>
    <t>Odhiambo Clara Atieno</t>
  </si>
  <si>
    <t>Uganda Christian Medical Fellowship</t>
  </si>
  <si>
    <t>Surgeon- oncologist</t>
  </si>
  <si>
    <t>atienoclara@gmail.com</t>
  </si>
  <si>
    <t>Clara Odhiambo</t>
  </si>
  <si>
    <t xml:space="preserve">Nematova Kanymzhan </t>
  </si>
  <si>
    <t>내맛어와 가늠잔</t>
  </si>
  <si>
    <t>Fontan jizni</t>
  </si>
  <si>
    <t>nematovakanymzan@gmail.com</t>
  </si>
  <si>
    <t>Нематова Канымжан Ыктыяровна</t>
  </si>
  <si>
    <t>Laissa MUTUNZI TETA</t>
  </si>
  <si>
    <t>None</t>
  </si>
  <si>
    <t>UNIVERSITY OF RWANDA</t>
  </si>
  <si>
    <t>tetalaissa2005@gmail.com</t>
  </si>
  <si>
    <t>June 29, June 30</t>
  </si>
  <si>
    <t>Ndizihiwe Parfait</t>
  </si>
  <si>
    <t>Adventist school of Medicine of East Central Africa-ASOME-AUCA</t>
  </si>
  <si>
    <t>parfaitndizihiwe@gmail.com</t>
  </si>
  <si>
    <t>Chris Ishimwe</t>
  </si>
  <si>
    <t>chrisishimmwe@gmail.com</t>
  </si>
  <si>
    <t>CHRIS ISHIMWE</t>
  </si>
  <si>
    <t>POLAD SAMADOV</t>
  </si>
  <si>
    <t>Azerbaijan</t>
  </si>
  <si>
    <t>Orthodent Dental Clinic</t>
  </si>
  <si>
    <t>dr.polad.samedov@gmail.com</t>
  </si>
  <si>
    <t>Polad Samadov</t>
  </si>
  <si>
    <t>Prakash Giri</t>
  </si>
  <si>
    <t>Christian Leader Institute</t>
  </si>
  <si>
    <t>girinepal@gmail.com</t>
  </si>
  <si>
    <t>Asmita Ligal, female, wife</t>
  </si>
  <si>
    <t>Gena kerollos dawood gerges</t>
  </si>
  <si>
    <t>CMF</t>
  </si>
  <si>
    <t>ENT specialist</t>
  </si>
  <si>
    <t>genakerollos@gmail.com</t>
  </si>
  <si>
    <t>Ramy nabil, male , husband, ramyzakharious@gmail.com +
 holy ramy, female , daughter, 11 years old + heaven ramy, female, daughter, 6 years old</t>
  </si>
  <si>
    <t>Ramy nabil [배우자(남편)]
 holy ramy [딸, 11세]
 heaven ramy [딸, 6세]</t>
  </si>
  <si>
    <t>Amir Hashim Mgonja</t>
  </si>
  <si>
    <t>KCMC Zonal Hospital</t>
  </si>
  <si>
    <t>Intern Medical Doctor</t>
  </si>
  <si>
    <t>amir.hashim2015@gmail.com</t>
  </si>
  <si>
    <t>Edjoy Karimi Muriungi</t>
  </si>
  <si>
    <t>Lifecare Hospital</t>
  </si>
  <si>
    <t>Locum Medical Officer</t>
  </si>
  <si>
    <t>edjoykarimi@gmail.com</t>
  </si>
  <si>
    <t>Frankie K. Fahnbulleh</t>
  </si>
  <si>
    <t>Liberia</t>
  </si>
  <si>
    <t>A.M. Dogliotti School of Medicine, University of Liberia</t>
  </si>
  <si>
    <t>President, CMDA-Liberia Students' Arm</t>
  </si>
  <si>
    <t>fahnbullehfrankie31@gmail.com</t>
  </si>
  <si>
    <t>Donald Kafa</t>
  </si>
  <si>
    <t>Solomon Islands</t>
  </si>
  <si>
    <t>Oceania ICMDA</t>
  </si>
  <si>
    <t>kafadonald@gmail.com</t>
  </si>
  <si>
    <t>June 29, June 30, July 1</t>
  </si>
  <si>
    <t>Elnisha Donald Kafa, 13 year old Son, email: kafadonald@gmail.com</t>
  </si>
  <si>
    <t>Elnisha Donald Kafa [아들, 13세]</t>
  </si>
  <si>
    <t>Glory Mutheu Mutethya</t>
  </si>
  <si>
    <t>glmutheu6@gmail.com</t>
  </si>
  <si>
    <t>Glory Mutheu</t>
  </si>
  <si>
    <t>Diane Umutoni</t>
  </si>
  <si>
    <t>udiane0711@gmail.com</t>
  </si>
  <si>
    <t>Murangwa Gashami Guinolee</t>
  </si>
  <si>
    <t>무랑과 가샤미 귀놀리</t>
  </si>
  <si>
    <t>Adventist School of Medicine of East-Central Africa</t>
  </si>
  <si>
    <t>gashamiguinole@gmail.com</t>
  </si>
  <si>
    <t>Regis NDUWAYO RUDAKUBANA</t>
  </si>
  <si>
    <t>Regis</t>
  </si>
  <si>
    <t>nduwayoregis8@gmail.com</t>
  </si>
  <si>
    <t>NDUWAYO Rudakubana Regis</t>
  </si>
  <si>
    <t>Umwiza Mujawayezu Belinda</t>
  </si>
  <si>
    <t>움위자 무자와예주 벨린다</t>
  </si>
  <si>
    <t>Adventist school of Medecine of East-Central Africa</t>
  </si>
  <si>
    <t>Belindau@asome.health</t>
  </si>
  <si>
    <t>Melanny Andrea Ramírez Villagra</t>
  </si>
  <si>
    <t>Costa Rica</t>
  </si>
  <si>
    <t>MasCristo Asociation (ICMDA Costa Rica)</t>
  </si>
  <si>
    <t>Cordinator of Dentistry Department</t>
  </si>
  <si>
    <t>melarami.v@gmail.com</t>
  </si>
  <si>
    <t>ISHIMWE MUGABE MAURICE</t>
  </si>
  <si>
    <t>mugabemoor@gmail.com</t>
  </si>
  <si>
    <t>Maurice ISHIMWE MUGABE</t>
  </si>
  <si>
    <t>Asel Dzholdosheva</t>
  </si>
  <si>
    <t>Asian International Institute named after S.Tentishev</t>
  </si>
  <si>
    <t>Lecturer</t>
  </si>
  <si>
    <t>adamgerchilik@yandex.ru</t>
  </si>
  <si>
    <t>Rakhatbek Satarkulov, male, husband, aseldzholdosheva4@gmail.ru</t>
  </si>
  <si>
    <t>Gertrude Uwase</t>
  </si>
  <si>
    <t>uwasegetu@gmail.com</t>
  </si>
  <si>
    <t>RASOARIMANANA Sahondra Paskaline</t>
  </si>
  <si>
    <t>Madagascar</t>
  </si>
  <si>
    <t>CMDA Madagascar</t>
  </si>
  <si>
    <t>National Leader</t>
  </si>
  <si>
    <t>randriasahondra@gmail.com</t>
  </si>
  <si>
    <t>Rasoarimanana Sahondra Paskaline</t>
  </si>
  <si>
    <t>Marthalyn Evelyn Moulton-Mulbah</t>
  </si>
  <si>
    <t>A. M. Dogliotti College of Medicine</t>
  </si>
  <si>
    <t>marthalynemoulton@gmail.com</t>
  </si>
  <si>
    <t>June 29, June 30, July 1, July 3, July 4</t>
  </si>
  <si>
    <t>Marthalyn Evelyn Moulton -Mulbah</t>
  </si>
  <si>
    <t>Rose</t>
  </si>
  <si>
    <t>로즈 (Ro-jeu)</t>
  </si>
  <si>
    <t>University of Pretoria</t>
  </si>
  <si>
    <t>rosempangele@gmail.com</t>
  </si>
  <si>
    <t>Rose Mpangele</t>
  </si>
  <si>
    <t>Kathleen Njeri Kabeu</t>
  </si>
  <si>
    <t>University of Nairobi</t>
  </si>
  <si>
    <t>kabeu.kate@gmail.com</t>
  </si>
  <si>
    <t>Michal Belan</t>
  </si>
  <si>
    <t>Slovak Republic</t>
  </si>
  <si>
    <t>Palacky University Olomouc</t>
  </si>
  <si>
    <t>michal.belan3@gmail.com</t>
  </si>
  <si>
    <t>Jeremiah jamil</t>
  </si>
  <si>
    <t>Continental medical college</t>
  </si>
  <si>
    <t>Jeremiahjamil21@gmail.com</t>
  </si>
  <si>
    <t>Cynthia Kendi Mugendi</t>
  </si>
  <si>
    <t>Chuka County Referral Hospital</t>
  </si>
  <si>
    <t>Dr/Medical Officer</t>
  </si>
  <si>
    <t>cynthiakendi997@gmail.com</t>
  </si>
  <si>
    <t>Talitha Formagio Telles</t>
  </si>
  <si>
    <t>Centro Universitário Integrado of Campo Mourão</t>
  </si>
  <si>
    <t>Teacher</t>
  </si>
  <si>
    <t>tformagiotelles@hotmail.com</t>
  </si>
  <si>
    <t>Thors D. Weah</t>
  </si>
  <si>
    <t>A.M. Dogloitti College of Medicine</t>
  </si>
  <si>
    <t>wilkindness6@gmail.com</t>
  </si>
  <si>
    <t>GINGER-EKE CHUKWUEMEKA MICHEAL</t>
  </si>
  <si>
    <t>ALEX EKWUEME FEDERAL UNIVERSITY TEACHING HOSPITAL ABAKALIKI</t>
  </si>
  <si>
    <t>gingerekechukwuemeka76@gmail.com</t>
  </si>
  <si>
    <t>GINGER-EKE CHUKWUEMEKA</t>
  </si>
  <si>
    <t>Jin Hung</t>
  </si>
  <si>
    <t>New Zealand</t>
  </si>
  <si>
    <t>Ms/Student</t>
  </si>
  <si>
    <t>jadehung111@gmail.com</t>
  </si>
  <si>
    <t>Jade Hung</t>
  </si>
  <si>
    <t>Mirjan N Kweenda</t>
  </si>
  <si>
    <t>Namibia</t>
  </si>
  <si>
    <t>University of Namibia, School of Medicine</t>
  </si>
  <si>
    <t>mirjankweenda@gmail.com</t>
  </si>
  <si>
    <t>Chhi Layheang</t>
  </si>
  <si>
    <t>chhilayheang2356@gmail.com</t>
  </si>
  <si>
    <t>Hong Sovannlina</t>
  </si>
  <si>
    <t>hong.sovannlina@gmail.com</t>
  </si>
  <si>
    <t>Un Khansachja</t>
  </si>
  <si>
    <t>callmesachja@gmail.com</t>
  </si>
  <si>
    <t>Tabitha Miriam Leinfellner</t>
  </si>
  <si>
    <t>tabi.leinfellner@yahoo.com</t>
  </si>
  <si>
    <t>Tabitha Leinfellner</t>
  </si>
  <si>
    <t>Okoye Dubem Victoria</t>
  </si>
  <si>
    <t>University of Nigeria Teaching Hospital, Enugu</t>
  </si>
  <si>
    <t>okoyedubemvictoria@gmail.com</t>
  </si>
  <si>
    <t>Joel Humphery Makyao</t>
  </si>
  <si>
    <t>조엘 험프리 마키야오</t>
  </si>
  <si>
    <t>KCMC UNIVERSITY</t>
  </si>
  <si>
    <t>joelhumpherymakyao@gmail.com</t>
  </si>
  <si>
    <t>SSEMPEEBWA REAGAN</t>
  </si>
  <si>
    <t>셈페브와 리건</t>
  </si>
  <si>
    <t>Lira university</t>
  </si>
  <si>
    <t>Lira CMF member</t>
  </si>
  <si>
    <t>reaganzssempeebwa@gmail.com</t>
  </si>
  <si>
    <t>Sandra Marcela Zeballos Ampuero</t>
  </si>
  <si>
    <t>Bolivia</t>
  </si>
  <si>
    <t>Fieldworker, Área representative for Bolivia, Ecuador, Paraguay y Perú.</t>
  </si>
  <si>
    <t>marce.zeb@gmail.com</t>
  </si>
  <si>
    <t>Ngene Priscilla Chinaemerem</t>
  </si>
  <si>
    <t>AEFUNAI/AEFUTHA/CMDA</t>
  </si>
  <si>
    <t>chinaemerempriscilla@gmail.com</t>
  </si>
  <si>
    <t>Gitau Mary Wathika</t>
  </si>
  <si>
    <t>Kenyatta National Hospital</t>
  </si>
  <si>
    <t>wathish@gmail.com</t>
  </si>
  <si>
    <t>Mary Wathika Gitau</t>
  </si>
  <si>
    <t>SHANA JANSEN VAN RENSBURG</t>
  </si>
  <si>
    <t>University of Cape Town Christian Medical Fellowship</t>
  </si>
  <si>
    <t>Administrator</t>
  </si>
  <si>
    <t>shanajvr@gmail.com</t>
  </si>
  <si>
    <t>Shana Jansen van Rensburg</t>
  </si>
  <si>
    <t>Katarína Čupková</t>
  </si>
  <si>
    <t>Ostravská univerzita</t>
  </si>
  <si>
    <t>cup.katka@gmail.com</t>
  </si>
  <si>
    <t>Sidbéwendin Abdoul Aziz nazer Tapsoba</t>
  </si>
  <si>
    <t>Centre hospitalier de manga ( Burkina faso)</t>
  </si>
  <si>
    <t>Students</t>
  </si>
  <si>
    <t>aziztapsoba28@gmail.com</t>
  </si>
  <si>
    <t>LUANDA M LUTYATSO Justin</t>
  </si>
  <si>
    <t>AMC DR Congo</t>
  </si>
  <si>
    <t>Deputy National Secretary responsible for relations with regional committees</t>
  </si>
  <si>
    <t>jmluand2024@gmail.com</t>
  </si>
  <si>
    <t>1. Reine NSIMIRE BITWENGE, Female, Spouse, reinensim02@gmail.com</t>
  </si>
  <si>
    <t>LUANDA M. LUTYATSO Justin</t>
  </si>
  <si>
    <t>Esther Mukosi Mulunji</t>
  </si>
  <si>
    <t>A.I.C Litein Hospital</t>
  </si>
  <si>
    <t>mukosimulunji@gmail.com</t>
  </si>
  <si>
    <t>Wambede Jonathan Christopher</t>
  </si>
  <si>
    <t>Lira University</t>
  </si>
  <si>
    <t>jonathancwambede@gmail.com</t>
  </si>
  <si>
    <t>Ndikum che Bleck</t>
  </si>
  <si>
    <t>CHRISTIAN HEALTHCARE FELLOWSHIP CAMEROON</t>
  </si>
  <si>
    <t>Secretary general of the organization</t>
  </si>
  <si>
    <t>bleckche@gmail.com</t>
  </si>
  <si>
    <t>NDIKUM Che bleck</t>
  </si>
  <si>
    <t>TROMAYO DORGÈS CÉDRIC</t>
  </si>
  <si>
    <t>Central African Republic</t>
  </si>
  <si>
    <t>AMDCC</t>
  </si>
  <si>
    <t>Médecin junior</t>
  </si>
  <si>
    <t>tromayodorges@gmail.com</t>
  </si>
  <si>
    <t>6/30/2026-&gt; July 5</t>
  </si>
  <si>
    <t>TROMAYO Cédric Dorgès</t>
  </si>
  <si>
    <t>Anotho Anina epse Mali Oyouomi Elise Rolande</t>
  </si>
  <si>
    <t>4/23/1078</t>
  </si>
  <si>
    <t>Corps medical chretien du Gabon</t>
  </si>
  <si>
    <t>elisermali@gmail.com</t>
  </si>
  <si>
    <t>Anotho Sono epse Bravo Marlyse Lydia</t>
  </si>
  <si>
    <t>Elisermali@gmail.com</t>
  </si>
  <si>
    <t>Justine Baava</t>
  </si>
  <si>
    <t>Former institution representative</t>
  </si>
  <si>
    <t>baavajustine@gmail.com</t>
  </si>
  <si>
    <t>Baava Justine</t>
  </si>
  <si>
    <t>Seonggeon Ryu</t>
  </si>
  <si>
    <t>류성건</t>
  </si>
  <si>
    <t>CHA medical school</t>
  </si>
  <si>
    <t>Student, grade 2</t>
  </si>
  <si>
    <t>sgryu19@gmail.com</t>
  </si>
  <si>
    <t>Karabo Annah Tisane</t>
  </si>
  <si>
    <t>South africa</t>
  </si>
  <si>
    <t xml:space="preserve">Christian medical fellowship University of Cape Town </t>
  </si>
  <si>
    <t xml:space="preserve">Medical student </t>
  </si>
  <si>
    <t>Tsnkar004@myuct.ac.za</t>
  </si>
  <si>
    <t>django</t>
  </si>
  <si>
    <t>van prosper</t>
  </si>
  <si>
    <t>amdcc</t>
  </si>
  <si>
    <t>secretaire</t>
  </si>
  <si>
    <t>dvanprosper@gmail.com</t>
  </si>
  <si>
    <t>DJANGO Van Prosper</t>
  </si>
  <si>
    <t>Nyamekye Elias Mawuli</t>
  </si>
  <si>
    <t>nyamekyeelias20@gmail.com</t>
  </si>
  <si>
    <t>NGOUN KIMSRUN</t>
  </si>
  <si>
    <t>CCMF</t>
  </si>
  <si>
    <t>Ngounkimsrun57@gmail.com</t>
  </si>
  <si>
    <t>NGOUN Kimsrun</t>
  </si>
  <si>
    <t>LYDIA REDA SAAD KRLS</t>
  </si>
  <si>
    <t>Faculty of medicine Minya University</t>
  </si>
  <si>
    <t>Lydiaredasaad@gmail.com</t>
  </si>
  <si>
    <t>Lydia Reda Saad</t>
  </si>
  <si>
    <t>Viyaleta</t>
  </si>
  <si>
    <t>Violet</t>
  </si>
  <si>
    <t>Belarusian CMF</t>
  </si>
  <si>
    <t>Doctor, volunteer</t>
  </si>
  <si>
    <t>maretskaya.veta@gmail.com</t>
  </si>
  <si>
    <t>Violet Maretskaya</t>
  </si>
  <si>
    <t>SOFIA NASSEF SHAWKY FAHMY</t>
  </si>
  <si>
    <t>소피아 나세프 쇼키 파미</t>
  </si>
  <si>
    <t>Faculty of medicine , minya universsity</t>
  </si>
  <si>
    <t>Sofynassef26@gmail.com</t>
  </si>
  <si>
    <t>Sofia nassef shawky</t>
  </si>
  <si>
    <t>BASSEM EZAT SADEK ABDELNOUR</t>
  </si>
  <si>
    <t>Faculty of Medicine minya university</t>
  </si>
  <si>
    <t>bassemezat22@gmail.com</t>
  </si>
  <si>
    <t>Bassem ezat sadek abdelnour</t>
  </si>
  <si>
    <t>JUDAH BASKER</t>
  </si>
  <si>
    <t>CARMEL CHRISTIAN CHURCH</t>
  </si>
  <si>
    <t>judahbaskar@yahoo.in</t>
  </si>
  <si>
    <t>JUDAH BASKER G</t>
  </si>
  <si>
    <t>MARIAM MAHROUS MEGALY</t>
  </si>
  <si>
    <t>마리암 마흐루스 메갈리</t>
  </si>
  <si>
    <t>Faculty of medicine Aswan University</t>
  </si>
  <si>
    <t>Marium.mahrous@gmail.com</t>
  </si>
  <si>
    <t>Mariam Mahrous Megaly</t>
  </si>
  <si>
    <t>Samson Nyakundi Bosire</t>
  </si>
  <si>
    <t>Jawaharlal Nehru Technological University Hyderabad</t>
  </si>
  <si>
    <t>bosiresamson@gmail.com</t>
  </si>
  <si>
    <t>LIN CHANNRAKSMEY</t>
  </si>
  <si>
    <t>UHS</t>
  </si>
  <si>
    <t>Channraksmey82@gmail.com</t>
  </si>
  <si>
    <t>Phoeurn Chamroeun</t>
  </si>
  <si>
    <t>Mercy Medical Center Cambodia</t>
  </si>
  <si>
    <t>Family medicine residency</t>
  </si>
  <si>
    <t>Phoeurnchamroeun0@gmail.com</t>
  </si>
  <si>
    <t>Pouv Sreyneang</t>
  </si>
  <si>
    <t>International university</t>
  </si>
  <si>
    <t>eng.pouvc2@gmail.com</t>
  </si>
  <si>
    <t>sreyneang.pouvc2@gmail.com</t>
  </si>
  <si>
    <t>이름 완전일치</t>
  </si>
  <si>
    <t>Tangi Vatuva</t>
  </si>
  <si>
    <t>University of Namibia</t>
  </si>
  <si>
    <t>vatuvatangi@gmail.com</t>
  </si>
  <si>
    <t>Jean Claude Njabou Katte</t>
  </si>
  <si>
    <t xml:space="preserve">Christian Healthcare Fellowship Cameroon </t>
  </si>
  <si>
    <t xml:space="preserve">Vice President </t>
  </si>
  <si>
    <t>jckatte@gmail.com</t>
  </si>
  <si>
    <t>SAMWEL EMMANUEL MFURU</t>
  </si>
  <si>
    <t>St. Francis University College of Health and Allied Sciences( SFUCHAS )</t>
  </si>
  <si>
    <t>TUTORIAL ASSISTANT(Medical Doctor)</t>
  </si>
  <si>
    <t>sammfuru@gmail.com</t>
  </si>
  <si>
    <t>Gabriel Loni Ekali</t>
  </si>
  <si>
    <t>Christian Healthcare Fellowship Cameroon</t>
  </si>
  <si>
    <t>National President</t>
  </si>
  <si>
    <t>eloni2000@yahoo.com</t>
  </si>
  <si>
    <t>SEANG SONA</t>
  </si>
  <si>
    <t>SONA</t>
  </si>
  <si>
    <t>sonaseang2022@gmail.com</t>
  </si>
  <si>
    <t>Priscilia Pratami Intan</t>
  </si>
  <si>
    <t>CMDFI</t>
  </si>
  <si>
    <t>Saline Process Teamwork</t>
  </si>
  <si>
    <t>priscilia.pratami.intan@gmail.com</t>
  </si>
  <si>
    <t>3, Rudy. S, male, husband, rudisetiawan883@gmail.com; 
Kara Jessica Joetan, female, daughter, priscilia.pratami.intan@gmail.com; 
Anya Kirana Joetan, female, daughter, priscilia.pratami.intan@gmail.com</t>
  </si>
  <si>
    <t xml:space="preserve">Rudy.S [배우자(남편)]
Kara Jessica Joetan [딸, 3세]
Anya Kirana Joetan [딸]
</t>
  </si>
  <si>
    <t>Vailet Frank Magogo</t>
  </si>
  <si>
    <t>ST FRANCIS UNIVERSITY COLLEGE OF HEALTH AND ALLIED SCIENCES</t>
  </si>
  <si>
    <t>TUTORIAL ASSISTANT (MEDICAL DOCTOR)</t>
  </si>
  <si>
    <t>magogovee45@gmail.com</t>
  </si>
  <si>
    <t>Alex Kiwoli, male, husband, akiwoli@gmail.com</t>
  </si>
  <si>
    <t>Akhaigba Favour Osigbemhe</t>
  </si>
  <si>
    <t xml:space="preserve">Christian Medical and Dental Association of Nigeria - Students' Arm (CMDA Nigeria-Students) University of Benin Teaching Hospital (UBTH) Chapter </t>
  </si>
  <si>
    <t>akhaigbafavour@gmail.com</t>
  </si>
  <si>
    <t>Favour Osigbemhe Akhaigba</t>
  </si>
  <si>
    <t>Christi-Mari Esterhuizen</t>
  </si>
  <si>
    <t>CMF University of Cape Town</t>
  </si>
  <si>
    <t>christimari.esterhuizen@gmail.com</t>
  </si>
  <si>
    <t>MUHIRWA Josue</t>
  </si>
  <si>
    <t>Adventist School of Medicine of East-Central Africa (ASOME)</t>
  </si>
  <si>
    <t>josuemuhirwa1@gmail.com</t>
  </si>
  <si>
    <t>Josue MUHIRWA</t>
  </si>
  <si>
    <t>TUMWINE Amos</t>
  </si>
  <si>
    <t>RWANDA</t>
  </si>
  <si>
    <t>Active member and Former student leader</t>
  </si>
  <si>
    <t>tumwineamos7@gmail.com</t>
  </si>
  <si>
    <t>Amos Tumwine</t>
  </si>
  <si>
    <t>Nishimwe santa bryana</t>
  </si>
  <si>
    <t>Centre hospitalo-universitaire de kamenge/BCMDA</t>
  </si>
  <si>
    <t>Chef des étudiants de l'organisation</t>
  </si>
  <si>
    <t>nishimwebryana@gmail.com</t>
  </si>
  <si>
    <t>SOULEY Yawavi Florence</t>
  </si>
  <si>
    <t>CMD Togo (AMCT)</t>
  </si>
  <si>
    <t>Membre missionnaire</t>
  </si>
  <si>
    <t>souleflo296@gmail.com</t>
  </si>
  <si>
    <t>ASSOU Kossiwa Roseline</t>
  </si>
  <si>
    <t>Amct/icmda</t>
  </si>
  <si>
    <t>assouroseline4@gmail.com</t>
  </si>
  <si>
    <t>Roseline ASSOU</t>
  </si>
  <si>
    <t>Bo Bronet</t>
  </si>
  <si>
    <t>bobronet1122@gmail.com</t>
  </si>
  <si>
    <t>HOONG FARN WENG MICHAEL</t>
  </si>
  <si>
    <t>Sabah Women and Children's Hospital</t>
  </si>
  <si>
    <t>Consultant O&amp;G (MFM)</t>
  </si>
  <si>
    <t>mhfw@yahoo.com</t>
  </si>
  <si>
    <t>Mario Luis Ruiz Jimenez</t>
  </si>
  <si>
    <t>Panama</t>
  </si>
  <si>
    <t>REgional Secretary</t>
  </si>
  <si>
    <t>vittoriosilvano@hotmail.com</t>
  </si>
  <si>
    <t>Fermina Santos Miranda</t>
  </si>
  <si>
    <t>Mario Ruiz Jimenez</t>
  </si>
  <si>
    <t>Tumuramye Denis</t>
  </si>
  <si>
    <t>King Ceasor University</t>
  </si>
  <si>
    <t>denistumuramye109@gmail.com</t>
  </si>
  <si>
    <t>TUMURAMYE DENIS</t>
  </si>
  <si>
    <t>HUON SAM ATH</t>
  </si>
  <si>
    <t>leader</t>
  </si>
  <si>
    <t>drsam0701@gmail.com</t>
  </si>
  <si>
    <t>Sam Ath HUON</t>
  </si>
  <si>
    <t>PHOEM</t>
  </si>
  <si>
    <t>CHANTHEN</t>
  </si>
  <si>
    <t>Cambodian Chrsitian Medical Fellowship</t>
  </si>
  <si>
    <t>Key Volunteer</t>
  </si>
  <si>
    <t>yes, Limeng Lichi, female, Daughter, drsam0701@gmail.com</t>
  </si>
  <si>
    <t>Limeng Lichi [딸, 16세]</t>
  </si>
  <si>
    <t>Phoem Chanthen</t>
  </si>
  <si>
    <t xml:space="preserve">Evgenii </t>
  </si>
  <si>
    <t>Russian federation</t>
  </si>
  <si>
    <t xml:space="preserve">Kursk State Medical University </t>
  </si>
  <si>
    <t xml:space="preserve">Doctor </t>
  </si>
  <si>
    <t>evgenypyatkovsky@yandex.ru</t>
  </si>
  <si>
    <t>Evgenii Pyatkovskii</t>
  </si>
  <si>
    <t>OKERULU, STANLEY OGOCHUKWU</t>
  </si>
  <si>
    <t>CMDA NIGERIA</t>
  </si>
  <si>
    <t>REV. DR.</t>
  </si>
  <si>
    <t>stanqueen4christ@gmail.com</t>
  </si>
  <si>
    <t>REV. DR. STANLEY OGOCHUKWU OKERULU</t>
  </si>
  <si>
    <t>Mutashobya Rebeca</t>
  </si>
  <si>
    <t>Kilimanjaro Christian medical center</t>
  </si>
  <si>
    <t>Registered doctor</t>
  </si>
  <si>
    <t>mutashobyar@gmail.com</t>
  </si>
  <si>
    <t>Rebeca Mutashobya</t>
  </si>
  <si>
    <t>Samuel Rete</t>
  </si>
  <si>
    <t>CMDA Romania</t>
  </si>
  <si>
    <t>Local students leader</t>
  </si>
  <si>
    <t>sammyrete@gmail.com</t>
  </si>
  <si>
    <t>Ang Sreynin</t>
  </si>
  <si>
    <t>Mercy Medical Center, Cambodia</t>
  </si>
  <si>
    <t>Family medicine Doctor</t>
  </si>
  <si>
    <t>sreynin.ang@mmccambodia.org</t>
  </si>
  <si>
    <t>Yes. My husband Tray Cheavkun and my Daughter Kun Esther</t>
  </si>
  <si>
    <t>Philip Finny</t>
  </si>
  <si>
    <t>Believers Church Medical College &amp; Hospital</t>
  </si>
  <si>
    <t>Professor of Endocrinology</t>
  </si>
  <si>
    <t>philip.finny@gmail.com</t>
  </si>
  <si>
    <t>ALOU Yawa Charlotte</t>
  </si>
  <si>
    <t>French Family Medecine Training Administrator</t>
  </si>
  <si>
    <t>alucharlotte3@gmail.com</t>
  </si>
  <si>
    <t>ROM LORK</t>
  </si>
  <si>
    <t>Calmette hospital</t>
  </si>
  <si>
    <t>soklork.rom@gmail.com</t>
  </si>
  <si>
    <t>Idakwo, Fervent Enyone</t>
  </si>
  <si>
    <t>Christian Medical and Dental Association-Nigeria</t>
  </si>
  <si>
    <t>idakwo.fervent@gmail.com</t>
  </si>
  <si>
    <t>IDAKWO FERVENT ENYONE</t>
  </si>
  <si>
    <t>Yehonzapane</t>
  </si>
  <si>
    <t>Association des médecins et dentistes chrétiens de centrafrique</t>
  </si>
  <si>
    <t>Trésorier Général de l'association</t>
  </si>
  <si>
    <t>dyehonzapane5@gmail.com</t>
  </si>
  <si>
    <t>Yehonzapane Dieu-Merci</t>
  </si>
  <si>
    <t>YABRE</t>
  </si>
  <si>
    <t>Nongwendé Perside</t>
  </si>
  <si>
    <t>Association des Médecins et Dentistes Chrétiens du Burkina (AMDCB)</t>
  </si>
  <si>
    <t>Responsable des étudiants</t>
  </si>
  <si>
    <t>persideyabre@gmail.com</t>
  </si>
  <si>
    <t>YABRE Nongwendé Perside</t>
  </si>
  <si>
    <t>GIMBA ZUMNAN MARK</t>
  </si>
  <si>
    <t>PRESIDENT</t>
  </si>
  <si>
    <t>zumnanmark@gmail.com</t>
  </si>
  <si>
    <t>ZUMNAN MARK GIMBA</t>
  </si>
  <si>
    <t>Mwangu Isabel</t>
  </si>
  <si>
    <t>isabelmwangu@gmail.com</t>
  </si>
  <si>
    <t>Isabel Mwangu</t>
  </si>
  <si>
    <t>SHANGWE HANSON MAIMU</t>
  </si>
  <si>
    <t>Tutorial assistant</t>
  </si>
  <si>
    <t>shangwemaimu15@gmail.com</t>
  </si>
  <si>
    <t>Shangwe Hanson Maimu</t>
  </si>
  <si>
    <t>Rani Dwi Cahyaniputri</t>
  </si>
  <si>
    <t>Simore Ministry</t>
  </si>
  <si>
    <t>Director</t>
  </si>
  <si>
    <t>rk.tulung@gmail.com</t>
  </si>
  <si>
    <t>2, Augustine Elizabeth Pattipeilohy/female/mother, Danzel Bezalel Tulung/male/son (8 months old baby)</t>
  </si>
  <si>
    <t>Augustine Elizabeth Pattipeilohy [모]
Danzel Bezalel Tulung[아들, 0세]</t>
  </si>
  <si>
    <t>3명/ (자녀 1명, 동반자 1명)</t>
  </si>
  <si>
    <t>ELIAICHI ADOLPH MLAY</t>
  </si>
  <si>
    <t>KILIMANJARO CHRISTIAN MEDICAL UNIVERSITY COLLEGE</t>
  </si>
  <si>
    <t>ASSISTANT LECTURER</t>
  </si>
  <si>
    <t>lavendermlay@gmail.com</t>
  </si>
  <si>
    <t>ELICHILIA ROBERT SHAO</t>
  </si>
  <si>
    <t>NA</t>
  </si>
  <si>
    <t>KILIMANJARO CHRISTIAN MEDICAL UNIVERSITY</t>
  </si>
  <si>
    <t>PHYSICIAN</t>
  </si>
  <si>
    <t>elichilia@gmail.com</t>
  </si>
  <si>
    <t>Elichilia R Shao</t>
  </si>
  <si>
    <t>생년월일 일치, 이메일 일치, 이름 유사도 93</t>
  </si>
  <si>
    <t>Daniel Nie</t>
  </si>
  <si>
    <t>Barts Health NHS Trust</t>
  </si>
  <si>
    <t>Locum Doctor</t>
  </si>
  <si>
    <t>Danielnie@hotmail.co.uk</t>
  </si>
  <si>
    <t>KADONDI GRACE</t>
  </si>
  <si>
    <t>Mulago National Referral Hospital, Makerere University college health sciences</t>
  </si>
  <si>
    <t>Medical Officer/doctor, Paediatrics resident</t>
  </si>
  <si>
    <t>kadondig@gmail.com</t>
  </si>
  <si>
    <t>Grace Kadondi</t>
  </si>
  <si>
    <t xml:space="preserve">Comfort Acheme </t>
  </si>
  <si>
    <t xml:space="preserve">Bingham University Teaching Hospital jos Nigeria </t>
  </si>
  <si>
    <t xml:space="preserve">Medical officer </t>
  </si>
  <si>
    <t>achemeoyiminu@gmail.com</t>
  </si>
  <si>
    <t>Comfort Acheme</t>
  </si>
  <si>
    <t>OKARAMEDO COLLINS</t>
  </si>
  <si>
    <t>collinsokaramedo2@gmail.com</t>
  </si>
  <si>
    <t>collinsokaramedo@gmail.com</t>
  </si>
  <si>
    <t>Fernando Javier Rodríguez Gómez</t>
  </si>
  <si>
    <t>Fernando Javier</t>
  </si>
  <si>
    <t>Cuba</t>
  </si>
  <si>
    <t>salva2paraservir@gmail.com</t>
  </si>
  <si>
    <t>Yudeisi Suarez</t>
  </si>
  <si>
    <t>Dr.Suarez</t>
  </si>
  <si>
    <t>Asociación Cristiana Cubana de profesionales de la salud</t>
  </si>
  <si>
    <t>Presidente</t>
  </si>
  <si>
    <t>suarezcolumbie84@gmail.com</t>
  </si>
  <si>
    <t>Yudeisi Suárez Columbie</t>
  </si>
  <si>
    <t>NAMWASE VIVIAN NAIKA</t>
  </si>
  <si>
    <t>naikavivian18@gmail.com</t>
  </si>
  <si>
    <t>Edgardo Ruben Cifuentes Miguel</t>
  </si>
  <si>
    <t>Christian Association of Health Professionals (ACSAI)</t>
  </si>
  <si>
    <t>President of ACSAI</t>
  </si>
  <si>
    <t>erucim@hotmail.com</t>
  </si>
  <si>
    <t>Rubahika Denise Shankutara</t>
  </si>
  <si>
    <t>Kampala International University Western campus</t>
  </si>
  <si>
    <t>deniserubahika@gmail.com</t>
  </si>
  <si>
    <t>PUTRI ARIANI KUSUMA</t>
  </si>
  <si>
    <t>ARI CANTI HOSPITAL</t>
  </si>
  <si>
    <t>GENERAL PRCATITIONER</t>
  </si>
  <si>
    <t>arianiptri@gmail.com</t>
  </si>
  <si>
    <t>Putri Ariani Kusuma</t>
  </si>
  <si>
    <t>Ayinde-Akinmade Elizabeth Omolabake</t>
  </si>
  <si>
    <t>CMDA-Nigeria</t>
  </si>
  <si>
    <t>elizabethakinmade@gmail.com</t>
  </si>
  <si>
    <t>Namatovu Sharon Hope</t>
  </si>
  <si>
    <t>UCMF</t>
  </si>
  <si>
    <t>Shanienamatovu@gmail.com</t>
  </si>
  <si>
    <t>Namatovu Sharon</t>
  </si>
  <si>
    <t>AINEMBABAZI INNOCENT</t>
  </si>
  <si>
    <t>Gulu University/Arua Regional Referral Hospital</t>
  </si>
  <si>
    <t>ainembabaziinnocent82@gmail.com</t>
  </si>
  <si>
    <t>Ainembabazi Innocent</t>
  </si>
  <si>
    <t>Kaikede Desire Cephas</t>
  </si>
  <si>
    <t>cephaskimberly@gmail.com</t>
  </si>
  <si>
    <t>KAIKEDE DESIRE CEPHAS</t>
  </si>
  <si>
    <t>Anya James Andrew Aburi</t>
  </si>
  <si>
    <t>South Sudan</t>
  </si>
  <si>
    <t>Kijabe hospital</t>
  </si>
  <si>
    <t>Pediatric surgery resident</t>
  </si>
  <si>
    <t>anyajmoi@gmail.com</t>
  </si>
  <si>
    <t>Anya James Andrew</t>
  </si>
  <si>
    <t>Lim Li Ann</t>
  </si>
  <si>
    <t>ICMDA-Malaysia chapter</t>
  </si>
  <si>
    <t>Manager to Malaysia delegate(s)</t>
  </si>
  <si>
    <t>lepitapit@gmail.com</t>
  </si>
  <si>
    <t>1, Dr. Lim Jean Li, Female, Sister to Lim Li Ann</t>
  </si>
  <si>
    <t>Li-Ann</t>
  </si>
  <si>
    <t>Lim Jean Li</t>
  </si>
  <si>
    <t>ICMDA South East Asia</t>
  </si>
  <si>
    <t>ICMDA South East Asia Filedworker for Malaysia, Brunei, SIngapore</t>
  </si>
  <si>
    <t>jeanmd@gmail.com</t>
  </si>
  <si>
    <t>Lim Li Ann, sister</t>
  </si>
  <si>
    <t>Jean-Li Lim</t>
  </si>
  <si>
    <t>IKOI ISHIDO</t>
  </si>
  <si>
    <t>JAPAN</t>
  </si>
  <si>
    <t>National Hospital Organization Chiba Medical Center</t>
  </si>
  <si>
    <t>Resident doctor</t>
  </si>
  <si>
    <t>ikoiwork0626@gmail.com</t>
  </si>
  <si>
    <t>Ikoi Ishido</t>
  </si>
  <si>
    <t xml:space="preserve">Ebikonboere Faith Clement </t>
  </si>
  <si>
    <t xml:space="preserve">Bayelsa Medical University </t>
  </si>
  <si>
    <t>funereflourish@gmail.com</t>
  </si>
  <si>
    <t>Ebikonboere Clement</t>
  </si>
  <si>
    <t>MURATBEK UULU ZHAINAK</t>
  </si>
  <si>
    <t>ICMDA AR</t>
  </si>
  <si>
    <t>AR</t>
  </si>
  <si>
    <t>zhainak316@gmail.com</t>
  </si>
  <si>
    <t>ABRINOVA DIANA , FEMALE , WIFE</t>
  </si>
  <si>
    <t>Zhainak</t>
  </si>
  <si>
    <t>Venkata pavana kumari komarolu</t>
  </si>
  <si>
    <t>Pheobe</t>
  </si>
  <si>
    <t>Govt medical College Ongole AP</t>
  </si>
  <si>
    <t>Associate professor</t>
  </si>
  <si>
    <t>pavana2004@gmail.com</t>
  </si>
  <si>
    <t>K. V. Pavana kumari</t>
  </si>
  <si>
    <r>
      <rPr>
        <u/>
        <sz val="10"/>
        <color rgb="FF1155CC"/>
        <rFont val="Arial, sans-serif"/>
      </rPr>
      <t>pavanagmc@gmail.com</t>
    </r>
  </si>
  <si>
    <t>생년월일 일치, 이름 유사도 87</t>
  </si>
  <si>
    <t>DANIEL</t>
  </si>
  <si>
    <t>MURUGU</t>
  </si>
  <si>
    <t>KENYA</t>
  </si>
  <si>
    <t>NAKURU COUNTY PUBLIC OPINION CONSULTATIVE INITIATIVE</t>
  </si>
  <si>
    <t>SECRETARY</t>
  </si>
  <si>
    <t>dannmurugu@yahoo.com</t>
  </si>
  <si>
    <t>Vincent Thabang Molefe</t>
  </si>
  <si>
    <t>Wits university</t>
  </si>
  <si>
    <t>doctormolefe@gmail.com</t>
  </si>
  <si>
    <t>1, Kudzai Zimuto, female, wife, kudzaizimuto@gmail.com</t>
  </si>
  <si>
    <t xml:space="preserve">Baffoe Christabel Appiah </t>
  </si>
  <si>
    <t xml:space="preserve">Kwame Nkrumah University of Science and Technology </t>
  </si>
  <si>
    <t>appiahbaffoec@gmail.com</t>
  </si>
  <si>
    <t>Christabel Appiah Baffoe</t>
  </si>
  <si>
    <t>ATUHAIRE ANITAH</t>
  </si>
  <si>
    <t>anitahatuhaire9@gmail.com</t>
  </si>
  <si>
    <t>Yanti Leosari</t>
  </si>
  <si>
    <t>University of Birmingham</t>
  </si>
  <si>
    <t>yleosari@gmail.com</t>
  </si>
  <si>
    <t>Admiro Sebastião Augusto Sanha</t>
  </si>
  <si>
    <t>Guinea-Bissau</t>
  </si>
  <si>
    <t>APROVIGB</t>
  </si>
  <si>
    <t>Presidente da Mesa da Asembleia</t>
  </si>
  <si>
    <t>admiro1991@gmail.com</t>
  </si>
  <si>
    <t>Mateus Pinheiro</t>
  </si>
  <si>
    <t>Timor-Leste</t>
  </si>
  <si>
    <t>Hospital National Guido Valadares</t>
  </si>
  <si>
    <t>mateus41276@gmail.com</t>
  </si>
  <si>
    <t>Lourdes Gonzaga Vidigal</t>
  </si>
  <si>
    <t>Mateus pinheiro</t>
  </si>
  <si>
    <t>Sampa chifuntu</t>
  </si>
  <si>
    <t>CMF Zambia</t>
  </si>
  <si>
    <t>sampacee@gmail.com</t>
  </si>
  <si>
    <t>Sampa Chifuntu</t>
  </si>
  <si>
    <t>Manana Victor</t>
  </si>
  <si>
    <t>vnangoli@gmail.com</t>
  </si>
  <si>
    <t>NIYOKWIZIGIRA AUBIN</t>
  </si>
  <si>
    <t>Non Korean name</t>
  </si>
  <si>
    <t>KIRA Hospital</t>
  </si>
  <si>
    <t>aubinniyokwizigira3@gmail.com</t>
  </si>
  <si>
    <t>NAMUTEBI CHRISTINE PHIONA</t>
  </si>
  <si>
    <t>KAMPALA INTERNATIONAL UNIVERSITY-UGANDA</t>
  </si>
  <si>
    <t>namutebichristinephiona@gmail.com</t>
  </si>
  <si>
    <t>Ilia Aleksandrovich Ageev</t>
  </si>
  <si>
    <t>Saint-Petersburg State University</t>
  </si>
  <si>
    <t>ageeviljaspb@yandex.ru</t>
  </si>
  <si>
    <t>Ilya Aleksandrovich Ageev</t>
  </si>
  <si>
    <t>생년월일 일치, 이메일 일치, 이름 유사도 96</t>
  </si>
  <si>
    <t>Artur Matos Ventura</t>
  </si>
  <si>
    <t>University of Fortaleza / Médicos de Cristo (CMF Brazil)</t>
  </si>
  <si>
    <t>Medical Student / Leader of the Student Working Group (MDC)</t>
  </si>
  <si>
    <t>arturventura009@gmail.com</t>
  </si>
  <si>
    <t>Jean Augusto de Carvalho silva de Souza</t>
  </si>
  <si>
    <t>MDC</t>
  </si>
  <si>
    <t>jeansaugusto@hotmail.com</t>
  </si>
  <si>
    <t>Jean Augusto de Carvalho Silva de Souza</t>
  </si>
  <si>
    <t>UMUMARARUNGU Valerie</t>
  </si>
  <si>
    <t>south</t>
  </si>
  <si>
    <t>valerieu@asome.health</t>
  </si>
  <si>
    <t>RONALD LALTHANMAWIA</t>
  </si>
  <si>
    <t>CHRISTIAN MEDICAL ASSOCIATION OF INDIA</t>
  </si>
  <si>
    <t>GENERAL SECRETARY</t>
  </si>
  <si>
    <t>RONALD@CMAI.ORG</t>
  </si>
  <si>
    <t>Ronald Lalthanmawia</t>
  </si>
  <si>
    <t>ronald@cmai.org</t>
  </si>
  <si>
    <t>ALIANO PALOMINO ESTELA DALILA</t>
  </si>
  <si>
    <t>PERU</t>
  </si>
  <si>
    <t>ACSAI-PERU</t>
  </si>
  <si>
    <t>TECNÓLOGO MÉDICO</t>
  </si>
  <si>
    <t>estela_7_aliano@hotmail.com</t>
  </si>
  <si>
    <t>Estela Aliano</t>
  </si>
  <si>
    <t>Flavia Figueiro da Fonseca</t>
  </si>
  <si>
    <t>ICMDA/ Médicos de Cristo/ Santa Casa - BH</t>
  </si>
  <si>
    <t>Training Track Cluster Coordinator for Sydenham Foundations - For Latin America (including Portuguese-speaking Africa)/ Second-year paediatric resident at Santa Casa de Misericordia de Belo Horizonte</t>
  </si>
  <si>
    <t>flaviafig.f@gmail.com</t>
  </si>
  <si>
    <t>FLÁVIA FIGUEIRÓ DA FONSECA</t>
  </si>
  <si>
    <t>EVAOKTAVIA KAROLINA SIMATUPANG</t>
  </si>
  <si>
    <t>ICMDA SEA</t>
  </si>
  <si>
    <t>eva.o.k.simatupang@gmail.com</t>
  </si>
  <si>
    <t>Eva Oktavia Karolina Simatupang</t>
  </si>
  <si>
    <t>Adriana Gonçalves Moreira e Silva</t>
  </si>
  <si>
    <t>Instituto de Educação de Minas Gerais</t>
  </si>
  <si>
    <t>Pedagogy</t>
  </si>
  <si>
    <t>adrianasilvaebt@gmail.com</t>
  </si>
  <si>
    <t>Ana Luiza Gomes Pereira</t>
  </si>
  <si>
    <t>Doctors of Christ</t>
  </si>
  <si>
    <t>Missions representative in Bh</t>
  </si>
  <si>
    <t>analuiza.psique@gmail.com</t>
  </si>
  <si>
    <t>ANA LUIZA GOMES PEREIRA</t>
  </si>
  <si>
    <t>Sindy Sthefany Sousa Silva</t>
  </si>
  <si>
    <t>Sindy</t>
  </si>
  <si>
    <t>Médicos de Cristo</t>
  </si>
  <si>
    <t>sindysilva000@gmail.com</t>
  </si>
  <si>
    <t>SINDY STHEFANY SOUSA SILVA</t>
  </si>
  <si>
    <t>Yol Favour Nguuma</t>
  </si>
  <si>
    <t>Christian Medical and Dental Association of Nigeria - Students' Arm</t>
  </si>
  <si>
    <t>National Editor-in-Chief</t>
  </si>
  <si>
    <t>favhorr@gmail.com</t>
  </si>
  <si>
    <t>Favour Nguuma General</t>
  </si>
  <si>
    <t>생년월일 일치, 이메일 일치, 이름 유사도 87</t>
  </si>
  <si>
    <t>Anthony</t>
  </si>
  <si>
    <t>KCMU</t>
  </si>
  <si>
    <t>Undergraduate</t>
  </si>
  <si>
    <t>anthonymndolwa@gmail.com</t>
  </si>
  <si>
    <t>Anthony Alois Mndolwa</t>
  </si>
  <si>
    <t>Erika Belen Galeano Gamarra</t>
  </si>
  <si>
    <t>Universidad Politecica y Artistica del Paraguay (UPAP)</t>
  </si>
  <si>
    <t>Estudiante</t>
  </si>
  <si>
    <t>galeanoerika21@gmail.com</t>
  </si>
  <si>
    <t>1: Elisa Mabel Galeano Gamarra, Femenino, Hermana, elisamedoficial@gmail.com</t>
  </si>
  <si>
    <t>Bursary(Elisa Mabel Galeano Gamarra)</t>
  </si>
  <si>
    <t>DORIS GLADWIN</t>
  </si>
  <si>
    <t>DOROTHY MEMORIAL CHURCH</t>
  </si>
  <si>
    <t>MRS</t>
  </si>
  <si>
    <t>dorisellen83@gmail.com</t>
  </si>
  <si>
    <t>BAHATI MUNEMBWE CHANCE</t>
  </si>
  <si>
    <t>AMC</t>
  </si>
  <si>
    <t>MEDICAL PRACTITIONNER</t>
  </si>
  <si>
    <t>doctachance108@gmail.com</t>
  </si>
  <si>
    <t>LISA BETITA BANZI</t>
  </si>
  <si>
    <t>MUNEMBWE CHANCE BAHATI</t>
  </si>
  <si>
    <t>MARIA MERCEDES SARAVIA BARTRA</t>
  </si>
  <si>
    <t>ACSAI PERU</t>
  </si>
  <si>
    <t>MEDICO</t>
  </si>
  <si>
    <t>msaraviab@yahoo.com</t>
  </si>
  <si>
    <t>1 ,PEDRO CAZORLA SALINAS ,masculino, esposo, pcazorlasalinas@gmail.com</t>
  </si>
  <si>
    <t>Maria Saravia Bartra</t>
  </si>
  <si>
    <t>William Adi Santoso</t>
  </si>
  <si>
    <t>Petra Christian University</t>
  </si>
  <si>
    <t>Lecturer at Faculty of Dentistry</t>
  </si>
  <si>
    <t>wasantoso@petra.ac.id</t>
  </si>
  <si>
    <t>Phouthasone XAYYACHACK</t>
  </si>
  <si>
    <t>Lao PDR</t>
  </si>
  <si>
    <t>Lao CMF</t>
  </si>
  <si>
    <t>Leader of Lao CMF</t>
  </si>
  <si>
    <t>xayyachackpp@yahoo.com</t>
  </si>
  <si>
    <t>Mulinda Nyirenda</t>
  </si>
  <si>
    <t>Malawi</t>
  </si>
  <si>
    <t>ICMDA Board</t>
  </si>
  <si>
    <t>mleenyirenda@yahoo.co.uk</t>
  </si>
  <si>
    <t>PAUL MAGAWIDA WILSON</t>
  </si>
  <si>
    <t>KCMC UNIVERSTY</t>
  </si>
  <si>
    <t>magawidapaul@gmail.com</t>
  </si>
  <si>
    <t>Mulindwa Daisy</t>
  </si>
  <si>
    <t>mulindwadaisy3@gmail.com</t>
  </si>
  <si>
    <t>MULINDWA DAISY</t>
  </si>
  <si>
    <t>Paul Robert Bendor-Samuel</t>
  </si>
  <si>
    <t>Oxford centre for mission Studies</t>
  </si>
  <si>
    <t>pbs@ocms.ac.uk</t>
  </si>
  <si>
    <t>Paul Bendor-Samuel</t>
  </si>
  <si>
    <t>NTSEKE NGONGO Mauricette Chrislange</t>
  </si>
  <si>
    <t>Opticienne</t>
  </si>
  <si>
    <t>mauricettentseke@gmail.com</t>
  </si>
  <si>
    <t>Jodi Wiles</t>
  </si>
  <si>
    <t>Christian Medical Fellowship South Africa</t>
  </si>
  <si>
    <t>National Executive Committee member</t>
  </si>
  <si>
    <t>jodiwiles@gmail.com</t>
  </si>
  <si>
    <t>3: Michael Wiles, male, husband, michaelwiles@gmail.com; Amia Wiles, female, daughter (12 years old), jodiandmichaelwiles@gmail.com; Cayla Wiles, female, daughter (10 years old), jodiandmichaelwiles@gmail.com</t>
  </si>
  <si>
    <t xml:space="preserve">Michael Wiles [배우자(남편)]
Amia Wiles [딸, 12세]
Cayla Wiles [딸, 10세]
</t>
  </si>
  <si>
    <t>Aileen Naomi Chenang’at</t>
  </si>
  <si>
    <t>kalyaaileen2016@gmail.com</t>
  </si>
  <si>
    <t>Aileen Naomi Chenang’at Kalyamoi</t>
  </si>
  <si>
    <t>Tran Xuan Bach</t>
  </si>
  <si>
    <t>Xuan Bach</t>
  </si>
  <si>
    <t>Vietnam</t>
  </si>
  <si>
    <t>Vinuniversity</t>
  </si>
  <si>
    <t>xuanbachngs123@gmail.com</t>
  </si>
  <si>
    <t>Phon Sophai</t>
  </si>
  <si>
    <t>uhs.sophai@gmail.com</t>
  </si>
  <si>
    <t>1, Dy Dalen, Female, Wife, 2, Phay Rattanak, Female, daughter.</t>
  </si>
  <si>
    <t xml:space="preserve">Dy Dalen [배우자(아내)]
Phay Rattanak [딸, 7세]
</t>
  </si>
  <si>
    <t>Ezeugo Chiagoziem Divine</t>
  </si>
  <si>
    <t>Federal Medical Centre</t>
  </si>
  <si>
    <t>Intern</t>
  </si>
  <si>
    <t>divinely4j@gmail.com</t>
  </si>
  <si>
    <t>Chiagoziem Divine Ezeugo</t>
  </si>
  <si>
    <t>Bitakalamire Maria Sandra</t>
  </si>
  <si>
    <t>UCMF projects coordinator students chapter</t>
  </si>
  <si>
    <t>BITAKALAMIRE MARIA SANDRA</t>
  </si>
  <si>
    <t>bitxiemarias6@gmail.com</t>
  </si>
  <si>
    <t>ZAIRA NINA TAN DE LEON</t>
  </si>
  <si>
    <t>ST LUKES MEDICAL CENTER- CCF MANILA PHILIPPINES</t>
  </si>
  <si>
    <t>znduque@gmail.com</t>
  </si>
  <si>
    <t>Zaira Nina De Leon</t>
  </si>
  <si>
    <t>Naviri David</t>
  </si>
  <si>
    <t>Little Flock Foundation</t>
  </si>
  <si>
    <t>Pastor/Chairman</t>
  </si>
  <si>
    <t>ddnind@gmail.com</t>
  </si>
  <si>
    <t>Maria Elena Carrera Perez</t>
  </si>
  <si>
    <t>For security reasons I only use: Marie C</t>
  </si>
  <si>
    <t>Ecuador</t>
  </si>
  <si>
    <t>Dr. / ICMDA APSA Administrator; ICMDA Global Saline Administrator</t>
  </si>
  <si>
    <t>marie.carrera@icmda.net</t>
  </si>
  <si>
    <t>Marie C</t>
  </si>
  <si>
    <t>Shirley Lydia Veronica Williams</t>
  </si>
  <si>
    <t>College of Medicine and Allied Sciences (COMAHS)</t>
  </si>
  <si>
    <t>alltogod24@gmail.com</t>
  </si>
  <si>
    <t>Shirley L.V. Williams</t>
  </si>
  <si>
    <t>AlltoGod24@gmail.com</t>
  </si>
  <si>
    <t>생년월일 일치, 이메일 일치, 이름 유사도 89</t>
  </si>
  <si>
    <t>Milyn Rabara Myers</t>
  </si>
  <si>
    <t>International Disaster Response Network - Philippines and Refuah Shlemah Global Center</t>
  </si>
  <si>
    <t>Missionary Doctor, First Responder, Trainor</t>
  </si>
  <si>
    <t>dr.milyn@gmail.com</t>
  </si>
  <si>
    <t>Annie Lao, female, dr.milyn@gmsil.com</t>
  </si>
  <si>
    <t>Dr.milyn@gmail.com</t>
  </si>
  <si>
    <t>Jonathan Edward Lugito</t>
  </si>
  <si>
    <t>Universitas Kristen Maranatha</t>
  </si>
  <si>
    <t>lugitojo35@gmail.com</t>
  </si>
  <si>
    <t>MARK NABIL SAMY AYAD</t>
  </si>
  <si>
    <t>마크 나빌 사미 아야드</t>
  </si>
  <si>
    <t>Faculty of medicine Minia University</t>
  </si>
  <si>
    <t>marknabel479@gmail.com</t>
  </si>
  <si>
    <t>Mark Nabil Samy</t>
  </si>
  <si>
    <t>Sarah Feyifoluwa Adekoya</t>
  </si>
  <si>
    <t>Norway</t>
  </si>
  <si>
    <t>University of Bergen</t>
  </si>
  <si>
    <t>sarah.f.adekoya@gmail.com</t>
  </si>
  <si>
    <t>Sarah Feyifoluwa adekoya</t>
  </si>
  <si>
    <t>SHIN YEJIN</t>
  </si>
  <si>
    <t>신예진</t>
  </si>
  <si>
    <t>Chonnam university</t>
  </si>
  <si>
    <t>jhs2s2yj@naver.com</t>
  </si>
  <si>
    <t>July 3, July 4</t>
  </si>
  <si>
    <t>Jooan Lee</t>
  </si>
  <si>
    <t>이주안</t>
  </si>
  <si>
    <t>서울대학교</t>
  </si>
  <si>
    <t>학생</t>
  </si>
  <si>
    <t>chloelee0329@naver.com</t>
  </si>
  <si>
    <t>Chloe Jooan Lee</t>
  </si>
  <si>
    <t>CHO NA DAN</t>
  </si>
  <si>
    <t>조나단</t>
  </si>
  <si>
    <t>Keimyung University School of Medicine(계명 CMF)</t>
  </si>
  <si>
    <t>jonathan1248@naver.com</t>
  </si>
  <si>
    <t>JAEWON LEE</t>
  </si>
  <si>
    <t>이재원</t>
  </si>
  <si>
    <t>medical student class of 2026</t>
  </si>
  <si>
    <t>potatogamja0@gmail.com</t>
  </si>
  <si>
    <t>SIEUN BAEK</t>
  </si>
  <si>
    <t>백시은</t>
  </si>
  <si>
    <t>Tashkent State Medical University</t>
  </si>
  <si>
    <t>sieun7204153@naver.com</t>
  </si>
  <si>
    <t>Sieun Baek</t>
  </si>
  <si>
    <t>KIM MINJU</t>
  </si>
  <si>
    <t>김민주</t>
  </si>
  <si>
    <t>Medical Student (4th year)</t>
  </si>
  <si>
    <t>minjulaos@gmail.com</t>
  </si>
  <si>
    <t>Kim Minju</t>
  </si>
  <si>
    <t>Tinayeishe Natasha Elijah</t>
  </si>
  <si>
    <t>Kamuzu University of Health Sciences</t>
  </si>
  <si>
    <t>General Practitioner</t>
  </si>
  <si>
    <t>tinayeishe2468@gmail.com</t>
  </si>
  <si>
    <t>Tinayeshe Natasha Elijah</t>
  </si>
  <si>
    <t>KANG INPYUNG</t>
  </si>
  <si>
    <t>강인평</t>
  </si>
  <si>
    <t>Republican Clinical Ophthalmological Hospital(UZBEKISTAN)</t>
  </si>
  <si>
    <t>Junior</t>
  </si>
  <si>
    <t>kanginpyung@hanmail.net</t>
  </si>
  <si>
    <t>Linei Chiutsi</t>
  </si>
  <si>
    <t>lineichiutsi9@gmail.com</t>
  </si>
  <si>
    <t>Gyeol Seong</t>
  </si>
  <si>
    <t>성결</t>
  </si>
  <si>
    <t>CMF(Christian Medical Fellowship)</t>
  </si>
  <si>
    <t>seonggyeol123@gmail.com</t>
  </si>
  <si>
    <t>BUI QUANG HUNG</t>
  </si>
  <si>
    <t>Hanoi University of Business and Technology</t>
  </si>
  <si>
    <t>dentalhung@gmail.com</t>
  </si>
  <si>
    <t>Bui Quang Hung</t>
  </si>
  <si>
    <t>EUICHAN JEON</t>
  </si>
  <si>
    <t>전의찬</t>
  </si>
  <si>
    <t>Chonnam National University Medical School</t>
  </si>
  <si>
    <t>1st grade</t>
  </si>
  <si>
    <t>euichan-04@naver.com</t>
  </si>
  <si>
    <t>Jeon Euichan</t>
  </si>
  <si>
    <t>Sybrand Johannes de Vaal</t>
  </si>
  <si>
    <t>sjdevaal@gmail.com</t>
  </si>
  <si>
    <t>1, Celeste de Vaal, female, wife, celestedevaal@uct.ac.za
2, Nienke de Vaal, female, daughter, sjdevaal@gmail.com
3, Lira de Vaal, female, daughter, sjdevaal@gmail.com
4, Thandi de Vaal, daughter, sjdevaal@gmail.com
5, Ariana de Vaal, daughter, sjdevaal@gmail.com</t>
  </si>
  <si>
    <t xml:space="preserve">Celeste de Vaal [배우자(아내)]
Nienke de Vaal [딸]
Lira de Vaal [딸]
Thandi de Vaal [딸]
Ariana de Vaal [딸]
</t>
  </si>
  <si>
    <t>6명/ (자녀 5명, 배우자 1명)</t>
  </si>
  <si>
    <t>KENNETH TEN JIAJUN</t>
  </si>
  <si>
    <t>Dr Priscilla Tham Dental Clinic</t>
  </si>
  <si>
    <t>kentenjiajun@gmail.com</t>
  </si>
  <si>
    <t>1, Hi Jil Yen, Female, Wife, jil@live.com.my</t>
  </si>
  <si>
    <t>Kenneth Ten JiaJun</t>
  </si>
  <si>
    <t>JULIO CESAR GOMEZ GASPAR</t>
  </si>
  <si>
    <t>Mexico</t>
  </si>
  <si>
    <t>CMED LAOS</t>
  </si>
  <si>
    <t>MEDICAL TEACHER</t>
  </si>
  <si>
    <t>juliocesargg.cfn@gmail.com</t>
  </si>
  <si>
    <t>Eravelli Susmitha</t>
  </si>
  <si>
    <t>Susmitha</t>
  </si>
  <si>
    <t>Govt medical College, Nizamabad</t>
  </si>
  <si>
    <t>36eravellisusmitha@gmail.com</t>
  </si>
  <si>
    <t>Yoo Seunghui</t>
  </si>
  <si>
    <t>유승희</t>
  </si>
  <si>
    <t>Chosun University</t>
  </si>
  <si>
    <t>seunghui0901@naver.com</t>
  </si>
  <si>
    <t>Roberto Ferreira Coimbra Casco</t>
  </si>
  <si>
    <t>Uruguay</t>
  </si>
  <si>
    <t>ACUPS</t>
  </si>
  <si>
    <t>Medico psiquiatra</t>
  </si>
  <si>
    <t>robertelius@hotmail.com</t>
  </si>
  <si>
    <t>LARA TELLES MOURA SILVEIRA</t>
  </si>
  <si>
    <t>MEDICOS DE CRISTO</t>
  </si>
  <si>
    <t>MEMBRO</t>
  </si>
  <si>
    <t>silveiragfg@gmail.com</t>
  </si>
  <si>
    <t>GABRIEL FELIPE GONZAGA SILVEIRA, MALE, HUSBAND – silveiragfg@gmail.com
 MIGUEL FELIPE MOURA SILVEIRA, MAN, SON – 1 YEAR OLD – silveiragfg@gmail.com
 SARA MARIA MOURA SILVEIRA, WOMAN, DAUGHTER – 4 MONTHS OLD – silveiragfg@gmail.com</t>
  </si>
  <si>
    <t xml:space="preserve">GABRIEL FELIPE GONZAGA SILVEIRA [배우자(남편)]
MIGUEL FELIPE MOURA SILVEIRA [아들, 1세]
SARA MARIA MOURA SILVEIRA [딸, 0세]
</t>
  </si>
  <si>
    <t>SILVEIRAGFG@GMAIL.COM</t>
  </si>
  <si>
    <t>Choi Hayoung</t>
  </si>
  <si>
    <t>최하영</t>
  </si>
  <si>
    <t>Dental student</t>
  </si>
  <si>
    <t>seoil5140@naver.com</t>
  </si>
  <si>
    <t>Hayoung Choi</t>
  </si>
  <si>
    <t>An Sumin</t>
  </si>
  <si>
    <t>안수민</t>
  </si>
  <si>
    <t>Keimyung University / CMF</t>
  </si>
  <si>
    <t>tnals1205als@naver.com</t>
  </si>
  <si>
    <t>SuMin An</t>
  </si>
  <si>
    <t>GU JUEUN</t>
  </si>
  <si>
    <t>구주은</t>
  </si>
  <si>
    <t>Kyungpook National University CMF</t>
  </si>
  <si>
    <t>9jueun@naver.com</t>
  </si>
  <si>
    <t>Gu Jueun</t>
  </si>
  <si>
    <t>HUANG JIACAI</t>
  </si>
  <si>
    <t>China</t>
  </si>
  <si>
    <t>Global IHS trainer of Saline Process in China</t>
  </si>
  <si>
    <t>MD, Family Physician</t>
  </si>
  <si>
    <t>lukehuangjc@protonmail.com</t>
  </si>
  <si>
    <t>1, Mancy Huang, female, wife, mxhuang2018@gmail.com
 2, Xuanyu Huang, female, daughter, lukehuangjc@protonmail.com</t>
  </si>
  <si>
    <t>Mancy Huang [배우자(아내)]
 Xuanyu Huang [딸, 1세]</t>
  </si>
  <si>
    <t>Luke Huang</t>
  </si>
  <si>
    <t>KIM DAHYUN</t>
  </si>
  <si>
    <t>김다현</t>
  </si>
  <si>
    <t>Inje University</t>
  </si>
  <si>
    <t>Student (Nursing)</t>
  </si>
  <si>
    <t>dahyun.scarlet.kim@gmail.com</t>
  </si>
  <si>
    <t>DaHyun Kim</t>
  </si>
  <si>
    <t>Daniel Lucas Frias</t>
  </si>
  <si>
    <t>ACBAS</t>
  </si>
  <si>
    <t>Dlucasfrias@gmail.com</t>
  </si>
  <si>
    <t>Jessica Roxana Lino Vinacha</t>
  </si>
  <si>
    <t>licjessicarlv@gmail.com</t>
  </si>
  <si>
    <t>Universidad Autónoma Gabriel Rene Moreno</t>
  </si>
  <si>
    <t>Psicologa</t>
  </si>
  <si>
    <t>DIANA MARCELA ZARRATE GUZMAN</t>
  </si>
  <si>
    <t>COLOMBIA</t>
  </si>
  <si>
    <t>FRONTIERS</t>
  </si>
  <si>
    <t>Team member</t>
  </si>
  <si>
    <t>zarrate.diana@outlook.com</t>
  </si>
  <si>
    <t>Diana Marcela Zarrate Guzman</t>
  </si>
  <si>
    <t>Clarisse Girincuti</t>
  </si>
  <si>
    <t>Hopital de l Esperance de Mango</t>
  </si>
  <si>
    <t>Surgeon</t>
  </si>
  <si>
    <t>clarissegirincuti5@gmail.com</t>
  </si>
  <si>
    <t>Audace Nduwimana</t>
  </si>
  <si>
    <t>GLAUCO FRANCO SANTANA</t>
  </si>
  <si>
    <t>MEDICOS DE CRISTO - BRAZIL</t>
  </si>
  <si>
    <t>glaucocardio@gmail.com</t>
  </si>
  <si>
    <t>CRISTIANE SANTANA, FEMALE, WIFE, glaucocardio@gmail.com</t>
  </si>
  <si>
    <t>Glauco Franco Santana</t>
  </si>
  <si>
    <t>Hi Jil Yen</t>
  </si>
  <si>
    <t>Platinum Dental Group</t>
  </si>
  <si>
    <t>jil@live.com.my</t>
  </si>
  <si>
    <t>1, Kenneth Ten, Male, Husband, kentenjiajun@gmail.com</t>
  </si>
  <si>
    <t>KIM SEHYEON</t>
  </si>
  <si>
    <t>김세현</t>
  </si>
  <si>
    <t>Daegu catholic university medical school graduate</t>
  </si>
  <si>
    <t>inoccupation. Serving in mandatory military service</t>
  </si>
  <si>
    <t>cineelihp@gmail.com</t>
  </si>
  <si>
    <t>BUI ANH NGOC</t>
  </si>
  <si>
    <t>VIET NAM</t>
  </si>
  <si>
    <t>Military Academi Medical University</t>
  </si>
  <si>
    <t>Chairman of CMF Viet Nam</t>
  </si>
  <si>
    <t>trangoc1906@gmail.com</t>
  </si>
  <si>
    <t>Yeana Kim</t>
  </si>
  <si>
    <t>김예나</t>
  </si>
  <si>
    <t>KCMDA</t>
  </si>
  <si>
    <t>Ms.</t>
  </si>
  <si>
    <t>kyn8931@gmail.com</t>
  </si>
  <si>
    <t>DONG JIN SHIN</t>
  </si>
  <si>
    <t>신동진</t>
  </si>
  <si>
    <t>Seoul national university</t>
  </si>
  <si>
    <t>djshin1015@snu.ac.kr</t>
  </si>
  <si>
    <t>Dong Jin Shin</t>
  </si>
  <si>
    <t>Sandro Balarezo LLerena</t>
  </si>
  <si>
    <t>Argentina</t>
  </si>
  <si>
    <t>ICMDA Argentina</t>
  </si>
  <si>
    <t>sandro.balarezo@unc.edu.ar</t>
  </si>
  <si>
    <t>José Henrique Tercziany Vanzin</t>
  </si>
  <si>
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</si>
  <si>
    <t>j.hvanzin@gmail.com</t>
  </si>
  <si>
    <t>Kathleen Low Sze Lin</t>
  </si>
  <si>
    <t>HCF Malaysia</t>
  </si>
  <si>
    <t>Junior doctor</t>
  </si>
  <si>
    <t>kathleenlow97@yahoo.com</t>
  </si>
  <si>
    <t>Maad Top Kuichluoch Jal</t>
  </si>
  <si>
    <t>Pan African Academy of Christian Surgeons</t>
  </si>
  <si>
    <t>General Surgery Resident</t>
  </si>
  <si>
    <t>maadtop90@gmail.com</t>
  </si>
  <si>
    <t>Lee eun su</t>
  </si>
  <si>
    <t>이은수</t>
  </si>
  <si>
    <t>Keimyung</t>
  </si>
  <si>
    <t>amen0525@naver.com</t>
  </si>
  <si>
    <t>Dahye Park</t>
  </si>
  <si>
    <t>박다혜</t>
  </si>
  <si>
    <t>원광대학교</t>
  </si>
  <si>
    <t>학생/Student</t>
  </si>
  <si>
    <t>Parkdahye0505@naver.com</t>
  </si>
  <si>
    <t>Park Seonbeen, Sister, grace_park00@naver.com</t>
  </si>
  <si>
    <t>seonbeen park</t>
  </si>
  <si>
    <t>박선빈</t>
  </si>
  <si>
    <t>원광대학교/ICMDA</t>
  </si>
  <si>
    <t>grace_park00@naver.com</t>
  </si>
  <si>
    <t>1, Dahye park, female, sister, parkdahye0505@naver.com</t>
  </si>
  <si>
    <t>Seonbeen Park</t>
  </si>
  <si>
    <t>Dang Thi Theu</t>
  </si>
  <si>
    <t>Private Clinic</t>
  </si>
  <si>
    <t>Tradition Medicine</t>
  </si>
  <si>
    <t>dangthitheu19702017@gmail.com</t>
  </si>
  <si>
    <t>Vu Binh Ngo</t>
  </si>
  <si>
    <t>Traditional Medicine</t>
  </si>
  <si>
    <t>binhngoc48b@gmail.com</t>
  </si>
  <si>
    <t>PHAM THI HUYEN</t>
  </si>
  <si>
    <t>Hong phuc general hospital, Hai Phong, Vietnam</t>
  </si>
  <si>
    <t>huyentrangshaloms@gmail.com</t>
  </si>
  <si>
    <t>Nguyen Pham Viet An, son, huyentrangshaloms@gmail.com</t>
  </si>
  <si>
    <t>Nguyen Pham Viet An [아들]</t>
  </si>
  <si>
    <t>pham thi huyen</t>
  </si>
  <si>
    <t>Urim Song</t>
  </si>
  <si>
    <t>송우림</t>
  </si>
  <si>
    <t>Severance hospital</t>
  </si>
  <si>
    <t>urimsong2016@gmail.com</t>
  </si>
  <si>
    <t>Urimsong2016@gmail.com</t>
  </si>
  <si>
    <t>Vuong Viet Ky</t>
  </si>
  <si>
    <t>vuongky367@gmail.com</t>
  </si>
  <si>
    <t>VU HOANG HANH</t>
  </si>
  <si>
    <t>Private dental clinic</t>
  </si>
  <si>
    <t>Genera lPractitioner</t>
  </si>
  <si>
    <t>vuhoanghanh662@gmail.com</t>
  </si>
  <si>
    <t>VŨ HOÀNG HẠNH</t>
  </si>
  <si>
    <t>Đoàn Thị Len</t>
  </si>
  <si>
    <t>Doan Thi Len</t>
  </si>
  <si>
    <t>Thanh Dong University</t>
  </si>
  <si>
    <t>luongydoanthilen@gmail.com</t>
  </si>
  <si>
    <t>NGUYEN THI KHANH LY</t>
  </si>
  <si>
    <t>dentist</t>
  </si>
  <si>
    <t>dr.lyly94@gmail.com</t>
  </si>
  <si>
    <t>1, Bui Quang Hung, male, husband, dentalhung@gmail.com</t>
  </si>
  <si>
    <t>LUZ ELENA CHACHA CERQUIN</t>
  </si>
  <si>
    <t>ACSAI PERÚ</t>
  </si>
  <si>
    <t>Miembro</t>
  </si>
  <si>
    <t>elenachacha@hotmail.com</t>
  </si>
  <si>
    <t>MARIA SOCORRO CONDOR ESPINOZA</t>
  </si>
  <si>
    <t>ASOCIACION CRISTIANA DE PROFESIONALES DE LA SALUD - ACSA PERU</t>
  </si>
  <si>
    <t>TESORERA EN ACSA PER</t>
  </si>
  <si>
    <t>maryce29@gmail.com</t>
  </si>
  <si>
    <t>July 1, July 4</t>
  </si>
  <si>
    <t>María Socorro Condor espinoza</t>
  </si>
  <si>
    <t>maryce1917@gmail.com</t>
  </si>
  <si>
    <t>Nguyễn Anh Nhật</t>
  </si>
  <si>
    <t>Hai Phong University of Medicine and Pharmacy</t>
  </si>
  <si>
    <t>General medicine</t>
  </si>
  <si>
    <t>nguyenanhnhat16032005@gmail.com</t>
  </si>
  <si>
    <t>Ebram Nader Anwar Tanyous</t>
  </si>
  <si>
    <t>Faculty of medicine Minia university</t>
  </si>
  <si>
    <t>ebramnadertanyous@gmail.com</t>
  </si>
  <si>
    <t>NGUYEN THI NGUYET</t>
  </si>
  <si>
    <t>Retire</t>
  </si>
  <si>
    <t>Medical Technician</t>
  </si>
  <si>
    <t>nguyenthinguyetcmf@gmail.com</t>
  </si>
  <si>
    <t>Dorothy Gabriella Pangaribuan</t>
  </si>
  <si>
    <t>Universitas Kristen Indonesia</t>
  </si>
  <si>
    <t>Medical Degree</t>
  </si>
  <si>
    <t>registwebz@gmail.com</t>
  </si>
  <si>
    <t>Joue Abraham Trixie Latupeirissa</t>
  </si>
  <si>
    <t>joueabraham@gmail.com</t>
  </si>
  <si>
    <t>Annie Tan Lao</t>
  </si>
  <si>
    <t>Australia</t>
  </si>
  <si>
    <t>International Disaster Response Network - Philippines</t>
  </si>
  <si>
    <t>Kancharla Nissi</t>
  </si>
  <si>
    <t>Rangaraya medical college</t>
  </si>
  <si>
    <t>nissikancharla@gmail.com</t>
  </si>
  <si>
    <t>Virginia Leticia</t>
  </si>
  <si>
    <t>Silva Rodriguez</t>
  </si>
  <si>
    <t>Facultade de Psicología de la Universidad de la Republica</t>
  </si>
  <si>
    <t>Licenciada en Psicología</t>
  </si>
  <si>
    <t>vletisilva@gmail.com</t>
  </si>
  <si>
    <t>Virginia Leticia Silva Rodriguez</t>
  </si>
  <si>
    <t>Laudicea Cardoso da Silva</t>
  </si>
  <si>
    <t>Universidade Federal do Ceará</t>
  </si>
  <si>
    <t>cslaudicea33@gmail.com</t>
  </si>
  <si>
    <t>LAUDICÉA CARDOSO DA SILVA</t>
  </si>
  <si>
    <t>CATHERINE MARITZA TORRES GOMEZ</t>
  </si>
  <si>
    <t>SHALOM MEDICS COLOMBIA</t>
  </si>
  <si>
    <t>LIDER NACIONAL CMDA</t>
  </si>
  <si>
    <t>cathetorresgomez@gmail.com</t>
  </si>
  <si>
    <t>Elena Isabel Fuentes Torres, mujer, hija, cathetorresgomez@gmail.com 
 Andres Fuentes Daza , hombre, esposo, andresfuentesdaza@gmail.com</t>
  </si>
  <si>
    <t>Elena Isabel Fuentes Torres[딸, 1세] cathetorresgomez@gmail.com 
 Andres Fuentes Daza [배우자(남편)] andresfuentesdaza@gmail.com</t>
  </si>
  <si>
    <t>CATHERINE MARITZA TORRES GÓMEZ</t>
  </si>
  <si>
    <t>CATHETORRESGOMEZ@GMAIL.COM</t>
  </si>
  <si>
    <t>JOYCE REDA SAAD KRLS</t>
  </si>
  <si>
    <t>Faculty of pharmacy</t>
  </si>
  <si>
    <t>joyceredasaad@gmail.com</t>
  </si>
  <si>
    <t>With my sister Lydia Reda</t>
  </si>
  <si>
    <t>Joyce Reda Saad Krls</t>
  </si>
  <si>
    <t>Lucas S L Sobreira</t>
  </si>
  <si>
    <t>Lucas Soares Lopes Sobreira</t>
  </si>
  <si>
    <t>lucas-sobreira@hotmail.com</t>
  </si>
  <si>
    <t>생년월일 일치, 이메일 일치, 이름 유사도 88</t>
  </si>
  <si>
    <t>Vu Hoang Anh Thu</t>
  </si>
  <si>
    <t>Anh Thu</t>
  </si>
  <si>
    <t>athuh.vu.233@gmail.com</t>
  </si>
  <si>
    <t>Vũ Hoàng Anh Thư</t>
  </si>
  <si>
    <t>SEKITOOLEKO NASSER</t>
  </si>
  <si>
    <t>Sir</t>
  </si>
  <si>
    <t>sekitoolekonasser@gmail.com</t>
  </si>
  <si>
    <t>Sekitooleko Nasser</t>
  </si>
  <si>
    <t>Alain MBUTYABO BACHWEKI</t>
  </si>
  <si>
    <t>alainbachweki@gmail.com</t>
  </si>
  <si>
    <t>Tran Anh Phuong</t>
  </si>
  <si>
    <t>Spring Hospice Center</t>
  </si>
  <si>
    <t>anhphuongtran211@gmail.com</t>
  </si>
  <si>
    <t>Jennifer Ortiz Monteclaro</t>
  </si>
  <si>
    <t>Jm210@duck.com</t>
  </si>
  <si>
    <t>Disagree</t>
  </si>
  <si>
    <t>Jennifer Monteclaro</t>
  </si>
  <si>
    <t>Dohyun Nam</t>
  </si>
  <si>
    <t>남도현</t>
  </si>
  <si>
    <t>Kyunghee University / CMF Korea</t>
  </si>
  <si>
    <t>deer0917@khu.ac.kr</t>
  </si>
  <si>
    <t>Oketcho Anthony</t>
  </si>
  <si>
    <t>asindejuliet1994@gmail.com</t>
  </si>
  <si>
    <t>Among Irene Olimoro</t>
  </si>
  <si>
    <t>Kabale University</t>
  </si>
  <si>
    <t>Institute representative</t>
  </si>
  <si>
    <t>amongirene@gmail.com</t>
  </si>
  <si>
    <t>Joshua Goodluck</t>
  </si>
  <si>
    <t xml:space="preserve">Bwamike </t>
  </si>
  <si>
    <t xml:space="preserve">Uganda Christian University </t>
  </si>
  <si>
    <t>bwamikejoshua@gmail.com</t>
  </si>
  <si>
    <t>Kisakye Chakara Noella</t>
  </si>
  <si>
    <t>Uganda Christian University</t>
  </si>
  <si>
    <t>noellakidakye@gmail.com</t>
  </si>
  <si>
    <t>noellakisakye@gmail.com</t>
  </si>
  <si>
    <t>ODOI EPAPHRAS OTHIENO</t>
  </si>
  <si>
    <t>oepaphrasothieno@gmail.com</t>
  </si>
  <si>
    <t>Nyangoma Daphine</t>
  </si>
  <si>
    <t>Student. Member of Uganda Christian Medical Fellowship students' affliation</t>
  </si>
  <si>
    <t>nabasajovia@gmail.com</t>
  </si>
  <si>
    <t>NYANGOMA DAPHINE</t>
  </si>
  <si>
    <t>Nabukeera Patricia</t>
  </si>
  <si>
    <t>Kampala international University</t>
  </si>
  <si>
    <t>Student and under uganda christian medical fellowship Student chapter</t>
  </si>
  <si>
    <t>patricianabukeera@140gmail.com</t>
  </si>
  <si>
    <t>patricianabukeera140@gmail.com</t>
  </si>
  <si>
    <t>Moses Dayanand Kharat</t>
  </si>
  <si>
    <t>CBHP</t>
  </si>
  <si>
    <t>moseskharat@gmail.com</t>
  </si>
  <si>
    <t>Komuhangi Rozan Miracle</t>
  </si>
  <si>
    <t>Wentz Medical Center</t>
  </si>
  <si>
    <t>rozanmuhangi@gmail.com</t>
  </si>
  <si>
    <t>KOMUHANGI ROZAN</t>
  </si>
  <si>
    <t>Sarah Engkær Harregaard</t>
  </si>
  <si>
    <t>Denmark</t>
  </si>
  <si>
    <t>Aarhus University (through "Kristelig Laegeforening")</t>
  </si>
  <si>
    <t>Medical student, second year</t>
  </si>
  <si>
    <t>sarah.e.harregaard@gmail.com</t>
  </si>
  <si>
    <t>1, Rebecka Engkær Harregaard, female, younger sister, rebecka@harregaard.dk</t>
  </si>
  <si>
    <t>Sarah Engkær Harregaard Schanche</t>
  </si>
  <si>
    <t>JEONG YEBIN</t>
  </si>
  <si>
    <t>정예빈</t>
  </si>
  <si>
    <t>Chonnam National University</t>
  </si>
  <si>
    <t>yebin4962@hanmail.net</t>
  </si>
  <si>
    <t>YEBIN JEONG</t>
  </si>
  <si>
    <t>Nina Lilian Schmidt</t>
  </si>
  <si>
    <t>Germany</t>
  </si>
  <si>
    <t>Saarland University</t>
  </si>
  <si>
    <t>nls@online.de</t>
  </si>
  <si>
    <t>Keinembabazi Elizabeth</t>
  </si>
  <si>
    <t>Kiruddu National Referral Hospital (Volunteer) and Uganda Christian Medical Fellowship</t>
  </si>
  <si>
    <t>Doctor/Member</t>
  </si>
  <si>
    <t>keinembabazielizabeth11@gmail.com</t>
  </si>
  <si>
    <t>Suah Lee</t>
  </si>
  <si>
    <t>이수아</t>
  </si>
  <si>
    <t>Ewha Womans University</t>
  </si>
  <si>
    <t>Nursing Student</t>
  </si>
  <si>
    <t>suahlee0210@gmail.com</t>
  </si>
  <si>
    <t>Daniela Morais Araujo</t>
  </si>
  <si>
    <t>Fumec</t>
  </si>
  <si>
    <t>Psicóloga</t>
  </si>
  <si>
    <t>danielamoraispsi@gmail.com</t>
  </si>
  <si>
    <t>Maike Rahel Sander</t>
  </si>
  <si>
    <t>Universität zu Lübeck</t>
  </si>
  <si>
    <t>maike@5x-sander.de</t>
  </si>
  <si>
    <t>Samantha Catherine Dunnet</t>
  </si>
  <si>
    <t>Various - Karen Department of Health, Partners relief and development, Ngati Kahu Hauora</t>
  </si>
  <si>
    <t>GP, medic trainer (I am a self funding missionary)</t>
  </si>
  <si>
    <t>samdunnet@yahoo.com</t>
  </si>
  <si>
    <t>Samantha Dunnet</t>
  </si>
  <si>
    <t>JUDITH NAIGA LUBEGA</t>
  </si>
  <si>
    <t>UGANDA CHRISTIAN MEDICAL FELLOWSHIP</t>
  </si>
  <si>
    <t>jlubega40@gmail.com</t>
  </si>
  <si>
    <t>Nantumbwe Rebecca Sheena</t>
  </si>
  <si>
    <t>Sheenarebecca71@gmail.com</t>
  </si>
  <si>
    <t>Furaha G Mbembela</t>
  </si>
  <si>
    <t>Kcmc</t>
  </si>
  <si>
    <t>Mbembelafuraha9@gmail.com</t>
  </si>
  <si>
    <t>mbembelafuraha9@gmail.com</t>
  </si>
  <si>
    <t>Pradubporn Leelasart</t>
  </si>
  <si>
    <t>Thailand</t>
  </si>
  <si>
    <t>McKean Senior hospital/Christian Medical Fellowship Thailand</t>
  </si>
  <si>
    <t>Pradubporn.lee@gmail.com</t>
  </si>
  <si>
    <t>pradubporn.lee@gmail.com</t>
  </si>
  <si>
    <t>Ittikorn Rojdamrongratana</t>
  </si>
  <si>
    <t>KCMH (Chulalongkorn hospital)</t>
  </si>
  <si>
    <t>Residency</t>
  </si>
  <si>
    <t>Ittikorn162@gmail.com</t>
  </si>
  <si>
    <t>YoungSeo Lim</t>
  </si>
  <si>
    <t>임영서</t>
  </si>
  <si>
    <t>Kangwon National University (KNU)</t>
  </si>
  <si>
    <t xml:space="preserve">	lim330yg@naver.com</t>
  </si>
  <si>
    <t>Song Baek</t>
  </si>
  <si>
    <t>백송</t>
  </si>
  <si>
    <t>Kangwon National University</t>
  </si>
  <si>
    <t>monkeysong625@naver.com</t>
  </si>
  <si>
    <t>MERCY NYAKIO MBURU</t>
  </si>
  <si>
    <t>UNIVERSITY OF NAIROBI</t>
  </si>
  <si>
    <t>ATTACHEE</t>
  </si>
  <si>
    <t>drnyakio@gmail.com</t>
  </si>
  <si>
    <t>Nyakia Mburu</t>
  </si>
  <si>
    <t>Hanbi Kim</t>
  </si>
  <si>
    <t>김한비</t>
  </si>
  <si>
    <t>Western University/Global Medical Missions Alliance</t>
  </si>
  <si>
    <t>Undergrad Student</t>
  </si>
  <si>
    <t>hkim972@uwo.ca</t>
  </si>
  <si>
    <t>Hkim972@uwo.ca</t>
  </si>
  <si>
    <t>Sabrina Lo</t>
  </si>
  <si>
    <t>University of Toronto + Global Medical Missions Alliance (GMMA)</t>
  </si>
  <si>
    <t>Student + GMMA Officer (President)</t>
  </si>
  <si>
    <t>sabrinalo0907@gmail.com</t>
  </si>
  <si>
    <t>Jiwon Song</t>
  </si>
  <si>
    <t>송지원</t>
  </si>
  <si>
    <t>Woosuk university</t>
  </si>
  <si>
    <t>jiwonsong2164@gmail.com</t>
  </si>
  <si>
    <t>Song jiwon</t>
  </si>
  <si>
    <t>Eunul Jeong</t>
  </si>
  <si>
    <t>정은울</t>
  </si>
  <si>
    <t>Konyang university/CMF club</t>
  </si>
  <si>
    <t>ajung0105@naver.com</t>
  </si>
  <si>
    <t>Amy Eunul Jeong</t>
  </si>
  <si>
    <t>AHN JEONGYEON</t>
  </si>
  <si>
    <t>안정연</t>
  </si>
  <si>
    <t>조선대학교 치과대학</t>
  </si>
  <si>
    <t>juliaa1115@naver.com</t>
  </si>
  <si>
    <t>Yejin Yeo</t>
  </si>
  <si>
    <t>여예진</t>
  </si>
  <si>
    <t>Kyunghee University/ CMf</t>
  </si>
  <si>
    <t>YejinyejinYeo@gmail.com</t>
  </si>
  <si>
    <t>KIM EUNJIN</t>
  </si>
  <si>
    <t>김은진</t>
  </si>
  <si>
    <t>Yonsei University</t>
  </si>
  <si>
    <t>eunjinkim0422@gmail.com</t>
  </si>
  <si>
    <t>Eunjin Kim</t>
  </si>
  <si>
    <t>KIM JI WOO</t>
  </si>
  <si>
    <t>김지우</t>
  </si>
  <si>
    <t>Yonsei University/ CMF</t>
  </si>
  <si>
    <t>jiwoo.kim0203@yonsei.ac.kr</t>
  </si>
  <si>
    <t>Ji Woo Kim</t>
  </si>
  <si>
    <t>PARK CHAERIN</t>
  </si>
  <si>
    <t>박채린</t>
  </si>
  <si>
    <t>Korea University, College of Medicine</t>
  </si>
  <si>
    <t>chaerin0205@gmail.com</t>
  </si>
  <si>
    <t>Chaerin Park</t>
  </si>
  <si>
    <t>SOMI YANG</t>
  </si>
  <si>
    <t>양소미</t>
  </si>
  <si>
    <t>Daegu Catholic University, College of Medicine</t>
  </si>
  <si>
    <t>yangsomi0518@gmail.com</t>
  </si>
  <si>
    <t>somi yang</t>
  </si>
  <si>
    <t>Park SiEun</t>
  </si>
  <si>
    <t>박시은</t>
  </si>
  <si>
    <t>WonKwang Univ. Med school / CMF</t>
  </si>
  <si>
    <t>pse_0829@naver.com</t>
  </si>
  <si>
    <t>Si Eun Park</t>
  </si>
  <si>
    <t>Kim Yong Jun</t>
  </si>
  <si>
    <t>김용준</t>
  </si>
  <si>
    <t>Chonnam Univ. med school / CMF</t>
  </si>
  <si>
    <t>y011126y@naver.com</t>
  </si>
  <si>
    <t>Yong Jun Kim</t>
  </si>
  <si>
    <t>SHIN JIYE</t>
  </si>
  <si>
    <t>신지예</t>
  </si>
  <si>
    <t>Chungnam National University College of Medical</t>
  </si>
  <si>
    <t>nickey.sjy@gmail.com</t>
  </si>
  <si>
    <t>Jiye Shin</t>
  </si>
  <si>
    <t>YEEUN JEONG</t>
  </si>
  <si>
    <t>정예은</t>
  </si>
  <si>
    <t>Kangwon national dental hospital</t>
  </si>
  <si>
    <t>resident</t>
  </si>
  <si>
    <t>jye0972@naver.com</t>
  </si>
  <si>
    <t>Dasol Ahn</t>
  </si>
  <si>
    <t>안다솔</t>
  </si>
  <si>
    <t>이화여자대학교 의과대학/의학과 학생</t>
  </si>
  <si>
    <t>ads020514@naver.com</t>
  </si>
  <si>
    <t>SOONYOUNG HWANG</t>
  </si>
  <si>
    <t>황순영</t>
  </si>
  <si>
    <t>Seoul National University</t>
  </si>
  <si>
    <t>hiu06015@naver.com</t>
  </si>
  <si>
    <t>July 2, July 3</t>
  </si>
  <si>
    <t>Soonyoung Hwang</t>
  </si>
  <si>
    <t>KIM HEEJIN</t>
  </si>
  <si>
    <t>김희진</t>
  </si>
  <si>
    <t>Kangwon national university</t>
  </si>
  <si>
    <t>heejin.violet@gmail.com</t>
  </si>
  <si>
    <t>Heejin Kim</t>
  </si>
  <si>
    <t>Nayoon Jin</t>
  </si>
  <si>
    <t>진나윤</t>
  </si>
  <si>
    <t>jinnayoon33@gmail.com</t>
  </si>
  <si>
    <t>YOU EUNHO</t>
  </si>
  <si>
    <t>유은호</t>
  </si>
  <si>
    <t>Jeonbuk National University MED</t>
  </si>
  <si>
    <t>eunho_313@naver.com</t>
  </si>
  <si>
    <t>Song Chae Lin</t>
  </si>
  <si>
    <t>송채린</t>
  </si>
  <si>
    <t>lynn55465@gmail.com</t>
  </si>
  <si>
    <t>Song Chae Lynn</t>
  </si>
  <si>
    <t>Jeongmin Hong</t>
  </si>
  <si>
    <t>홍정민</t>
  </si>
  <si>
    <t>Yonsei university/CMF</t>
  </si>
  <si>
    <t>jmh200410@gmail.com</t>
  </si>
  <si>
    <t>SHON HYOJOO</t>
  </si>
  <si>
    <t>손효주</t>
  </si>
  <si>
    <t>DONGGUK UNIVERSITY</t>
  </si>
  <si>
    <t>hyojoo040923@naver.com</t>
  </si>
  <si>
    <t>Lupu Lidia Madalina</t>
  </si>
  <si>
    <t>BELCMDA BELGIUM</t>
  </si>
  <si>
    <t>Board member</t>
  </si>
  <si>
    <t>lidia.madalina1@gmail.com</t>
  </si>
  <si>
    <t>Lidia Lupu</t>
  </si>
  <si>
    <t>YENA ANNA KIM</t>
  </si>
  <si>
    <t>yeanna59@gmail.com</t>
  </si>
  <si>
    <t>PARK JUNHO</t>
  </si>
  <si>
    <t>박준호</t>
  </si>
  <si>
    <t>dandyjun051@naver.com</t>
  </si>
  <si>
    <t>JUNHO PARK</t>
  </si>
  <si>
    <t>HAYOON JUNG</t>
  </si>
  <si>
    <t>정하윤</t>
  </si>
  <si>
    <t>herun0621@naver.com</t>
  </si>
  <si>
    <t>(YENA ANNA KIM, female, cousin, yeanna59@gmail.com)</t>
  </si>
  <si>
    <t>HYEON SU YOON</t>
  </si>
  <si>
    <t>윤현수</t>
  </si>
  <si>
    <t>yunhyeonsu77@gmail.com</t>
  </si>
  <si>
    <t>HYEONSU YOON</t>
  </si>
  <si>
    <t>HADAM PARK</t>
  </si>
  <si>
    <t>박하담</t>
  </si>
  <si>
    <t>전북대학교 Jeonbuk national university</t>
  </si>
  <si>
    <t>hadampark0106@gmail.com</t>
  </si>
  <si>
    <t>박하담 (Hadam Park)</t>
  </si>
  <si>
    <t>Millennium Yemane Manna</t>
  </si>
  <si>
    <t>Ohio State University College of Medicine</t>
  </si>
  <si>
    <t>mannamillennium@gmail.com</t>
  </si>
  <si>
    <t>ABIGAIL VICTORIA FRUHWIRTH</t>
  </si>
  <si>
    <t>Eswatini</t>
  </si>
  <si>
    <t>Eswatini medical Christian university</t>
  </si>
  <si>
    <t>abigail.fruhwirth@gmail.com</t>
  </si>
  <si>
    <t>Abigail Victoria Fruhwirth</t>
  </si>
  <si>
    <t>Nyanjau Jackson Kariuki</t>
  </si>
  <si>
    <t>Christian Medical Fellowship of Kenya</t>
  </si>
  <si>
    <t>Executive Administrator</t>
  </si>
  <si>
    <t>kariukinyanjau@gmail.com</t>
  </si>
  <si>
    <t>Jackson Kariuki Nyanjau</t>
  </si>
  <si>
    <t>Katekile</t>
  </si>
  <si>
    <t>u22658981@tuks.co.za</t>
  </si>
  <si>
    <t>Olufemi Oluwole Olowookere</t>
  </si>
  <si>
    <t>University College Hospital</t>
  </si>
  <si>
    <t>Consultant Family Physician and Geriatrician</t>
  </si>
  <si>
    <t>femikemi2001ng@yahoo.com</t>
  </si>
  <si>
    <t>Olufemi Olowookere</t>
  </si>
  <si>
    <t>Yorke Josephine Adjoa Appiatsewah</t>
  </si>
  <si>
    <t>Komfo Anokye Teaching Hospital</t>
  </si>
  <si>
    <t>Junior House Officer</t>
  </si>
  <si>
    <t>yorkejosephine7@gmail.com</t>
  </si>
  <si>
    <t>Josephine Adjoa Appiatsewah Yorke</t>
  </si>
  <si>
    <t>Obino Joash Maranga</t>
  </si>
  <si>
    <t>Mkongani Sub County Hospital</t>
  </si>
  <si>
    <t>Hospital pharmacist</t>
  </si>
  <si>
    <t>joashmaranga@gmail.com</t>
  </si>
  <si>
    <t>Joash Maranga Obino</t>
  </si>
  <si>
    <t>Madina Fermebek</t>
  </si>
  <si>
    <t>Kazakhstan</t>
  </si>
  <si>
    <t>International medical Center Almaty</t>
  </si>
  <si>
    <t>Family physician</t>
  </si>
  <si>
    <t>fermebekmadina@gmail.com</t>
  </si>
  <si>
    <t>CHIN HESING (SAMSON) (A56041091)</t>
  </si>
  <si>
    <t>UNAFFLIATED</t>
  </si>
  <si>
    <t>JUNIOR DOCTOR</t>
  </si>
  <si>
    <t>hesing123@gmail.com</t>
  </si>
  <si>
    <t>CHIN</t>
  </si>
  <si>
    <t>이메일 일치, 이름 유사도 100</t>
  </si>
  <si>
    <t>Abhijeet Sangma Barooah</t>
  </si>
  <si>
    <t>Chrisitan Medical Association of India</t>
  </si>
  <si>
    <t>Secretary, Doctors Section</t>
  </si>
  <si>
    <t>a.sangma@cmai.org</t>
  </si>
  <si>
    <t>A.Sangma@cmai.org</t>
  </si>
  <si>
    <t>Kwesiga</t>
  </si>
  <si>
    <t>Raymond</t>
  </si>
  <si>
    <t>kisenyi humantarian Aid foundation</t>
  </si>
  <si>
    <t>socialwork</t>
  </si>
  <si>
    <t>raymondkwesiga30@gmail.com</t>
  </si>
  <si>
    <t>kwesiga Raymond</t>
  </si>
  <si>
    <t>MELVINE NDOTI MUSEMBI</t>
  </si>
  <si>
    <t>MELVINE</t>
  </si>
  <si>
    <t>Christian Medical Fellowship of Kenya (CMF-K)</t>
  </si>
  <si>
    <t>MEMBER</t>
  </si>
  <si>
    <t>melvinemusembi@gmail.com</t>
  </si>
  <si>
    <t>DIANA MBENGWA MUSEMBI, SISTER, musembimbengwa@gmail.com</t>
  </si>
  <si>
    <t>Bupe Mambwe</t>
  </si>
  <si>
    <t>University of lusaka</t>
  </si>
  <si>
    <t>Student (icmda member)</t>
  </si>
  <si>
    <t>bupemambwe24@gmail.com</t>
  </si>
  <si>
    <t>Katureebe Richard</t>
  </si>
  <si>
    <t>King Ceasor university Uganda</t>
  </si>
  <si>
    <t>Institutional representative ucmf</t>
  </si>
  <si>
    <t>katureeberichard22@gmail.com</t>
  </si>
  <si>
    <t>Gifty Frimpong</t>
  </si>
  <si>
    <t>Ghana Christian Medical and Dental Fellowship (GCMDF)</t>
  </si>
  <si>
    <t>Assistant National Secretary</t>
  </si>
  <si>
    <t>akyedeimela@gmail.com</t>
  </si>
  <si>
    <t>Ye Yint Maung Shin</t>
  </si>
  <si>
    <t>Myanmar</t>
  </si>
  <si>
    <t>Heal Myanmar</t>
  </si>
  <si>
    <t>dryeyint.rm@gmail.com</t>
  </si>
  <si>
    <t>Ndziakomba MVOUO polexine lefutur</t>
  </si>
  <si>
    <t>Association des médecins chrétiens du Congo/Brazzaville</t>
  </si>
  <si>
    <t>Présidente</t>
  </si>
  <si>
    <t>ndziakombal@gmail.com</t>
  </si>
  <si>
    <t>Lefutur ndziakomba</t>
  </si>
  <si>
    <t>Zulmandakh Baljinnyam</t>
  </si>
  <si>
    <t>Lund University, Sweden</t>
  </si>
  <si>
    <t>Master's student</t>
  </si>
  <si>
    <t>bzulmandah@gmail.com</t>
  </si>
  <si>
    <t>NUON BORA</t>
  </si>
  <si>
    <t>Khmer Sovuet Friendship Hospitak</t>
  </si>
  <si>
    <t>Boranuon0427@gmail.com</t>
  </si>
  <si>
    <t>boranuon0427@gmail.com</t>
  </si>
  <si>
    <t>FANIRIKO Marco Bien Aimé</t>
  </si>
  <si>
    <t>CMDA Lioka Madagascar</t>
  </si>
  <si>
    <t>fanirikomarcobienaim@gmail.com</t>
  </si>
  <si>
    <t>FANIRIKO MARCO BIEN-AIMÉ</t>
  </si>
  <si>
    <t>Julie Susanto</t>
  </si>
  <si>
    <t>Rowan University</t>
  </si>
  <si>
    <t>jsus8888@gmail.com</t>
  </si>
  <si>
    <t>David Susanto, Husband</t>
  </si>
  <si>
    <t>Sana Maria.</t>
  </si>
  <si>
    <t>Bach Christian hospital qalandarabad abbottabad</t>
  </si>
  <si>
    <t>Doctor (Medical Officer)</t>
  </si>
  <si>
    <t>geminian_29@hotmail.com</t>
  </si>
  <si>
    <t>Sana Maria</t>
  </si>
  <si>
    <t>Narisa Pervaiz</t>
  </si>
  <si>
    <t>pervarisa@gmail.com</t>
  </si>
  <si>
    <t>Narisa Perviaz</t>
  </si>
  <si>
    <t>RANIVONTSOARIVONY MARTINE</t>
  </si>
  <si>
    <t>HCF/CMDA/IHS</t>
  </si>
  <si>
    <t>Doctor Martine RANIVO.</t>
  </si>
  <si>
    <t>mranivo@gmail.com</t>
  </si>
  <si>
    <t>RANIVONTSOARIVONY Martine</t>
  </si>
  <si>
    <t>RABENITANY Andriamaharitra Lalarisedy</t>
  </si>
  <si>
    <t>Neant</t>
  </si>
  <si>
    <t>President Lioka Antsirabe</t>
  </si>
  <si>
    <t>rlalarisedy@gmail.com</t>
  </si>
  <si>
    <t>Yvonne Ropafadzo Watungwa</t>
  </si>
  <si>
    <t>CMFZ</t>
  </si>
  <si>
    <t>Lab scientist</t>
  </si>
  <si>
    <t>ropahmac@gmail.com</t>
  </si>
  <si>
    <t>Tumwine Rebekah</t>
  </si>
  <si>
    <t>Makerere University</t>
  </si>
  <si>
    <t>rebekahtum@gmail.com</t>
  </si>
  <si>
    <t>Tumwine Isaac</t>
  </si>
  <si>
    <t>Lubaga hospital</t>
  </si>
  <si>
    <t>Intern pharmacist</t>
  </si>
  <si>
    <t>isaactumwineisaac200@gmail.com</t>
  </si>
  <si>
    <t>bursary(숙소예약확인서)</t>
  </si>
  <si>
    <t>tumwineisaac200@gmail.com</t>
  </si>
  <si>
    <t>Youstina Kromer William Saiid</t>
  </si>
  <si>
    <t>Christian medical fellowship</t>
  </si>
  <si>
    <t>youstina.kromar@gmail.com</t>
  </si>
  <si>
    <t>El Ruffa Gin Pagsuberon</t>
  </si>
  <si>
    <t>Corazon Locsin Montelibano Memorial Regional Hospital</t>
  </si>
  <si>
    <t>Medical Specialist</t>
  </si>
  <si>
    <t>ruffagin@gmail.com</t>
  </si>
  <si>
    <t>Mireille Caroline Silva de Miranda Gomes</t>
  </si>
  <si>
    <t>gomesmibr@gmail.com</t>
  </si>
  <si>
    <t>Helena Maria Freyesleben Silva de Miranda Gomes, mother, gomesmibr@gmail.com</t>
  </si>
  <si>
    <t>Gulimwentuga Bakanyize André</t>
  </si>
  <si>
    <t>Université Lumière de Bujumbura</t>
  </si>
  <si>
    <t>andregulimwentuga@gmail.com</t>
  </si>
  <si>
    <t>Wataba Peace Lydia</t>
  </si>
  <si>
    <t>Kampala International University a member of the UCMF Students Chapter</t>
  </si>
  <si>
    <t>Chairperson UCMF Students Chapter</t>
  </si>
  <si>
    <t>peace.mbeiza@gmail.com</t>
  </si>
  <si>
    <t>Pedro Juan Cazorla Salinas</t>
  </si>
  <si>
    <t>ACASAI PERU</t>
  </si>
  <si>
    <t>pcazorlasalinas@gmail.com</t>
  </si>
  <si>
    <t>Zolzaya Baljinnyan</t>
  </si>
  <si>
    <t>Not applicable</t>
  </si>
  <si>
    <t>Mongolian Christian Association</t>
  </si>
  <si>
    <t>Doctor of Philosophy</t>
  </si>
  <si>
    <t>teacher.zolzaya@gmail.com</t>
  </si>
  <si>
    <t>Mr. Tulga Enkhbaatar male, husband, tulgae@yahoo.com</t>
  </si>
  <si>
    <t>Zolzaya Baljinnyam</t>
  </si>
  <si>
    <t>Bertha Amirtha Deva Rathinam</t>
  </si>
  <si>
    <t>South Asia Regional Secretary</t>
  </si>
  <si>
    <t>bertharathinam@gmail.com</t>
  </si>
  <si>
    <t>Hattoh Kingsley Aseye</t>
  </si>
  <si>
    <t>Ghana Christian Medical and Dental Association</t>
  </si>
  <si>
    <t>National Secretary</t>
  </si>
  <si>
    <t>hattohkingsley@gmail.com</t>
  </si>
  <si>
    <t>Kingsley Aseye Hattoh</t>
  </si>
  <si>
    <t>Piti Jitrungruangnij</t>
  </si>
  <si>
    <t>Bereau of Dental Health, Department of Health</t>
  </si>
  <si>
    <t>Piti7@live.com</t>
  </si>
  <si>
    <t>piti7@live.com</t>
  </si>
  <si>
    <t>Khozya Davie Zyambo</t>
  </si>
  <si>
    <t>Ministry of Health</t>
  </si>
  <si>
    <t>Paediatrician</t>
  </si>
  <si>
    <t>khozyazyambo@gmail.com</t>
  </si>
  <si>
    <t>Khozya D Zyambo</t>
  </si>
  <si>
    <t>Govindaiah paradesaiah prathapsingh</t>
  </si>
  <si>
    <t>He cares mission</t>
  </si>
  <si>
    <t>Williamcarry123@yahoo.com</t>
  </si>
  <si>
    <t>Govindaiah paradesaiah Bhath Singh</t>
  </si>
  <si>
    <t>Bhath singh</t>
  </si>
  <si>
    <t>Nil</t>
  </si>
  <si>
    <t>Paulkrause984@gmail.con</t>
  </si>
  <si>
    <t>paulkrause984@gmail.com</t>
  </si>
  <si>
    <t>Alikhanyan Kristina</t>
  </si>
  <si>
    <t xml:space="preserve">	Germany</t>
  </si>
  <si>
    <t>ICMDA Eurasia</t>
  </si>
  <si>
    <t>RR Caucuses</t>
  </si>
  <si>
    <t>drkristina777@gmail.com</t>
  </si>
  <si>
    <t>1, Alikhanyan Hanri, Male, husband, fjhanri@gmail.com</t>
  </si>
  <si>
    <t>Kristina Alikhanyan</t>
  </si>
  <si>
    <t>양지윤</t>
  </si>
  <si>
    <t>조선대학교</t>
  </si>
  <si>
    <t>yjy364277@naver.com</t>
  </si>
  <si>
    <t>Miila Tammisto</t>
  </si>
  <si>
    <t>Finland</t>
  </si>
  <si>
    <t>University of Turku</t>
  </si>
  <si>
    <t>miila.tammisto@gmail.com</t>
  </si>
  <si>
    <t>No family members but friends from the same university: Ilona Suominen, Annika Suontama and Matilda Suontama. I’d like to be assigned to same room with them.</t>
  </si>
  <si>
    <t>Angelene Raj Khosla</t>
  </si>
  <si>
    <t>angeleneraj.khosla@gmail.com</t>
  </si>
  <si>
    <t>Sheena Sinn-Yue Li</t>
  </si>
  <si>
    <t>Papua New Guinea</t>
  </si>
  <si>
    <t>ICMDA Oceania</t>
  </si>
  <si>
    <t>Regional secretary</t>
  </si>
  <si>
    <t>Sheenamareena@icloud.com</t>
  </si>
  <si>
    <t>Sheena Li</t>
  </si>
  <si>
    <t>sheenamareena@icloud.com</t>
  </si>
  <si>
    <t>Lee ji won</t>
  </si>
  <si>
    <t>이지원</t>
  </si>
  <si>
    <t>Catholic university</t>
  </si>
  <si>
    <t>bluepedjenny@songeui.ac.kr</t>
  </si>
  <si>
    <t>Lee Ji Won</t>
  </si>
  <si>
    <t>Bluepedjenny@naver.com</t>
  </si>
  <si>
    <t>Kamabu Mukekulu Eugénie</t>
  </si>
  <si>
    <t>HEAL Africa</t>
  </si>
  <si>
    <t>Médical Doctor</t>
  </si>
  <si>
    <t>eugeniekamabu@gmail.com</t>
  </si>
  <si>
    <t>Eugénie Mukekulu Kamabu</t>
  </si>
  <si>
    <t>CHIH-YI WANG</t>
  </si>
  <si>
    <t>Taiwan</t>
  </si>
  <si>
    <t>National Taiwan University Medical School</t>
  </si>
  <si>
    <t>Mr. / Pre-residency Doctor</t>
  </si>
  <si>
    <t>b08401021@ntu.edu.tw</t>
  </si>
  <si>
    <t>MALENGE VUMI N'KOBA OBEDINE</t>
  </si>
  <si>
    <t>AMC DRC(CONGO)</t>
  </si>
  <si>
    <t>mavobedine@yahoo.fr</t>
  </si>
  <si>
    <t>MALENGE VUMI N'KOBA OBÉDINE</t>
  </si>
  <si>
    <t>Anniver Maega'asia Aitorea</t>
  </si>
  <si>
    <t>aniaitorea@gmail.com</t>
  </si>
  <si>
    <t>Jin Lee</t>
  </si>
  <si>
    <t>이진</t>
  </si>
  <si>
    <t>University of Plymouth</t>
  </si>
  <si>
    <t>jin.lee274@gmail.com</t>
  </si>
  <si>
    <t>Yejun Kim</t>
  </si>
  <si>
    <t>김예준</t>
  </si>
  <si>
    <t>Catholic University</t>
  </si>
  <si>
    <t>yejun58@naver.com</t>
  </si>
  <si>
    <t>yejunkim</t>
  </si>
  <si>
    <t>PASALEEYA THOEDPRAISAN</t>
  </si>
  <si>
    <t>CMF THAILAND</t>
  </si>
  <si>
    <t>Thai Representatives</t>
  </si>
  <si>
    <t>Pasaleeyaeer@gmail.com</t>
  </si>
  <si>
    <t>Parents (wait for confirmation) 
 Dad (males) 
 Mom (Females) 
 _ 
 Confirmed 
 CMF THAILAND (Pradubporn Leelasart/Famale, +66811579165 
 Pradubporn.lee@gmail.com )</t>
  </si>
  <si>
    <t>Pasaleeya Thoedpraisan</t>
  </si>
  <si>
    <t>pasaleeyaeer@gmail.com</t>
  </si>
  <si>
    <t>David Odhiambo Wayodi</t>
  </si>
  <si>
    <t>Training Administrator- Africa</t>
  </si>
  <si>
    <t>david.wayodi@icmda.net</t>
  </si>
  <si>
    <t>David Wayodi</t>
  </si>
  <si>
    <t>OTA NOBUYOSHI</t>
  </si>
  <si>
    <t>太田 信吉</t>
  </si>
  <si>
    <t>JCMA</t>
  </si>
  <si>
    <t>ahinobu0908aichik@gmail.com</t>
  </si>
  <si>
    <t>1, OTA CHIEKO, female, wife. chie411nobu@gmail.com</t>
  </si>
  <si>
    <t>NOBUYOSHI OTA</t>
  </si>
  <si>
    <t>ahinobu@mac.com</t>
  </si>
  <si>
    <t>OTA CHIEKO</t>
  </si>
  <si>
    <t>太田 智恵子</t>
  </si>
  <si>
    <t>Japan</t>
  </si>
  <si>
    <t>NURSE</t>
  </si>
  <si>
    <t>chie411nobu@gmail.com</t>
  </si>
  <si>
    <t>1,OTA Nobuyoshi, male,husband, ahinobu0908aichik@gmail.com</t>
  </si>
  <si>
    <t>Chieko Ota</t>
  </si>
  <si>
    <t>Jyothi Suchitra MEKALA</t>
  </si>
  <si>
    <t>Rural Development Trust</t>
  </si>
  <si>
    <t>consultant</t>
  </si>
  <si>
    <t>joe74boon@gmail.com</t>
  </si>
  <si>
    <t>Jyothi Suchitra</t>
  </si>
  <si>
    <t>Kasereka</t>
  </si>
  <si>
    <t>Kyota Steve</t>
  </si>
  <si>
    <t>Queen Mamohato Memorial Hospital</t>
  </si>
  <si>
    <t>Consultant Gen.Surgeon</t>
  </si>
  <si>
    <t>stevekyota@gmail.com</t>
  </si>
  <si>
    <t>Kasereka Kyota Steve</t>
  </si>
  <si>
    <t>TCHOBA Simplice</t>
  </si>
  <si>
    <t>CMCG</t>
  </si>
  <si>
    <t>Exécutif national secretary CMCG</t>
  </si>
  <si>
    <t>simplice.neni@gmail.com</t>
  </si>
  <si>
    <t>NGUYEN TUAN NGHIA</t>
  </si>
  <si>
    <t>Jimmy</t>
  </si>
  <si>
    <t>NATIONAL CANCER HOSPITAL</t>
  </si>
  <si>
    <t>nghiangt@gmail.com</t>
  </si>
  <si>
    <t>Jimmy Nguyễn Tuấn Nghĩa</t>
  </si>
  <si>
    <t>Nghiangt@gmail.com</t>
  </si>
  <si>
    <t>YONG SUET LAI</t>
  </si>
  <si>
    <t>MINISTRY OF HEALTH MALAYSIA</t>
  </si>
  <si>
    <t>YONG.SL@MOH.GOV.MY</t>
  </si>
  <si>
    <t>Yong Suet Lai</t>
  </si>
  <si>
    <t>yong.sl@moh.gov.my</t>
  </si>
  <si>
    <t>Simphiwe Jubela Vilakati</t>
  </si>
  <si>
    <t>Eswatini Medical Christian University</t>
  </si>
  <si>
    <t>MBBS II Student</t>
  </si>
  <si>
    <t>vilakatijubela@gmail.com</t>
  </si>
  <si>
    <t>Lyudmila Nam</t>
  </si>
  <si>
    <t>International medical center, Almaty</t>
  </si>
  <si>
    <t>doclyu@gmail.com</t>
  </si>
  <si>
    <t>docLyu@gmail.com</t>
  </si>
  <si>
    <t>Silver Sandiso Mazibuko</t>
  </si>
  <si>
    <t>Eswatini Christian Medical School</t>
  </si>
  <si>
    <t>silver.mazibuko@imaginescholar.org</t>
  </si>
  <si>
    <t>David Bull Haugsøen</t>
  </si>
  <si>
    <t>Universitetet i Oslo</t>
  </si>
  <si>
    <t>davidhaugsoen@gmail.com</t>
  </si>
  <si>
    <t>ISIMBI Tunga Christella</t>
  </si>
  <si>
    <t>ASOME</t>
  </si>
  <si>
    <t>tungachristella@gmail.com</t>
  </si>
  <si>
    <t>Saw Harry Nu</t>
  </si>
  <si>
    <t>ICMDA (Myanmar)</t>
  </si>
  <si>
    <t>Regional member</t>
  </si>
  <si>
    <t>saw.harrynu@gmail.com</t>
  </si>
  <si>
    <t>Corazon E. Flor</t>
  </si>
  <si>
    <t>ICMDA Philippines</t>
  </si>
  <si>
    <t>corazonflor61@gmail.com</t>
  </si>
  <si>
    <t>Anastasiia</t>
  </si>
  <si>
    <t>Budgetary Healthcare Institution Children’s city polyclinic No.17</t>
  </si>
  <si>
    <t>Dr/Pediatrician</t>
  </si>
  <si>
    <t>anastasya.bosenko@gmail.com</t>
  </si>
  <si>
    <t>Bosenko Anastasiya</t>
  </si>
  <si>
    <t>Anastasya.bosenko@gmail.com</t>
  </si>
  <si>
    <t>Choo Yoke Ling</t>
  </si>
  <si>
    <t>Sarawak General Hospital</t>
  </si>
  <si>
    <t>Palliative Medicine Physician</t>
  </si>
  <si>
    <t>chooyokeling@moh.gov.my</t>
  </si>
  <si>
    <t>Ooi Chor Yau, male, husband, joeooi82@gmail.com</t>
  </si>
  <si>
    <t>Rajni Herman</t>
  </si>
  <si>
    <t>EMMANUEL HOSPITAL ASSOCIATION(EHA) INDIA</t>
  </si>
  <si>
    <t>Project Director -Shalom Delhi -EHA</t>
  </si>
  <si>
    <t>rajnidoc@gmail.com</t>
  </si>
  <si>
    <t>Priyadarshini Rajamani</t>
  </si>
  <si>
    <t>M S Swaminathan Research Foundation</t>
  </si>
  <si>
    <t>Research Fellow</t>
  </si>
  <si>
    <t>drangelin2003@gmail.com</t>
  </si>
  <si>
    <t>2 Children: Joanna Charvie/Female (Daughter), Naviran Jedidiah/Male (Son)</t>
  </si>
  <si>
    <t>Joanna Charvie/Female (딸, 19세)
Naviran Jedidiah/Male (아들)</t>
  </si>
  <si>
    <t>Bhaskar Tiwari</t>
  </si>
  <si>
    <t>Admin</t>
  </si>
  <si>
    <t>bhaskar.tiwari@icmda.net</t>
  </si>
  <si>
    <t>Emmanuel Kofi Frimpong</t>
  </si>
  <si>
    <t>Ghana Christian Medical Doctors Fellowship (GCMDF)</t>
  </si>
  <si>
    <t>kofifrimpong434@gmail.com</t>
  </si>
  <si>
    <t>MOGURAM SOUMYA</t>
  </si>
  <si>
    <t>모구람 소우먀</t>
  </si>
  <si>
    <t>EMFI</t>
  </si>
  <si>
    <t>Emfi member and student leader</t>
  </si>
  <si>
    <t>soumyamoguram123@gmail.com</t>
  </si>
  <si>
    <t>Moguram Soumya</t>
  </si>
  <si>
    <t>MBAITELEM DOMRO Serge</t>
  </si>
  <si>
    <t>Chad Christian Medical and Dental Association</t>
  </si>
  <si>
    <t>General secretary</t>
  </si>
  <si>
    <t>dsmbaitelem@hotmail.com</t>
  </si>
  <si>
    <t>MBAITELEM DOUMRO Serge</t>
  </si>
  <si>
    <t>생년월일 일치, 이메일 일치, 이름 유사도 98</t>
  </si>
  <si>
    <t>Daniela Wadzanai 2</t>
  </si>
  <si>
    <t>Christian Medical Fellowship Zimbabwe</t>
  </si>
  <si>
    <t>manzinidaniela9@gmail.com</t>
  </si>
  <si>
    <t>Daniela Manzini</t>
  </si>
  <si>
    <t>Jonaviva Anthony Thomas</t>
  </si>
  <si>
    <t>anthonyjonaviva@gmail.com</t>
  </si>
  <si>
    <t>Shifa Jonathan</t>
  </si>
  <si>
    <t>Christian medical fellowship Pakistan</t>
  </si>
  <si>
    <t>Regional coordinator Abbottabad/Qalandarabad</t>
  </si>
  <si>
    <t>Shifajonathan@yahoo.com</t>
  </si>
  <si>
    <t>shifajonathan@yahoo.com</t>
  </si>
  <si>
    <t>LEE YEWON</t>
  </si>
  <si>
    <t>이예원</t>
  </si>
  <si>
    <t>경북대학교 / 간호대학 / cmf</t>
  </si>
  <si>
    <t>college of nursing / student</t>
  </si>
  <si>
    <t>wpdl_j@naver.com</t>
  </si>
  <si>
    <t>Lee Yewon</t>
  </si>
  <si>
    <t>Matilda Suontama</t>
  </si>
  <si>
    <t>matilda.suontama@gmail.com</t>
  </si>
  <si>
    <t>Sara Victor Tarimu</t>
  </si>
  <si>
    <t>University student and active member of Tanzania CMDA</t>
  </si>
  <si>
    <t>svtarimu@gmail.com</t>
  </si>
  <si>
    <t>Joanna Charvie Kumar</t>
  </si>
  <si>
    <t>Christian Medical college, Ludhiana</t>
  </si>
  <si>
    <t>charviejoanna7@gmail.com</t>
  </si>
  <si>
    <t>Joanna Charvi</t>
  </si>
  <si>
    <t>생년월일 일치, 이메일 일치, 이름 유사도 79</t>
  </si>
  <si>
    <t>Dinara Khalelova</t>
  </si>
  <si>
    <t>medical center "Dadi"</t>
  </si>
  <si>
    <t>doctor pediatrician</t>
  </si>
  <si>
    <t>dinadoc2410@gmail.com</t>
  </si>
  <si>
    <t>Jocelyn Yadao Agonoy</t>
  </si>
  <si>
    <t>Philippine Pediatrics Society Central Luzon Chapter</t>
  </si>
  <si>
    <t>jocelynagonoymd@gmail.com</t>
  </si>
  <si>
    <t>Jocelyn Y. Agonoy</t>
  </si>
  <si>
    <t>Seo Aejel</t>
  </si>
  <si>
    <t>서에젤</t>
  </si>
  <si>
    <t>TSMU(Tashkent State Medical University)</t>
  </si>
  <si>
    <t>seoaegel@gmail.com</t>
  </si>
  <si>
    <t>Seoaegel@gmail.com</t>
  </si>
  <si>
    <t>DANIAL IMTIAZ</t>
  </si>
  <si>
    <t>Hubei polytechnic university</t>
  </si>
  <si>
    <t>Xanialimtiaz@gmail.com</t>
  </si>
  <si>
    <t>Nnamdi Ezekiel Ojimadu</t>
  </si>
  <si>
    <t>SIM International/ELWA Ministries</t>
  </si>
  <si>
    <t>Dr / Consultant Family Physician</t>
  </si>
  <si>
    <t>neojimadu@yahoo.com</t>
  </si>
  <si>
    <t>ezekiel.ojimadu@sim.org</t>
  </si>
  <si>
    <t>Justina Helizon</t>
  </si>
  <si>
    <t>Kilimanjaro Christian Medical Center University</t>
  </si>
  <si>
    <t>justinahelizon@gmail.com</t>
  </si>
  <si>
    <t>Justina Herizon</t>
  </si>
  <si>
    <t>justinaherizon@gmail.com</t>
  </si>
  <si>
    <t>생년월일 일치, 이름 유사도 93</t>
  </si>
  <si>
    <t>Saikal</t>
  </si>
  <si>
    <t>Kyrgyz State Medical Academy</t>
  </si>
  <si>
    <t>saipubelekova05@gmail.com</t>
  </si>
  <si>
    <t>HYUN CHANGMIN</t>
  </si>
  <si>
    <t>현창민</t>
  </si>
  <si>
    <t>Wonkwang University</t>
  </si>
  <si>
    <t>cmhyun30231@gmail.com</t>
  </si>
  <si>
    <t>Hyun Changmin</t>
  </si>
  <si>
    <t>Park Jichan</t>
  </si>
  <si>
    <t>박지찬</t>
  </si>
  <si>
    <t>Nazarbayev University(NUSOM)</t>
  </si>
  <si>
    <t>jikzan.pak@gmail.com</t>
  </si>
  <si>
    <t>JICHAN PARK</t>
  </si>
  <si>
    <t>MBAIGANG NON ARCHIPPE</t>
  </si>
  <si>
    <t>AMDC-TCHAD</t>
  </si>
  <si>
    <t>archippebobo@gmail.com</t>
  </si>
  <si>
    <t>ARCHIPPE MBAIGANG-NON</t>
  </si>
  <si>
    <t>Kenneth Tan</t>
  </si>
  <si>
    <t>RC3ID / Kanti Health</t>
  </si>
  <si>
    <t>Researcher / Field Coordinator</t>
  </si>
  <si>
    <t>kennethtaan@student.uns.ac.id</t>
  </si>
  <si>
    <t>KOBORI SOULEYMANE</t>
  </si>
  <si>
    <t>Résident</t>
  </si>
  <si>
    <t>souleymanekobor25@gmail.com</t>
  </si>
  <si>
    <t>Gasymova Nabat Allakhverdievna</t>
  </si>
  <si>
    <t>Christian Medical Society of Kyrgyzstan</t>
  </si>
  <si>
    <t>gasymova.n.a@gmail.com</t>
  </si>
  <si>
    <t>Nabat Gasymova</t>
  </si>
  <si>
    <t>PITIA JACKSON</t>
  </si>
  <si>
    <t>pitiajackson6@gmail.com</t>
  </si>
  <si>
    <t>Meshack Rens Mwantake</t>
  </si>
  <si>
    <t>Image Doctors- Tanzania</t>
  </si>
  <si>
    <t>mrens0210@gmail.com</t>
  </si>
  <si>
    <t>Meshack Mwantake</t>
  </si>
  <si>
    <t>mmwantake@outlook.com</t>
  </si>
  <si>
    <t>TAE014041</t>
  </si>
  <si>
    <t>Paul Magawida Wilson</t>
  </si>
  <si>
    <t>KCMCu</t>
  </si>
  <si>
    <t>Portia Stella Kapinde</t>
  </si>
  <si>
    <t>Alumni</t>
  </si>
  <si>
    <t>pskapinde@gmail.com</t>
  </si>
  <si>
    <t>Oy Kanika</t>
  </si>
  <si>
    <t>우이 까니까</t>
  </si>
  <si>
    <t>Korea University</t>
  </si>
  <si>
    <t>Master Student</t>
  </si>
  <si>
    <t>Kanikaoy2000@gmail.com</t>
  </si>
  <si>
    <t>OY Kanika</t>
  </si>
  <si>
    <t>kanikaoy2000@gmail.com</t>
  </si>
  <si>
    <t>SADITHA VANIA JUSTININGRUM</t>
  </si>
  <si>
    <t>Diponegoro University</t>
  </si>
  <si>
    <t>sadithavania@gmail.com</t>
  </si>
  <si>
    <t>WILMA SUSANA CATOTA DIAS</t>
  </si>
  <si>
    <t>NO AFILIADO</t>
  </si>
  <si>
    <t>MÉDICO FAMILIAR</t>
  </si>
  <si>
    <t>susanacatota@gmail.com</t>
  </si>
  <si>
    <t>1, LUIS CATOTA,hombre, hermano, luisgcatota@yahoo.com. 2,JUAN CHIMARRO, hombre, novio, juancachm@gmail.com</t>
  </si>
  <si>
    <t>CATOTA DIAS WILMA SUSANA</t>
  </si>
  <si>
    <t>Hamado</t>
  </si>
  <si>
    <t>Sawadogo</t>
  </si>
  <si>
    <t>Family Physician /RR</t>
  </si>
  <si>
    <t>hamadodavidsawadogo@gmail.com</t>
  </si>
  <si>
    <t>May be my daughter 
 Sawadogo Deogracias W. 
 5 year old 
 Female</t>
  </si>
  <si>
    <t>Sawadogo Deogracias W [딸, 5세]</t>
  </si>
  <si>
    <t>HAMADO SAWADOGO</t>
  </si>
  <si>
    <t>Faith Hope Victoria Masanganise</t>
  </si>
  <si>
    <t>Midlands state university</t>
  </si>
  <si>
    <t xml:space="preserve">faithmasanganise@gmail.com </t>
  </si>
  <si>
    <t>Faith Masanganise</t>
  </si>
  <si>
    <t>faithmasanganise@gmail.com</t>
  </si>
  <si>
    <t xml:space="preserve">Lithethaa Njongwe </t>
  </si>
  <si>
    <t>University of Cape Town</t>
  </si>
  <si>
    <t>Mr (Student)</t>
  </si>
  <si>
    <t>lithethaanjongwe2005@gmail.com</t>
  </si>
  <si>
    <t>Lithethaa Njongwe</t>
  </si>
  <si>
    <t xml:space="preserve">Felix Okello </t>
  </si>
  <si>
    <t xml:space="preserve">Kampala International university </t>
  </si>
  <si>
    <t xml:space="preserve">Student leader </t>
  </si>
  <si>
    <t>flxokello139@gmail.com</t>
  </si>
  <si>
    <t>Felix Okello</t>
  </si>
  <si>
    <t>CHARIS NAOMI EDMOND</t>
  </si>
  <si>
    <t>HOSPITAL SULTANAH BAHIYAH</t>
  </si>
  <si>
    <t>MEDICAL OFFICER</t>
  </si>
  <si>
    <t>charisnaomi97@gmail.com</t>
  </si>
  <si>
    <t>EDMOND MARIADAS; MALE; FATHER; edmond.mariadas.66@gmail.com</t>
  </si>
  <si>
    <t>Charis Naomi A/P Edmond</t>
  </si>
  <si>
    <t>Rachel Romola Gnanapragasam</t>
  </si>
  <si>
    <t>Romola</t>
  </si>
  <si>
    <t xml:space="preserve">Health Care Christian Fellowship </t>
  </si>
  <si>
    <t xml:space="preserve">National Coordinator </t>
  </si>
  <si>
    <t>romolaarasaratnam@gmail.com</t>
  </si>
  <si>
    <t>Karina Sikongo</t>
  </si>
  <si>
    <t>Ms</t>
  </si>
  <si>
    <t>sikongokarina@gmail.com</t>
  </si>
  <si>
    <t>Heinrich Shipanga Nel</t>
  </si>
  <si>
    <t>nelheinrich14@gmail.com</t>
  </si>
  <si>
    <t>Heinrich Nel</t>
  </si>
  <si>
    <t>sujith philip</t>
  </si>
  <si>
    <t>india</t>
  </si>
  <si>
    <t>Believrs church medical college hospital</t>
  </si>
  <si>
    <t>drsujithphilip@gmail.com</t>
  </si>
  <si>
    <t>Sujith Philip</t>
  </si>
  <si>
    <t>Isa Berne J. DIGNADICE</t>
  </si>
  <si>
    <t xml:space="preserve">Medical Ministry International </t>
  </si>
  <si>
    <t xml:space="preserve">Admin/Logistics </t>
  </si>
  <si>
    <t>enrebjd2012@gmail.com</t>
  </si>
  <si>
    <t>1, Jo Vee Java Dignadice, sister, drjovd@gmail.com</t>
  </si>
  <si>
    <t>Faith Hudson Massawe</t>
  </si>
  <si>
    <t>Faith</t>
  </si>
  <si>
    <t>KCMC university</t>
  </si>
  <si>
    <t>Massawefaith63@gmail.com</t>
  </si>
  <si>
    <t>Hotlin Judika Ompusunggu</t>
  </si>
  <si>
    <t>Healthy Planet Indonesia (HePI)</t>
  </si>
  <si>
    <t>Founder/Director</t>
  </si>
  <si>
    <t>hotlinjro@gmail.com</t>
  </si>
  <si>
    <t>MANANGA Nsimba Elisa</t>
  </si>
  <si>
    <t>France</t>
  </si>
  <si>
    <t xml:space="preserve">Aix Marseille université </t>
  </si>
  <si>
    <t xml:space="preserve">Student </t>
  </si>
  <si>
    <t>elimananga27@gmail.com</t>
  </si>
  <si>
    <t>Vincent Romain Didier</t>
  </si>
  <si>
    <t>Mauritius</t>
  </si>
  <si>
    <t>ICMDA Mauritius</t>
  </si>
  <si>
    <t>dr20cent@gmail.com</t>
  </si>
  <si>
    <t>Maria Akani</t>
  </si>
  <si>
    <t>Maria Anna Akani</t>
  </si>
  <si>
    <t>Renaisense</t>
  </si>
  <si>
    <t>Psychiatrist</t>
  </si>
  <si>
    <t>mariahakani@gmail.com</t>
  </si>
  <si>
    <t>Benjamin Marius Mikael Peltonen</t>
  </si>
  <si>
    <t>University of Helsinki (Finnish Christian Medical Association)</t>
  </si>
  <si>
    <t>benjamin.peltonen02@gmail.com</t>
  </si>
  <si>
    <t>Benjamin Peltonen</t>
  </si>
  <si>
    <t>Sana</t>
  </si>
  <si>
    <t>BACH Christian hospital</t>
  </si>
  <si>
    <t>Yellow.butterfly19@yahoo.com</t>
  </si>
  <si>
    <t>Sana wasti</t>
  </si>
  <si>
    <t>Jordyn Maddex</t>
  </si>
  <si>
    <t>Kansas City University College of Osteopathic Medicine</t>
  </si>
  <si>
    <t>jordyn.maddex@kansascity.edu</t>
  </si>
  <si>
    <t>Bathusi Kabelo Phetogo</t>
  </si>
  <si>
    <t>Botswana</t>
  </si>
  <si>
    <t>CMF Botswana</t>
  </si>
  <si>
    <t>Chair Person</t>
  </si>
  <si>
    <t>bathusip@gmail.com</t>
  </si>
  <si>
    <t>VO NHAN TU</t>
  </si>
  <si>
    <t>VIETNAM FELLOSHIP OF EVANGELICAL STUDENTS</t>
  </si>
  <si>
    <t>vonhantu@gmail.com</t>
  </si>
  <si>
    <t>Vo Nhan Tu</t>
  </si>
  <si>
    <t xml:space="preserve">Paul Joseph mwakabana </t>
  </si>
  <si>
    <t xml:space="preserve">South Korea </t>
  </si>
  <si>
    <t>mwakabanapaul2@gmail.com</t>
  </si>
  <si>
    <t>John doe</t>
  </si>
  <si>
    <t>Paul Joseph mwakabana</t>
  </si>
  <si>
    <t xml:space="preserve">Ehab Mouris Fahmi Ayoub </t>
  </si>
  <si>
    <t xml:space="preserve">Regional secrtary ,MENA </t>
  </si>
  <si>
    <t>ehab@fastmail.fm</t>
  </si>
  <si>
    <t xml:space="preserve">1,Nevein Felestein ,Female ,wife neveinehab2@gmail.com
2, Ann Ayoub ,female , daughter 23 years old , annehab2312@gmail.com
3,Andrew Ayoub,male,son, 19 years old , andrewayoub140@gmail.com
</t>
  </si>
  <si>
    <t>Ehab Ayoub</t>
  </si>
  <si>
    <t xml:space="preserve">Mabanza kibuka Tresor </t>
  </si>
  <si>
    <t xml:space="preserve">JFK Medical Center/ PAACS graduate </t>
  </si>
  <si>
    <t xml:space="preserve">Consultant General Surgeon </t>
  </si>
  <si>
    <t>trezmab2006@gmail.com</t>
  </si>
  <si>
    <t>Tresor Mabanza</t>
  </si>
  <si>
    <t xml:space="preserve">Francis Xavier Piliwi Jim Kari </t>
  </si>
  <si>
    <t xml:space="preserve">New Ireland Provincial Health Authority </t>
  </si>
  <si>
    <t xml:space="preserve">Medical Registrar </t>
  </si>
  <si>
    <t>francisxavierjim@gmail.com</t>
  </si>
  <si>
    <t>Francis Xavier Piliwi Jim Kari</t>
  </si>
  <si>
    <t>Kim Youngchan</t>
  </si>
  <si>
    <t>김영찬</t>
  </si>
  <si>
    <t>dong-eui university</t>
  </si>
  <si>
    <t>newkite111@gmail.com</t>
  </si>
  <si>
    <t>Kim YoungChan</t>
  </si>
  <si>
    <t>Bishal Khadka</t>
  </si>
  <si>
    <t>Kathmandu Medical College Teaching Hospital</t>
  </si>
  <si>
    <t>bishalkhadka2000@yahoo.com</t>
  </si>
  <si>
    <t>Augustin Kasereka Lutakwa</t>
  </si>
  <si>
    <t>AEO-Sub Sahara Africa</t>
  </si>
  <si>
    <t>alutakwa@gmail.com</t>
  </si>
  <si>
    <t>HA KYUPIN</t>
  </si>
  <si>
    <t>하규빈</t>
  </si>
  <si>
    <t>Cmf</t>
  </si>
  <si>
    <t>qlsrbgk@gmail.com</t>
  </si>
  <si>
    <t>July 1, July 2, July 3</t>
  </si>
  <si>
    <t>Ha Kyupin</t>
  </si>
  <si>
    <t xml:space="preserve">Hakizimana </t>
  </si>
  <si>
    <t xml:space="preserve">Ibrahim </t>
  </si>
  <si>
    <t xml:space="preserve">University of Rwanda </t>
  </si>
  <si>
    <t xml:space="preserve">Optometrist </t>
  </si>
  <si>
    <t>ibrahimhak51@gmail.com</t>
  </si>
  <si>
    <t>Hakizimana Ibrahim</t>
  </si>
  <si>
    <t>TOMOYUKI IGARI</t>
  </si>
  <si>
    <t>猪狩友行</t>
  </si>
  <si>
    <t>Sodegaura-Satsukidai Hospital</t>
  </si>
  <si>
    <t>Head of rehabilitation ward</t>
  </si>
  <si>
    <t>pxb04020@nifty.ne.jp</t>
  </si>
  <si>
    <t>Tomoyuki Igari</t>
  </si>
  <si>
    <t xml:space="preserve">Shylette Ngwenya </t>
  </si>
  <si>
    <t xml:space="preserve">Christian Medical Fellowship Zimbabwe </t>
  </si>
  <si>
    <t xml:space="preserve">Member </t>
  </si>
  <si>
    <t>shyiemangwe@gmail.com</t>
  </si>
  <si>
    <t>Shylette Ngwenya</t>
  </si>
  <si>
    <t>생년월일 일치, 이메일 일치, 이름 일치</t>
  </si>
  <si>
    <t>Samuel Chimbioputo Fabiano</t>
  </si>
  <si>
    <t>CEML Hospital, Angola</t>
  </si>
  <si>
    <t>Missionary general surgeon</t>
  </si>
  <si>
    <t>samfabio@gmail.com</t>
  </si>
  <si>
    <t>Samuel Chimbioputo Sassamela Fabiano</t>
  </si>
  <si>
    <t>GO YELIM</t>
  </si>
  <si>
    <t>고예림</t>
  </si>
  <si>
    <t>Dongguk university/Student of Korean Medicine/CMF</t>
  </si>
  <si>
    <t>본과1학년</t>
  </si>
  <si>
    <t>gyl2742@naver.com</t>
  </si>
  <si>
    <t>YELIM Go</t>
  </si>
  <si>
    <t>JOJET JOSEPHAT NYONYI</t>
  </si>
  <si>
    <t>조젯 조세파트</t>
  </si>
  <si>
    <t>KCMC HOSPITAL</t>
  </si>
  <si>
    <t>jojetjosephat@gmail.com</t>
  </si>
  <si>
    <t>Jojet Josephat</t>
  </si>
  <si>
    <t xml:space="preserve">Benjamin Wafula Simiyu </t>
  </si>
  <si>
    <t xml:space="preserve">Uzima University </t>
  </si>
  <si>
    <t>wafulahbenjamine@gmail.com</t>
  </si>
  <si>
    <t>Benjamin Wafula</t>
  </si>
  <si>
    <t>Princess Matapo</t>
  </si>
  <si>
    <t xml:space="preserve">Mbereshi Mission Hospital </t>
  </si>
  <si>
    <t>Senior Resident Medical Officer</t>
  </si>
  <si>
    <t>matapoprincess@gmail.com</t>
  </si>
  <si>
    <t xml:space="preserve">Zaché BONOGO </t>
  </si>
  <si>
    <t xml:space="preserve">Compassion International </t>
  </si>
  <si>
    <t xml:space="preserve">Program Support Specialist-Health </t>
  </si>
  <si>
    <t>bonogozacchaeus@gmail.com</t>
  </si>
  <si>
    <t>Zache BONOGO</t>
  </si>
  <si>
    <t xml:space="preserve">Jeevan Rai </t>
  </si>
  <si>
    <t xml:space="preserve">United dental care </t>
  </si>
  <si>
    <t xml:space="preserve">Uniteddentistcare@gmail.com </t>
  </si>
  <si>
    <t>Jeevan rai</t>
  </si>
  <si>
    <t>uniteddentistcare@gmail.com</t>
  </si>
  <si>
    <t>Pradeep Kumar yadav</t>
  </si>
  <si>
    <t>NCMDA</t>
  </si>
  <si>
    <t>pradeep9862920@gmail.com</t>
  </si>
  <si>
    <t>Pradeep kumar yadav</t>
  </si>
  <si>
    <t>Pradeep9862920@gmail.com</t>
  </si>
  <si>
    <t>Jodi Isaacs Wiles</t>
  </si>
  <si>
    <t>UKZN/Queen Nandi Regional Hospital/CMF South Africa executive committee member</t>
  </si>
  <si>
    <t>jodiandmichaelwiles@gmail.com</t>
  </si>
  <si>
    <t>1, Michael Wiles, male, husband, jodiandmichaelwiles@gmail.com. 2. Amia Wiles, female, daughter, jodiandmichaelwiles@gmail.com, Cayla Wiles, female, daughter, jodiandmichaelwiles@gmail.com</t>
  </si>
  <si>
    <t>Amia Wiles (딸, 11세)
Cayla Wiles (딸, 9세)</t>
  </si>
  <si>
    <t>생년월일 일치, 이름 일치</t>
  </si>
  <si>
    <t>Michael Wilson Wiles</t>
  </si>
  <si>
    <t>1, Jodi Wiles, female, wife, jodiandmichaelwiles@gmail.com</t>
  </si>
  <si>
    <t>Michael Wiles</t>
  </si>
  <si>
    <t>michaelwiles@gmail.com</t>
  </si>
  <si>
    <t>Medrea Timotei-Ioan</t>
  </si>
  <si>
    <t>RR fieldworker</t>
  </si>
  <si>
    <t>Medreatimotei97@gmail.com</t>
  </si>
  <si>
    <t>Timotei Ioan Medrea</t>
  </si>
  <si>
    <t>Yasuko Arakawa</t>
  </si>
  <si>
    <t>Icmda</t>
  </si>
  <si>
    <t>yasukoarakawa@gmail.com</t>
  </si>
  <si>
    <t xml:space="preserve">Jeverly Joely Mejía Arias </t>
  </si>
  <si>
    <t>Dominica</t>
  </si>
  <si>
    <t>Mescup</t>
  </si>
  <si>
    <t>Fundadora y presidenta</t>
  </si>
  <si>
    <t>mejiajeverly58@gmail.com</t>
  </si>
  <si>
    <t>Jeverly Joely Mejía Arias</t>
  </si>
  <si>
    <t>Bazarova Faridahan</t>
  </si>
  <si>
    <t>바자로바 파리다한</t>
  </si>
  <si>
    <t>Turkmenistan</t>
  </si>
  <si>
    <t>Surgeon/volunteer</t>
  </si>
  <si>
    <t>bazarovafaridahan@icloud.com</t>
  </si>
  <si>
    <t xml:space="preserve">Aziza Guéguila </t>
  </si>
  <si>
    <t xml:space="preserve">Madjita </t>
  </si>
  <si>
    <t xml:space="preserve">Université de Ndjamena </t>
  </si>
  <si>
    <t xml:space="preserve">Étudiante en médecine </t>
  </si>
  <si>
    <t>madjitaazizagueguila@gmail.com</t>
  </si>
  <si>
    <t>Aziza Guéguila Madjita</t>
  </si>
  <si>
    <t>KIM TAEYOUNG</t>
  </si>
  <si>
    <t>김태영</t>
  </si>
  <si>
    <t>Kyungpook National University</t>
  </si>
  <si>
    <t>joshuaty@naver.com</t>
  </si>
  <si>
    <t>Kim taeyoung</t>
  </si>
  <si>
    <t>KIM YEEUN</t>
  </si>
  <si>
    <t>김예은</t>
  </si>
  <si>
    <t>Keimyung university</t>
  </si>
  <si>
    <t>kimye1124@naver.com</t>
  </si>
  <si>
    <t>Kim yeeun</t>
  </si>
  <si>
    <t>Sinhee choi</t>
  </si>
  <si>
    <t>최신희</t>
  </si>
  <si>
    <t>우석대 간호학과 2학년</t>
  </si>
  <si>
    <t>milleneige5@gmail.com</t>
  </si>
  <si>
    <t>Sinhee Choi</t>
  </si>
  <si>
    <t xml:space="preserve">Representative </t>
  </si>
  <si>
    <t>Carmen Sofía Durán Ruiz</t>
  </si>
  <si>
    <t>Bright Hope</t>
  </si>
  <si>
    <t>dentista</t>
  </si>
  <si>
    <t>dra.carmenduranruiz@gmail.com</t>
  </si>
  <si>
    <t>Carmen Sofia Duran Ruiz</t>
  </si>
  <si>
    <t>Victoria Dasha Agbeibor</t>
  </si>
  <si>
    <t xml:space="preserve">Baylor College of Medicine </t>
  </si>
  <si>
    <t>vdagbeibor@gmail.com</t>
  </si>
  <si>
    <t>Victoria Agbeibor</t>
  </si>
  <si>
    <t xml:space="preserve">NISHIMWE MALOUSE </t>
  </si>
  <si>
    <t>_</t>
  </si>
  <si>
    <t>Université du Burundi</t>
  </si>
  <si>
    <t xml:space="preserve">Médecin généraliste </t>
  </si>
  <si>
    <t>malousenishimwe16@gmail.com</t>
  </si>
  <si>
    <t>NISHIMWE Malouse</t>
  </si>
  <si>
    <t>이메일 일치, 이름 일치</t>
  </si>
  <si>
    <t>Cho Min Eui</t>
  </si>
  <si>
    <t>조민의</t>
  </si>
  <si>
    <t>Soonchunhyang University</t>
  </si>
  <si>
    <t>ui6773@naver.com</t>
  </si>
  <si>
    <t>RAFANOMEZATSOA HERY</t>
  </si>
  <si>
    <t>헤리</t>
  </si>
  <si>
    <t>MADAGASCAF-CMF(WELL INTERNATIONAL MADAGASCAR))</t>
  </si>
  <si>
    <t>docteurheryrafanomezantsoa@gmail.com</t>
  </si>
  <si>
    <t>RAFANOMEZANTSOA HERY</t>
  </si>
  <si>
    <t>FANJELIMILINDRA ELIJE'E</t>
  </si>
  <si>
    <t>엘리제</t>
  </si>
  <si>
    <t>MADAGASCAR-CMF(WELL INTERNATIONAL MADAGASCAR)</t>
  </si>
  <si>
    <t>Efanjelimirindra@gmail.com</t>
  </si>
  <si>
    <t>FANJELIMIRINDRA Elisée</t>
  </si>
  <si>
    <t>efanjelimirindra@gmail.com</t>
  </si>
  <si>
    <t>DE SOUZA, MARIA EUGENIA</t>
  </si>
  <si>
    <t xml:space="preserve">  MDC Brasil</t>
  </si>
  <si>
    <t>MEDICA</t>
  </si>
  <si>
    <t>meugeniabh@hotmail.com</t>
  </si>
  <si>
    <t>Maria Eugenia de Souza</t>
  </si>
  <si>
    <t>RESENDE VALLIM, CRISTIANE</t>
  </si>
  <si>
    <t>MDC BRAZIL</t>
  </si>
  <si>
    <t>PHISIOTHERAPIST</t>
  </si>
  <si>
    <t>crisvallim@hotmail.com</t>
  </si>
  <si>
    <t>CRISTIANE VALLIM</t>
  </si>
  <si>
    <t>Cho hyeongseo</t>
  </si>
  <si>
    <t>조형서</t>
  </si>
  <si>
    <t xml:space="preserve">Yeongnam university </t>
  </si>
  <si>
    <t>hyeongseo5340@naver.com</t>
  </si>
  <si>
    <t>Hyeongseo5340@naver.com</t>
  </si>
  <si>
    <t xml:space="preserve">Vanessa </t>
  </si>
  <si>
    <t>Irakoze</t>
  </si>
  <si>
    <t>BCMDA (Burundi Christian Medical and Dental Association)</t>
  </si>
  <si>
    <t xml:space="preserve">Membership </t>
  </si>
  <si>
    <t>vanirak7@gmail.com</t>
  </si>
  <si>
    <t>BAMOGO WINDVI NATHANAËL</t>
  </si>
  <si>
    <t>Association des Médecins et Dentistes Chrétiens du Burkina AMDCB</t>
  </si>
  <si>
    <t>Junior docteur</t>
  </si>
  <si>
    <t>nwindvi@gmail.com</t>
  </si>
  <si>
    <t xml:space="preserve">Emmanuel Kundeh </t>
  </si>
  <si>
    <t>Gambia, The</t>
  </si>
  <si>
    <t>CMDA-Gambia</t>
  </si>
  <si>
    <t xml:space="preserve">emmanuelkundeh@live.com </t>
  </si>
  <si>
    <t>Emmanuel Kundeh</t>
  </si>
  <si>
    <t>emmanuelkundeh@live.com</t>
  </si>
  <si>
    <t>Abigail Gizaw</t>
  </si>
  <si>
    <t>ECUSTA-HLI</t>
  </si>
  <si>
    <t>abigail.gizaw60@gmail.com</t>
  </si>
  <si>
    <t>Abigail Gizaw Erena</t>
  </si>
  <si>
    <t>MBAIAOURE BARAK BOUKAR</t>
  </si>
  <si>
    <t>AMDCT/IMCDA</t>
  </si>
  <si>
    <t>mbaiaoure@outlook.fr</t>
  </si>
  <si>
    <t>BOUKAR MBAIAOURE BARAK</t>
  </si>
  <si>
    <t>Jenny del Carmen Vela Chulde</t>
  </si>
  <si>
    <t>ICMDA Ecuador</t>
  </si>
  <si>
    <t>janeyvonc09@hotmail.com</t>
  </si>
  <si>
    <t>Ashley Shivadan</t>
  </si>
  <si>
    <t>shivadan13@gmail.com</t>
  </si>
  <si>
    <t>Rudolf</t>
  </si>
  <si>
    <t>Myhovych</t>
  </si>
  <si>
    <t>Ukraine</t>
  </si>
  <si>
    <t xml:space="preserve">Christian Medical Assptiation of Ukraine </t>
  </si>
  <si>
    <t xml:space="preserve">president </t>
  </si>
  <si>
    <t>rudolf.myhovych@cmaukraine.com</t>
  </si>
  <si>
    <t>Rudolf Myhovych</t>
  </si>
  <si>
    <t>LUMBU LUKUNTONDA Christian Hermann</t>
  </si>
  <si>
    <t>Laboratory BioMediQual Centre</t>
  </si>
  <si>
    <t>c.hermannlumbu@gmail.com</t>
  </si>
  <si>
    <t>Mfanelo Alec Sobekwa</t>
  </si>
  <si>
    <t>ICMDA/CMF South Africa</t>
  </si>
  <si>
    <t>ICMDA Regional Representative &amp; Member of Executives (CMFSA)</t>
  </si>
  <si>
    <t>msobekwa@gmail.com</t>
  </si>
  <si>
    <t>Mfanelo Sobekwa</t>
  </si>
  <si>
    <t>KYUNGMIN JANG</t>
  </si>
  <si>
    <t>장경민</t>
  </si>
  <si>
    <t>His Hands On Africa (Rwanda)</t>
  </si>
  <si>
    <t>Dental Mission Director and Dental Surgeon</t>
  </si>
  <si>
    <t>jang@hishandsonafrica.org</t>
  </si>
  <si>
    <t>3, MINHEE KIM(김민희), Female, Wife / CELINE JANG 장세린 (1 daughter, 7yrs) / Arin JANG 장아린 (2 daughter, 4 yrs)</t>
  </si>
  <si>
    <t>김민희 (배우자)
장세린 (딸, 7세)
장하린(딸, 2세)</t>
  </si>
  <si>
    <t>4명 / (자녀 2명, 배우자 1명)</t>
  </si>
  <si>
    <t>*갓샌즈 국가 Rwanda, 생년월일 불일치</t>
  </si>
  <si>
    <t>Atefa Hosseini</t>
  </si>
  <si>
    <t>사랑</t>
  </si>
  <si>
    <t>Afghanistan</t>
  </si>
  <si>
    <t>Ati.h1375@gmail.com</t>
  </si>
  <si>
    <t>Fardin Rahimi, male, husband, Fardinrahimy2020@gmail.com</t>
  </si>
  <si>
    <t>*갓샌즈 국가 Korea, Republic of</t>
  </si>
  <si>
    <r>
      <rPr>
        <sz val="10"/>
        <color theme="1"/>
        <rFont val="Arial"/>
        <family val="2"/>
      </rPr>
      <t xml:space="preserve">Marina wanis </t>
    </r>
    <r>
      <rPr>
        <b/>
        <sz val="10"/>
        <color theme="1"/>
        <rFont val="Arial"/>
        <family val="2"/>
      </rPr>
      <t>beniamin</t>
    </r>
    <r>
      <rPr>
        <sz val="10"/>
        <color theme="1"/>
        <rFont val="Arial"/>
        <family val="2"/>
      </rPr>
      <t xml:space="preserve"> amin</t>
    </r>
  </si>
  <si>
    <t xml:space="preserve">Pharmacist </t>
  </si>
  <si>
    <t>M.wanis.amin@gmail.com</t>
  </si>
  <si>
    <r>
      <rPr>
        <sz val="10"/>
        <color rgb="FF000000"/>
        <rFont val="Calibri, sans-serif"/>
      </rPr>
      <t xml:space="preserve">Marina wanis </t>
    </r>
    <r>
      <rPr>
        <b/>
        <sz val="10"/>
        <color rgb="FFFF0000"/>
        <rFont val="Calibri, sans-serif"/>
      </rPr>
      <t>benyamin</t>
    </r>
    <r>
      <rPr>
        <sz val="10"/>
        <color rgb="FF000000"/>
        <rFont val="Calibri, sans-serif"/>
      </rPr>
      <t xml:space="preserve"> amin</t>
    </r>
  </si>
  <si>
    <r>
      <rPr>
        <sz val="10"/>
        <color rgb="FF000000"/>
        <rFont val="Arial, sans-serif"/>
      </rPr>
      <t xml:space="preserve">생년월일 일치, 이메일 일치, </t>
    </r>
    <r>
      <rPr>
        <sz val="10"/>
        <color rgb="FFFF0000"/>
        <rFont val="Arial, sans-serif"/>
      </rPr>
      <t>이름 거의 일치</t>
    </r>
  </si>
  <si>
    <t>Jessa Saac</t>
  </si>
  <si>
    <t>Doña Remedios Trinidad Romualdez Medical Foundation</t>
  </si>
  <si>
    <t>jessasaac9@gmail.com</t>
  </si>
  <si>
    <t>1, Eufemia Saac, female, mother</t>
  </si>
  <si>
    <t>Sanima Nawaane</t>
  </si>
  <si>
    <t>sanima3x@gmail.com</t>
  </si>
  <si>
    <t>SANIMA NAWAANE</t>
  </si>
  <si>
    <t>Stephen Sixto Siguan</t>
  </si>
  <si>
    <t xml:space="preserve">The Saline Option - Cebu Institute of Medicine </t>
  </si>
  <si>
    <t>Adviser</t>
  </si>
  <si>
    <t>ssiguan@yahoo.com</t>
  </si>
  <si>
    <t>Adeste Siguan, female, wife, adestesiguan@yahoo.com</t>
  </si>
  <si>
    <t>Elba Maria Correa Rodriguez</t>
  </si>
  <si>
    <t>Acups</t>
  </si>
  <si>
    <t>erianto1994@hotmail.com</t>
  </si>
  <si>
    <t>ELBA MARIA CORREA RODRIGUEZ</t>
  </si>
  <si>
    <t>Erianto1994@hotmail.com</t>
  </si>
  <si>
    <t>Eufemia Saac</t>
  </si>
  <si>
    <t>Parent</t>
  </si>
  <si>
    <t>eufemiasaac3@gmail.com</t>
  </si>
  <si>
    <t>Jessa Saac, female, daughter</t>
  </si>
  <si>
    <t>Jessa Saac (딸)</t>
  </si>
  <si>
    <t>2명 / (자녀 1명)</t>
  </si>
  <si>
    <t>MARY BERNADETTE VALLESFIN EGLOSO-ALAS</t>
  </si>
  <si>
    <t>CHRISTIAN MEDICAL DENTAL FELLOWSHIP PHILIPPINES; EASTERN VISAYAS MEDICAL CENTER; REVEALED LOVE MINISTRIES PHILIPPINES</t>
  </si>
  <si>
    <t>Vice President; Training Officer and Consultant Psychiatrist; Chief Executive Officer</t>
  </si>
  <si>
    <t>docmary.psych@gmail.com</t>
  </si>
  <si>
    <t>Mary Bernadette Vallesfin Egloso-Alas</t>
  </si>
  <si>
    <t>Adeste S. Siguan</t>
  </si>
  <si>
    <t>The Saline Option</t>
  </si>
  <si>
    <t>Adestesiguan@yahoo.com</t>
  </si>
  <si>
    <t>Stephen Sixto Siguan, make, husband, ssiguan@yahoo.com</t>
  </si>
  <si>
    <t>Adeste S. Siguan 갓샌즈 등록 필요</t>
  </si>
  <si>
    <t xml:space="preserve">정보 없음 </t>
  </si>
  <si>
    <t xml:space="preserve">Christine Millioni </t>
  </si>
  <si>
    <t>Christian Medical Fellowship -Zambia</t>
  </si>
  <si>
    <t xml:space="preserve">Medical Student </t>
  </si>
  <si>
    <t>millionichristine@gmail.com</t>
  </si>
  <si>
    <t>Millioni Christine</t>
  </si>
  <si>
    <t>Williams Shirley Lydia Veronica</t>
  </si>
  <si>
    <t>The College of Medicine and Allied Sciences</t>
  </si>
  <si>
    <t>생년월일 일치, 이메일 유사, 이름 일치</t>
  </si>
  <si>
    <t>SANI BEIDOU IDRISSA</t>
  </si>
  <si>
    <t>Niger</t>
  </si>
  <si>
    <t>AMPCN NIGER</t>
  </si>
  <si>
    <t>beidouconsultingniger@gmail.com</t>
  </si>
  <si>
    <t>Hannatou Sanoussi, Spouse, hannatous@yahoo.fr</t>
  </si>
  <si>
    <t>SANOUSSI ALASSANE HANNATOU</t>
  </si>
  <si>
    <t>hannatous@yahoo.fr</t>
  </si>
  <si>
    <t>SANI BEIDOU IDRISSA, MALE, HUSBAND, hannatous@yahoo.fr</t>
  </si>
  <si>
    <t>Sanoussi Alassane Hannatou</t>
  </si>
  <si>
    <t>Ha so hyup</t>
  </si>
  <si>
    <t>하소엽</t>
  </si>
  <si>
    <t>Chosun university</t>
  </si>
  <si>
    <t>h9802237@gmail.com</t>
  </si>
  <si>
    <t>July 1, July 2</t>
  </si>
  <si>
    <t>Dulguun</t>
  </si>
  <si>
    <t>둘군</t>
  </si>
  <si>
    <t>dulguunchadraabal@gmail.com</t>
  </si>
  <si>
    <t>June 30, July 1, July 2, July 3</t>
  </si>
  <si>
    <t>Erica Ventura Bila</t>
  </si>
  <si>
    <t>Light for Health - Mozambique /ICMDA Mozambique</t>
  </si>
  <si>
    <t>ericaventurabila@gmail.com</t>
  </si>
  <si>
    <t>Madina Takenova</t>
  </si>
  <si>
    <t xml:space="preserve">ICMDA  </t>
  </si>
  <si>
    <t>ICMDA field worker (IPGDFM Russian Program)</t>
  </si>
  <si>
    <t>academic.ru.ipgdfm@icmda.net</t>
  </si>
  <si>
    <t>De Souza Andrade, Dienna</t>
  </si>
  <si>
    <t>Dienna</t>
  </si>
  <si>
    <t>Universidade Federal da Bahia</t>
  </si>
  <si>
    <t>diuandrade@gmail.com</t>
  </si>
  <si>
    <t>Eka Yudha Lantang</t>
  </si>
  <si>
    <t>Head</t>
  </si>
  <si>
    <t>ekalantang@gmail.com</t>
  </si>
  <si>
    <t>Tseren-Ochir Munkhjiguur</t>
  </si>
  <si>
    <t>제기</t>
  </si>
  <si>
    <t>Agape Christian Hospital, Mongolia</t>
  </si>
  <si>
    <t>tserenochirmunkhjiguur@gmail.com</t>
  </si>
  <si>
    <t>Abigail Onsrud</t>
  </si>
  <si>
    <t>Regional representative for Nordic and Baltic countries</t>
  </si>
  <si>
    <t>abi.tennassie@gmail.com</t>
  </si>
  <si>
    <t>Athitarn Tangtermpong</t>
  </si>
  <si>
    <t>Mae Fah Luang University</t>
  </si>
  <si>
    <t>Internal Medicine</t>
  </si>
  <si>
    <t>Athitarn_pray@hotmail.com</t>
  </si>
  <si>
    <t>Soonthon Tangtermpong , Male, Father</t>
  </si>
  <si>
    <t>Jeffrey Donald Larson</t>
  </si>
  <si>
    <t>Member Care Collaboration Network &amp; TEAM</t>
  </si>
  <si>
    <t>CEO &amp; Missionary Physician</t>
  </si>
  <si>
    <t>jeffrey.donald.larson@gmail.com</t>
  </si>
  <si>
    <t xml:space="preserve">	Jeffrey Larson</t>
  </si>
  <si>
    <t>1987.04.06</t>
  </si>
  <si>
    <t>Daniela Patricia Navas Cano</t>
  </si>
  <si>
    <t>Honduras</t>
  </si>
  <si>
    <t>ACMEH</t>
  </si>
  <si>
    <t xml:space="preserve">Relaciones internacionales </t>
  </si>
  <si>
    <t>navasd25@gmail.com</t>
  </si>
  <si>
    <t xml:space="preserve">Viala Clément André Edouard </t>
  </si>
  <si>
    <t xml:space="preserve">ICMDA France </t>
  </si>
  <si>
    <t>clement64140@hotmail.fr</t>
  </si>
  <si>
    <t xml:space="preserve">	Viala Clément</t>
  </si>
  <si>
    <t xml:space="preserve">CMF Zimbabwe </t>
  </si>
  <si>
    <t>GABRIEL OKUMU</t>
  </si>
  <si>
    <t>NAKASERO HOSPITAL</t>
  </si>
  <si>
    <t>okumu76@gmail.com</t>
  </si>
  <si>
    <t>Ida Regina Tomaz Carvalho da Silva Capela</t>
  </si>
  <si>
    <t>ICMDA/Médicos de Cristo</t>
  </si>
  <si>
    <t>APSA - training Administrator (EA)</t>
  </si>
  <si>
    <t>idacapela@gmail.com</t>
  </si>
  <si>
    <t>Victor Fredlund</t>
  </si>
  <si>
    <t>sim</t>
  </si>
  <si>
    <t>missionary</t>
  </si>
  <si>
    <t>victor.mseleni@outlook.com</t>
  </si>
  <si>
    <t>1 Rachel Fredlund, female, wife, Rachel.fredlund@sim.org</t>
  </si>
  <si>
    <t xml:space="preserve">	Dr Victor Fredlund</t>
  </si>
  <si>
    <t>1956.03.12</t>
  </si>
  <si>
    <t>victor.fredlund@sim.org</t>
  </si>
  <si>
    <t>rachel fredlund</t>
  </si>
  <si>
    <t>1, victor fredlund, male, husband, victor.mseleni@outlook.com</t>
  </si>
  <si>
    <t xml:space="preserve">	Rachel Fredlund</t>
  </si>
  <si>
    <t>1954.02.05</t>
  </si>
  <si>
    <t>rachel.fredlund@sim.org</t>
  </si>
  <si>
    <t>Egum Godwins Easy Otaka</t>
  </si>
  <si>
    <t>Dental Surgery student</t>
  </si>
  <si>
    <t>egumeasy@gmail.com</t>
  </si>
  <si>
    <t>EGUM GODWINS EASY OTAKA</t>
  </si>
  <si>
    <t xml:space="preserve">NEPIDIMBAYE BAMYO </t>
  </si>
  <si>
    <t>CHAD</t>
  </si>
  <si>
    <t>ASSOCIATION DES MEDECINS ET DENTISTES CHRETIENS DU TCHAD</t>
  </si>
  <si>
    <t xml:space="preserve">DOCTOR </t>
  </si>
  <si>
    <t>nepitimbayebamyo87@gmail.com</t>
  </si>
  <si>
    <t>NEPIDIMBAYE BAMYO</t>
  </si>
  <si>
    <t xml:space="preserve">Akaya Blessing </t>
  </si>
  <si>
    <t xml:space="preserve">Federal University Lokoja, FTHL chapter </t>
  </si>
  <si>
    <t xml:space="preserve">Miss </t>
  </si>
  <si>
    <t>akayablessing@gmail.com</t>
  </si>
  <si>
    <t>Blessing Akaya</t>
  </si>
  <si>
    <t>UWIMANA  EVELYNE</t>
  </si>
  <si>
    <t>BURUNDI</t>
  </si>
  <si>
    <t>CENTRE DE SANTE VYIZIGIRO STANLY</t>
  </si>
  <si>
    <t>evelyneuwimana107@gmail.com</t>
  </si>
  <si>
    <t>미등록(메일 보냄)</t>
  </si>
  <si>
    <t>CHI MA</t>
  </si>
  <si>
    <t>CHINA</t>
  </si>
  <si>
    <t>Peniel Church Muzha</t>
  </si>
  <si>
    <t>mamachi07@gmail.com
edgarwu@msn.com</t>
  </si>
  <si>
    <t>PIN-HSIEN WU, male, husband, wu.edgar@gmail.com; EN-JIE WU, female, daughter, wu.edgar@gmail.com; EN-QI WU, male, son, wu.edgar@gmail.com</t>
  </si>
  <si>
    <t xml:space="preserve">PIN-HSIEN WU(배우자,남편)
EN-JIE WU(딸)
 EN-QI WU(아들)
</t>
  </si>
  <si>
    <t>4명/ 자녀 2명, 배우자 1명</t>
  </si>
  <si>
    <t>Kim Jiwon</t>
  </si>
  <si>
    <t>김지원</t>
  </si>
  <si>
    <t>Seoul National University, Graduate School of Public Health</t>
  </si>
  <si>
    <t>jwletter1225@snu.ac.kr</t>
  </si>
  <si>
    <t>ELLAINE BASCO JOSEPH</t>
  </si>
  <si>
    <t>INTERNATIONAL CARE MINISTRIES</t>
  </si>
  <si>
    <t>menorah77@yahoo.com</t>
  </si>
  <si>
    <t xml:space="preserve">KANGYEBON </t>
  </si>
  <si>
    <t>강예본</t>
  </si>
  <si>
    <t>콩콩팥팥내과 인공신장실</t>
  </si>
  <si>
    <t>kyb5382@naver.com</t>
  </si>
  <si>
    <t xml:space="preserve">	KANGYEBON</t>
  </si>
  <si>
    <t xml:space="preserve">	kyb5382@naver.com</t>
  </si>
  <si>
    <t>Zaw Moe Aung</t>
  </si>
  <si>
    <t xml:space="preserve">The Leprosy Mission Myanmar (TLMM) </t>
  </si>
  <si>
    <t xml:space="preserve">Executive Director </t>
  </si>
  <si>
    <t>zmaung@tlmmyanmar.org</t>
  </si>
  <si>
    <t xml:space="preserve">Yes, +1, Lwin Lwin Aye, female, wife, teetuster@googlemail.com </t>
  </si>
  <si>
    <t xml:space="preserve">Dennis Kidake </t>
  </si>
  <si>
    <t xml:space="preserve">Christian Medical fellowship Kenya </t>
  </si>
  <si>
    <t xml:space="preserve">Student committee member </t>
  </si>
  <si>
    <t>denniskidake76@gmail.com</t>
  </si>
  <si>
    <t xml:space="preserve">SAWADOGO Wendkouni Grâce </t>
  </si>
  <si>
    <t>Amdcb</t>
  </si>
  <si>
    <t>Membre actif</t>
  </si>
  <si>
    <t xml:space="preserve">	Gracesawadogo@gmail.com </t>
  </si>
  <si>
    <t>lee cheyoon</t>
  </si>
  <si>
    <t>이채윤</t>
  </si>
  <si>
    <t>keimyung university</t>
  </si>
  <si>
    <t>leecy0922@naver.com</t>
  </si>
  <si>
    <t>LEE CHEYOON</t>
  </si>
  <si>
    <t>NIZEYIMANA Emmanuel</t>
  </si>
  <si>
    <t xml:space="preserve">RWANDA CHRISTIAN MEDICAL AND DENTAL ORGANIZATION </t>
  </si>
  <si>
    <t>zeeman30a@gmail.com</t>
  </si>
  <si>
    <t>Emmanuel NIZEYIMANA</t>
  </si>
  <si>
    <t>Yeabsira Belete Kiros</t>
  </si>
  <si>
    <t xml:space="preserve">Myungsung Christian Medical College and Hospital </t>
  </si>
  <si>
    <t>Dr. / General Practitioner</t>
  </si>
  <si>
    <t>yeabsira.beletek@gmail.com</t>
  </si>
  <si>
    <t>MABILLE Nathalie</t>
  </si>
  <si>
    <t>UNIVERSITE CAEN NORMANDIE</t>
  </si>
  <si>
    <t>mabille.nathalie@yahoo.fr</t>
  </si>
  <si>
    <t>MABILLE</t>
  </si>
  <si>
    <t>Mutie Dorothy Mwende</t>
  </si>
  <si>
    <t xml:space="preserve">Kenya Medical Training College </t>
  </si>
  <si>
    <t>dotmwende@gmail.com</t>
  </si>
  <si>
    <t>Dorothy M Mutie</t>
  </si>
  <si>
    <t>AGUIRRE ZAMBRANO VELHO LORENA GLORIA SILVIA</t>
  </si>
  <si>
    <t>dralorenav@gmail.com</t>
  </si>
  <si>
    <t>Lorena Glotia Silvia Aguirre Zambrano Velho</t>
  </si>
  <si>
    <t>Haakon Sletteboe Meyer</t>
  </si>
  <si>
    <t>Norges kristelige legeforening</t>
  </si>
  <si>
    <t>haakon.meyer2002@gmail.com</t>
  </si>
  <si>
    <t>Haakon Slettebø Meyer</t>
  </si>
  <si>
    <t xml:space="preserve">Michael and Jean Burke </t>
  </si>
  <si>
    <t>KIlimanjaro Christian Medical Centre Tanzania</t>
  </si>
  <si>
    <t xml:space="preserve">Assoc Prof </t>
  </si>
  <si>
    <t>michaelgrb1307@gmail.com</t>
  </si>
  <si>
    <t xml:space="preserve">wife Jean BUrke </t>
  </si>
  <si>
    <t>Michael Burke</t>
  </si>
  <si>
    <t xml:space="preserve">	Izabel Shu-Hui Chuang</t>
  </si>
  <si>
    <t>NTUT</t>
  </si>
  <si>
    <t xml:space="preserve">Dr. </t>
  </si>
  <si>
    <t>izabelshc@gmail.com</t>
  </si>
  <si>
    <t>NAW GRACE PHYU PHYU THANT</t>
  </si>
  <si>
    <t>MYANMAR</t>
  </si>
  <si>
    <t>Myiita Caruna Health Workers Assocation</t>
  </si>
  <si>
    <t>nawgraceppt@gmail.com</t>
  </si>
  <si>
    <t xml:space="preserve">Stela Noyomi Biswas </t>
  </si>
  <si>
    <t>Bangladesh</t>
  </si>
  <si>
    <t xml:space="preserve">Barind Medical College, Rajshahi </t>
  </si>
  <si>
    <t>snb.britney007@gmail.com</t>
  </si>
  <si>
    <t>MANOLITA JUNASA</t>
  </si>
  <si>
    <t>KAVOD Center for Special Persons</t>
  </si>
  <si>
    <t>Founder, Executive Director</t>
  </si>
  <si>
    <t>mallette.p@gmail.com</t>
  </si>
  <si>
    <t xml:space="preserve">1, Kyle David P. Junasa, male, son. KyleDPJ518@gmail.com
2. Kris Mishael P. Junasa., male, son, krisjunasa@gmail.com
3. Ma. Ruby Fariñas, female, fiancee of son, farinasmariaruby@gmail.com 
</t>
  </si>
  <si>
    <t>Kyle David P. Junasa 아들
Kris Mishael P. Junasa.아들 
Ma. Ruby Fariñas, female, fiancee of son(아들 약혼자)</t>
  </si>
  <si>
    <t>총 4명(자녀 2명, 자녀 약혼자??) 확인 필요</t>
  </si>
  <si>
    <t>MUHINDO VAHWERE Pascal</t>
  </si>
  <si>
    <t>AMC(Association des Médecins Chrétiens)</t>
  </si>
  <si>
    <t>Doctor in charge of Studients in the national Board</t>
  </si>
  <si>
    <t>pascalmuhindo@yahoo.fr</t>
  </si>
  <si>
    <t xml:space="preserve">Ken  Jetton </t>
  </si>
  <si>
    <t>Marshall Islands</t>
  </si>
  <si>
    <t xml:space="preserve">Ministry of Health &amp; Human Services </t>
  </si>
  <si>
    <t xml:space="preserve">Public Health Clinician </t>
  </si>
  <si>
    <t>kjetton@rmihealth.org</t>
  </si>
  <si>
    <t>Ken Jetton</t>
  </si>
  <si>
    <t>kkjetton@gmail.com</t>
  </si>
  <si>
    <t>Kudzai Zimuto</t>
  </si>
  <si>
    <t xml:space="preserve">Christian Medical Fellowship South Africa </t>
  </si>
  <si>
    <t>kudzaizimuto@gmail.com</t>
  </si>
  <si>
    <t>이메일 일치; 이름 유사도 1.00; 생년월일 일치; Godsends row 1402; Payment Status=None; Amount=None</t>
  </si>
  <si>
    <t xml:space="preserve">Kwame Ekremet </t>
  </si>
  <si>
    <t>Ghana Christian Medical and Dental Fellowship</t>
  </si>
  <si>
    <t>wwjdlf1@yahoo.com</t>
  </si>
  <si>
    <t>Peggy Asiedu Ekremet, Female, Wife, pegremet@gmail.com</t>
  </si>
  <si>
    <t>Kwame Ekremet</t>
  </si>
  <si>
    <t>kekremet@ugmc.ug.edu.gh</t>
  </si>
  <si>
    <t>이름 고유/강일치 유사도 1.00; 이메일/생년월일 직접 일치 없음; Godsends row 249; Payment Status=Paid; Amount=1034</t>
  </si>
  <si>
    <t>Peggy Asiedu Ekremet</t>
  </si>
  <si>
    <t xml:space="preserve">Accra Psychiatric Hospital / GCMDF </t>
  </si>
  <si>
    <t xml:space="preserve">Psychiatrist </t>
  </si>
  <si>
    <t>peggelz@hotmail.com</t>
  </si>
  <si>
    <t xml:space="preserve">Kwame Ekremet, male, husband </t>
  </si>
  <si>
    <t>이메일 일치; 이름 유사도 1.00; 생년월일 일치; Godsends row 250; Payment Status=Paid; Amount=0</t>
  </si>
  <si>
    <t>Bénédicte Amisi Kumingi</t>
  </si>
  <si>
    <t>Mohamed V University. Faculty of Medicine and Pharmacy of Rabat</t>
  </si>
  <si>
    <t>Médical Intern</t>
  </si>
  <si>
    <t>Benedictekumingi29@gmail.com</t>
  </si>
  <si>
    <t>Kumingi amisi Benedicte</t>
  </si>
  <si>
    <t>benedictekumingi29@gmail.com</t>
  </si>
  <si>
    <t>이메일 일치; 이름 유사도 0.87; 생년월일 일치; Godsends row 1147; Payment Status=None; Amount=None</t>
  </si>
  <si>
    <t>이메일 일치; 이름 유사도 1.00; 생년월일 일치; Godsends row 574; Payment Status=None; Amount=None</t>
  </si>
  <si>
    <t>Tok pei loo</t>
  </si>
  <si>
    <t>Singaporean</t>
  </si>
  <si>
    <t xml:space="preserve">Gems tabernacle </t>
  </si>
  <si>
    <t>High</t>
  </si>
  <si>
    <t>tokpeiloo1985@gmail.com</t>
  </si>
  <si>
    <t>이메일 불일치, 생년월일+이름 조합 일치 없음</t>
  </si>
  <si>
    <t>Thai</t>
  </si>
  <si>
    <t>Department of Health, Thailand</t>
  </si>
  <si>
    <t>Middle</t>
  </si>
  <si>
    <t>이메일 일치; 이름 유사도 1.00; 생년월일 일치; Godsends row 1721; Payment Status=None; Amount=None</t>
  </si>
  <si>
    <t>Brenda Akinyi Okumu</t>
  </si>
  <si>
    <t>okumudr@gmail.com</t>
  </si>
  <si>
    <t>Brenda Okumu</t>
  </si>
  <si>
    <t>이메일 일치; 이름 유사도 0.77; 생년월일 일치; Godsends row 1748; Payment Status=None; Amount=None</t>
  </si>
  <si>
    <t>Helena Gomes</t>
  </si>
  <si>
    <t>CMF Brazil</t>
  </si>
  <si>
    <t>Mother accompanying applicant (Mireille Gomes)</t>
  </si>
  <si>
    <t>Mireille Gomes / Female / Daughter</t>
  </si>
  <si>
    <t>Mireille Gomes(딸)</t>
  </si>
  <si>
    <t>총 2명(딸 1명)</t>
  </si>
  <si>
    <t>Helena Maria Freyesleben Silva de Miranda Gomes</t>
  </si>
  <si>
    <t>이메일 일치; 이름 유사도 0.41; 생년월일 일치; Godsends row 1627; Payment Status=Paid; Amount=0</t>
  </si>
  <si>
    <t>Hanri Alikhanyan</t>
  </si>
  <si>
    <t>Armenia</t>
  </si>
  <si>
    <t>Spouse</t>
  </si>
  <si>
    <t>fjhanri@gmail.com</t>
  </si>
  <si>
    <t>1, Kristina Alikhanyan, female, wife, drkristina777@gmail.com</t>
  </si>
  <si>
    <t>이메일 일치; 이름 유사도 1.00; 생년월일 일치; Godsends row 226; Payment Status=None; Amount=0</t>
  </si>
  <si>
    <t xml:space="preserve">Aline Garcia Pereira </t>
  </si>
  <si>
    <t xml:space="preserve">médicos de Cristo </t>
  </si>
  <si>
    <t xml:space="preserve">TEC. Radiologia </t>
  </si>
  <si>
    <t>이메일 일치; 이름 유사도 1.00; 생년월일 일치; Godsends row 140; Payment Status=Paid; Amount=407</t>
  </si>
  <si>
    <t>Vice presidente</t>
  </si>
  <si>
    <t>Viajo solo</t>
  </si>
  <si>
    <t>이메일 일치; 이름 유사도 1.00; 생년월일 일치; Godsends row 950; Payment Status=None; Amount=None</t>
  </si>
  <si>
    <t xml:space="preserve">Adeste Sy Egco Siguan </t>
  </si>
  <si>
    <t>adestesiguan@yahoo.com</t>
  </si>
  <si>
    <t>총 2명</t>
  </si>
  <si>
    <t>Ikeuba Delight Chidebelu</t>
  </si>
  <si>
    <t>기쁨</t>
  </si>
  <si>
    <t>Christian Medical and Dental Association, Nigeria</t>
  </si>
  <si>
    <t>이메일 일치; 이름 유사도 1.00; 생년월일 일치; Godsends row 473; Payment Status=Paid; Amount=407</t>
  </si>
  <si>
    <t>MAME YAA ADOBEA NYARKO</t>
  </si>
  <si>
    <t xml:space="preserve">Ghana Christian Medical and Dental Fellowship </t>
  </si>
  <si>
    <t>Dr. Mrs.</t>
  </si>
  <si>
    <t>mameyaanyarko@gmail.com</t>
  </si>
  <si>
    <t>Edward Nyarko</t>
  </si>
  <si>
    <t>Mame Yaa Adobea Nyarko</t>
  </si>
  <si>
    <t>이메일 일치; 이름 유사도 1.00; 생년월일 일치; Godsends row 934; Payment Status=Paid; Amount=1232</t>
  </si>
  <si>
    <t xml:space="preserve">José Gabriel palma pereira </t>
  </si>
  <si>
    <t>호세 가브리엘 팔마 페레이라</t>
  </si>
  <si>
    <t>“I am from the organization in Paraguay.”</t>
  </si>
  <si>
    <t>“one of the founders.”</t>
  </si>
  <si>
    <t>palmapereirajosegabriel@gmail.com</t>
  </si>
  <si>
    <t>José Gabriel palma Pereira</t>
  </si>
  <si>
    <t>이메일 일치; 이름 유사도 1.00; 생년월일 불일치/없음; Godsends row 61; Payment Status=None; Amount=0</t>
  </si>
  <si>
    <t xml:space="preserve">Peter Appiah-Thompson </t>
  </si>
  <si>
    <t xml:space="preserve">University of Cape Coast/Ghana Christian Medical and Dental Fellowship </t>
  </si>
  <si>
    <t>Dr/Senior Lecturer</t>
  </si>
  <si>
    <t>appiatee1@gmail.com</t>
  </si>
  <si>
    <t>Peter Appiah-Thompson</t>
  </si>
  <si>
    <t>이메일 일치; 이름 유사도 1.00; 생년월일 일치; Godsends row 778; Payment Status=Paid; Amount=814</t>
  </si>
  <si>
    <t>Vũ Hoàng Hạnh</t>
  </si>
  <si>
    <t>Không có</t>
  </si>
  <si>
    <t>CMF Việt Nam</t>
  </si>
  <si>
    <t>Nhân viên</t>
  </si>
  <si>
    <t>Vuhoanghanh662@gmail.com</t>
  </si>
  <si>
    <t>Không</t>
  </si>
  <si>
    <t>이메일 일치; 이름 유사도 1.00; 생년월일 일치; Godsends row 1751; Payment Status=Paid; Amount=649</t>
  </si>
  <si>
    <t xml:space="preserve">Kabale University/ Uganda Christian Medical fellowship </t>
  </si>
  <si>
    <t xml:space="preserve">Past immediate National l Students' Chairperson </t>
  </si>
  <si>
    <t>이메일 일치; 이름 유사도 1.00; 생년월일 불일치/없음; Godsends row 30; Payment Status=None; Amount=0</t>
  </si>
  <si>
    <t>ODHIAMBO CLARA ATIENO</t>
  </si>
  <si>
    <t>ST, FRANCIS HOSPITAL NSAMBYA</t>
  </si>
  <si>
    <t>HEAD OF DEPARTMENT - ONCOLOGY DEPARTMENT</t>
  </si>
  <si>
    <t>이메일 일치; 이름 유사도 0.80; 생년월일 일치; Godsends row 169; Payment Status=None; Amount=0</t>
  </si>
  <si>
    <t xml:space="preserve">Amjad Nwair Ziadat </t>
  </si>
  <si>
    <t>Jordan</t>
  </si>
  <si>
    <t xml:space="preserve">Jordan Christian Health Association </t>
  </si>
  <si>
    <t xml:space="preserve">Doctor , ophthalmologist </t>
  </si>
  <si>
    <t>anziadat@gmail.com</t>
  </si>
  <si>
    <t>Ruwan Batarseh, female, wife , ruwanbatarsehabs@gmail.com</t>
  </si>
  <si>
    <t>Amjad Nwair Ziadat</t>
  </si>
  <si>
    <t>이메일 일치; 이름 유사도 1.00; 생년월일 일치; Godsends row 2400; Payment Status=None; Amount=None</t>
  </si>
  <si>
    <t xml:space="preserve">Christin Suborna Murmu </t>
  </si>
  <si>
    <t xml:space="preserve">LAMB Hospital </t>
  </si>
  <si>
    <t>Medical officer</t>
  </si>
  <si>
    <t>murmuchristin@gmail.com</t>
  </si>
  <si>
    <t>Christin Suborna Murmu</t>
  </si>
  <si>
    <t>이메일 일치; 이름 유사도 1.00; 생년월일 일치; Godsends row 770; Payment Status=None; Amount=None</t>
  </si>
  <si>
    <t>Rebecka Engkær Harregaard</t>
  </si>
  <si>
    <t>Kristelig lægeforening (through my sister)</t>
  </si>
  <si>
    <t>Accompanying a student (sister)</t>
  </si>
  <si>
    <t>Rebecka@harregaard.dk</t>
  </si>
  <si>
    <t>1, Sarah Engkær Harregaard Schanche, female, sister, sarah.e.harregaard@gmail.com (been approved for free accommodation already)</t>
  </si>
  <si>
    <t>rebecka@harregaard.dk</t>
  </si>
  <si>
    <t>이메일 일치; 이름 유사도 1.00; 생년월일 일치; Godsends row 1813; Payment Status=Paid; Amount=0</t>
  </si>
  <si>
    <t>JOSEPH NEWTON MKANDAWIRE</t>
  </si>
  <si>
    <t>조셉 므칸다와이어</t>
  </si>
  <si>
    <t>BLESSINGS HOSPITAL</t>
  </si>
  <si>
    <t>joe18wire@gmail.com</t>
  </si>
  <si>
    <t>Joseph Mkandawire</t>
  </si>
  <si>
    <t>이메일 일치; 이름 유사도 0.83; 생년월일 일치; Godsends row 41; Payment Status=None; Amount=0</t>
  </si>
  <si>
    <t>KING CEASOR UNIVERSITY</t>
  </si>
  <si>
    <t>MR.</t>
  </si>
  <si>
    <t>이메일 일치; 이름 유사도 1.00; 생년월일 일치; Godsends row 483; Payment Status=None; Amount=None</t>
  </si>
  <si>
    <t>이메일 일치; 이름 유사도 1.00; 생년월일 불일치/없음; Godsends row 1767; Payment Status=None; Amount=None</t>
  </si>
  <si>
    <t xml:space="preserve">Among Irene Olimoro </t>
  </si>
  <si>
    <t xml:space="preserve">Uganda Christian Medical Fellowship </t>
  </si>
  <si>
    <t xml:space="preserve">amongirene@gmail.com </t>
  </si>
  <si>
    <t>이메일 일치; 이름 유사도 1.00; 생년월일 일치; Godsends row 406; Payment Status=None; Amount=None</t>
  </si>
  <si>
    <t>oui</t>
  </si>
  <si>
    <t xml:space="preserve">KASONGO KILOLO ROGUY </t>
  </si>
  <si>
    <t xml:space="preserve">membre </t>
  </si>
  <si>
    <t>roguykasongo80@gmail.com</t>
  </si>
  <si>
    <t>KASONGO KILOLO ROGUY</t>
  </si>
  <si>
    <t>이메일 일치; 이름 유사도 0.17; 생년월일 일치; Godsends row 248; Payment Status=None; Amount=0</t>
  </si>
  <si>
    <t>Mupfasoni</t>
  </si>
  <si>
    <t>Belyse</t>
  </si>
  <si>
    <t>Centre national de transfusion sanguine</t>
  </si>
  <si>
    <t>Responsable pronvincial</t>
  </si>
  <si>
    <t>이메일 일치; 이름 유사도 0.72; 생년월일 일치; Godsends row 710; Payment Status=None; Amount=None</t>
  </si>
  <si>
    <t xml:space="preserve">Mercy Medical Center Cambodia </t>
  </si>
  <si>
    <t xml:space="preserve">Family medicine doctor </t>
  </si>
  <si>
    <t xml:space="preserve">I will go with my wife Dr. ANG SREYNIN, sreynin.ang@mmccambodia.org,  1 daughter   Name KUN ESTHER 3 years, 4months old </t>
  </si>
  <si>
    <t>이메일 일치; 이름 유사도 1.00; 생년월일 일치; Godsends row 1668; Payment Status=None; Amount=None</t>
  </si>
  <si>
    <t>이메일 일치; 이름 유사도 1.00; 생년월일 일치; Godsends row 278; Payment Status=None; Amount=None</t>
  </si>
  <si>
    <t xml:space="preserve">Barind Medical College, Rajshahi, Bangladesh </t>
  </si>
  <si>
    <t>Stela Noyomi Biswas</t>
  </si>
  <si>
    <t>이메일 일치; 이름 유사도 1.00; 생년월일 일치; Godsends row 2337; Payment Status=None; Amount=None</t>
  </si>
  <si>
    <t>Nontobeko Precious Mncwango</t>
  </si>
  <si>
    <t>Nelson Mandela University</t>
  </si>
  <si>
    <t>nontomjaji2000@gmail.com</t>
  </si>
  <si>
    <t>Nontobeko Mncwango</t>
  </si>
  <si>
    <t>이메일 일치; 이름 유사도 0.80; 생년월일 일치; Godsends row 1531; Payment Status=None; Amount=None</t>
  </si>
  <si>
    <t>Suplice Moulomba</t>
  </si>
  <si>
    <t>Corps médical chrétien du Gabon</t>
  </si>
  <si>
    <t xml:space="preserve">Chargé de la communication </t>
  </si>
  <si>
    <t>suplicemoulomba96@gmail.com</t>
  </si>
  <si>
    <t>MOULOMBA MOULOMBA Suplice</t>
  </si>
  <si>
    <t>이메일 일치; 이름 유사도 1.00; 생년월일 일치; Godsends row 154; Payment Status=Paid; Amount=605</t>
  </si>
  <si>
    <t>LINGA Fidelis Filibus</t>
  </si>
  <si>
    <t>CMDA Nigeria</t>
  </si>
  <si>
    <t>Mission's Secretary CMDA Gombe chapter</t>
  </si>
  <si>
    <t>이메일 일치; 이름 유사도 1.00; 생년월일 일치; Godsends row 536; Payment Status=None; Amount=None</t>
  </si>
  <si>
    <t xml:space="preserve">Melvar Kelly </t>
  </si>
  <si>
    <t xml:space="preserve">CMF KENYA </t>
  </si>
  <si>
    <t>이메일 일치; 이름 유사도 1.00; 생년월일 불일치/없음; Godsends row 159; Payment Status=None; Amount=0</t>
  </si>
  <si>
    <t>Marinela Gjata</t>
  </si>
  <si>
    <t>Albania</t>
  </si>
  <si>
    <t>Università degli studi di Roma, Tor Vergata, facoltà di medicina &amp; chirurgia</t>
  </si>
  <si>
    <t>gjatamarinela673@gmail.com</t>
  </si>
  <si>
    <t>이메일 일치; 이름 유사도 1.00; 생년월일 일치; Godsends row 2104; Payment Status=None; Amount=0</t>
  </si>
  <si>
    <t xml:space="preserve">Jessica Da Rocha Sandos </t>
  </si>
  <si>
    <t xml:space="preserve">Jessica Da Rocha Santos </t>
  </si>
  <si>
    <t>School</t>
  </si>
  <si>
    <t>household manager</t>
  </si>
  <si>
    <t>Jessicarochasantoss7@gmail.com</t>
  </si>
  <si>
    <t xml:space="preserve">1, Dayane, female, friend </t>
  </si>
  <si>
    <t>Jessica Da Rocha Santos</t>
  </si>
  <si>
    <t>jessicarochasantoss7@gmail.com</t>
  </si>
  <si>
    <t>이메일 일치; 이름 유사도 0.96; 생년월일 일치; Godsends row 2419; Payment Status=Paid; Amount=528</t>
  </si>
  <si>
    <t xml:space="preserve">IMC Almaty </t>
  </si>
  <si>
    <t xml:space="preserve">Family physician </t>
  </si>
  <si>
    <t>이메일 일치; 이름 유사도 1.00; 생년월일 일치; Godsends row 1563; Payment Status=None; Amount=None</t>
  </si>
  <si>
    <t>BUALUTI NIANGINJUSTIA</t>
  </si>
  <si>
    <t>FACULTE OF MEDECINE AND PHARMACIE OF RABAT</t>
  </si>
  <si>
    <t>justiabualuti1@gmail.com</t>
  </si>
  <si>
    <t>Justia BUALUTI NIANGI</t>
  </si>
  <si>
    <t>이메일 일치; 이름 유사도 0.67; 생년월일 일치; Godsends row 1426; Payment Status=None; Amount=None</t>
  </si>
  <si>
    <t>Nguyen Anh Nhat</t>
  </si>
  <si>
    <t>CMF VietNam</t>
  </si>
  <si>
    <t>이메일 일치; 이름 유사도 1.00; 생년월일 일치; Godsends row 1882; Payment Status=Paid; Amount=325</t>
  </si>
  <si>
    <t>Michèle Sonja Zoe Rüfenacht</t>
  </si>
  <si>
    <t>Switzerland</t>
  </si>
  <si>
    <t>Universität Bern</t>
  </si>
  <si>
    <t>r8.mich@gmail.com</t>
  </si>
  <si>
    <t>Michèle Rüfenacht</t>
  </si>
  <si>
    <t>이메일 일치; 이름 유사도 0.77; 생년월일 일치; Godsends row 1973; Payment Status=Paid; Amount=575</t>
  </si>
  <si>
    <t xml:space="preserve">cmfrsa.office@gmail.com </t>
  </si>
  <si>
    <t>cmfrsa.office@gmail.com</t>
  </si>
  <si>
    <t>이메일 일치; 이름 유사도 1.00; 생년월일 불일치/없음; Godsends row 665; Payment Status=None; Amount=None</t>
  </si>
  <si>
    <t>Zenande Athini Onke</t>
  </si>
  <si>
    <t xml:space="preserve">Silosini </t>
  </si>
  <si>
    <t xml:space="preserve">CMFSA </t>
  </si>
  <si>
    <t>zenande.tukute@gmail.com</t>
  </si>
  <si>
    <t>Zenande</t>
  </si>
  <si>
    <t>이메일 일치; 이름 유사도 0.54; 생년월일 일치; Godsends row 1338; Payment Status=None; Amount=None</t>
  </si>
  <si>
    <t xml:space="preserve">Karabo Annah Tisane </t>
  </si>
  <si>
    <t>kkarabo778@gmail.com</t>
  </si>
  <si>
    <t>이메일 일치; 이름 유사도 1.00; 생년월일 일치; Godsends row 2397; Payment Status=Paid; Amount=488</t>
  </si>
  <si>
    <t>Niyokwanda Gope</t>
  </si>
  <si>
    <t>Sefako Makgatho Health Sciences University CMF</t>
  </si>
  <si>
    <t xml:space="preserve">Deputy Chairperson </t>
  </si>
  <si>
    <t>Cmfrsa.office@gmail.com</t>
  </si>
  <si>
    <t>이메일 일치; 이름 유사도 1.00; 생년월일 일치; Godsends row 666; Payment Status=None; Amount=None</t>
  </si>
  <si>
    <t>Alan John David</t>
  </si>
  <si>
    <t>Madhepura Christian Hospital, Bihar, India</t>
  </si>
  <si>
    <t>alanjd311@gmail.com</t>
  </si>
  <si>
    <t>이메일 일치; 이름 유사도 1.00; 생년월일 일치; Godsends row 2392; Payment Status=None; Amount=None</t>
  </si>
  <si>
    <t>RAHEEL KHOKHAR</t>
  </si>
  <si>
    <t>Christian Hospital Tank</t>
  </si>
  <si>
    <t xml:space="preserve">Physiotherapist </t>
  </si>
  <si>
    <t>raheelkhokhar98@gmail.com</t>
  </si>
  <si>
    <t>Raheel Khokhar</t>
  </si>
  <si>
    <t>이메일 일치; 이름 유사도 1.00; 생년월일 일치; Godsends row 2413; Payment Status=None; Amount=None</t>
  </si>
  <si>
    <t>ADAMU  ADDISSIE  NURAMO</t>
  </si>
  <si>
    <t>Addis Ababa University</t>
  </si>
  <si>
    <t>Faculty</t>
  </si>
  <si>
    <t>adamuaddissie@gmail.com</t>
  </si>
  <si>
    <t>생년월일 일치 + 이름 유사도 1.00; Godsends row 624; Payment Status=None; Amount=None</t>
  </si>
  <si>
    <t>Mabuza Paseka</t>
  </si>
  <si>
    <t>University of Limpopo</t>
  </si>
  <si>
    <t>pasekamabuza18@gmail.com</t>
  </si>
  <si>
    <t>Paseka Mabuza</t>
  </si>
  <si>
    <t>이메일 일치; 이름 유사도 1.00; 생년월일 불일치/없음; Godsends row 1259; Payment Status=Paid; Amount=605</t>
  </si>
  <si>
    <t>Avihe-Vizakuje Tjipueja</t>
  </si>
  <si>
    <t xml:space="preserve">University of Namibia </t>
  </si>
  <si>
    <t>Medical intern</t>
  </si>
  <si>
    <t>avihetjipueja@gmail.com</t>
  </si>
  <si>
    <t>이메일 일치; 이름 유사도 1.00; 생년월일 일치; Godsends row 2093; Payment Status=Paid; Amount=666</t>
  </si>
  <si>
    <t xml:space="preserve"> Igiraneza Charlene</t>
  </si>
  <si>
    <t xml:space="preserve">School </t>
  </si>
  <si>
    <t>igiranezacharlene@gmail.com</t>
  </si>
  <si>
    <t>Charlene Igiraneza</t>
  </si>
  <si>
    <t>이메일 일치; 이름 유사도 1.00; 생년월일 일치; Godsends row 1148; Payment Status=Paid; Amount=0</t>
  </si>
  <si>
    <t>Faculty of medicine menoufia university</t>
  </si>
  <si>
    <t xml:space="preserve">Assistant lecturer of emergency medicine </t>
  </si>
  <si>
    <t xml:space="preserve">nermenbotros22@gmail.com </t>
  </si>
  <si>
    <t>이메일 일치; 이름 유사도 0.88; 생년월일 일치; Godsends row 456; Payment Status=None; Amount=None</t>
  </si>
  <si>
    <t xml:space="preserve">Daysi Chipana  Juaniquina </t>
  </si>
  <si>
    <t>miembro</t>
  </si>
  <si>
    <t>daysi_es@hotmail.com</t>
  </si>
  <si>
    <t>Daysi Chipana Juaniquina</t>
  </si>
  <si>
    <t>이메일 일치; 이름 유사도 1.00; 생년월일 일치; Godsends row 2425; Payment Status=None; Amount=None</t>
  </si>
  <si>
    <t xml:space="preserve">Ken Jetton </t>
  </si>
  <si>
    <t xml:space="preserve">Medic/Public Health Clinician </t>
  </si>
  <si>
    <t>생년월일 일치 + 이름 유사도 1.00; Godsends row 963; Payment Status=None; Amount=None</t>
  </si>
  <si>
    <t>Saira Paulose</t>
  </si>
  <si>
    <t>ICMDA/CMAI</t>
  </si>
  <si>
    <t>sairamathew2017@gmail.com</t>
  </si>
  <si>
    <t>이메일 일치; 이름 유사도 1.00; 생년월일 일치; Godsends row 736; Payment Status=None; Amount=None</t>
  </si>
  <si>
    <t xml:space="preserve">POUV SREY NEANG </t>
  </si>
  <si>
    <t>생년월일 일치 + 이름 유사도 0.97; Godsends row 1549; Payment Status=None; Amount=None</t>
  </si>
  <si>
    <t>SAK LYZA</t>
  </si>
  <si>
    <t xml:space="preserve">Norton University </t>
  </si>
  <si>
    <t>이메일 일치; 이름 유사도 1.00; 생년월일 일치; Godsends row 1591; Payment Status=None; Amount=None</t>
  </si>
  <si>
    <t>EAT RITH RATANA</t>
  </si>
  <si>
    <t>Health science institute of RCAF</t>
  </si>
  <si>
    <t>ratanaeat270@gmail.con</t>
  </si>
  <si>
    <t>생년월일 일치 + 이름 유사도 0.97; Godsends row 1593; Payment Status=None; Amount=None</t>
  </si>
  <si>
    <t>EAN MEYLIK</t>
  </si>
  <si>
    <t>이메일 일치; 이름 유사도 1.00; 생년월일 일치; Godsends row 1590; Payment Status=None; Amount=None</t>
  </si>
  <si>
    <t>Panha Sorn</t>
  </si>
  <si>
    <t>panhasorn03@gmail.com</t>
  </si>
  <si>
    <t>Sreyleak Sorn,male, my sister 
(sornsreyleak12@gmail.com</t>
  </si>
  <si>
    <t>SORN PANHA</t>
  </si>
  <si>
    <t>이메일 일치; 이름 유사도 1.00; 생년월일 일치; Godsends row 1586; Payment Status=None; Amount=None</t>
  </si>
  <si>
    <t>Tamryn Jane Baytopp</t>
  </si>
  <si>
    <t>Walter Sisulu University</t>
  </si>
  <si>
    <t>tbaytopp@yahoo.com</t>
  </si>
  <si>
    <t>TAMRYN JANE BAYTOPP</t>
  </si>
  <si>
    <t>이메일 일치; 이름 유사도 1.00; 생년월일 일치; Godsends row 1769; Payment Status=Paid; Amount=814</t>
  </si>
  <si>
    <t>Sokun socheata, socheatasokun08@gmail.com</t>
  </si>
  <si>
    <t>이메일 일치; 이름 유사도 1.00; 생년월일 일치; Godsends row 1530; Payment Status=None; Amount=None</t>
  </si>
  <si>
    <t>Khom liphea</t>
  </si>
  <si>
    <t xml:space="preserve">Puthisastra of university </t>
  </si>
  <si>
    <t>khomliphea@gmail.com</t>
  </si>
  <si>
    <t>이메일 일치; 이름 유사도 1.00; 생년월일 일치; Godsends row 1736; Payment Status=None; Amount=None</t>
  </si>
  <si>
    <t xml:space="preserve">Saira Paulose </t>
  </si>
  <si>
    <t>CMAI</t>
  </si>
  <si>
    <t>June 29, June 30, July 2, July 3, July 4</t>
  </si>
  <si>
    <t>Dr. Mathew Santhosh Thomas, male, husband 
santhosh.mathew @icmda.net</t>
  </si>
  <si>
    <t xml:space="preserve">CYNTHIA KENDI MUGENDI </t>
  </si>
  <si>
    <t>CHRISTIAN MEDICAL FELLOWSHIP - KENYA</t>
  </si>
  <si>
    <t xml:space="preserve">MEDICAL DOCTOR </t>
  </si>
  <si>
    <t>이메일 일치; 이름 유사도 1.00; 생년월일 일치; Godsends row 1017; Payment Status=None; Amount=None</t>
  </si>
  <si>
    <t>FAITH KGOWA</t>
  </si>
  <si>
    <t>CMFSA</t>
  </si>
  <si>
    <t>faithkgowa@gmail.com</t>
  </si>
  <si>
    <t>faith Kgowa</t>
  </si>
  <si>
    <t>이메일 일치; 이름 유사도 1.00; 생년월일 일치; Godsends row 1200; Payment Status=Paid; Amount=605</t>
  </si>
  <si>
    <t>SUSAN VAZ GUNASEKARAN</t>
  </si>
  <si>
    <t xml:space="preserve">Madhipura Christian Hospital </t>
  </si>
  <si>
    <t>susanvazg@gmail.com</t>
  </si>
  <si>
    <t>Susan Vaz</t>
  </si>
  <si>
    <t>이메일 일치; 이름 유사도 0.67; 생년월일 일치; Godsends row 2395; Payment Status=None; Amount=None</t>
  </si>
  <si>
    <t xml:space="preserve">Mabuza Paseka </t>
  </si>
  <si>
    <t xml:space="preserve">University of Limpopo </t>
  </si>
  <si>
    <t>이메일 일치; 이름 유사도 1.00; 생년월일 일치; Godsends row 1259; Payment Status=Paid; Amount=605</t>
  </si>
  <si>
    <t xml:space="preserve">Michel Raymond </t>
  </si>
  <si>
    <t>Vanuatu</t>
  </si>
  <si>
    <t xml:space="preserve">Northern Provincial Hospital </t>
  </si>
  <si>
    <t>Paediatric Registrar</t>
  </si>
  <si>
    <t>mitchraymond86@gmail.com</t>
  </si>
  <si>
    <t>Michel Raymond</t>
  </si>
  <si>
    <t>이메일 일치; 이름 유사도 1.00; 생년월일 일치; Godsends row 2440; Payment Status=None; Amount=None</t>
  </si>
  <si>
    <t xml:space="preserve">Sisipho Conjwa </t>
  </si>
  <si>
    <t xml:space="preserve">Walter Sisulu University </t>
  </si>
  <si>
    <t>Sisipho Conjwa</t>
  </si>
  <si>
    <t>이메일 일치; 이름 유사도 1.00; 생년월일 일치; Godsends row 663; Payment Status=None; Amount=None</t>
  </si>
  <si>
    <t>retired</t>
  </si>
  <si>
    <t>Mireille Gomes (Mireille Caroline Silva de Miranda Gomes)</t>
  </si>
  <si>
    <t>이메일 일치; 이름 유사도 1.00; 생년월일 일치; Godsends row 1627; Payment Status=Paid; Amount=0</t>
  </si>
  <si>
    <t>Christian Medical and Dental Association of Nigeria</t>
  </si>
  <si>
    <t>이메일 일치; 이름 유사도 0.72; 생년월일 일치; Godsends row 540; Payment Status=None; Amount=None</t>
  </si>
  <si>
    <t>SOK PHEAKTRA</t>
  </si>
  <si>
    <t>Agape Clinic</t>
  </si>
  <si>
    <t>sokpheaktra.ped@gmail.com</t>
  </si>
  <si>
    <t>SOK Pheaktra</t>
  </si>
  <si>
    <t>이메일 일치; 이름 유사도 1.00; 생년월일 불일치/없음; Godsends row 1520; Payment Status=None; Amount=None</t>
  </si>
  <si>
    <t xml:space="preserve">University of Cape Town/CMF SA </t>
  </si>
  <si>
    <t>이메일 일치; 이름 유사도 1.00; 생년월일 일치; Godsends row 1528; Payment Status=None; Amount=None</t>
  </si>
  <si>
    <t>médicos de Cristo (MDC)</t>
  </si>
  <si>
    <t>이메일 일치; 이름 유사도 1.00; 생년월일 일치; Godsends row 1558; Payment Status=None; Amount=None</t>
  </si>
  <si>
    <t xml:space="preserve">Ezeugo Chiagoziem Divine </t>
  </si>
  <si>
    <t xml:space="preserve">FMC Owo </t>
  </si>
  <si>
    <t>이메일 일치; 이름 유사도 1.00; 생년월일 일치; Godsends row 841; Payment Status=None; Amount=None</t>
  </si>
  <si>
    <t xml:space="preserve">NAMPEERA HARRIET </t>
  </si>
  <si>
    <t xml:space="preserve">Kampala international university </t>
  </si>
  <si>
    <t>nampeeraharriet27@gmail.com</t>
  </si>
  <si>
    <t>NAMPEERA HARRIET</t>
  </si>
  <si>
    <t>이메일 일치; 이름 유사도 1.00; 생년월일 일치; Godsends row 2434; Payment Status=None; Amount=None</t>
  </si>
  <si>
    <t xml:space="preserve">Eravelli Susmitha </t>
  </si>
  <si>
    <t>Mbbs,mD</t>
  </si>
  <si>
    <t xml:space="preserve">1. Pavana, female, sister </t>
  </si>
  <si>
    <t>Susmitha Eravelli</t>
  </si>
  <si>
    <t>이메일 일치; 이름 유사도 1.00; 생년월일 일치; Godsends row 2454; Payment Status=None; Amount=None</t>
  </si>
  <si>
    <t>JUEUN BAEK</t>
  </si>
  <si>
    <t>백주은</t>
  </si>
  <si>
    <t>Kosin University</t>
  </si>
  <si>
    <t>3rd-year Student, Department of Nursing</t>
  </si>
  <si>
    <t>bagjoo110@naver.com</t>
  </si>
  <si>
    <t>이메일 일치; 이름 유사도 1.00; 생년월일 불일치/없음; Godsends row 2002; Payment Status=Paid; Amount=460</t>
  </si>
  <si>
    <t>Kim eunhoo</t>
  </si>
  <si>
    <t>김은후</t>
  </si>
  <si>
    <t>전남대학교 의과대학 chonnam national university medical school</t>
  </si>
  <si>
    <t>ehlenuu05@gmail.com</t>
  </si>
  <si>
    <t>Kim Eunhoo</t>
  </si>
  <si>
    <t>이메일 일치; 이름 유사도 1.00; 생년월일 일치; Godsends row 1685; Payment Status=Paid; Amount=523</t>
  </si>
  <si>
    <t>Madhepura Christian Hospital</t>
  </si>
  <si>
    <t xml:space="preserve">SUSAN VAZ GUNASEKARAN </t>
  </si>
  <si>
    <t xml:space="preserve">Junior doctor </t>
  </si>
  <si>
    <t>이메일 일치; 이름 유사도 0.67; 생년월일 불일치/없음; Godsends row 2395; Payment Status=None; Amount=None</t>
  </si>
  <si>
    <t>Egyptian</t>
  </si>
  <si>
    <t>Cmf Egypt</t>
  </si>
  <si>
    <t>Regional represintative for icmda</t>
  </si>
  <si>
    <t>Gretagamal@hotmail.com</t>
  </si>
  <si>
    <t>Jenny George 9 yrs,female ,daughter
 George Robel ,male,husband</t>
  </si>
  <si>
    <t>이메일 일치; 이름 유사도 0.65; 생년월일 일치; Godsends row 893; Payment Status=None; Amount=None</t>
  </si>
  <si>
    <t>Mart Dashkhuu</t>
  </si>
  <si>
    <t>Mongolian CMDA</t>
  </si>
  <si>
    <t>Chairman of the board</t>
  </si>
  <si>
    <t>dashkhuumart@gmail.com</t>
  </si>
  <si>
    <t>nomundagina@gmail.com</t>
  </si>
  <si>
    <t>생년월일 일치 + 이름 유사도 1.00; Godsends row 806; Payment Status=None; Amount=None</t>
  </si>
  <si>
    <t xml:space="preserve">Lynette Janine Pearson </t>
  </si>
  <si>
    <t xml:space="preserve">Interserve International </t>
  </si>
  <si>
    <t xml:space="preserve">International Co-Director </t>
  </si>
  <si>
    <t>lpearson@airpost.net</t>
  </si>
  <si>
    <t>Lyn Pearson</t>
  </si>
  <si>
    <t>이메일 일치; 이름 유사도 0.67; 생년월일 일치; Godsends row 2070; Payment Status=Paid; Amount=895</t>
  </si>
  <si>
    <t>Joya gamal nazeer kross</t>
  </si>
  <si>
    <t xml:space="preserve">Egyptian </t>
  </si>
  <si>
    <t>Bachelor</t>
  </si>
  <si>
    <t>Accountant</t>
  </si>
  <si>
    <t>joyaaagamal@gmail.com</t>
  </si>
  <si>
    <t>Joya gamal nazeer</t>
  </si>
  <si>
    <t>이메일 일치; 이름 유사도 0.85; 생년월일 일치; Godsends row 2461; Payment Status=None; Amount=None</t>
  </si>
  <si>
    <t xml:space="preserve">Kenyatta University </t>
  </si>
  <si>
    <t>kariukinyanjau@mail.com</t>
  </si>
  <si>
    <t>생년월일 일치 + 이름 유사도 1.00; Godsends row 495; Payment Status=None; Amount=None</t>
  </si>
  <si>
    <t>KIM, HO YOUNG</t>
  </si>
  <si>
    <t>김호영</t>
  </si>
  <si>
    <t>Chungbuk National University College of Medicine</t>
  </si>
  <si>
    <t>hykkr21@naver.com</t>
  </si>
  <si>
    <t>Kim, Ho Young</t>
  </si>
  <si>
    <t>이메일 일치; 이름 유사도 1.00; 생년월일 일치; Godsends row 2273; Payment Status=Paid; Amount=460</t>
  </si>
  <si>
    <t xml:space="preserve">NDIRITU PRUDENCE WAMBUI </t>
  </si>
  <si>
    <t>CMF-K</t>
  </si>
  <si>
    <t xml:space="preserve">STUDENT </t>
  </si>
  <si>
    <t>prudencewambui9@gmail.com</t>
  </si>
  <si>
    <t>Prudence Wambui</t>
  </si>
  <si>
    <t>이메일 일치; 이름 유사도 0.79; 생년월일 일치; Godsends row 2464; Payment Status=None; Amount=None</t>
  </si>
  <si>
    <t xml:space="preserve">Paul Mwangi Murage </t>
  </si>
  <si>
    <t xml:space="preserve">Karatina University </t>
  </si>
  <si>
    <t>이메일 일치; 이름 유사도 1.00; 생년월일 일치; Godsends row 683; Payment Status=None; Amount=None</t>
  </si>
  <si>
    <t>PANG KIT YI</t>
  </si>
  <si>
    <t>Hebron Medical Center/OMF Cambodia</t>
  </si>
  <si>
    <t>Pediatric Surgeon</t>
  </si>
  <si>
    <t>kristine.tang@omfmail.com</t>
  </si>
  <si>
    <t>Kristine Pang</t>
  </si>
  <si>
    <t>이메일 일치; 이름 유사도 0.67; 생년월일 일치; Godsends row 1884; Payment Status=Paid; Amount=755</t>
  </si>
  <si>
    <t>Keabetswe Mosadi</t>
  </si>
  <si>
    <t>Student leader ( Witswatersrand university)</t>
  </si>
  <si>
    <t>keamosadi08@gmail.com</t>
  </si>
  <si>
    <t>이메일 일치; 이름 유사도 1.00; 생년월일 일치; Godsends row 2436; Payment Status=None; Amount=None</t>
  </si>
  <si>
    <t xml:space="preserve">Glory Mutheu </t>
  </si>
  <si>
    <t xml:space="preserve">Moi University </t>
  </si>
  <si>
    <t xml:space="preserve">Pre-intern </t>
  </si>
  <si>
    <t>이메일 일치; 이름 유사도 1.00; 생년월일 일치; Godsends row 689; Payment Status=Paid; Amount=407</t>
  </si>
  <si>
    <t>Henry Hyeonkyoo Yoo</t>
  </si>
  <si>
    <t>유현규</t>
  </si>
  <si>
    <t>Fiona Stanley Hospital</t>
  </si>
  <si>
    <t>Resident Medical Officer</t>
  </si>
  <si>
    <t>yhk01234@hotmail.com</t>
  </si>
  <si>
    <t>Henry Yoo</t>
  </si>
  <si>
    <t>이메일 일치; 이름 유사도 0.67; 생년월일 일치; Godsends row 2068; Payment Status=Paid; Amount=690</t>
  </si>
  <si>
    <t>Frances Anne Agapito Catipay</t>
  </si>
  <si>
    <t>Frances (no Korean name)</t>
  </si>
  <si>
    <t>Self-employed (Church affiliation: Every Nation)</t>
  </si>
  <si>
    <t>Emergency Physician</t>
  </si>
  <si>
    <t>fcatipaymd@gmail.com</t>
  </si>
  <si>
    <t>Frances Anne Catipay</t>
  </si>
  <si>
    <t>이메일 일치; 이름 유사도 0.83; 생년월일 일치; Godsends row 2470; Payment Status=None; Amount=None</t>
  </si>
  <si>
    <t>Lorena Gloria Silvia Aguirre Zambrano Velho</t>
  </si>
  <si>
    <t>Loren</t>
  </si>
  <si>
    <t>Chile</t>
  </si>
  <si>
    <t>Clínica Vida</t>
  </si>
  <si>
    <t>이메일 일치; 이름 유사도 0.98; 생년월일 일치; Godsends row 1565; Payment Status=None; Amount=None</t>
  </si>
  <si>
    <t>National University of Science and Technology</t>
  </si>
  <si>
    <t>이메일 일치; 이름 유사도 1.00; 생년월일 일치; Godsends row 1513; Payment Status=None; Amount=None</t>
  </si>
  <si>
    <t>VUONG VIET KY</t>
  </si>
  <si>
    <t>Quoc Oai Traditional Medicine Clinic</t>
  </si>
  <si>
    <t>Traditional medicine practitioner</t>
  </si>
  <si>
    <t>이메일 일치; 이름 유사도 1.00; 생년월일 일치; Godsends row 1918; Payment Status=None; Amount=None</t>
  </si>
  <si>
    <t xml:space="preserve">Aziza Guéguila Madjita </t>
  </si>
  <si>
    <t xml:space="preserve">Faculté de sciences de la santé humaine dr Ndjamena </t>
  </si>
  <si>
    <t>이메일 일치; 이름 유사도 1.00; 생년월일 일치; Godsends row 554; Payment Status=None; Amount=None</t>
  </si>
  <si>
    <t xml:space="preserve">Lyudmila Nam </t>
  </si>
  <si>
    <t>International Medical Center Almaty</t>
  </si>
  <si>
    <t>이메일 일치; 이름 유사도 1.00; 생년월일 일치; Godsends row 1140; Payment Status=Paid; Amount=649</t>
  </si>
  <si>
    <t xml:space="preserve">TAPSOBA SIDBEWENDIN ABDOUL AZIZ NAZER </t>
  </si>
  <si>
    <t xml:space="preserve">Université Joseph ki zerbo </t>
  </si>
  <si>
    <t>Junior physician</t>
  </si>
  <si>
    <t>이메일 일치; 이름 유사도 0.81; 생년월일 일치; Godsends row 1123; Payment Status=None; Amount=None</t>
  </si>
  <si>
    <t>SAWADOGO Jacob</t>
  </si>
  <si>
    <t>Hôpital Schiphra</t>
  </si>
  <si>
    <t>jachys@yahoo.fr</t>
  </si>
  <si>
    <t>jacob.sawadogo@paamlaafi.org</t>
  </si>
  <si>
    <t>생년월일 일치 + 이름 유사도 1.00; Godsends row 1699; Payment Status=Paid; Amount=755</t>
  </si>
  <si>
    <t xml:space="preserve">OUEDRAOGO SOTER BERNARD PASCAL </t>
  </si>
  <si>
    <t xml:space="preserve">AMDCB </t>
  </si>
  <si>
    <t xml:space="preserve">Médecin </t>
  </si>
  <si>
    <t>soterouedra@gmail.com</t>
  </si>
  <si>
    <t xml:space="preserve">1,OUEDRAOGO Solange, female, wife, ouedrasolange@gmail.com </t>
  </si>
  <si>
    <t>OUEDRAOGO SOTER BERNARD PASCAL</t>
  </si>
  <si>
    <t>이메일 일치; 이름 유사도 1.00; 생년월일 일치; Godsends row 901; Payment Status=Paid; Amount=755</t>
  </si>
  <si>
    <t xml:space="preserve">OUEDRAOGO NABALMA SOLANGE </t>
  </si>
  <si>
    <t xml:space="preserve">ICMDA Burkina Faso </t>
  </si>
  <si>
    <t>ouedrasolange@gmail.com</t>
  </si>
  <si>
    <t xml:space="preserve">Yes 1 husband </t>
  </si>
  <si>
    <t>OUEDRAOGO NABALMA SOLANGE</t>
  </si>
  <si>
    <t>이메일 일치; 이름 유사도 1.00; 생년월일 불일치/없음; Godsends row 876; Payment Status=Paid; Amount=755</t>
  </si>
  <si>
    <t>Lwin Lwin Aye</t>
  </si>
  <si>
    <t>TLMI</t>
  </si>
  <si>
    <t>Mrs.</t>
  </si>
  <si>
    <t>I am a wife of Zaw Moe Aung</t>
  </si>
  <si>
    <t>이메일 일치; 이름 유사도 1.00; 생년월일 일치; Godsends row 2476; Payment Status=Paid; Amount=396</t>
  </si>
  <si>
    <t xml:space="preserve">1, KYLE DAVID JUNASA, male, son, KyleDPJ518@gmail.com
</t>
  </si>
  <si>
    <t>KYLE DAVID JUNASA(아들)</t>
  </si>
  <si>
    <t>총 2명(아들 1명)</t>
  </si>
  <si>
    <t>이메일 일치; 이름 유사도 1.00; 생년월일 일치; Godsends row 2459; Payment Status=Paid; Amount=1505</t>
  </si>
  <si>
    <t>KYLE DAVID JUNASA</t>
  </si>
  <si>
    <t>Co-founder, Coach</t>
  </si>
  <si>
    <t>1, MANOLITA JUNASA, female, mother, mallette.p@gmail.com</t>
  </si>
  <si>
    <t>MANOLITA JUNASA(엄마)</t>
  </si>
  <si>
    <t>총 2명(엄마 1명)</t>
  </si>
  <si>
    <t>이메일 일치; 이름 유사도 0.56; 생년월일 불일치/없음; Godsends row 2459; Payment Status=Paid; Amount=1505</t>
  </si>
  <si>
    <t>Erick Vicent Mahatara</t>
  </si>
  <si>
    <t>erickmahatara0@gmail.com</t>
  </si>
  <si>
    <t>Erick Mahatara</t>
  </si>
  <si>
    <t>이메일 일치; 이름 유사도 0.80; 생년월일 일치; Godsends row 52; Payment Status=None; Amount=0</t>
  </si>
  <si>
    <t xml:space="preserve">CHUKA COUNTY REFERRAL HOSPITAL </t>
  </si>
  <si>
    <t xml:space="preserve">MEDICAL OFFICER </t>
  </si>
  <si>
    <t xml:space="preserve">Prudence Wambui Ndiritu </t>
  </si>
  <si>
    <t xml:space="preserve">CMF-K </t>
  </si>
  <si>
    <t xml:space="preserve">AHMED GRACE </t>
  </si>
  <si>
    <t xml:space="preserve">CMDA Nigeria </t>
  </si>
  <si>
    <t>grace_ahmed@yahoo.com</t>
  </si>
  <si>
    <t>Grace Ahmed</t>
  </si>
  <si>
    <t>이메일 일치; 이름 유사도 1.00; 생년월일 일치; Godsends row 2486; Payment Status=None; Amount=None</t>
  </si>
  <si>
    <t>June 30, July 4</t>
  </si>
  <si>
    <t xml:space="preserve">GORMO Lévy Stéphane </t>
  </si>
  <si>
    <t xml:space="preserve">Secrétaire général </t>
  </si>
  <si>
    <t>stephanegormo@gmail.com</t>
  </si>
  <si>
    <t>GORMO Lévy Stéphane</t>
  </si>
  <si>
    <t>이메일 일치; 이름 유사도 1.00; 생년월일 일치; Godsends row 2488; Payment Status=None; Amount=None</t>
  </si>
  <si>
    <t xml:space="preserve">PANDA DEGRAS KOYAMAYELE Auguste Guillaume Max Angels </t>
  </si>
  <si>
    <t xml:space="preserve">Chargé de programme Santé et Mission </t>
  </si>
  <si>
    <t>augustepanda7@gmail.com</t>
  </si>
  <si>
    <t>Auguste PANDA</t>
  </si>
  <si>
    <t>이메일 일치; 이름 유사도 0.40; 생년월일 불일치/없음; Godsends row 2398; Payment Status=None; Amount=None</t>
  </si>
  <si>
    <t>ERMELA C. DEPOSA</t>
  </si>
  <si>
    <t>none</t>
  </si>
  <si>
    <t>KOINONIA THEOLOGICAL SEMINARY FOUNDATION, INC.</t>
  </si>
  <si>
    <t>COUNSELING PROGRAM COORDINATOR</t>
  </si>
  <si>
    <t>agapeging@gmail.com</t>
  </si>
  <si>
    <t>Ermela Deposa</t>
  </si>
  <si>
    <t>이메일 일치; 이름 유사도 0.93; 생년월일 일치; Godsends row 2183; Payment Status=None; Amount=None</t>
  </si>
  <si>
    <t>Caleb Luk</t>
  </si>
  <si>
    <t>Baptist University College of Osteopathic Medicine</t>
  </si>
  <si>
    <t>clukmed@gmail.com</t>
  </si>
  <si>
    <t>이메일 일치; 이름 유사도 1.00; 생년월일 일치; Godsends row 2490; Payment Status=Paid; Amount=628</t>
  </si>
  <si>
    <t>KANGYEBON</t>
  </si>
  <si>
    <t>nurse</t>
  </si>
  <si>
    <t>이메일 일치; 이름 유사도 1.00; 생년월일 일치; Godsends row 2380; Payment Status=Paid; Amount=752</t>
  </si>
  <si>
    <t>Rodelia Nicolas</t>
  </si>
  <si>
    <t>Quirino Memorial Medical Center</t>
  </si>
  <si>
    <t>Medical Officer IB</t>
  </si>
  <si>
    <t>drdelnicolas@yahoo.com</t>
  </si>
  <si>
    <t>이메일 일치; 이름 유사도 1.00; 생년월일 일치; Godsends row 259; Payment Status=None; Amount=0</t>
  </si>
  <si>
    <t>Naa Akushia Quaye</t>
  </si>
  <si>
    <t>CMF UK</t>
  </si>
  <si>
    <t>naakuje@yahoo.co.uk</t>
  </si>
  <si>
    <t>이메일 일치; 이름 유사도 1.00; 생년월일 일치; Godsends row 1783; Payment Status=Paid; Amount=787</t>
  </si>
  <si>
    <t>Julie-Ann Louise Naa Amerley Amartey</t>
  </si>
  <si>
    <t>FY2 Doctor</t>
  </si>
  <si>
    <t>julieann.amartey@gmail.com</t>
  </si>
  <si>
    <t>Julie-Ann Louise Amartey</t>
  </si>
  <si>
    <t>이메일 일치; 이름 유사도 0.80; 생년월일 일치; Godsends row 2251; Payment Status=Paid; Amount=866</t>
  </si>
  <si>
    <t>Pre-intern</t>
  </si>
  <si>
    <t xml:space="preserve">IPGDFM Academic coordinator for Russian course </t>
  </si>
  <si>
    <t>madina_takenova@yahoo.com</t>
  </si>
  <si>
    <t>생년월일 일치 + 이름 유사도 1.00; Godsends row 2352; Payment Status=None; Amount=None</t>
  </si>
  <si>
    <t>Nikaoli Viljoen</t>
  </si>
  <si>
    <t>Stellenbosch University-CMF Society</t>
  </si>
  <si>
    <t>Student - Vice-Chair of Stellenbosch CMF Society</t>
  </si>
  <si>
    <t>28460359@sun.ac.za</t>
  </si>
  <si>
    <t>이메일 일치; 이름 유사도 1.00; 생년월일 일치; Godsends row 2474; Payment Status=None; Amount=None</t>
  </si>
  <si>
    <t>Medical Officer IV</t>
  </si>
  <si>
    <t>drdelnicolas@gmail.com</t>
  </si>
  <si>
    <t>생년월일 일치 + 이름 유사도 1.00; Godsends row 259; Payment Status=None; Amount=0</t>
  </si>
  <si>
    <t>Iva Mojtic</t>
  </si>
  <si>
    <t>이바 모야티츠</t>
  </si>
  <si>
    <t>North Macedonia</t>
  </si>
  <si>
    <t xml:space="preserve">Faculty of Medicine - Skopje, Ss. Cyril and Methodius University </t>
  </si>
  <si>
    <t>ivamojtic@gmail.com</t>
  </si>
  <si>
    <t>이메일 일치; 이름 유사도 1.00; 생년월일 일치; Godsends row 2498; Payment Status=Paid; Amount=488</t>
  </si>
  <si>
    <t>Wong Yuen Hei</t>
  </si>
  <si>
    <t>Hong Kong</t>
  </si>
  <si>
    <t>The Hong Kong Polytechnic University</t>
  </si>
  <si>
    <t>Nursing student</t>
  </si>
  <si>
    <t>wyh0408hazel@gmail.com</t>
  </si>
  <si>
    <t>1, Ho Lok Sze, Female, Friend, jessieho.ssgc@gmail.com</t>
  </si>
  <si>
    <t>이메일 일치; 이름 유사도 1.00; 생년월일 일치; Godsends row 2501; Payment Status=None; Amount=None</t>
  </si>
  <si>
    <t>Oluwanilo Paula Awoloto</t>
  </si>
  <si>
    <t>Wani</t>
  </si>
  <si>
    <t>awoloto.wani@gmail.com</t>
  </si>
  <si>
    <t>Wani Awoloto</t>
  </si>
  <si>
    <t>이메일 일치; 이름 유사도 0.69; 생년월일 일치; Godsends row 2268; Payment Status=Paid; Amount=690</t>
  </si>
  <si>
    <t xml:space="preserve">Palmira António Francisco </t>
  </si>
  <si>
    <t>Light for Health association</t>
  </si>
  <si>
    <t>palmiraantoniofrancisco@gmail.com</t>
  </si>
  <si>
    <t>1, Helga Guambe, Famale, sister</t>
  </si>
  <si>
    <t>Palmira Francisco</t>
  </si>
  <si>
    <t>이메일 일치; 이름 유사도 0.81; 생년월일 일치; Godsends row 931; Payment Status=None; Amount=None</t>
  </si>
  <si>
    <t>Pamela Regina Morais Daltro Porfirio</t>
  </si>
  <si>
    <t xml:space="preserve">Pamela </t>
  </si>
  <si>
    <t xml:space="preserve">Ministério Voz da Verdade </t>
  </si>
  <si>
    <t xml:space="preserve">Psychologist </t>
  </si>
  <si>
    <t>pampamdaltro@hotmail.com</t>
  </si>
  <si>
    <t>Narantsetseg Tsevegsuren</t>
  </si>
  <si>
    <t xml:space="preserve">Mongolian Christian Medical Association </t>
  </si>
  <si>
    <t xml:space="preserve">narantsetseg.tsevegsuren@gmail.com </t>
  </si>
  <si>
    <t>narantsetseg.tsevegsuren@gmail.com</t>
  </si>
  <si>
    <t>이메일 일치; 이름 유사도 1.00; 생년월일 일치; Godsends row 750; Payment Status=None; Amount=None</t>
  </si>
  <si>
    <t>SEMBATYAHENRY</t>
  </si>
  <si>
    <t>sembahenry@gmail.com</t>
  </si>
  <si>
    <t>SEMBATYA HENRY</t>
  </si>
  <si>
    <t>이메일 일치; 이름 유사도 0.96; 생년월일 일치; Godsends row 1987; Payment Status=None; Amount=None</t>
  </si>
  <si>
    <t>Ho Lok Sze</t>
  </si>
  <si>
    <t xml:space="preserve">Chinese </t>
  </si>
  <si>
    <t>jessieho.ssgc@gmail.com</t>
  </si>
  <si>
    <t>1, Wong Yuen Hei, female, friend, wyh0408hazel@gmail.com</t>
  </si>
  <si>
    <t>이메일 일치; 이름 유사도 1.00; 생년월일 일치; Godsends row 2502; Payment Status=Paid; Amount=628</t>
  </si>
  <si>
    <t xml:space="preserve">Reyna Olimpa Saldaña Juárez </t>
  </si>
  <si>
    <t xml:space="preserve">Sociedad médica cristiana México City </t>
  </si>
  <si>
    <t xml:space="preserve">Vicepresidente Nacional de México </t>
  </si>
  <si>
    <t>olimpasaldana@gmail.com</t>
  </si>
  <si>
    <t>Enrique Rafael Martínez Valdez, Male, Husband,   enramava@gmail.com</t>
  </si>
  <si>
    <t>JOSÉ HENRIQUE TERCZIANY VANZIN</t>
  </si>
  <si>
    <t xml:space="preserve">Médicos de Cristo </t>
  </si>
  <si>
    <t>Medical Doctor &amp; Regional Coordinator (Saline Trainer / Student WG)</t>
  </si>
  <si>
    <t>이메일 일치; 이름 유사도 1.00; 생년월일 일치; Godsends row 1889; Payment Status=None; Amount=None</t>
  </si>
  <si>
    <t xml:space="preserve">Enrique Rafael Martínez Valdez </t>
  </si>
  <si>
    <t>Sociedad Médica Cristiana México City</t>
  </si>
  <si>
    <t xml:space="preserve">Miembro activo Ortopedista </t>
  </si>
  <si>
    <t>enramava@gmail.com</t>
  </si>
  <si>
    <t>Reyna Olimpa Saldaña Juárez, esposa, mujer,  olimpasaldana@gmail.com</t>
  </si>
  <si>
    <t>Editha Canete Miguel</t>
  </si>
  <si>
    <t>Agape Rural Program, Philippine Campus Crusade for Christ</t>
  </si>
  <si>
    <t>Chairperson, Associate Staff</t>
  </si>
  <si>
    <t>karispalawan@yahoo.com</t>
  </si>
  <si>
    <t>POON She Wang</t>
  </si>
  <si>
    <t>The Chinese University of Hong Kong</t>
  </si>
  <si>
    <t>Part time lecturer</t>
  </si>
  <si>
    <t>poonleo@gmail.com</t>
  </si>
  <si>
    <t>이메일 일치; 이름 유사도 1.00; 생년월일 일치; Godsends row 2503; Payment Status=Paid; Amount=1050</t>
  </si>
  <si>
    <t xml:space="preserve">Karcyann Leah Timothy </t>
  </si>
  <si>
    <t xml:space="preserve">Student/Majuro Baptist Christian School </t>
  </si>
  <si>
    <t>Yejin Jeong</t>
  </si>
  <si>
    <t>정예진</t>
  </si>
  <si>
    <t>Tashkent state medical university</t>
  </si>
  <si>
    <t>yejinj0218@gmail.com</t>
  </si>
  <si>
    <t xml:space="preserve">Lydia Mosinmiloluwa Babawale </t>
  </si>
  <si>
    <t>lydiababawale@msn.com</t>
  </si>
  <si>
    <t>1, Juliana Babawale, female, sister, juliana_b@hotmail.co.uk</t>
  </si>
  <si>
    <t>Lydia Babawale</t>
  </si>
  <si>
    <t>이메일 일치; 이름 유사도 0.67; 생년월일 일치; Godsends row 2235; Payment Status=Paid; Amount=866</t>
  </si>
  <si>
    <t>SAMADDER HUBERT LINCOLN</t>
  </si>
  <si>
    <t>NO</t>
  </si>
  <si>
    <t>1/4/0087</t>
  </si>
  <si>
    <t>BANGLADESH</t>
  </si>
  <si>
    <t>CMAB</t>
  </si>
  <si>
    <t>Assistant General Secretary</t>
  </si>
  <si>
    <t>dr.hubertlincoln@gmail.com</t>
  </si>
  <si>
    <t>등록(갓샌즈 등록 필요)</t>
  </si>
  <si>
    <t>마감</t>
  </si>
  <si>
    <t>1. Name
 As it appears on your passport</t>
  </si>
  <si>
    <t>3. Gender:</t>
  </si>
  <si>
    <t>4. Date of Birth: (MM-DD-YYYY)</t>
  </si>
  <si>
    <t>5. Nationality
 As it appears on your passport</t>
  </si>
  <si>
    <t>6. Affiliation
 School/Institution/Organization Name</t>
  </si>
  <si>
    <t>8. World Bank Category
 Found on your Registration Tab</t>
  </si>
  <si>
    <t>9. Email Address
 Must be the same email used for registration</t>
  </si>
  <si>
    <t>12. Accompanying Family Member(s)(Name/Gender/Relationship):
 Are you bringing family member(s)? If yes, please indicate how many will accompany you and provide their name, gender, and relationship
 (ex: 1, John Doe, male, husband, John_D@gmail.com)</t>
  </si>
  <si>
    <t>13. Consent for Personal Information Use
 I hereby consent to the collection and use of the personal information provided above for the purpose of evaluating my application for ICMDA free accommodation and for related communications.</t>
  </si>
  <si>
    <t>doctor</t>
  </si>
  <si>
    <t>Middle income</t>
  </si>
  <si>
    <t>Gabon Medical Chrétien</t>
  </si>
  <si>
    <t>Rebecca, féminin, fille, vierin.rebecca@hotmail.fr</t>
  </si>
  <si>
    <t>Rebecca [딸]</t>
  </si>
  <si>
    <t>Low income</t>
  </si>
  <si>
    <t>Christian Medical Fellowship</t>
  </si>
  <si>
    <t>9, Stella,female, children, stellabayisenga@gmail.com</t>
  </si>
  <si>
    <t>Stella [자녀]</t>
  </si>
  <si>
    <t>Asociacion Cristiana de Profesionales de la Salud del Perú</t>
  </si>
  <si>
    <t>Medico Internista</t>
  </si>
  <si>
    <t>ATARO JANE KARINA, FEMALE.
  ATARO NEEMA ANGIOLETTA, FEMALE DAUGHTERS</t>
  </si>
  <si>
    <t>ATARO JANE KARINA, FEMALE. 딸 2명
  ATARO NEEMA ANGIOLETTA, FEMALE DAUGHTERS</t>
  </si>
  <si>
    <t>Mugaba Proscovia Mujeere</t>
  </si>
  <si>
    <t>Chairperson of UCMF National Executive Committee</t>
  </si>
  <si>
    <t>Kabasinge Kamanzi Icyeza Gracia, Female,
  Daughter, kabkamicyezagracia@gmail.com</t>
  </si>
  <si>
    <t>Kabasinge Kamanzi Icyeza Gracia [딸]</t>
  </si>
  <si>
    <t>IRINE AARATHANA PETER SATHIYANATHAN, FEMALE, 
 - 12 YEARS OLD DAUGHTER , doctorpeter@hotmail.com</t>
  </si>
  <si>
    <t>IRINE AARATHANA PETER SATHIYANATHAN 
  [딸, 12세]</t>
  </si>
  <si>
    <t>High income</t>
  </si>
  <si>
    <t>Yes: Simon Peter Nadeem-my husband, 
 My Daughter-Shulmiyat Sarah Nadeem, 
 and my son -Timothy Simon Nadeem)</t>
  </si>
  <si>
    <t>Simon Peter Nadeem [배우자(남편)]
 Shulmiyat Sarah Nadeem[딸, 18세]
  Timothy Simon Nadeem [아들, 13세]</t>
  </si>
  <si>
    <t>Daria Safina [딸, 13세]</t>
  </si>
  <si>
    <t>4: Kerry Fee, female, wife, thefees@me.com; Grace Fee,
  female, daughter; Joel Fee, male, son; Toby Fee, male, son.</t>
  </si>
  <si>
    <t>Kerry Fee [배우자(아내)] thefees@me.com
 Grace Fee [딸, 12세] 
 Joel Fee [아들, 14세]
 Toby Fee [아들, 10세]</t>
  </si>
  <si>
    <t>George robile,male,husband
 Jason george,male ,son
 Jenny george,female,daughter</t>
  </si>
  <si>
    <t>George robile [배우자(남편)] gretagamal@hotmail.com
  Jason george [아들, 13세]
  Jenny george [딸, 17세]</t>
  </si>
  <si>
    <t>2. 
  Tigor Yeheskiel, male, husband. 
  Matthew Jordan Simanjuntak, male, son.</t>
  </si>
  <si>
    <t>Tigor Yeheskiel [배우자(남편)]
 Matthew Jordan Simanjuntak [아들, 7세]</t>
  </si>
  <si>
    <t>KASONGO MWENYI MAXIME</t>
  </si>
  <si>
    <t>Centre de santé pilote et maternité de Masina/Kinshasa</t>
  </si>
  <si>
    <t>Chef de service ophtalmologie</t>
  </si>
  <si>
    <t>AKELLO GLORIA</t>
  </si>
  <si>
    <t>Rumala Premika Morel</t>
  </si>
  <si>
    <t>Healthcare Christian Fellowship of Lanka</t>
  </si>
  <si>
    <t>Student Ministry Coordinator</t>
  </si>
  <si>
    <t>Sunny John [아들]</t>
  </si>
  <si>
    <t>Dorcas</t>
  </si>
  <si>
    <t>Kwete</t>
  </si>
  <si>
    <t>Recent graduated</t>
  </si>
  <si>
    <t>Dr Rowena John</t>
  </si>
  <si>
    <t>PUBLIC HEALTH MEDICINE SPECIALIST</t>
  </si>
  <si>
    <t>drrowena25@gmail.com</t>
  </si>
  <si>
    <t>1 Sister.</t>
  </si>
  <si>
    <t>1, TISSOU Mawussé Sandrine Déborah, female, wife, sandrinetissou73@gmail.com 
  2, COMBARI Yaovi Anaël Lamoudi, male, Son (Date of birth: October 1st 2024)</t>
  </si>
  <si>
    <t>TISSOU Mawussé Sandrine Déborah [배우자(아내)]
 COMBARI Yaovi Anaël Lamoudi [아들, 2세]</t>
  </si>
  <si>
    <t>Zache Bonogo, male, husband, bonogozacchaeus@gmail.com; 
 Relwende Eldad Meschac Bonogo, male, son; Eleora Wendrabo Smiley Carmelia Bonogo, daughter</t>
  </si>
  <si>
    <t>Zache Bonogo [배우자(남편)]
  Relwende Eldad Meschac Bonogo [아들, 4세]
  Eleora Wendrabo Smiley Carmelia Bonogo [딸, 1세]</t>
  </si>
  <si>
    <t>1, Edith Dekoum Nelembaye, female, Wife, nmasra@yahoo.com
  2, Manaseth Toulaboua Ngarmbaye, male, Son, nmasra@yahoo.com</t>
  </si>
  <si>
    <t>Edith Dekoum Nelembaye [배우자(아내)]
 Manaseth Toulaboua Ngarmbaye [아들, 2세]</t>
  </si>
  <si>
    <t>1, Afi Kafui BANIBA ATOKO Epse EGLOH, Female, Spouse, kbaniba@gmail.com
  2, Betsaleel Ewousika Améganvi EGLOH, Male, Child, esofak81@gmail.com</t>
  </si>
  <si>
    <t>Afi Kafui BANIBA ATOKO Epse EGLOH [배우자(아내)]
 Betsaleel Ewousika Améganvi EGLOH [자녀, 3세]</t>
  </si>
  <si>
    <t>Zongo TOUNWENDSIDA Micheline(배우자, 아내)
  PARE ETHAN MATHIS.(자녀)</t>
  </si>
  <si>
    <t>ANG SREYNIN [배우자(아내)]
  one daughter [딸, 3세]</t>
  </si>
  <si>
    <t>ICMDA Eurasia fieldworker (Russia)</t>
  </si>
  <si>
    <t>Aquilas ELSHA BISIMWA</t>
  </si>
  <si>
    <t>Chargé du forum d'intercession</t>
  </si>
  <si>
    <t>ILBOUDO Dorcas [동반자]
  SAWADOGO Prince Junior Boinzemwendé Othniel [아들]</t>
  </si>
  <si>
    <t>Nematova Kanymzhan</t>
  </si>
  <si>
    <t>Ramy nabil, male , husband, ramyzakharious@gmail.com +
  holy ramy, female , daughter, 11 years old + heaven ramy, female, daughter, 6 years old</t>
  </si>
  <si>
    <t>Ramy nabil [배우자(남편)]
  holy ramy [딸, 11세]
  heaven ramy [딸, 6세]</t>
  </si>
  <si>
    <t>Christian medical fellowship University of Cape Town</t>
  </si>
  <si>
    <t>Vice President</t>
  </si>
  <si>
    <t>3, Rudy. S, male, husband, rudisetiawan883@gmail.com; 
 Kara Jessica Joetan, female, daughter, priscilia.pratami.intan@gmail.com; 
 Anya Kirana Joetan, female, daughter, priscilia.pratami.intan@gmail.com</t>
  </si>
  <si>
    <t>Rudy.S [배우자(남편)]
 Kara Jessica Joetan [딸, 3세]
 Anya Kirana Joetan [딸]</t>
  </si>
  <si>
    <t>Christian Medical and Dental Association of Nigeria - Students' Arm (CMDA Nigeria-Students) University of Benin Teaching Hospital (UBTH) Chapter</t>
  </si>
  <si>
    <t>Evgenii</t>
  </si>
  <si>
    <t>Kursk State Medical University</t>
  </si>
  <si>
    <t>Augustine Elizabeth Pattipeilohy [모]
 Danzel Bezalel Tulung[아들, 0세]</t>
  </si>
  <si>
    <t>Bingham University Teaching Hospital jos Nigeria</t>
  </si>
  <si>
    <t>Ebikonboere Faith Clement</t>
  </si>
  <si>
    <t>Bayelsa Medical University</t>
  </si>
  <si>
    <t>pavanagmc@gmail.com</t>
  </si>
  <si>
    <t>Baffoe Christabel Appiah</t>
  </si>
  <si>
    <t>Michael Wiles [배우자(남편)]
 Amia Wiles [딸, 12세]
 Cayla Wiles [딸, 10세]</t>
  </si>
  <si>
    <t>Dy Dalen [배우자(아내)]
 Phay Rattanak [딸, 7세]</t>
  </si>
  <si>
    <t>1, Celeste de Vaal, female, wife, celestedevaal@uct.ac.za
 2, Nienke de Vaal, female, daughter, sjdevaal@gmail.com
 3, Lira de Vaal, female, daughter, sjdevaal@gmail.com
 4, Thandi de Vaal, daughter, sjdevaal@gmail.com
 5, Ariana de Vaal, daughter, sjdevaal@gmail.com</t>
  </si>
  <si>
    <t>Celeste de Vaal [배우자(아내)]
 Nienke de Vaal [딸]
 Lira de Vaal [딸]
 Thandi de Vaal [딸]
 Ariana de Vaal [딸]</t>
  </si>
  <si>
    <t>GABRIEL FELIPE GONZAGA SILVEIRA, MALE, HUSBAND – silveiragfg@gmail.com
  MIGUEL FELIPE MOURA SILVEIRA, MAN, SON – 1 YEAR OLD – silveiragfg@gmail.com
  SARA MARIA MOURA SILVEIRA, WOMAN, DAUGHTER – 4 MONTHS OLD – silveiragfg@gmail.com</t>
  </si>
  <si>
    <t>GABRIEL FELIPE GONZAGA SILVEIRA [배우자(남편)]
 MIGUEL FELIPE MOURA SILVEIRA [아들, 1세]
 SARA MARIA MOURA SILVEIRA [딸, 0세]</t>
  </si>
  <si>
    <t>1, Mancy Huang, female, wife, mxhuang2018@gmail.com
  2, Xuanyu Huang, female, daughter, lukehuangjc@protonmail.com</t>
  </si>
  <si>
    <t>Mancy Huang [배우자(아내)]
  Xuanyu Huang [딸, 1세]</t>
  </si>
  <si>
    <t>Elena Isabel Fuentes Torres, mujer, hija, cathetorresgomez@gmail.com 
  Andres Fuentes Daza , hombre, esposo, andresfuentesdaza@gmail.com</t>
  </si>
  <si>
    <t>Elena Isabel Fuentes Torres[딸, 1세] cathetorresgomez@gmail.com 
  Andres Fuentes Daza [배우자(남편)] andresfuentesdaza@gmail.com</t>
  </si>
  <si>
    <t>Bwamike</t>
  </si>
  <si>
    <t>lim330yg@naver.com</t>
  </si>
  <si>
    <t>Parents (wait for confirmation) 
  Dad (males) 
  Mom (Females) 
  _ 
  Confirmed 
  CMF THAILAND (Pradubporn Leelasart/Famale, +66811579165 
  Pradubporn.lee@gmail.com )</t>
  </si>
  <si>
    <t>Joanna Charvie/Female (딸, 19세)
 Naviran Jedidiah/Male (아들)</t>
  </si>
  <si>
    <t>May be my daughter 
  Sawadogo Deogracias W. 
  5 year old 
  Female</t>
  </si>
  <si>
    <t>Kampala International university</t>
  </si>
  <si>
    <t>Health Care Christian Fellowship</t>
  </si>
  <si>
    <t>National Coordinator</t>
  </si>
  <si>
    <t>Medical Ministry International</t>
  </si>
  <si>
    <t>Admin/Logistics</t>
  </si>
  <si>
    <t>Aix Marseille université</t>
  </si>
  <si>
    <t>South Korea</t>
  </si>
  <si>
    <t>Ehab Mouris Fahmi Ayoub</t>
  </si>
  <si>
    <t>Regional secrtary ,MENA</t>
  </si>
  <si>
    <t>1,Nevein Felestein ,Female ,wife neveinehab2@gmail.com
 2, Ann Ayoub ,female , daughter 23 years old , annehab2312@gmail.com
 3,Andrew Ayoub,male,son, 19 years old , andrewayoub140@gmail.com</t>
  </si>
  <si>
    <t>Mabanza kibuka Tresor</t>
  </si>
  <si>
    <t>JFK Medical Center/ PAACS graduate</t>
  </si>
  <si>
    <t>Consultant General Surgeon</t>
  </si>
  <si>
    <t>New Ireland Provincial Health Authority</t>
  </si>
  <si>
    <t>Medical Registrar</t>
  </si>
  <si>
    <t>Hakizimana</t>
  </si>
  <si>
    <t>Ibrahim</t>
  </si>
  <si>
    <t>Optometrist</t>
  </si>
  <si>
    <t>Benjamin Wafula Simiyu</t>
  </si>
  <si>
    <t>Uzima University</t>
  </si>
  <si>
    <t>Mbereshi Mission Hospital</t>
  </si>
  <si>
    <t>Zaché BONOGO</t>
  </si>
  <si>
    <t>Compassion International</t>
  </si>
  <si>
    <t>Program Support Specialist-Health</t>
  </si>
  <si>
    <t>Jeevan Rai</t>
  </si>
  <si>
    <t>United dental care</t>
  </si>
  <si>
    <t>Uniteddentistcare@gmail.com</t>
  </si>
  <si>
    <t>Amia Wiles (딸, 11세)
 Cayla Wiles (딸, 9세)</t>
  </si>
  <si>
    <t>Aziza Guéguila</t>
  </si>
  <si>
    <t>Madjita</t>
  </si>
  <si>
    <t>Université de Ndjamena</t>
  </si>
  <si>
    <t>Étudiante en médecine</t>
  </si>
  <si>
    <t>Representative</t>
  </si>
  <si>
    <t>Baylor College of Medicine</t>
  </si>
  <si>
    <t>NISHIMWE MALOUSE</t>
  </si>
  <si>
    <t>Médecin généraliste</t>
  </si>
  <si>
    <t>MDC Brasil</t>
  </si>
  <si>
    <t>Yeongnam university</t>
  </si>
  <si>
    <t>Vanessa</t>
  </si>
  <si>
    <t>Membership</t>
  </si>
  <si>
    <t>Christian Medical Assptiation of Ukraine</t>
  </si>
  <si>
    <t>president</t>
  </si>
  <si>
    <t>김민희 (배우자)
 장세린 (딸, 7세)
 장하린(딸, 2세)</t>
  </si>
  <si>
    <t>Marina wanis beniamin amin</t>
  </si>
  <si>
    <t>Marina wanis benyamin amin</t>
  </si>
  <si>
    <t>생년월일 일치, 이메일 일치, 이름 거의 일치</t>
  </si>
  <si>
    <t>The Saline Option - Cebu Institute of Medicine</t>
  </si>
  <si>
    <t>정보 없음</t>
  </si>
  <si>
    <t>Christine Millioni</t>
  </si>
  <si>
    <t>Jeffrey Larson</t>
  </si>
  <si>
    <t>Relaciones internacionales</t>
  </si>
  <si>
    <t>Viala Clément André Edouard</t>
  </si>
  <si>
    <t>ICMDA France</t>
  </si>
  <si>
    <t>Viala Clément</t>
  </si>
  <si>
    <t>CMF Zimbabwe</t>
  </si>
  <si>
    <t>Dr Victor Fredlund</t>
  </si>
  <si>
    <t>Rachel Fredlund</t>
  </si>
  <si>
    <t>Akaya Blessing</t>
  </si>
  <si>
    <t>Federal University Lokoja, FTHL chapter</t>
  </si>
  <si>
    <t>UWIMANA EVELYNE</t>
  </si>
  <si>
    <t>mamachi07@gmail.com
 edgarwu@msn.com</t>
  </si>
  <si>
    <t>PIN-HSIEN WU(배우자,남편)
 EN-JIE WU(딸)
  EN-QI WU(아들)</t>
  </si>
  <si>
    <t>The Leprosy Mission Myanmar (TLMM)</t>
  </si>
  <si>
    <t>Executive Director</t>
  </si>
  <si>
    <t>Yes, +1, Lwin Lwin Aye, female, wife, teetuster@googlemail.com</t>
  </si>
  <si>
    <t>Dennis Kidake</t>
  </si>
  <si>
    <t>Christian Medical fellowship Kenya</t>
  </si>
  <si>
    <t>Student committee member</t>
  </si>
  <si>
    <t>SAWADOGO Wendkouni Grâce</t>
  </si>
  <si>
    <t>Gracesawadogo@gmail.com</t>
  </si>
  <si>
    <t>RWANDA CHRISTIAN MEDICAL AND DENTAL ORGANIZATION</t>
  </si>
  <si>
    <t>Myungsung Christian Medical College and Hospital</t>
  </si>
  <si>
    <t>Kenya Medical Training College</t>
  </si>
  <si>
    <t>Michael and Jean Burke</t>
  </si>
  <si>
    <t>Assoc Prof</t>
  </si>
  <si>
    <t>wife Jean BUrke</t>
  </si>
  <si>
    <t>Izabel Shu-Hui Chuang</t>
  </si>
  <si>
    <t>Barind Medical College, Rajshahi</t>
  </si>
  <si>
    <t>1, Kyle David P. Junasa, male, son. KyleDPJ518@gmail.com
 2. Kris Mishael P. Junasa., male, son, krisjunasa@gmail.com
 3. Ma. Ruby Fariñas, female, fiancee of son, farinasmariaruby@gmail.com</t>
  </si>
  <si>
    <t>Kyle David P. Junasa 아들
 Kris Mishael P. Junasa.아들 
 Ma. Ruby Fariñas, female, fiancee of son(아들 약혼자)</t>
  </si>
  <si>
    <t>Ministry of Health &amp; Human Services</t>
  </si>
  <si>
    <t>Public Health Clinician</t>
  </si>
  <si>
    <t>Accra Psychiatric Hospital / GCMDF</t>
  </si>
  <si>
    <t>Kwame Ekremet, male, husband</t>
  </si>
  <si>
    <t>Gems tabernacle</t>
  </si>
  <si>
    <t>médicos de Cristo</t>
  </si>
  <si>
    <t>TEC. Radiologia</t>
  </si>
  <si>
    <t>Adeste Sy Egco Siguan</t>
  </si>
  <si>
    <t>José Gabriel palma pereira</t>
  </si>
  <si>
    <t>University of Cape Coast/Ghana Christian Medical and Dental Fellowship</t>
  </si>
  <si>
    <t>Kabale University/ Uganda Christian Medical fellowship</t>
  </si>
  <si>
    <t>Past immediate National l Students' Chairperson</t>
  </si>
  <si>
    <t>Jordan Christian Health Association</t>
  </si>
  <si>
    <t>Doctor , ophthalmologist</t>
  </si>
  <si>
    <t>LAMB Hospital</t>
  </si>
  <si>
    <t>membre</t>
  </si>
  <si>
    <t>Family medicine doctor</t>
  </si>
  <si>
    <t>I will go with my wife Dr. ANG SREYNIN, sreynin.ang@mmccambodia.org, 1 daughter Name KUN ESTHER 3 years, 4months old</t>
  </si>
  <si>
    <t>Barind Medical College, Rajshahi, Bangladesh</t>
  </si>
  <si>
    <t>Chargé de la communication</t>
  </si>
  <si>
    <t>CMF KENYA</t>
  </si>
  <si>
    <t>Jessica Da Rocha Sandos</t>
  </si>
  <si>
    <t>1, Dayane, female, friend</t>
  </si>
  <si>
    <t>IMC Almaty</t>
  </si>
  <si>
    <t>Silosini</t>
  </si>
  <si>
    <t>Deputy Chairperson</t>
  </si>
  <si>
    <t>Physiotherapist</t>
  </si>
  <si>
    <t>Igiraneza Charlene</t>
  </si>
  <si>
    <t>Assistant lecturer of emergency medicine</t>
  </si>
  <si>
    <t>Medic/Public Health Clinician</t>
  </si>
  <si>
    <t>POUV SREY NEANG</t>
  </si>
  <si>
    <t>Sreyleak Sorn,male, my sister 
 (sornsreyleak12@gmail.com</t>
  </si>
  <si>
    <t>Puthisastra of university</t>
  </si>
  <si>
    <t>Dr. Mathew Santhosh Thomas, male, husband 
 santhosh.mathew @icmda.net</t>
  </si>
  <si>
    <t>CYNTHIA KENDI MUGENDI</t>
  </si>
  <si>
    <t>Northern Provincial Hospital</t>
  </si>
  <si>
    <t>University of Cape Town/CMF SA</t>
  </si>
  <si>
    <t>FMC Owo</t>
  </si>
  <si>
    <t>1. Pavana, female, sister</t>
  </si>
  <si>
    <t>Jenny George 9 yrs,female ,daughter
  George Robel ,male,husband</t>
  </si>
  <si>
    <t>Lynette Janine Pearson</t>
  </si>
  <si>
    <t>Interserve International</t>
  </si>
  <si>
    <t>International Co-Director</t>
  </si>
  <si>
    <t>Kenyatta University</t>
  </si>
  <si>
    <t>NDIRITU PRUDENCE WAMBUI</t>
  </si>
  <si>
    <t>Karatina University</t>
  </si>
  <si>
    <t>Faculté de sciences de la santé humaine dr Ndjamena</t>
  </si>
  <si>
    <t>TAPSOBA SIDBEWENDIN ABDOUL AZIZ NAZER</t>
  </si>
  <si>
    <t>Université Joseph ki zerbo</t>
  </si>
  <si>
    <t>Médecin</t>
  </si>
  <si>
    <t>1,OUEDRAOGO Solange, female, wife, ouedrasolange@gmail.com</t>
  </si>
  <si>
    <t>ICMDA Burkina Faso</t>
  </si>
  <si>
    <t>Yes 1 husband</t>
  </si>
  <si>
    <t>1, KYLE DAVID JUNASA, male, son, KyleDPJ518@gmail.com</t>
  </si>
  <si>
    <t>CHUKA COUNTY REFERRAL HOSPITAL</t>
  </si>
  <si>
    <t>Prudence Wambui Ndiritu</t>
  </si>
  <si>
    <t>AHMED GRACE</t>
  </si>
  <si>
    <t>Secrétaire général</t>
  </si>
  <si>
    <t>PANDA DEGRAS KOYAMAYELE Auguste Guillaume Max Angels</t>
  </si>
  <si>
    <t>Chargé de programme Santé et Mission</t>
  </si>
  <si>
    <t>IPGDFM Academic coordinator for Russian course</t>
  </si>
  <si>
    <t>Faculty of Medicine - Skopje, Ss. Cyril and Methodius University</t>
  </si>
  <si>
    <t>Palmira António Francisco</t>
  </si>
  <si>
    <t>Pamela</t>
  </si>
  <si>
    <t>Ministério Voz da Verdade</t>
  </si>
  <si>
    <t>Psychologist</t>
  </si>
  <si>
    <t>Mongolian Christian Medical Association</t>
  </si>
  <si>
    <t>Chinese</t>
  </si>
  <si>
    <t>Reyna Olimpa Saldaña Juárez</t>
  </si>
  <si>
    <t>Sociedad médica cristiana México City</t>
  </si>
  <si>
    <t>Vicepresidente Nacional de México</t>
  </si>
  <si>
    <t>Enrique Rafael Martínez Valdez, Male, Husband, enramava@gmail.com</t>
  </si>
  <si>
    <t>Enrique Rafael Martínez Valdez</t>
  </si>
  <si>
    <t>Miembro activo Ortopedista</t>
  </si>
  <si>
    <t>Reyna Olimpa Saldaña Juárez, esposa, mujer, olimpasaldana@gmail.com</t>
  </si>
  <si>
    <t>Karcyann Leah Timothy</t>
  </si>
  <si>
    <t>Student/Majuro Baptist Christian School</t>
  </si>
  <si>
    <t>Lydia Mosinmiloluwa Babawale</t>
  </si>
  <si>
    <t>World Bank Categories</t>
  </si>
  <si>
    <t>Country Name</t>
  </si>
  <si>
    <t>Gross National Income(GNI)</t>
  </si>
  <si>
    <t>American Samoa</t>
  </si>
  <si>
    <t>Andorra</t>
  </si>
  <si>
    <t>Angola</t>
  </si>
  <si>
    <t>Antigua and Barbuda</t>
  </si>
  <si>
    <t>Aruba</t>
  </si>
  <si>
    <t>Austria</t>
  </si>
  <si>
    <t>Bahamas, The</t>
  </si>
  <si>
    <t>Barbados</t>
  </si>
  <si>
    <t>Belgium</t>
  </si>
  <si>
    <t>Belize</t>
  </si>
  <si>
    <t>Bermuda</t>
  </si>
  <si>
    <t>Bosnia and Herzegovina</t>
  </si>
  <si>
    <t>British Virgin Islands</t>
  </si>
  <si>
    <t>Brunei Darussalam</t>
  </si>
  <si>
    <t>Bulgaria</t>
  </si>
  <si>
    <t>Cabo Verde</t>
  </si>
  <si>
    <t>Cayman Islands</t>
  </si>
  <si>
    <t>Channel Islands</t>
  </si>
  <si>
    <t>Colombia</t>
  </si>
  <si>
    <t>Comoros</t>
  </si>
  <si>
    <t>Croatia</t>
  </si>
  <si>
    <t>Curaçao</t>
  </si>
  <si>
    <t>Cyprus</t>
  </si>
  <si>
    <t>Czechia</t>
  </si>
  <si>
    <t>Djibouti</t>
  </si>
  <si>
    <t>Dominican Republic</t>
  </si>
  <si>
    <t>El Salvador</t>
  </si>
  <si>
    <t>Equatorial Guinea</t>
  </si>
  <si>
    <t>Eritrea</t>
  </si>
  <si>
    <t>Estonia</t>
  </si>
  <si>
    <t>Faroe Islands</t>
  </si>
  <si>
    <t>Fiji</t>
  </si>
  <si>
    <t>French Polynesia</t>
  </si>
  <si>
    <t>Georgia</t>
  </si>
  <si>
    <t>Gibraltar</t>
  </si>
  <si>
    <t>Greece</t>
  </si>
  <si>
    <t>Greenland</t>
  </si>
  <si>
    <t>Grenada</t>
  </si>
  <si>
    <t>Guam</t>
  </si>
  <si>
    <t>Guinea</t>
  </si>
  <si>
    <t>Haiti</t>
  </si>
  <si>
    <t>Hungary</t>
  </si>
  <si>
    <t>Iceland</t>
  </si>
  <si>
    <t>Iran, Islamic Rep.</t>
  </si>
  <si>
    <t>Iraq</t>
  </si>
  <si>
    <t>Ireland</t>
  </si>
  <si>
    <t>Isle of Man</t>
  </si>
  <si>
    <t>Israel</t>
  </si>
  <si>
    <t>Italy</t>
  </si>
  <si>
    <t>Jamaica</t>
  </si>
  <si>
    <t>Kiribati</t>
  </si>
  <si>
    <t>Korea, Dem. People's Rep.</t>
  </si>
  <si>
    <t>Kosovo</t>
  </si>
  <si>
    <t>Kuwait</t>
  </si>
  <si>
    <t>Latvia</t>
  </si>
  <si>
    <t>Lebanon</t>
  </si>
  <si>
    <t>Libya</t>
  </si>
  <si>
    <t>Liechtenstein</t>
  </si>
  <si>
    <t>Lithuania</t>
  </si>
  <si>
    <t>Luxembourg</t>
  </si>
  <si>
    <t>Macao</t>
  </si>
  <si>
    <t>Maldives</t>
  </si>
  <si>
    <t>Mali</t>
  </si>
  <si>
    <t>Malta</t>
  </si>
  <si>
    <t>Mauritania</t>
  </si>
  <si>
    <t>Micronesia, Fed. Sts.</t>
  </si>
  <si>
    <t>Moldova</t>
  </si>
  <si>
    <t>Monaco</t>
  </si>
  <si>
    <t>Montenegro</t>
  </si>
  <si>
    <t>Morocco</t>
  </si>
  <si>
    <t>Nauru</t>
  </si>
  <si>
    <t>Netherlands</t>
  </si>
  <si>
    <t>New Caledonia</t>
  </si>
  <si>
    <t>Nicaragua</t>
  </si>
  <si>
    <t>Northern Mariana Islands</t>
  </si>
  <si>
    <t>Oman</t>
  </si>
  <si>
    <t>Palau</t>
  </si>
  <si>
    <t>Poland</t>
  </si>
  <si>
    <t>Portugal</t>
  </si>
  <si>
    <t>Puerto Rico</t>
  </si>
  <si>
    <t>Qatar</t>
  </si>
  <si>
    <t>Samoa</t>
  </si>
  <si>
    <t>San Marino</t>
  </si>
  <si>
    <t>São Tomé and Príncipe</t>
  </si>
  <si>
    <t>Saudi Arabia</t>
  </si>
  <si>
    <t>Serbia</t>
  </si>
  <si>
    <t>Seychelles</t>
  </si>
  <si>
    <t>Sint Maarten (Dutch part)</t>
  </si>
  <si>
    <t>Slovenia</t>
  </si>
  <si>
    <t>Somalia</t>
  </si>
  <si>
    <t>Spain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</si>
  <si>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</si>
  <si>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</si>
  <si>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</si>
  <si>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</si>
  <si>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</si>
  <si>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</si>
  <si>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Syrian Arab Republic</t>
  </si>
  <si>
    <t>Tajikistan</t>
  </si>
  <si>
    <t>Togo</t>
  </si>
  <si>
    <t>Tonga</t>
  </si>
  <si>
    <t>Trinidad and Tobago</t>
  </si>
  <si>
    <t>Tunisia</t>
  </si>
  <si>
    <t>Türkiye</t>
  </si>
  <si>
    <t>Turks and Caicos Islands</t>
  </si>
  <si>
    <t>Tuvalu</t>
  </si>
  <si>
    <t>United Arab Emirates</t>
  </si>
  <si>
    <t>Uzbekistan</t>
  </si>
  <si>
    <t>Venezuela, RB</t>
  </si>
  <si>
    <t>Virgin Islands (U.S.)</t>
  </si>
  <si>
    <t>West Bank and Gaza</t>
  </si>
  <si>
    <t>Yemen, Rep.</t>
  </si>
  <si>
    <r>
      <t xml:space="preserve">Godsends
</t>
    </r>
    <r>
      <rPr>
        <b/>
        <sz val="12"/>
        <color rgb="FF000000"/>
        <rFont val="맑은 고딕"/>
        <family val="2"/>
        <charset val="129"/>
      </rPr>
      <t>등록자 수</t>
    </r>
    <phoneticPr fontId="45" type="noConversion"/>
  </si>
  <si>
    <r>
      <t xml:space="preserve">Godsends
</t>
    </r>
    <r>
      <rPr>
        <b/>
        <sz val="16"/>
        <color rgb="FF000000"/>
        <rFont val="맑은 고딕"/>
        <family val="2"/>
        <charset val="129"/>
      </rPr>
      <t>미등록자 수</t>
    </r>
    <phoneticPr fontId="45" type="noConversion"/>
  </si>
  <si>
    <r>
      <t xml:space="preserve">paid
</t>
    </r>
    <r>
      <rPr>
        <b/>
        <sz val="18"/>
        <color rgb="FF000000"/>
        <rFont val="맑은 고딕"/>
        <family val="2"/>
        <charset val="129"/>
      </rPr>
      <t>완료</t>
    </r>
    <phoneticPr fontId="45" type="noConversion"/>
  </si>
  <si>
    <t>등록</t>
    <phoneticPr fontId="45" type="noConversion"/>
  </si>
  <si>
    <r>
      <t>(</t>
    </r>
    <r>
      <rPr>
        <sz val="10"/>
        <color rgb="FF000000"/>
        <rFont val="Malgun Gothic"/>
        <family val="2"/>
        <charset val="129"/>
      </rPr>
      <t>갓샌즈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필요</t>
    </r>
    <r>
      <rPr>
        <sz val="10"/>
        <color rgb="FF000000"/>
        <rFont val="Arial"/>
        <family val="2"/>
      </rPr>
      <t>)</t>
    </r>
    <phoneticPr fontId="45" type="noConversion"/>
  </si>
  <si>
    <t>자원봉사자, 지원팀, 중국팀 등은 
포함 안 된 인원</t>
    <phoneticPr fontId="45" type="noConversion"/>
  </si>
  <si>
    <t>2인 가족</t>
    <phoneticPr fontId="45" type="noConversion"/>
  </si>
  <si>
    <r>
      <t>3</t>
    </r>
    <r>
      <rPr>
        <b/>
        <sz val="10"/>
        <color rgb="FF000000"/>
        <rFont val="맑은 고딕"/>
        <family val="3"/>
        <charset val="129"/>
      </rPr>
      <t>인 가족</t>
    </r>
    <phoneticPr fontId="45" type="noConversion"/>
  </si>
  <si>
    <r>
      <t>4</t>
    </r>
    <r>
      <rPr>
        <b/>
        <sz val="10"/>
        <color rgb="FF000000"/>
        <rFont val="맑은 고딕"/>
        <family val="3"/>
        <charset val="129"/>
      </rPr>
      <t>인 가족</t>
    </r>
    <phoneticPr fontId="45" type="noConversion"/>
  </si>
  <si>
    <r>
      <t>5</t>
    </r>
    <r>
      <rPr>
        <b/>
        <sz val="10"/>
        <color rgb="FF000000"/>
        <rFont val="Arial"/>
        <family val="3"/>
        <charset val="129"/>
        <scheme val="minor"/>
      </rPr>
      <t>인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3"/>
        <charset val="129"/>
        <scheme val="minor"/>
      </rPr>
      <t>가족</t>
    </r>
    <phoneticPr fontId="45" type="noConversion"/>
  </si>
  <si>
    <r>
      <t>6</t>
    </r>
    <r>
      <rPr>
        <b/>
        <sz val="10"/>
        <color rgb="FF000000"/>
        <rFont val="Arial"/>
        <family val="3"/>
        <charset val="129"/>
        <scheme val="minor"/>
      </rPr>
      <t>인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3"/>
        <charset val="129"/>
        <scheme val="minor"/>
      </rPr>
      <t>가족</t>
    </r>
    <phoneticPr fontId="45" type="noConversion"/>
  </si>
  <si>
    <t>합계</t>
    <phoneticPr fontId="45" type="noConversion"/>
  </si>
  <si>
    <r>
      <rPr>
        <sz val="10"/>
        <color rgb="FF000000"/>
        <rFont val="맑은 고딕"/>
        <family val="3"/>
        <charset val="129"/>
      </rPr>
      <t>가족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총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팀 수</t>
    </r>
    <phoneticPr fontId="45" type="noConversion"/>
  </si>
  <si>
    <t>가족 총 인원 수</t>
    <phoneticPr fontId="45" type="noConversion"/>
  </si>
  <si>
    <r>
      <t>2</t>
    </r>
    <r>
      <rPr>
        <sz val="10"/>
        <color theme="1"/>
        <rFont val="맑은 고딕"/>
        <family val="3"/>
        <charset val="129"/>
      </rPr>
      <t>명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딸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명</t>
    </r>
    <r>
      <rPr>
        <sz val="10"/>
        <color theme="1"/>
        <rFont val="Arial"/>
        <family val="2"/>
        <scheme val="minor"/>
      </rPr>
      <t>)</t>
    </r>
    <phoneticPr fontId="45" type="noConversion"/>
  </si>
  <si>
    <r>
      <t>2</t>
    </r>
    <r>
      <rPr>
        <sz val="10"/>
        <color theme="1"/>
        <rFont val="맑은 고딕"/>
        <family val="3"/>
        <charset val="129"/>
      </rPr>
      <t>명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아들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명</t>
    </r>
    <r>
      <rPr>
        <sz val="10"/>
        <color theme="1"/>
        <rFont val="Arial"/>
        <family val="2"/>
        <scheme val="minor"/>
      </rPr>
      <t>)</t>
    </r>
    <phoneticPr fontId="45" type="noConversion"/>
  </si>
  <si>
    <r>
      <t>2</t>
    </r>
    <r>
      <rPr>
        <sz val="10"/>
        <color theme="1"/>
        <rFont val="맑은 고딕"/>
        <family val="3"/>
        <charset val="129"/>
      </rPr>
      <t>명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엄마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명</t>
    </r>
    <r>
      <rPr>
        <sz val="10"/>
        <color theme="1"/>
        <rFont val="Arial"/>
        <family val="2"/>
        <scheme val="minor"/>
      </rPr>
      <t>)</t>
    </r>
    <phoneticPr fontId="45" type="noConversion"/>
  </si>
  <si>
    <t>인원명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</si>
</sst>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/d/yyyy\ h:mm:ss"/>
    <numFmt numFmtId="165" formatCode="yyyy\-mm\-dd"/>
    <numFmt numFmtId="166" formatCode="mmmm\ d"/>
    <numFmt numFmtId="167" formatCode="m/d/yyyy"/>
    <numFmt numFmtId="168" formatCode="m\-d\-yyyy\ h:mm:ss"/>
    <numFmt numFmtId="169" formatCode="m\-d\-yyyy"/>
  </numFmts>
  <fonts count="6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C00000"/>
      <name val="Arial"/>
      <family val="2"/>
    </font>
    <font>
      <sz val="10"/>
      <color rgb="FFC22114"/>
      <name val="Arial"/>
      <family val="2"/>
    </font>
    <font>
      <sz val="10"/>
      <color rgb="FFEA4335"/>
      <name val="Arial"/>
      <family val="2"/>
    </font>
    <font>
      <sz val="10"/>
      <color rgb="FFFF0000"/>
      <name val="Arial"/>
      <family val="2"/>
    </font>
    <font>
      <sz val="12"/>
      <color rgb="FF000000"/>
      <name val="Arial"/>
      <family val="2"/>
    </font>
    <font>
      <sz val="11"/>
      <color rgb="FF467886"/>
      <name val="&quot;\0022\\0022맑은 고딕\\0022\0022&quot;"/>
      <family val="3"/>
      <charset val="129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rgb="FFFF00FF"/>
      <name val="Arial"/>
      <family val="2"/>
    </font>
    <font>
      <b/>
      <sz val="10"/>
      <color rgb="FF434343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Arial"/>
      <family val="2"/>
    </font>
    <font>
      <sz val="10"/>
      <color rgb="FFFF0000"/>
      <name val="Calibri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  <scheme val="minor"/>
    </font>
    <font>
      <sz val="11"/>
      <color rgb="FF467886"/>
      <name val="Arial"/>
      <family val="2"/>
    </font>
    <font>
      <u/>
      <sz val="10"/>
      <color rgb="FF1155CC"/>
      <name val="&quot;Arial\"/>
    </font>
    <font>
      <sz val="11"/>
      <color rgb="FF000000"/>
      <name val="&quot;\0022맑은 고딕\0022&quot;"/>
      <family val="3"/>
      <charset val="129"/>
    </font>
    <font>
      <sz val="10"/>
      <color rgb="FF0000FF"/>
      <name val="Arial"/>
      <family val="2"/>
    </font>
    <font>
      <sz val="10"/>
      <color rgb="FFFF00FF"/>
      <name val="Arial"/>
      <family val="2"/>
    </font>
    <font>
      <b/>
      <sz val="10"/>
      <color rgb="FFFF0000"/>
      <name val="Calibri"/>
      <family val="2"/>
    </font>
    <font>
      <sz val="10"/>
      <color rgb="FF000000"/>
      <name val="&quot;Calibri\"/>
    </font>
    <font>
      <sz val="10"/>
      <color rgb="FF000000"/>
      <name val="&quot;Arial\"/>
    </font>
    <font>
      <sz val="10"/>
      <color rgb="FFFF0000"/>
      <name val="Calibri"/>
      <family val="2"/>
    </font>
    <font>
      <sz val="10"/>
      <name val="Arial"/>
      <family val="2"/>
    </font>
    <font>
      <sz val="11"/>
      <color rgb="FF111111"/>
      <name val="&quot;맑은 고딕&quot;"/>
      <family val="3"/>
      <charset val="129"/>
    </font>
    <font>
      <u/>
      <sz val="10"/>
      <color rgb="FF1155CC"/>
      <name val="Arial, sans-serif"/>
    </font>
    <font>
      <sz val="10"/>
      <color rgb="FF000000"/>
      <name val="Calibri, sans-serif"/>
    </font>
    <font>
      <b/>
      <sz val="10"/>
      <color rgb="FFFF0000"/>
      <name val="Calibri, sans-serif"/>
    </font>
    <font>
      <sz val="10"/>
      <color rgb="FF000000"/>
      <name val="Arial, sans-serif"/>
    </font>
    <font>
      <sz val="10"/>
      <color rgb="FFFF0000"/>
      <name val="Arial, sans-serif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48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000000"/>
      <name val="맑은 고딕"/>
      <family val="2"/>
      <charset val="129"/>
    </font>
    <font>
      <sz val="36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6"/>
      <color rgb="FF000000"/>
      <name val="맑은 고딕"/>
      <family val="2"/>
      <charset val="129"/>
    </font>
    <font>
      <b/>
      <sz val="18"/>
      <color rgb="FF000000"/>
      <name val="Arial"/>
      <family val="2"/>
      <scheme val="minor"/>
    </font>
    <font>
      <b/>
      <sz val="18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Malgun Gothic"/>
      <family val="2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3"/>
      <charset val="129"/>
      <scheme val="minor"/>
    </font>
    <font>
      <sz val="10"/>
      <color rgb="FF000000"/>
      <name val="Arial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22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8F9FA"/>
        <bgColor rgb="FFF8F9FA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AE9F8"/>
        <bgColor rgb="FFDAE9F8"/>
      </patternFill>
    </fill>
    <fill>
      <patternFill patternType="solid">
        <fgColor rgb="FFFBE2D5"/>
        <bgColor rgb="FFFBE2D5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 style="thin">
        <color rgb="FFFFFFFF"/>
      </right>
      <top/>
      <bottom style="thin">
        <color rgb="FFF8F9FA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F8F9FA"/>
      </right>
      <top/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F8F9FA"/>
      </right>
      <top/>
      <bottom style="thin">
        <color rgb="FFFFFF0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/>
      <bottom style="thin">
        <color rgb="FFFFFFFF"/>
      </bottom>
      <diagonal/>
    </border>
    <border>
      <left style="thin">
        <color rgb="FF442F65"/>
      </left>
      <right style="thin">
        <color rgb="FFF8F9FA"/>
      </right>
      <top/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4" fillId="0" borderId="0"/>
  </cellStyleXfs>
  <cellXfs count="49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14" fontId="3" fillId="5" borderId="0" xfId="0" applyNumberFormat="1" applyFont="1" applyFill="1" applyAlignment="1">
      <alignment horizontal="right" vertical="center"/>
    </xf>
    <xf numFmtId="0" fontId="6" fillId="6" borderId="3" xfId="0" applyFont="1" applyFill="1" applyBorder="1" applyAlignment="1">
      <alignment vertical="top"/>
    </xf>
    <xf numFmtId="0" fontId="6" fillId="3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right" vertical="center"/>
    </xf>
    <xf numFmtId="0" fontId="6" fillId="7" borderId="0" xfId="0" applyFont="1" applyFill="1" applyAlignment="1">
      <alignment vertical="center"/>
    </xf>
    <xf numFmtId="14" fontId="6" fillId="7" borderId="0" xfId="0" applyNumberFormat="1" applyFont="1" applyFill="1" applyAlignment="1">
      <alignment horizontal="right" vertical="center"/>
    </xf>
    <xf numFmtId="0" fontId="5" fillId="8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7" fillId="7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vertical="center"/>
    </xf>
    <xf numFmtId="14" fontId="7" fillId="7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vertical="center"/>
    </xf>
    <xf numFmtId="166" fontId="6" fillId="7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3" xfId="0" applyFont="1" applyFill="1" applyBorder="1" applyAlignment="1">
      <alignment vertical="top"/>
    </xf>
    <xf numFmtId="164" fontId="8" fillId="7" borderId="0" xfId="0" applyNumberFormat="1" applyFont="1" applyFill="1" applyAlignment="1">
      <alignment horizontal="right" vertical="center"/>
    </xf>
    <xf numFmtId="0" fontId="8" fillId="7" borderId="0" xfId="0" applyFont="1" applyFill="1" applyAlignment="1">
      <alignment vertical="center"/>
    </xf>
    <xf numFmtId="14" fontId="8" fillId="7" borderId="0" xfId="0" applyNumberFormat="1" applyFont="1" applyFill="1" applyAlignment="1">
      <alignment horizontal="right" vertical="center"/>
    </xf>
    <xf numFmtId="0" fontId="6" fillId="7" borderId="0" xfId="0" applyFont="1" applyFill="1"/>
    <xf numFmtId="0" fontId="6" fillId="6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7" fillId="7" borderId="0" xfId="0" applyFont="1" applyFill="1"/>
    <xf numFmtId="164" fontId="9" fillId="7" borderId="0" xfId="0" applyNumberFormat="1" applyFont="1" applyFill="1" applyAlignment="1">
      <alignment horizontal="right" vertical="center"/>
    </xf>
    <xf numFmtId="0" fontId="9" fillId="7" borderId="0" xfId="0" applyFont="1" applyFill="1" applyAlignment="1">
      <alignment vertical="center"/>
    </xf>
    <xf numFmtId="0" fontId="9" fillId="7" borderId="0" xfId="0" applyFont="1" applyFill="1"/>
    <xf numFmtId="14" fontId="9" fillId="7" borderId="0" xfId="0" applyNumberFormat="1" applyFont="1" applyFill="1" applyAlignment="1">
      <alignment horizontal="right" vertical="center"/>
    </xf>
    <xf numFmtId="164" fontId="10" fillId="7" borderId="0" xfId="0" applyNumberFormat="1" applyFont="1" applyFill="1" applyAlignment="1">
      <alignment horizontal="right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/>
    <xf numFmtId="14" fontId="10" fillId="7" borderId="0" xfId="0" applyNumberFormat="1" applyFont="1" applyFill="1" applyAlignment="1">
      <alignment horizontal="right" vertical="center"/>
    </xf>
    <xf numFmtId="0" fontId="6" fillId="0" borderId="3" xfId="0" applyFont="1" applyBorder="1" applyAlignment="1">
      <alignment vertical="top"/>
    </xf>
    <xf numFmtId="0" fontId="8" fillId="7" borderId="0" xfId="0" applyFont="1" applyFill="1"/>
    <xf numFmtId="0" fontId="11" fillId="3" borderId="5" xfId="0" applyFont="1" applyFill="1" applyBorder="1" applyAlignment="1">
      <alignment horizontal="center" vertical="center"/>
    </xf>
    <xf numFmtId="14" fontId="6" fillId="7" borderId="0" xfId="0" applyNumberFormat="1" applyFont="1" applyFill="1" applyAlignment="1">
      <alignment vertical="center"/>
    </xf>
    <xf numFmtId="166" fontId="8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horizontal="right" vertical="center"/>
    </xf>
    <xf numFmtId="0" fontId="12" fillId="3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7" fillId="7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right" vertical="center"/>
    </xf>
    <xf numFmtId="164" fontId="9" fillId="7" borderId="6" xfId="0" applyNumberFormat="1" applyFont="1" applyFill="1" applyBorder="1" applyAlignment="1">
      <alignment horizontal="right" vertical="center"/>
    </xf>
    <xf numFmtId="0" fontId="9" fillId="7" borderId="7" xfId="0" applyFont="1" applyFill="1" applyBorder="1" applyAlignment="1">
      <alignment vertical="center"/>
    </xf>
    <xf numFmtId="0" fontId="9" fillId="7" borderId="7" xfId="0" applyFont="1" applyFill="1" applyBorder="1"/>
    <xf numFmtId="14" fontId="9" fillId="7" borderId="7" xfId="0" applyNumberFormat="1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164" fontId="6" fillId="7" borderId="9" xfId="0" applyNumberFormat="1" applyFont="1" applyFill="1" applyBorder="1" applyAlignment="1">
      <alignment horizontal="right" vertical="center"/>
    </xf>
    <xf numFmtId="0" fontId="6" fillId="7" borderId="10" xfId="0" applyFont="1" applyFill="1" applyBorder="1" applyAlignment="1">
      <alignment vertical="center"/>
    </xf>
    <xf numFmtId="0" fontId="6" fillId="7" borderId="10" xfId="0" applyFont="1" applyFill="1" applyBorder="1"/>
    <xf numFmtId="14" fontId="6" fillId="7" borderId="10" xfId="0" applyNumberFormat="1" applyFont="1" applyFill="1" applyBorder="1" applyAlignment="1">
      <alignment horizontal="right" vertical="center"/>
    </xf>
    <xf numFmtId="0" fontId="6" fillId="0" borderId="10" xfId="0" applyFont="1" applyBorder="1" applyAlignment="1">
      <alignment vertical="center"/>
    </xf>
    <xf numFmtId="164" fontId="6" fillId="7" borderId="6" xfId="0" applyNumberFormat="1" applyFont="1" applyFill="1" applyBorder="1" applyAlignment="1">
      <alignment horizontal="right" vertical="center"/>
    </xf>
    <xf numFmtId="0" fontId="6" fillId="7" borderId="7" xfId="0" applyFont="1" applyFill="1" applyBorder="1" applyAlignment="1">
      <alignment vertical="center"/>
    </xf>
    <xf numFmtId="0" fontId="6" fillId="7" borderId="7" xfId="0" applyFont="1" applyFill="1" applyBorder="1"/>
    <xf numFmtId="14" fontId="6" fillId="7" borderId="7" xfId="0" applyNumberFormat="1" applyFont="1" applyFill="1" applyBorder="1" applyAlignment="1">
      <alignment horizontal="right" vertical="center"/>
    </xf>
    <xf numFmtId="0" fontId="5" fillId="8" borderId="8" xfId="0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right" vertical="center"/>
    </xf>
    <xf numFmtId="0" fontId="3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14" fontId="3" fillId="3" borderId="7" xfId="0" applyNumberFormat="1" applyFont="1" applyFill="1" applyBorder="1" applyAlignment="1">
      <alignment horizontal="right" vertical="center"/>
    </xf>
    <xf numFmtId="0" fontId="3" fillId="5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164" fontId="7" fillId="7" borderId="9" xfId="0" applyNumberFormat="1" applyFont="1" applyFill="1" applyBorder="1" applyAlignment="1">
      <alignment horizontal="right" vertical="center"/>
    </xf>
    <xf numFmtId="0" fontId="7" fillId="7" borderId="10" xfId="0" applyFont="1" applyFill="1" applyBorder="1" applyAlignment="1">
      <alignment vertical="center"/>
    </xf>
    <xf numFmtId="0" fontId="7" fillId="7" borderId="10" xfId="0" applyFont="1" applyFill="1" applyBorder="1"/>
    <xf numFmtId="14" fontId="7" fillId="7" borderId="10" xfId="0" applyNumberFormat="1" applyFont="1" applyFill="1" applyBorder="1" applyAlignment="1">
      <alignment horizontal="right" vertical="center"/>
    </xf>
    <xf numFmtId="0" fontId="5" fillId="4" borderId="11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/>
    </xf>
    <xf numFmtId="164" fontId="8" fillId="7" borderId="6" xfId="0" applyNumberFormat="1" applyFont="1" applyFill="1" applyBorder="1" applyAlignment="1">
      <alignment horizontal="right" vertical="center"/>
    </xf>
    <xf numFmtId="0" fontId="8" fillId="7" borderId="7" xfId="0" applyFont="1" applyFill="1" applyBorder="1" applyAlignment="1">
      <alignment vertical="center"/>
    </xf>
    <xf numFmtId="0" fontId="8" fillId="7" borderId="7" xfId="0" applyFont="1" applyFill="1" applyBorder="1"/>
    <xf numFmtId="14" fontId="8" fillId="7" borderId="7" xfId="0" applyNumberFormat="1" applyFont="1" applyFill="1" applyBorder="1" applyAlignment="1">
      <alignment horizontal="right" vertical="center"/>
    </xf>
    <xf numFmtId="164" fontId="7" fillId="7" borderId="6" xfId="0" applyNumberFormat="1" applyFont="1" applyFill="1" applyBorder="1" applyAlignment="1">
      <alignment horizontal="right" vertical="center"/>
    </xf>
    <xf numFmtId="0" fontId="7" fillId="7" borderId="7" xfId="0" applyFont="1" applyFill="1" applyBorder="1" applyAlignment="1">
      <alignment vertical="center"/>
    </xf>
    <xf numFmtId="0" fontId="7" fillId="7" borderId="7" xfId="0" applyFont="1" applyFill="1" applyBorder="1"/>
    <xf numFmtId="14" fontId="7" fillId="7" borderId="7" xfId="0" applyNumberFormat="1" applyFont="1" applyFill="1" applyBorder="1" applyAlignment="1">
      <alignment horizontal="right" vertical="center"/>
    </xf>
    <xf numFmtId="166" fontId="6" fillId="7" borderId="10" xfId="0" applyNumberFormat="1" applyFont="1" applyFill="1" applyBorder="1" applyAlignment="1">
      <alignment vertical="center"/>
    </xf>
    <xf numFmtId="164" fontId="6" fillId="3" borderId="6" xfId="0" applyNumberFormat="1" applyFont="1" applyFill="1" applyBorder="1" applyAlignment="1">
      <alignment horizontal="right" vertical="center"/>
    </xf>
    <xf numFmtId="0" fontId="6" fillId="3" borderId="7" xfId="0" applyFont="1" applyFill="1" applyBorder="1" applyAlignment="1">
      <alignment vertical="center"/>
    </xf>
    <xf numFmtId="0" fontId="6" fillId="3" borderId="7" xfId="0" applyFont="1" applyFill="1" applyBorder="1"/>
    <xf numFmtId="14" fontId="6" fillId="3" borderId="7" xfId="0" applyNumberFormat="1" applyFont="1" applyFill="1" applyBorder="1" applyAlignment="1">
      <alignment horizontal="right" vertical="center"/>
    </xf>
    <xf numFmtId="164" fontId="6" fillId="3" borderId="9" xfId="0" applyNumberFormat="1" applyFont="1" applyFill="1" applyBorder="1" applyAlignment="1">
      <alignment horizontal="right" vertical="center"/>
    </xf>
    <xf numFmtId="0" fontId="6" fillId="3" borderId="10" xfId="0" applyFont="1" applyFill="1" applyBorder="1" applyAlignment="1">
      <alignment vertical="center"/>
    </xf>
    <xf numFmtId="0" fontId="6" fillId="3" borderId="10" xfId="0" applyFont="1" applyFill="1" applyBorder="1"/>
    <xf numFmtId="14" fontId="6" fillId="3" borderId="10" xfId="0" applyNumberFormat="1" applyFont="1" applyFill="1" applyBorder="1" applyAlignment="1">
      <alignment horizontal="right" vertical="center"/>
    </xf>
    <xf numFmtId="164" fontId="10" fillId="3" borderId="9" xfId="0" applyNumberFormat="1" applyFont="1" applyFill="1" applyBorder="1" applyAlignment="1">
      <alignment horizontal="right" vertical="center"/>
    </xf>
    <xf numFmtId="0" fontId="10" fillId="3" borderId="10" xfId="0" applyFont="1" applyFill="1" applyBorder="1" applyAlignment="1">
      <alignment vertical="center"/>
    </xf>
    <xf numFmtId="14" fontId="10" fillId="3" borderId="10" xfId="0" applyNumberFormat="1" applyFont="1" applyFill="1" applyBorder="1" applyAlignment="1">
      <alignment horizontal="right" vertical="center"/>
    </xf>
    <xf numFmtId="164" fontId="1" fillId="3" borderId="9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14" fontId="1" fillId="3" borderId="10" xfId="0" applyNumberFormat="1" applyFont="1" applyFill="1" applyBorder="1" applyAlignment="1">
      <alignment vertical="center"/>
    </xf>
    <xf numFmtId="164" fontId="1" fillId="3" borderId="6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4" fontId="1" fillId="3" borderId="7" xfId="0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4" fontId="1" fillId="0" borderId="10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4" fontId="1" fillId="0" borderId="14" xfId="0" applyNumberFormat="1" applyFont="1" applyBorder="1" applyAlignment="1">
      <alignment vertical="center"/>
    </xf>
    <xf numFmtId="164" fontId="1" fillId="3" borderId="15" xfId="0" applyNumberFormat="1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14" fontId="1" fillId="3" borderId="16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6" fillId="5" borderId="0" xfId="0" applyFont="1" applyFill="1"/>
    <xf numFmtId="0" fontId="15" fillId="5" borderId="0" xfId="0" applyFont="1" applyFill="1"/>
    <xf numFmtId="0" fontId="6" fillId="3" borderId="0" xfId="0" applyFont="1" applyFill="1"/>
    <xf numFmtId="0" fontId="15" fillId="3" borderId="0" xfId="0" applyFont="1" applyFill="1"/>
    <xf numFmtId="0" fontId="1" fillId="0" borderId="0" xfId="0" quotePrefix="1" applyFont="1" applyAlignment="1">
      <alignment vertical="center"/>
    </xf>
    <xf numFmtId="164" fontId="1" fillId="3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6" fillId="3" borderId="17" xfId="0" applyFont="1" applyFill="1" applyBorder="1"/>
    <xf numFmtId="0" fontId="15" fillId="3" borderId="17" xfId="0" applyFont="1" applyFill="1" applyBorder="1"/>
    <xf numFmtId="0" fontId="6" fillId="3" borderId="4" xfId="0" applyFont="1" applyFill="1" applyBorder="1" applyAlignment="1">
      <alignment horizontal="center"/>
    </xf>
    <xf numFmtId="0" fontId="16" fillId="0" borderId="0" xfId="0" applyFont="1"/>
    <xf numFmtId="165" fontId="16" fillId="0" borderId="0" xfId="0" applyNumberFormat="1" applyFont="1"/>
    <xf numFmtId="0" fontId="16" fillId="3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7" fillId="0" borderId="0" xfId="0" applyFont="1"/>
    <xf numFmtId="0" fontId="10" fillId="3" borderId="4" xfId="0" applyFont="1" applyFill="1" applyBorder="1" applyAlignment="1">
      <alignment horizontal="center"/>
    </xf>
    <xf numFmtId="0" fontId="18" fillId="0" borderId="0" xfId="0" applyFont="1"/>
    <xf numFmtId="165" fontId="19" fillId="0" borderId="0" xfId="0" applyNumberFormat="1" applyFont="1"/>
    <xf numFmtId="164" fontId="3" fillId="6" borderId="6" xfId="0" applyNumberFormat="1" applyFont="1" applyFill="1" applyBorder="1" applyAlignment="1">
      <alignment horizontal="right" vertical="center"/>
    </xf>
    <xf numFmtId="0" fontId="3" fillId="6" borderId="7" xfId="0" applyFont="1" applyFill="1" applyBorder="1" applyAlignment="1">
      <alignment vertical="center"/>
    </xf>
    <xf numFmtId="14" fontId="3" fillId="6" borderId="7" xfId="0" applyNumberFormat="1" applyFont="1" applyFill="1" applyBorder="1" applyAlignment="1">
      <alignment horizontal="right" vertical="center"/>
    </xf>
    <xf numFmtId="0" fontId="4" fillId="6" borderId="7" xfId="0" applyFont="1" applyFill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6" fillId="6" borderId="0" xfId="0" applyFont="1" applyFill="1"/>
    <xf numFmtId="165" fontId="16" fillId="6" borderId="0" xfId="0" applyNumberFormat="1" applyFont="1" applyFill="1"/>
    <xf numFmtId="0" fontId="16" fillId="6" borderId="0" xfId="0" applyFont="1" applyFill="1" applyAlignment="1">
      <alignment vertical="center"/>
    </xf>
    <xf numFmtId="164" fontId="3" fillId="6" borderId="9" xfId="0" applyNumberFormat="1" applyFont="1" applyFill="1" applyBorder="1" applyAlignment="1">
      <alignment horizontal="right" vertical="center"/>
    </xf>
    <xf numFmtId="0" fontId="3" fillId="6" borderId="10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14" fontId="3" fillId="6" borderId="10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20" fillId="6" borderId="8" xfId="0" applyFont="1" applyFill="1" applyBorder="1" applyAlignment="1">
      <alignment horizontal="center" vertical="center"/>
    </xf>
    <xf numFmtId="0" fontId="21" fillId="0" borderId="0" xfId="0" applyFont="1"/>
    <xf numFmtId="165" fontId="21" fillId="0" borderId="0" xfId="0" applyNumberFormat="1" applyFont="1"/>
    <xf numFmtId="0" fontId="22" fillId="3" borderId="2" xfId="0" applyFont="1" applyFill="1" applyBorder="1" applyAlignment="1">
      <alignment horizont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4" fontId="14" fillId="0" borderId="0" xfId="0" applyNumberFormat="1" applyFont="1" applyAlignment="1">
      <alignment vertical="center"/>
    </xf>
    <xf numFmtId="0" fontId="22" fillId="3" borderId="4" xfId="0" applyFont="1" applyFill="1" applyBorder="1" applyAlignment="1">
      <alignment horizontal="center"/>
    </xf>
    <xf numFmtId="165" fontId="23" fillId="0" borderId="0" xfId="0" applyNumberFormat="1" applyFont="1"/>
    <xf numFmtId="0" fontId="23" fillId="0" borderId="0" xfId="0" applyFont="1"/>
    <xf numFmtId="0" fontId="24" fillId="3" borderId="0" xfId="0" applyFont="1" applyFill="1" applyAlignment="1">
      <alignment horizontal="center" vertical="center"/>
    </xf>
    <xf numFmtId="0" fontId="25" fillId="0" borderId="0" xfId="0" applyFont="1"/>
    <xf numFmtId="165" fontId="21" fillId="0" borderId="0" xfId="0" applyNumberFormat="1" applyFont="1" applyAlignment="1">
      <alignment horizontal="right"/>
    </xf>
    <xf numFmtId="0" fontId="15" fillId="0" borderId="0" xfId="0" applyFont="1"/>
    <xf numFmtId="165" fontId="15" fillId="0" borderId="0" xfId="0" applyNumberFormat="1" applyFont="1"/>
    <xf numFmtId="0" fontId="3" fillId="3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164" fontId="3" fillId="6" borderId="15" xfId="0" applyNumberFormat="1" applyFont="1" applyFill="1" applyBorder="1" applyAlignment="1">
      <alignment horizontal="right" vertical="center"/>
    </xf>
    <xf numFmtId="0" fontId="3" fillId="6" borderId="16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14" fontId="3" fillId="6" borderId="16" xfId="0" applyNumberFormat="1" applyFont="1" applyFill="1" applyBorder="1" applyAlignment="1">
      <alignment horizontal="right" vertical="center"/>
    </xf>
    <xf numFmtId="0" fontId="15" fillId="6" borderId="0" xfId="0" applyFont="1" applyFill="1"/>
    <xf numFmtId="165" fontId="15" fillId="6" borderId="0" xfId="0" applyNumberFormat="1" applyFont="1" applyFill="1"/>
    <xf numFmtId="0" fontId="1" fillId="6" borderId="0" xfId="0" applyFont="1" applyFill="1" applyAlignment="1">
      <alignment vertical="center"/>
    </xf>
    <xf numFmtId="0" fontId="26" fillId="3" borderId="18" xfId="0" applyFont="1" applyFill="1" applyBorder="1" applyAlignment="1">
      <alignment horizontal="center"/>
    </xf>
    <xf numFmtId="0" fontId="26" fillId="3" borderId="19" xfId="0" applyFont="1" applyFill="1" applyBorder="1" applyAlignment="1">
      <alignment horizontal="center"/>
    </xf>
    <xf numFmtId="0" fontId="15" fillId="3" borderId="0" xfId="0" applyFont="1" applyFill="1" applyAlignment="1">
      <alignment horizontal="right"/>
    </xf>
    <xf numFmtId="165" fontId="1" fillId="0" borderId="0" xfId="0" applyNumberFormat="1" applyFont="1" applyAlignment="1">
      <alignment vertical="center"/>
    </xf>
    <xf numFmtId="164" fontId="3" fillId="3" borderId="20" xfId="0" applyNumberFormat="1" applyFont="1" applyFill="1" applyBorder="1" applyAlignment="1">
      <alignment horizontal="right" vertical="center"/>
    </xf>
    <xf numFmtId="0" fontId="3" fillId="3" borderId="21" xfId="0" applyFont="1" applyFill="1" applyBorder="1" applyAlignment="1">
      <alignment vertical="center"/>
    </xf>
    <xf numFmtId="0" fontId="4" fillId="3" borderId="21" xfId="0" applyFont="1" applyFill="1" applyBorder="1" applyAlignment="1">
      <alignment vertical="center"/>
    </xf>
    <xf numFmtId="14" fontId="3" fillId="3" borderId="21" xfId="0" applyNumberFormat="1" applyFont="1" applyFill="1" applyBorder="1" applyAlignment="1">
      <alignment horizontal="right" vertical="center"/>
    </xf>
    <xf numFmtId="0" fontId="4" fillId="0" borderId="0" xfId="0" applyFont="1"/>
    <xf numFmtId="0" fontId="27" fillId="0" borderId="0" xfId="0" applyFont="1" applyAlignment="1">
      <alignment vertical="center"/>
    </xf>
    <xf numFmtId="0" fontId="6" fillId="4" borderId="0" xfId="0" applyFont="1" applyFill="1"/>
    <xf numFmtId="0" fontId="6" fillId="0" borderId="0" xfId="0" applyFont="1"/>
    <xf numFmtId="165" fontId="6" fillId="0" borderId="0" xfId="0" applyNumberFormat="1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right"/>
    </xf>
    <xf numFmtId="164" fontId="1" fillId="11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/>
    </xf>
    <xf numFmtId="14" fontId="1" fillId="11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165" fontId="6" fillId="11" borderId="0" xfId="0" applyNumberFormat="1" applyFont="1" applyFill="1" applyAlignment="1">
      <alignment vertical="center"/>
    </xf>
    <xf numFmtId="0" fontId="6" fillId="11" borderId="0" xfId="0" applyFont="1" applyFill="1" applyAlignment="1">
      <alignment vertical="top"/>
    </xf>
    <xf numFmtId="0" fontId="6" fillId="11" borderId="0" xfId="0" applyFont="1" applyFill="1" applyAlignment="1">
      <alignment horizontal="right"/>
    </xf>
    <xf numFmtId="164" fontId="3" fillId="5" borderId="9" xfId="0" applyNumberFormat="1" applyFont="1" applyFill="1" applyBorder="1" applyAlignment="1">
      <alignment horizontal="right" vertical="center"/>
    </xf>
    <xf numFmtId="0" fontId="3" fillId="5" borderId="10" xfId="0" applyFont="1" applyFill="1" applyBorder="1" applyAlignment="1">
      <alignment vertical="center"/>
    </xf>
    <xf numFmtId="14" fontId="3" fillId="5" borderId="10" xfId="0" applyNumberFormat="1" applyFont="1" applyFill="1" applyBorder="1" applyAlignment="1">
      <alignment horizontal="right" vertical="center"/>
    </xf>
    <xf numFmtId="0" fontId="4" fillId="5" borderId="10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0" fontId="6" fillId="12" borderId="0" xfId="0" applyFont="1" applyFill="1" applyAlignment="1">
      <alignment vertical="top"/>
    </xf>
    <xf numFmtId="0" fontId="6" fillId="8" borderId="0" xfId="0" applyFont="1" applyFill="1"/>
    <xf numFmtId="165" fontId="6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horizontal="right"/>
    </xf>
    <xf numFmtId="164" fontId="3" fillId="5" borderId="15" xfId="0" applyNumberFormat="1" applyFont="1" applyFill="1" applyBorder="1" applyAlignment="1">
      <alignment horizontal="right" vertical="center"/>
    </xf>
    <xf numFmtId="0" fontId="3" fillId="5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14" fontId="3" fillId="5" borderId="16" xfId="0" applyNumberFormat="1" applyFont="1" applyFill="1" applyBorder="1" applyAlignment="1">
      <alignment horizontal="right" vertical="center"/>
    </xf>
    <xf numFmtId="0" fontId="1" fillId="12" borderId="0" xfId="0" applyFont="1" applyFill="1" applyAlignment="1">
      <alignment vertical="center"/>
    </xf>
    <xf numFmtId="14" fontId="1" fillId="12" borderId="0" xfId="0" applyNumberFormat="1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12" borderId="0" xfId="0" applyFont="1" applyFill="1"/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8" fontId="3" fillId="13" borderId="0" xfId="0" applyNumberFormat="1" applyFont="1" applyFill="1" applyAlignment="1">
      <alignment horizontal="right"/>
    </xf>
    <xf numFmtId="0" fontId="3" fillId="13" borderId="0" xfId="0" applyFont="1" applyFill="1"/>
    <xf numFmtId="0" fontId="6" fillId="13" borderId="0" xfId="0" applyFont="1" applyFill="1"/>
    <xf numFmtId="165" fontId="3" fillId="13" borderId="0" xfId="0" applyNumberFormat="1" applyFont="1" applyFill="1" applyAlignment="1">
      <alignment horizontal="right"/>
    </xf>
    <xf numFmtId="0" fontId="24" fillId="13" borderId="0" xfId="0" applyFont="1" applyFill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6" fillId="13" borderId="3" xfId="0" applyFont="1" applyFill="1" applyBorder="1" applyAlignment="1">
      <alignment vertical="top"/>
    </xf>
    <xf numFmtId="0" fontId="6" fillId="13" borderId="4" xfId="0" applyFont="1" applyFill="1" applyBorder="1" applyAlignment="1">
      <alignment horizontal="center"/>
    </xf>
    <xf numFmtId="168" fontId="3" fillId="5" borderId="0" xfId="0" applyNumberFormat="1" applyFont="1" applyFill="1" applyAlignment="1">
      <alignment horizontal="right"/>
    </xf>
    <xf numFmtId="0" fontId="3" fillId="5" borderId="0" xfId="0" applyFont="1" applyFill="1"/>
    <xf numFmtId="165" fontId="3" fillId="5" borderId="0" xfId="0" applyNumberFormat="1" applyFont="1" applyFill="1" applyAlignment="1">
      <alignment horizontal="right"/>
    </xf>
    <xf numFmtId="0" fontId="3" fillId="3" borderId="0" xfId="0" applyFont="1" applyFill="1"/>
    <xf numFmtId="0" fontId="24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Alignment="1">
      <alignment horizontal="right"/>
    </xf>
    <xf numFmtId="0" fontId="24" fillId="8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8" fontId="3" fillId="3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center"/>
    </xf>
    <xf numFmtId="168" fontId="7" fillId="13" borderId="0" xfId="0" applyNumberFormat="1" applyFont="1" applyFill="1" applyAlignment="1">
      <alignment horizontal="right"/>
    </xf>
    <xf numFmtId="0" fontId="7" fillId="13" borderId="0" xfId="0" applyFont="1" applyFill="1"/>
    <xf numFmtId="165" fontId="7" fillId="13" borderId="0" xfId="0" applyNumberFormat="1" applyFont="1" applyFill="1" applyAlignment="1">
      <alignment horizontal="right"/>
    </xf>
    <xf numFmtId="166" fontId="7" fillId="13" borderId="0" xfId="0" applyNumberFormat="1" applyFont="1" applyFill="1" applyAlignment="1">
      <alignment horizontal="right"/>
    </xf>
    <xf numFmtId="165" fontId="6" fillId="13" borderId="0" xfId="0" applyNumberFormat="1" applyFont="1" applyFill="1" applyAlignment="1">
      <alignment horizontal="center"/>
    </xf>
    <xf numFmtId="166" fontId="6" fillId="3" borderId="0" xfId="0" applyNumberFormat="1" applyFont="1" applyFill="1" applyAlignment="1">
      <alignment horizontal="right"/>
    </xf>
    <xf numFmtId="168" fontId="7" fillId="3" borderId="0" xfId="0" applyNumberFormat="1" applyFont="1" applyFill="1" applyAlignment="1">
      <alignment horizontal="right"/>
    </xf>
    <xf numFmtId="0" fontId="7" fillId="3" borderId="0" xfId="0" applyFont="1" applyFill="1"/>
    <xf numFmtId="165" fontId="7" fillId="3" borderId="0" xfId="0" applyNumberFormat="1" applyFont="1" applyFill="1" applyAlignment="1">
      <alignment horizontal="right"/>
    </xf>
    <xf numFmtId="168" fontId="8" fillId="3" borderId="0" xfId="0" applyNumberFormat="1" applyFont="1" applyFill="1" applyAlignment="1">
      <alignment horizontal="right"/>
    </xf>
    <xf numFmtId="0" fontId="8" fillId="3" borderId="0" xfId="0" applyFont="1" applyFill="1"/>
    <xf numFmtId="165" fontId="8" fillId="3" borderId="0" xfId="0" applyNumberFormat="1" applyFont="1" applyFill="1" applyAlignment="1">
      <alignment horizontal="right"/>
    </xf>
    <xf numFmtId="168" fontId="6" fillId="13" borderId="0" xfId="0" applyNumberFormat="1" applyFont="1" applyFill="1" applyAlignment="1">
      <alignment horizontal="right"/>
    </xf>
    <xf numFmtId="165" fontId="6" fillId="13" borderId="0" xfId="0" applyNumberFormat="1" applyFont="1" applyFill="1" applyAlignment="1">
      <alignment horizontal="right"/>
    </xf>
    <xf numFmtId="0" fontId="6" fillId="6" borderId="0" xfId="0" applyFont="1" applyFill="1"/>
    <xf numFmtId="0" fontId="6" fillId="13" borderId="0" xfId="0" applyFont="1" applyFill="1" applyAlignment="1">
      <alignment horizontal="right"/>
    </xf>
    <xf numFmtId="0" fontId="24" fillId="9" borderId="0" xfId="0" applyFont="1" applyFill="1" applyAlignment="1">
      <alignment horizontal="center"/>
    </xf>
    <xf numFmtId="169" fontId="6" fillId="0" borderId="0" xfId="0" applyNumberFormat="1" applyFont="1" applyAlignment="1">
      <alignment horizontal="center"/>
    </xf>
    <xf numFmtId="0" fontId="3" fillId="6" borderId="0" xfId="0" applyFont="1" applyFill="1"/>
    <xf numFmtId="166" fontId="3" fillId="5" borderId="0" xfId="0" applyNumberFormat="1" applyFont="1" applyFill="1"/>
    <xf numFmtId="168" fontId="9" fillId="13" borderId="0" xfId="0" applyNumberFormat="1" applyFont="1" applyFill="1" applyAlignment="1">
      <alignment horizontal="right"/>
    </xf>
    <xf numFmtId="0" fontId="9" fillId="13" borderId="0" xfId="0" applyFont="1" applyFill="1"/>
    <xf numFmtId="165" fontId="9" fillId="13" borderId="0" xfId="0" applyNumberFormat="1" applyFont="1" applyFill="1" applyAlignment="1">
      <alignment horizontal="right"/>
    </xf>
    <xf numFmtId="166" fontId="6" fillId="13" borderId="0" xfId="0" applyNumberFormat="1" applyFont="1" applyFill="1" applyAlignment="1">
      <alignment horizontal="right"/>
    </xf>
    <xf numFmtId="168" fontId="10" fillId="13" borderId="0" xfId="0" applyNumberFormat="1" applyFont="1" applyFill="1" applyAlignment="1">
      <alignment horizontal="right"/>
    </xf>
    <xf numFmtId="0" fontId="10" fillId="13" borderId="0" xfId="0" applyFont="1" applyFill="1"/>
    <xf numFmtId="165" fontId="10" fillId="13" borderId="0" xfId="0" applyNumberFormat="1" applyFont="1" applyFill="1" applyAlignment="1">
      <alignment horizontal="right"/>
    </xf>
    <xf numFmtId="168" fontId="8" fillId="13" borderId="0" xfId="0" applyNumberFormat="1" applyFont="1" applyFill="1" applyAlignment="1">
      <alignment horizontal="right"/>
    </xf>
    <xf numFmtId="0" fontId="8" fillId="13" borderId="0" xfId="0" applyFont="1" applyFill="1"/>
    <xf numFmtId="165" fontId="8" fillId="13" borderId="0" xfId="0" applyNumberFormat="1" applyFont="1" applyFill="1" applyAlignment="1">
      <alignment horizontal="right"/>
    </xf>
    <xf numFmtId="168" fontId="10" fillId="3" borderId="0" xfId="0" applyNumberFormat="1" applyFont="1" applyFill="1" applyAlignment="1">
      <alignment horizontal="right"/>
    </xf>
    <xf numFmtId="0" fontId="10" fillId="3" borderId="0" xfId="0" applyFont="1" applyFill="1"/>
    <xf numFmtId="165" fontId="10" fillId="3" borderId="0" xfId="0" applyNumberFormat="1" applyFont="1" applyFill="1" applyAlignment="1">
      <alignment horizontal="right"/>
    </xf>
    <xf numFmtId="0" fontId="11" fillId="3" borderId="5" xfId="0" applyFont="1" applyFill="1" applyBorder="1" applyAlignment="1">
      <alignment horizontal="center"/>
    </xf>
    <xf numFmtId="166" fontId="3" fillId="3" borderId="0" xfId="0" applyNumberFormat="1" applyFont="1" applyFill="1"/>
    <xf numFmtId="168" fontId="9" fillId="3" borderId="0" xfId="0" applyNumberFormat="1" applyFont="1" applyFill="1" applyAlignment="1">
      <alignment horizontal="right"/>
    </xf>
    <xf numFmtId="0" fontId="9" fillId="3" borderId="0" xfId="0" applyFont="1" applyFill="1"/>
    <xf numFmtId="165" fontId="9" fillId="3" borderId="0" xfId="0" applyNumberFormat="1" applyFont="1" applyFill="1" applyAlignment="1">
      <alignment horizontal="right"/>
    </xf>
    <xf numFmtId="167" fontId="6" fillId="13" borderId="0" xfId="0" applyNumberFormat="1" applyFont="1" applyFill="1"/>
    <xf numFmtId="166" fontId="8" fillId="3" borderId="0" xfId="0" applyNumberFormat="1" applyFont="1" applyFill="1" applyAlignment="1">
      <alignment horizontal="right"/>
    </xf>
    <xf numFmtId="0" fontId="9" fillId="13" borderId="0" xfId="0" applyFont="1" applyFill="1" applyAlignment="1">
      <alignment horizontal="right"/>
    </xf>
    <xf numFmtId="0" fontId="28" fillId="3" borderId="4" xfId="0" applyFont="1" applyFill="1" applyBorder="1" applyAlignment="1">
      <alignment horizontal="center"/>
    </xf>
    <xf numFmtId="0" fontId="29" fillId="0" borderId="0" xfId="0" applyFont="1"/>
    <xf numFmtId="0" fontId="7" fillId="3" borderId="0" xfId="0" applyFont="1" applyFill="1" applyAlignment="1">
      <alignment horizontal="right"/>
    </xf>
    <xf numFmtId="0" fontId="3" fillId="13" borderId="0" xfId="0" applyFont="1" applyFill="1" applyAlignment="1">
      <alignment horizontal="center"/>
    </xf>
    <xf numFmtId="0" fontId="9" fillId="3" borderId="0" xfId="0" applyFont="1" applyFill="1" applyAlignment="1">
      <alignment horizontal="right"/>
    </xf>
    <xf numFmtId="0" fontId="7" fillId="13" borderId="0" xfId="0" applyFont="1" applyFill="1" applyAlignment="1">
      <alignment horizontal="right"/>
    </xf>
    <xf numFmtId="11" fontId="6" fillId="5" borderId="0" xfId="0" applyNumberFormat="1" applyFont="1" applyFill="1" applyAlignment="1">
      <alignment horizontal="center"/>
    </xf>
    <xf numFmtId="0" fontId="10" fillId="13" borderId="0" xfId="0" applyFont="1" applyFill="1" applyAlignment="1">
      <alignment horizontal="right"/>
    </xf>
    <xf numFmtId="168" fontId="9" fillId="13" borderId="6" xfId="0" applyNumberFormat="1" applyFont="1" applyFill="1" applyBorder="1" applyAlignment="1">
      <alignment horizontal="right"/>
    </xf>
    <xf numFmtId="0" fontId="9" fillId="13" borderId="7" xfId="0" applyFont="1" applyFill="1" applyBorder="1"/>
    <xf numFmtId="165" fontId="9" fillId="13" borderId="7" xfId="0" applyNumberFormat="1" applyFont="1" applyFill="1" applyBorder="1" applyAlignment="1">
      <alignment horizontal="right"/>
    </xf>
    <xf numFmtId="0" fontId="24" fillId="13" borderId="8" xfId="0" applyFont="1" applyFill="1" applyBorder="1" applyAlignment="1">
      <alignment horizontal="center"/>
    </xf>
    <xf numFmtId="0" fontId="6" fillId="13" borderId="7" xfId="0" applyFont="1" applyFill="1" applyBorder="1"/>
    <xf numFmtId="168" fontId="6" fillId="13" borderId="9" xfId="0" applyNumberFormat="1" applyFont="1" applyFill="1" applyBorder="1" applyAlignment="1">
      <alignment horizontal="right"/>
    </xf>
    <xf numFmtId="0" fontId="6" fillId="13" borderId="10" xfId="0" applyFont="1" applyFill="1" applyBorder="1"/>
    <xf numFmtId="165" fontId="6" fillId="13" borderId="10" xfId="0" applyNumberFormat="1" applyFont="1" applyFill="1" applyBorder="1" applyAlignment="1">
      <alignment horizontal="right"/>
    </xf>
    <xf numFmtId="168" fontId="6" fillId="13" borderId="6" xfId="0" applyNumberFormat="1" applyFont="1" applyFill="1" applyBorder="1" applyAlignment="1">
      <alignment horizontal="right"/>
    </xf>
    <xf numFmtId="165" fontId="6" fillId="13" borderId="7" xfId="0" applyNumberFormat="1" applyFont="1" applyFill="1" applyBorder="1" applyAlignment="1">
      <alignment horizontal="right"/>
    </xf>
    <xf numFmtId="168" fontId="6" fillId="3" borderId="9" xfId="0" applyNumberFormat="1" applyFont="1" applyFill="1" applyBorder="1" applyAlignment="1">
      <alignment horizontal="right"/>
    </xf>
    <xf numFmtId="165" fontId="6" fillId="3" borderId="10" xfId="0" applyNumberFormat="1" applyFont="1" applyFill="1" applyBorder="1" applyAlignment="1">
      <alignment horizontal="right"/>
    </xf>
    <xf numFmtId="0" fontId="24" fillId="8" borderId="8" xfId="0" applyFont="1" applyFill="1" applyBorder="1" applyAlignment="1">
      <alignment horizontal="center"/>
    </xf>
    <xf numFmtId="0" fontId="6" fillId="0" borderId="10" xfId="0" applyFont="1" applyBorder="1"/>
    <xf numFmtId="168" fontId="3" fillId="3" borderId="6" xfId="0" applyNumberFormat="1" applyFont="1" applyFill="1" applyBorder="1" applyAlignment="1">
      <alignment horizontal="right"/>
    </xf>
    <xf numFmtId="0" fontId="3" fillId="3" borderId="7" xfId="0" applyFont="1" applyFill="1" applyBorder="1"/>
    <xf numFmtId="165" fontId="3" fillId="3" borderId="7" xfId="0" applyNumberFormat="1" applyFont="1" applyFill="1" applyBorder="1" applyAlignment="1">
      <alignment horizontal="right"/>
    </xf>
    <xf numFmtId="0" fontId="3" fillId="5" borderId="7" xfId="0" applyFont="1" applyFill="1" applyBorder="1"/>
    <xf numFmtId="0" fontId="6" fillId="5" borderId="7" xfId="0" applyFont="1" applyFill="1" applyBorder="1"/>
    <xf numFmtId="0" fontId="6" fillId="5" borderId="7" xfId="0" applyFont="1" applyFill="1" applyBorder="1" applyAlignment="1">
      <alignment horizontal="center"/>
    </xf>
    <xf numFmtId="168" fontId="7" fillId="13" borderId="9" xfId="0" applyNumberFormat="1" applyFont="1" applyFill="1" applyBorder="1" applyAlignment="1">
      <alignment horizontal="right"/>
    </xf>
    <xf numFmtId="0" fontId="7" fillId="13" borderId="10" xfId="0" applyFont="1" applyFill="1" applyBorder="1"/>
    <xf numFmtId="165" fontId="7" fillId="13" borderId="10" xfId="0" applyNumberFormat="1" applyFont="1" applyFill="1" applyBorder="1" applyAlignment="1">
      <alignment horizontal="right"/>
    </xf>
    <xf numFmtId="0" fontId="24" fillId="13" borderId="11" xfId="0" applyFont="1" applyFill="1" applyBorder="1" applyAlignment="1">
      <alignment horizontal="center"/>
    </xf>
    <xf numFmtId="168" fontId="6" fillId="3" borderId="6" xfId="0" applyNumberFormat="1" applyFont="1" applyFill="1" applyBorder="1" applyAlignment="1">
      <alignment horizontal="right"/>
    </xf>
    <xf numFmtId="165" fontId="6" fillId="3" borderId="7" xfId="0" applyNumberFormat="1" applyFont="1" applyFill="1" applyBorder="1" applyAlignment="1">
      <alignment horizontal="right"/>
    </xf>
    <xf numFmtId="0" fontId="6" fillId="6" borderId="7" xfId="0" applyFont="1" applyFill="1" applyBorder="1"/>
    <xf numFmtId="0" fontId="24" fillId="4" borderId="8" xfId="0" applyFont="1" applyFill="1" applyBorder="1" applyAlignment="1">
      <alignment horizontal="center"/>
    </xf>
    <xf numFmtId="0" fontId="6" fillId="0" borderId="7" xfId="0" applyFont="1" applyBorder="1"/>
    <xf numFmtId="168" fontId="8" fillId="13" borderId="6" xfId="0" applyNumberFormat="1" applyFont="1" applyFill="1" applyBorder="1" applyAlignment="1">
      <alignment horizontal="right"/>
    </xf>
    <xf numFmtId="0" fontId="8" fillId="13" borderId="7" xfId="0" applyFont="1" applyFill="1" applyBorder="1"/>
    <xf numFmtId="165" fontId="8" fillId="13" borderId="7" xfId="0" applyNumberFormat="1" applyFont="1" applyFill="1" applyBorder="1" applyAlignment="1">
      <alignment horizontal="right"/>
    </xf>
    <xf numFmtId="0" fontId="24" fillId="4" borderId="11" xfId="0" applyFont="1" applyFill="1" applyBorder="1" applyAlignment="1">
      <alignment horizontal="center"/>
    </xf>
    <xf numFmtId="168" fontId="7" fillId="3" borderId="6" xfId="0" applyNumberFormat="1" applyFont="1" applyFill="1" applyBorder="1" applyAlignment="1">
      <alignment horizontal="right"/>
    </xf>
    <xf numFmtId="0" fontId="7" fillId="3" borderId="7" xfId="0" applyFont="1" applyFill="1" applyBorder="1"/>
    <xf numFmtId="165" fontId="7" fillId="3" borderId="7" xfId="0" applyNumberFormat="1" applyFont="1" applyFill="1" applyBorder="1" applyAlignment="1">
      <alignment horizontal="right"/>
    </xf>
    <xf numFmtId="168" fontId="7" fillId="13" borderId="6" xfId="0" applyNumberFormat="1" applyFont="1" applyFill="1" applyBorder="1" applyAlignment="1">
      <alignment horizontal="right"/>
    </xf>
    <xf numFmtId="0" fontId="7" fillId="13" borderId="7" xfId="0" applyFont="1" applyFill="1" applyBorder="1"/>
    <xf numFmtId="165" fontId="7" fillId="13" borderId="7" xfId="0" applyNumberFormat="1" applyFont="1" applyFill="1" applyBorder="1" applyAlignment="1">
      <alignment horizontal="right"/>
    </xf>
    <xf numFmtId="168" fontId="7" fillId="3" borderId="9" xfId="0" applyNumberFormat="1" applyFont="1" applyFill="1" applyBorder="1" applyAlignment="1">
      <alignment horizontal="right"/>
    </xf>
    <xf numFmtId="0" fontId="7" fillId="3" borderId="10" xfId="0" applyFont="1" applyFill="1" applyBorder="1"/>
    <xf numFmtId="165" fontId="7" fillId="3" borderId="10" xfId="0" applyNumberFormat="1" applyFont="1" applyFill="1" applyBorder="1" applyAlignment="1">
      <alignment horizontal="right"/>
    </xf>
    <xf numFmtId="168" fontId="6" fillId="3" borderId="22" xfId="0" applyNumberFormat="1" applyFont="1" applyFill="1" applyBorder="1" applyAlignment="1">
      <alignment horizontal="right"/>
    </xf>
    <xf numFmtId="168" fontId="6" fillId="3" borderId="23" xfId="0" applyNumberFormat="1" applyFont="1" applyFill="1" applyBorder="1" applyAlignment="1">
      <alignment horizontal="right"/>
    </xf>
    <xf numFmtId="166" fontId="6" fillId="3" borderId="10" xfId="0" applyNumberFormat="1" applyFont="1" applyFill="1" applyBorder="1" applyAlignment="1">
      <alignment horizontal="right"/>
    </xf>
    <xf numFmtId="168" fontId="10" fillId="13" borderId="9" xfId="0" applyNumberFormat="1" applyFont="1" applyFill="1" applyBorder="1" applyAlignment="1">
      <alignment horizontal="right"/>
    </xf>
    <xf numFmtId="0" fontId="10" fillId="13" borderId="10" xfId="0" applyFont="1" applyFill="1" applyBorder="1"/>
    <xf numFmtId="165" fontId="10" fillId="13" borderId="10" xfId="0" applyNumberFormat="1" applyFont="1" applyFill="1" applyBorder="1" applyAlignment="1">
      <alignment horizontal="right"/>
    </xf>
    <xf numFmtId="0" fontId="6" fillId="3" borderId="12" xfId="0" applyFont="1" applyFill="1" applyBorder="1" applyAlignment="1">
      <alignment horizontal="center"/>
    </xf>
    <xf numFmtId="168" fontId="3" fillId="3" borderId="22" xfId="0" applyNumberFormat="1" applyFont="1" applyFill="1" applyBorder="1" applyAlignment="1">
      <alignment horizontal="right"/>
    </xf>
    <xf numFmtId="0" fontId="3" fillId="10" borderId="7" xfId="0" applyFont="1" applyFill="1" applyBorder="1"/>
    <xf numFmtId="166" fontId="3" fillId="10" borderId="7" xfId="0" applyNumberFormat="1" applyFont="1" applyFill="1" applyBorder="1"/>
    <xf numFmtId="0" fontId="6" fillId="10" borderId="7" xfId="0" applyFont="1" applyFill="1" applyBorder="1"/>
    <xf numFmtId="0" fontId="6" fillId="3" borderId="7" xfId="0" applyFont="1" applyFill="1" applyBorder="1" applyAlignment="1">
      <alignment horizontal="center"/>
    </xf>
    <xf numFmtId="168" fontId="6" fillId="0" borderId="6" xfId="0" applyNumberFormat="1" applyFont="1" applyBorder="1" applyAlignment="1">
      <alignment horizontal="right"/>
    </xf>
    <xf numFmtId="165" fontId="6" fillId="0" borderId="7" xfId="0" applyNumberFormat="1" applyFont="1" applyBorder="1" applyAlignment="1">
      <alignment horizontal="right"/>
    </xf>
    <xf numFmtId="0" fontId="6" fillId="13" borderId="12" xfId="0" applyFont="1" applyFill="1" applyBorder="1" applyAlignment="1">
      <alignment horizontal="center"/>
    </xf>
    <xf numFmtId="168" fontId="6" fillId="0" borderId="22" xfId="0" applyNumberFormat="1" applyFont="1" applyBorder="1" applyAlignment="1">
      <alignment horizontal="right"/>
    </xf>
    <xf numFmtId="0" fontId="24" fillId="9" borderId="8" xfId="0" applyFont="1" applyFill="1" applyBorder="1" applyAlignment="1">
      <alignment horizontal="center"/>
    </xf>
    <xf numFmtId="168" fontId="6" fillId="0" borderId="9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8" fontId="6" fillId="13" borderId="13" xfId="0" applyNumberFormat="1" applyFont="1" applyFill="1" applyBorder="1" applyAlignment="1">
      <alignment horizontal="right"/>
    </xf>
    <xf numFmtId="0" fontId="6" fillId="13" borderId="14" xfId="0" applyFont="1" applyFill="1" applyBorder="1"/>
    <xf numFmtId="165" fontId="6" fillId="13" borderId="14" xfId="0" applyNumberFormat="1" applyFont="1" applyFill="1" applyBorder="1" applyAlignment="1">
      <alignment horizontal="right"/>
    </xf>
    <xf numFmtId="168" fontId="6" fillId="13" borderId="15" xfId="0" applyNumberFormat="1" applyFont="1" applyFill="1" applyBorder="1" applyAlignment="1">
      <alignment horizontal="right"/>
    </xf>
    <xf numFmtId="0" fontId="6" fillId="13" borderId="16" xfId="0" applyFont="1" applyFill="1" applyBorder="1"/>
    <xf numFmtId="165" fontId="6" fillId="13" borderId="16" xfId="0" applyNumberFormat="1" applyFont="1" applyFill="1" applyBorder="1" applyAlignment="1">
      <alignment horizontal="right"/>
    </xf>
    <xf numFmtId="0" fontId="30" fillId="13" borderId="0" xfId="0" applyFont="1" applyFill="1"/>
    <xf numFmtId="168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/>
    <xf numFmtId="0" fontId="30" fillId="5" borderId="0" xfId="0" applyFont="1" applyFill="1"/>
    <xf numFmtId="0" fontId="6" fillId="13" borderId="17" xfId="0" applyFont="1" applyFill="1" applyBorder="1"/>
    <xf numFmtId="0" fontId="30" fillId="13" borderId="17" xfId="0" applyFont="1" applyFill="1" applyBorder="1"/>
    <xf numFmtId="166" fontId="6" fillId="13" borderId="0" xfId="0" applyNumberFormat="1" applyFont="1" applyFill="1"/>
    <xf numFmtId="0" fontId="10" fillId="13" borderId="2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31" fillId="13" borderId="0" xfId="0" applyFont="1" applyFill="1"/>
    <xf numFmtId="165" fontId="32" fillId="0" borderId="0" xfId="0" applyNumberFormat="1" applyFont="1" applyAlignment="1">
      <alignment horizontal="right"/>
    </xf>
    <xf numFmtId="168" fontId="3" fillId="6" borderId="6" xfId="0" applyNumberFormat="1" applyFont="1" applyFill="1" applyBorder="1" applyAlignment="1">
      <alignment horizontal="right"/>
    </xf>
    <xf numFmtId="0" fontId="3" fillId="6" borderId="7" xfId="0" applyFont="1" applyFill="1" applyBorder="1"/>
    <xf numFmtId="165" fontId="3" fillId="6" borderId="7" xfId="0" applyNumberFormat="1" applyFont="1" applyFill="1" applyBorder="1" applyAlignment="1">
      <alignment horizontal="right"/>
    </xf>
    <xf numFmtId="168" fontId="3" fillId="13" borderId="9" xfId="0" applyNumberFormat="1" applyFont="1" applyFill="1" applyBorder="1" applyAlignment="1">
      <alignment horizontal="right"/>
    </xf>
    <xf numFmtId="0" fontId="3" fillId="13" borderId="10" xfId="0" applyFont="1" applyFill="1" applyBorder="1"/>
    <xf numFmtId="165" fontId="3" fillId="13" borderId="10" xfId="0" applyNumberFormat="1" applyFont="1" applyFill="1" applyBorder="1" applyAlignment="1">
      <alignment horizontal="right"/>
    </xf>
    <xf numFmtId="168" fontId="3" fillId="13" borderId="6" xfId="0" applyNumberFormat="1" applyFont="1" applyFill="1" applyBorder="1" applyAlignment="1">
      <alignment horizontal="right"/>
    </xf>
    <xf numFmtId="0" fontId="3" fillId="13" borderId="7" xfId="0" applyFont="1" applyFill="1" applyBorder="1"/>
    <xf numFmtId="165" fontId="3" fillId="13" borderId="7" xfId="0" applyNumberFormat="1" applyFont="1" applyFill="1" applyBorder="1" applyAlignment="1">
      <alignment horizontal="right"/>
    </xf>
    <xf numFmtId="0" fontId="20" fillId="13" borderId="8" xfId="0" applyFont="1" applyFill="1" applyBorder="1" applyAlignment="1">
      <alignment horizontal="center"/>
    </xf>
    <xf numFmtId="0" fontId="22" fillId="13" borderId="0" xfId="0" applyFont="1" applyFill="1"/>
    <xf numFmtId="0" fontId="22" fillId="13" borderId="2" xfId="0" applyFont="1" applyFill="1" applyBorder="1" applyAlignment="1">
      <alignment horizontal="center"/>
    </xf>
    <xf numFmtId="165" fontId="22" fillId="13" borderId="0" xfId="0" applyNumberFormat="1" applyFont="1" applyFill="1" applyAlignment="1">
      <alignment horizontal="right"/>
    </xf>
    <xf numFmtId="168" fontId="24" fillId="13" borderId="0" xfId="0" applyNumberFormat="1" applyFont="1" applyFill="1" applyAlignment="1">
      <alignment horizontal="right"/>
    </xf>
    <xf numFmtId="0" fontId="24" fillId="13" borderId="0" xfId="0" applyFont="1" applyFill="1"/>
    <xf numFmtId="165" fontId="24" fillId="13" borderId="0" xfId="0" applyNumberFormat="1" applyFont="1" applyFill="1" applyAlignment="1">
      <alignment horizontal="right"/>
    </xf>
    <xf numFmtId="0" fontId="22" fillId="13" borderId="4" xfId="0" applyFont="1" applyFill="1" applyBorder="1" applyAlignment="1">
      <alignment horizontal="center"/>
    </xf>
    <xf numFmtId="165" fontId="33" fillId="13" borderId="0" xfId="0" applyNumberFormat="1" applyFont="1" applyFill="1" applyAlignment="1">
      <alignment horizontal="right"/>
    </xf>
    <xf numFmtId="0" fontId="34" fillId="13" borderId="0" xfId="0" applyFont="1" applyFill="1"/>
    <xf numFmtId="0" fontId="22" fillId="0" borderId="0" xfId="0" applyFont="1"/>
    <xf numFmtId="165" fontId="22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0" fontId="24" fillId="0" borderId="0" xfId="0" applyFont="1"/>
    <xf numFmtId="165" fontId="24" fillId="0" borderId="0" xfId="0" applyNumberFormat="1" applyFont="1" applyAlignment="1">
      <alignment horizontal="right"/>
    </xf>
    <xf numFmtId="0" fontId="24" fillId="3" borderId="0" xfId="0" applyFont="1" applyFill="1" applyAlignment="1">
      <alignment horizontal="center"/>
    </xf>
    <xf numFmtId="0" fontId="33" fillId="0" borderId="0" xfId="0" applyFont="1"/>
    <xf numFmtId="0" fontId="36" fillId="0" borderId="0" xfId="0" applyFont="1"/>
    <xf numFmtId="165" fontId="30" fillId="13" borderId="0" xfId="0" applyNumberFormat="1" applyFont="1" applyFill="1" applyAlignment="1">
      <alignment horizontal="right"/>
    </xf>
    <xf numFmtId="0" fontId="30" fillId="0" borderId="0" xfId="0" applyFont="1"/>
    <xf numFmtId="165" fontId="30" fillId="0" borderId="0" xfId="0" applyNumberFormat="1" applyFont="1" applyAlignment="1">
      <alignment horizontal="right"/>
    </xf>
    <xf numFmtId="0" fontId="3" fillId="13" borderId="2" xfId="0" applyFont="1" applyFill="1" applyBorder="1" applyAlignment="1">
      <alignment horizontal="center"/>
    </xf>
    <xf numFmtId="0" fontId="30" fillId="13" borderId="0" xfId="0" applyFont="1" applyFill="1" applyAlignment="1">
      <alignment horizontal="right"/>
    </xf>
    <xf numFmtId="168" fontId="3" fillId="6" borderId="15" xfId="0" applyNumberFormat="1" applyFont="1" applyFill="1" applyBorder="1" applyAlignment="1">
      <alignment horizontal="right"/>
    </xf>
    <xf numFmtId="0" fontId="3" fillId="6" borderId="24" xfId="0" applyFont="1" applyFill="1" applyBorder="1"/>
    <xf numFmtId="0" fontId="6" fillId="6" borderId="24" xfId="0" applyFont="1" applyFill="1" applyBorder="1"/>
    <xf numFmtId="165" fontId="3" fillId="6" borderId="24" xfId="0" applyNumberFormat="1" applyFont="1" applyFill="1" applyBorder="1" applyAlignment="1">
      <alignment horizontal="right"/>
    </xf>
    <xf numFmtId="0" fontId="3" fillId="6" borderId="16" xfId="0" applyFont="1" applyFill="1" applyBorder="1"/>
    <xf numFmtId="0" fontId="30" fillId="6" borderId="0" xfId="0" applyFont="1" applyFill="1"/>
    <xf numFmtId="0" fontId="26" fillId="13" borderId="18" xfId="0" applyFont="1" applyFill="1" applyBorder="1" applyAlignment="1">
      <alignment horizontal="center"/>
    </xf>
    <xf numFmtId="0" fontId="26" fillId="13" borderId="19" xfId="0" applyFont="1" applyFill="1" applyBorder="1" applyAlignment="1">
      <alignment horizontal="center"/>
    </xf>
    <xf numFmtId="168" fontId="3" fillId="13" borderId="20" xfId="0" applyNumberFormat="1" applyFont="1" applyFill="1" applyBorder="1" applyAlignment="1">
      <alignment horizontal="right"/>
    </xf>
    <xf numFmtId="0" fontId="3" fillId="13" borderId="21" xfId="0" applyFont="1" applyFill="1" applyBorder="1"/>
    <xf numFmtId="0" fontId="6" fillId="13" borderId="21" xfId="0" applyFont="1" applyFill="1" applyBorder="1"/>
    <xf numFmtId="165" fontId="3" fillId="13" borderId="21" xfId="0" applyNumberFormat="1" applyFont="1" applyFill="1" applyBorder="1" applyAlignment="1">
      <alignment horizontal="right"/>
    </xf>
    <xf numFmtId="0" fontId="10" fillId="0" borderId="0" xfId="0" applyFont="1"/>
    <xf numFmtId="168" fontId="6" fillId="11" borderId="0" xfId="0" applyNumberFormat="1" applyFont="1" applyFill="1" applyAlignment="1">
      <alignment horizontal="right"/>
    </xf>
    <xf numFmtId="0" fontId="6" fillId="11" borderId="0" xfId="0" applyFont="1" applyFill="1"/>
    <xf numFmtId="165" fontId="6" fillId="11" borderId="0" xfId="0" applyNumberFormat="1" applyFont="1" applyFill="1" applyAlignment="1">
      <alignment horizontal="right"/>
    </xf>
    <xf numFmtId="168" fontId="3" fillId="5" borderId="9" xfId="0" applyNumberFormat="1" applyFont="1" applyFill="1" applyBorder="1" applyAlignment="1">
      <alignment horizontal="right"/>
    </xf>
    <xf numFmtId="0" fontId="3" fillId="5" borderId="10" xfId="0" applyFont="1" applyFill="1" applyBorder="1"/>
    <xf numFmtId="165" fontId="3" fillId="5" borderId="10" xfId="0" applyNumberFormat="1" applyFont="1" applyFill="1" applyBorder="1" applyAlignment="1">
      <alignment horizontal="right"/>
    </xf>
    <xf numFmtId="0" fontId="6" fillId="5" borderId="10" xfId="0" applyFont="1" applyFill="1" applyBorder="1"/>
    <xf numFmtId="0" fontId="6" fillId="13" borderId="0" xfId="0" applyFont="1" applyFill="1" applyAlignment="1">
      <alignment vertical="top"/>
    </xf>
    <xf numFmtId="168" fontId="3" fillId="5" borderId="15" xfId="0" applyNumberFormat="1" applyFont="1" applyFill="1" applyBorder="1" applyAlignment="1">
      <alignment horizontal="right"/>
    </xf>
    <xf numFmtId="0" fontId="3" fillId="5" borderId="24" xfId="0" applyFont="1" applyFill="1" applyBorder="1"/>
    <xf numFmtId="0" fontId="6" fillId="5" borderId="24" xfId="0" applyFont="1" applyFill="1" applyBorder="1"/>
    <xf numFmtId="165" fontId="3" fillId="5" borderId="24" xfId="0" applyNumberFormat="1" applyFont="1" applyFill="1" applyBorder="1" applyAlignment="1">
      <alignment horizontal="right"/>
    </xf>
    <xf numFmtId="167" fontId="6" fillId="3" borderId="0" xfId="0" applyNumberFormat="1" applyFont="1" applyFill="1"/>
    <xf numFmtId="0" fontId="3" fillId="12" borderId="0" xfId="0" applyFont="1" applyFill="1" applyAlignment="1">
      <alignment horizontal="center"/>
    </xf>
    <xf numFmtId="0" fontId="15" fillId="15" borderId="5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38" fillId="3" borderId="5" xfId="0" applyFont="1" applyFill="1" applyBorder="1" applyAlignment="1">
      <alignment horizontal="center"/>
    </xf>
    <xf numFmtId="0" fontId="38" fillId="3" borderId="5" xfId="0" applyFont="1" applyFill="1" applyBorder="1" applyAlignment="1">
      <alignment horizontal="center" vertical="top"/>
    </xf>
    <xf numFmtId="0" fontId="46" fillId="16" borderId="0" xfId="0" applyFont="1" applyFill="1" applyAlignment="1">
      <alignment horizontal="center" vertical="center"/>
    </xf>
    <xf numFmtId="0" fontId="47" fillId="0" borderId="0" xfId="1" applyFont="1"/>
    <xf numFmtId="0" fontId="48" fillId="17" borderId="27" xfId="1" applyFont="1" applyFill="1" applyBorder="1" applyAlignment="1">
      <alignment horizontal="center" vertical="center" wrapText="1"/>
    </xf>
    <xf numFmtId="0" fontId="50" fillId="0" borderId="27" xfId="1" applyFont="1" applyBorder="1" applyAlignment="1">
      <alignment horizontal="center" vertical="center"/>
    </xf>
    <xf numFmtId="0" fontId="51" fillId="17" borderId="27" xfId="1" applyFont="1" applyFill="1" applyBorder="1" applyAlignment="1">
      <alignment horizontal="center" vertical="center" wrapText="1"/>
    </xf>
    <xf numFmtId="0" fontId="53" fillId="17" borderId="27" xfId="1" applyFont="1" applyFill="1" applyBorder="1" applyAlignment="1">
      <alignment horizontal="center" vertical="center" wrapText="1"/>
    </xf>
    <xf numFmtId="0" fontId="44" fillId="0" borderId="0" xfId="0" applyFont="1"/>
    <xf numFmtId="0" fontId="55" fillId="4" borderId="0" xfId="0" applyFont="1" applyFill="1" applyAlignment="1">
      <alignment vertical="center"/>
    </xf>
    <xf numFmtId="0" fontId="58" fillId="18" borderId="0" xfId="1" applyFont="1" applyFill="1" applyAlignment="1">
      <alignment horizontal="center" vertical="center" wrapText="1"/>
    </xf>
    <xf numFmtId="0" fontId="59" fillId="17" borderId="27" xfId="0" applyFont="1" applyFill="1" applyBorder="1" applyAlignment="1">
      <alignment horizontal="center"/>
    </xf>
    <xf numFmtId="0" fontId="60" fillId="17" borderId="27" xfId="0" applyFont="1" applyFill="1" applyBorder="1" applyAlignment="1">
      <alignment horizontal="center"/>
    </xf>
    <xf numFmtId="0" fontId="44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62" fillId="0" borderId="0" xfId="0" applyFont="1"/>
    <xf numFmtId="0" fontId="55" fillId="0" borderId="0" xfId="0" applyFont="1"/>
    <xf numFmtId="0" fontId="6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5" fillId="19" borderId="0" xfId="0" applyFont="1" applyFill="1" applyAlignment="1">
      <alignment horizontal="center" vertical="center"/>
    </xf>
    <xf numFmtId="0" fontId="15" fillId="14" borderId="25" xfId="0" applyFont="1" applyFill="1" applyBorder="1" applyAlignment="1">
      <alignment horizontal="center"/>
    </xf>
    <xf numFmtId="0" fontId="37" fillId="0" borderId="26" xfId="0" applyFont="1" applyBorder="1"/>
    <xf numFmtId="0" fontId="6" fillId="0" borderId="0" xfId="0" applyFont="1"/>
    <xf numFmtId="0" fontId="0" fillId="0" borderId="0" xfId="0"/>
    <xf numFmtId="0" fontId="6" fillId="13" borderId="0" xfId="0" applyFont="1" applyFill="1"/>
    <xf numFmtId="0" fontId="6" fillId="3" borderId="0" xfId="0" applyFont="1" applyFill="1"/>
    <xf numFmtId="0" fontId="3" fillId="5" borderId="0" xfId="0" applyFont="1" applyFill="1"/>
    <xf numFmtId="0" fontId="7" fillId="13" borderId="0" xfId="0" applyFont="1" applyFill="1"/>
    <xf numFmtId="0" fontId="9" fillId="13" borderId="0" xfId="0" applyFont="1" applyFill="1"/>
    <xf numFmtId="0" fontId="3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10" fillId="13" borderId="0" xfId="0" applyFont="1" applyFill="1"/>
    <xf numFmtId="0" fontId="6" fillId="0" borderId="0" xfId="0" applyFont="1" applyAlignment="1">
      <alignment vertical="top"/>
    </xf>
    <xf numFmtId="0" fontId="33" fillId="13" borderId="0" xfId="0" applyFont="1" applyFill="1"/>
    <xf numFmtId="0" fontId="35" fillId="13" borderId="0" xfId="0" applyFont="1" applyFill="1"/>
    <xf numFmtId="0" fontId="30" fillId="13" borderId="0" xfId="0" applyFont="1" applyFill="1"/>
    <xf numFmtId="0" fontId="6" fillId="3" borderId="0" xfId="0" applyFont="1" applyFill="1" applyAlignment="1">
      <alignment vertical="top"/>
    </xf>
    <xf numFmtId="0" fontId="6" fillId="12" borderId="0" xfId="0" applyFont="1" applyFill="1" applyAlignment="1">
      <alignment vertical="top"/>
    </xf>
    <xf numFmtId="0" fontId="3" fillId="13" borderId="0" xfId="0" applyFont="1" applyFill="1"/>
    <xf numFmtId="0" fontId="9" fillId="3" borderId="0" xfId="0" applyFont="1" applyFill="1"/>
    <xf numFmtId="0" fontId="10" fillId="3" borderId="0" xfId="0" applyFont="1" applyFill="1"/>
  </cellXfs>
  <cellStyles count="2">
    <cellStyle name="Normal" xfId="0" builtinId="0"/>
    <cellStyle name="표준 2" xfId="1" xr:uid="{4B5C7B74-76E2-434C-B0D4-7DC22EEA33FD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4:W932">
  <autoFilter ref="A4:W932" xr:uid="{00000000-0009-0000-0100-000001000000}">
    <filterColumn colId="16">
      <filters>
        <filter val="등록"/>
        <filter val="등록(갓샌즈 등록 필요)"/>
        <filter val="미등록(메일 보냄)"/>
      </filters>
    </filterColumn>
  </autoFilter>
  <tableColumns count="23">
    <tableColumn id="1" xr3:uid="{00000000-0010-0000-0000-000001000000}" name="Timestamp"/>
    <tableColumn id="2" xr3:uid="{00000000-0010-0000-0000-000002000000}" name="1. Name_x000a_As it appears on your passport"/>
    <tableColumn id="3" xr3:uid="{00000000-0010-0000-0000-000003000000}" name="2. Name (Korean):"/>
    <tableColumn id="4" xr3:uid="{00000000-0010-0000-0000-000004000000}" name="3. Gender:  "/>
    <tableColumn id="5" xr3:uid="{00000000-0010-0000-0000-000005000000}" name="4.  Date of Birth: (MM-DD-YYYY)"/>
    <tableColumn id="6" xr3:uid="{00000000-0010-0000-0000-000006000000}" name="5. Nationality_x000a__x000a_As it appears on your passport"/>
    <tableColumn id="7" xr3:uid="{00000000-0010-0000-0000-000007000000}" name="6. Affiliation_x000a_School/Institution/Organization Name"/>
    <tableColumn id="8" xr3:uid="{00000000-0010-0000-0000-000008000000}" name="7. Title/Position"/>
    <tableColumn id="9" xr3:uid="{00000000-0010-0000-0000-000009000000}" name="8. World Bank Category_x000a_Found on your Registration Tab"/>
    <tableColumn id="10" xr3:uid="{00000000-0010-0000-0000-00000A000000}" name="9. Email Address_x000a_Must be the same email used for registration"/>
    <tableColumn id="11" xr3:uid="{00000000-0010-0000-0000-00000B000000}" name="10. ICMDA Event You Plan to Attend"/>
    <tableColumn id="12" xr3:uid="{00000000-0010-0000-0000-00000C000000}" name="11. Free Accommodation Request Dates"/>
    <tableColumn id="13" xr3:uid="{00000000-0010-0000-0000-00000D000000}" name="12.   Accompanying Family Member(s)(Name/Gender/Relationship):_x000a_Are you bringing family member(s)? If yes, please indicate how many will accompany you and provide their name, gender, and relationship_x000a_(ex: 1, John Doe, male, husband, John_D@gmail.com)"/>
    <tableColumn id="14" xr3:uid="{00000000-0010-0000-0000-00000E000000}" name="동반자 전체 요악"/>
    <tableColumn id="15" xr3:uid="{00000000-0010-0000-0000-00000F000000}" name="본인 포함 총 인원(가족 단위 경우만)"/>
    <tableColumn id="16" xr3:uid="{00000000-0010-0000-0000-000010000000}" name="13. Consent for Personal Information Use_x000a_I hereby consent to the collection and use of the personal information provided above for the purpose of evaluating my application for ICMDA free accommodation and for related communications. "/>
    <tableColumn id="17" xr3:uid="{00000000-0010-0000-0000-000011000000}" name="등록판정"/>
    <tableColumn id="18" xr3:uid="{00000000-0010-0000-0000-000012000000}" name="Paid"/>
    <tableColumn id="19" xr3:uid="{00000000-0010-0000-0000-000013000000}" name="매칭된 godsends 이름"/>
    <tableColumn id="20" xr3:uid="{00000000-0010-0000-0000-000014000000}" name="매칭된 godsends 생년월일"/>
    <tableColumn id="21" xr3:uid="{00000000-0010-0000-0000-000015000000}" name="매칭된 godsends 이메일"/>
    <tableColumn id="22" xr3:uid="{00000000-0010-0000-0000-000016000000}" name="판정 근거"/>
    <tableColumn id="23" xr3:uid="{00000000-0010-0000-0000-000017000000}" name="Column 1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5B331-C876-4DA6-8DD3-AB8030CC3D8A}" name="Form_Responses3" displayName="Form_Responses3" ref="A4:W580">
  <autoFilter ref="A4:W580" xr:uid="{00000000-0009-0000-0100-000001000000}"/>
  <tableColumns count="23">
    <tableColumn id="1" xr3:uid="{B09481ED-537F-4443-8981-FFBBB293B6DE}" name="Timestamp"/>
    <tableColumn id="2" xr3:uid="{94CA415E-91A5-426D-9EEF-03D34DA2C58D}" name="1. Name_x000a_As it appears on your passport"/>
    <tableColumn id="3" xr3:uid="{32A5EAC1-50A5-4672-9F8A-1108EFD0C4C9}" name="2. Name (Korean):"/>
    <tableColumn id="4" xr3:uid="{B044814C-EFFA-43A8-8D87-6F5DBF2C2A25}" name="3. Gender:  "/>
    <tableColumn id="5" xr3:uid="{E23AE57F-7E72-4FB4-8917-9DB4C5DC8575}" name="4.  Date of Birth: (MM-DD-YYYY)"/>
    <tableColumn id="6" xr3:uid="{FC0BD5C8-9A73-40A6-B5EA-2EDB67F17F3A}" name="5. Nationality_x000a__x000a_As it appears on your passport"/>
    <tableColumn id="7" xr3:uid="{67E02227-9015-4448-9DE9-05D3895D10DB}" name="6. Affiliation_x000a_School/Institution/Organization Name"/>
    <tableColumn id="8" xr3:uid="{567FC5B9-1051-4E21-BF9D-CE1ED5F941F5}" name="7. Title/Position"/>
    <tableColumn id="9" xr3:uid="{53E9AFC2-5E17-49C2-B396-216738A3E3E8}" name="8. World Bank Category_x000a_Found on your Registration Tab"/>
    <tableColumn id="10" xr3:uid="{52951438-8FDC-4B47-B380-B4757E6DC725}" name="9. Email Address_x000a_Must be the same email used for registration"/>
    <tableColumn id="11" xr3:uid="{4355DB58-1C4A-4531-AFE2-CB4CC6782E57}" name="10. ICMDA Event You Plan to Attend"/>
    <tableColumn id="12" xr3:uid="{9F912A32-FF34-4E94-9FBE-B4873F3D2506}" name="11. Free Accommodation Request Dates"/>
    <tableColumn id="13" xr3:uid="{F054CB3C-6E60-4230-ADCF-BEFC7A98247D}" name="12.   Accompanying Family Member(s)(Name/Gender/Relationship):_x000a_Are you bringing family member(s)? If yes, please indicate how many will accompany you and provide their name, gender, and relationship_x000a_(ex: 1, John Doe, male, husband, John_D@gmail.com)"/>
    <tableColumn id="14" xr3:uid="{4A3030D7-E45C-4326-8634-B00771F8D932}" name="동반자 전체 요악"/>
    <tableColumn id="15" xr3:uid="{8365BD9F-9B49-48FC-8772-ED1EC4A293A0}" name="본인 포함 총 인원(가족 단위 경우만)"/>
    <tableColumn id="16" xr3:uid="{E6E3B6E6-E04B-4F08-BA66-B070B37A9870}" name="13. Consent for Personal Information Use_x000a_I hereby consent to the collection and use of the personal information provided above for the purpose of evaluating my application for ICMDA free accommodation and for related communications. "/>
    <tableColumn id="17" xr3:uid="{726B2713-DEBF-4E89-890D-E9ECC5630440}" name="등록판정"/>
    <tableColumn id="18" xr3:uid="{693D1459-7DBE-4885-AACF-241CB4F85C0E}" name="Paid"/>
    <tableColumn id="19" xr3:uid="{10CB7BC9-C696-442E-B5C7-D4D4BFB01F18}" name="매칭된 godsends 이름"/>
    <tableColumn id="20" xr3:uid="{1335B1FE-ABB9-4F78-94B3-B75ED554556C}" name="매칭된 godsends 생년월일"/>
    <tableColumn id="21" xr3:uid="{5A0E2856-FF16-49B2-AFA4-EC456DB814A8}" name="매칭된 godsends 이메일"/>
    <tableColumn id="22" xr3:uid="{737C6258-186A-461D-B03D-3793FB40FB1B}" name="판정 근거"/>
    <tableColumn id="23" xr3:uid="{3F28FA9D-CE32-46B4-9C8F-582C072DD3DB}" name="Column 1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397823-0E0A-4DAA-B59C-223498A4FD60}" name="Form_Responses35" displayName="Form_Responses35" ref="A8:X35">
  <autoFilter ref="A8:X35" xr:uid="{00000000-0009-0000-0100-000001000000}"/>
  <tableColumns count="24">
    <tableColumn id="1" xr3:uid="{0F8285BC-3B0A-402B-B502-3C8B7D23B9CA}" name="Timestamp"/>
    <tableColumn id="2" xr3:uid="{301EF92A-5226-4B7F-ABED-2652BAB68759}" name="1. Name_x000a_As it appears on your passport"/>
    <tableColumn id="3" xr3:uid="{C6B3C6D1-A5F6-45F8-B174-62D3FFF1F88D}" name="2. Name (Korean):"/>
    <tableColumn id="4" xr3:uid="{F6FB8E2B-8DB1-43F8-B60D-A63EE55A6FED}" name="3. Gender:  "/>
    <tableColumn id="5" xr3:uid="{2029DB51-8AAF-4947-8927-574241566022}" name="4.  Date of Birth: (MM-DD-YYYY)"/>
    <tableColumn id="6" xr3:uid="{04338350-55EE-4441-BCA7-79B334F32840}" name="5. Nationality_x000a__x000a_As it appears on your passport"/>
    <tableColumn id="7" xr3:uid="{17547EAA-66B5-4456-8195-BBF30703903C}" name="6. Affiliation_x000a_School/Institution/Organization Name"/>
    <tableColumn id="8" xr3:uid="{E81A68FF-1C43-47D2-B3D9-770E9D0C1F3C}" name="7. Title/Position"/>
    <tableColumn id="9" xr3:uid="{D9201830-E4D5-41C2-8ADD-633873925309}" name="8. World Bank Category_x000a_Found on your Registration Tab"/>
    <tableColumn id="10" xr3:uid="{5869C865-BCC5-410C-9340-87BB3319C8F5}" name="9. Email Address_x000a_Must be the same email used for registration"/>
    <tableColumn id="11" xr3:uid="{C3113C4D-DAC5-4EA9-8F18-1478D06BD94F}" name="10. ICMDA Event You Plan to Attend"/>
    <tableColumn id="12" xr3:uid="{78A7AF00-9BAD-4B91-B53C-BF2BA4D4FDA1}" name="11. Free Accommodation Request Dates"/>
    <tableColumn id="13" xr3:uid="{E3CF5975-DA9B-4187-8C82-1BBC995623C1}" name="12.   Accompanying Family Member(s)(Name/Gender/Relationship):_x000a_Are you bringing family member(s)? If yes, please indicate how many will accompany you and provide their name, gender, and relationship_x000a_(ex: 1, John Doe, male, husband, John_D@gmail.com)"/>
    <tableColumn id="14" xr3:uid="{21BC2C01-589C-473E-9BBA-D62B1BDD00EA}" name="동반자 전체 요악"/>
    <tableColumn id="15" xr3:uid="{0FD6AA1A-CC6F-44C4-A161-FB7AF968D2D2}" name="본인 포함 총 인원(가족 단위 경우만)"/>
    <tableColumn id="25" xr3:uid="{B41F939D-10D1-41C7-97B4-DE1BA37B3327}" name="인원명" dataDxfId="0">
      <calculatedColumnFormula>VALUE(LEFT(O9,1))</calculatedColumnFormula>
    </tableColumn>
    <tableColumn id="16" xr3:uid="{3D3A49CB-82DD-4F6E-BB99-DEF23133BC4C}" name="13. Consent for Personal Information Use_x000a_I hereby consent to the collection and use of the personal information provided above for the purpose of evaluating my application for ICMDA free accommodation and for related communications. "/>
    <tableColumn id="17" xr3:uid="{EBE14B74-C9F9-445F-A8A9-A46C49C71614}" name="등록판정"/>
    <tableColumn id="18" xr3:uid="{C3F41B31-7910-4AE7-9B1D-435747ACA80A}" name="Paid"/>
    <tableColumn id="19" xr3:uid="{6C5D995D-01DA-4103-B24B-FC46DF3511DA}" name="매칭된 godsends 이름"/>
    <tableColumn id="20" xr3:uid="{1A8A8C20-CB26-485F-AAF3-E256CE127A14}" name="매칭된 godsends 생년월일"/>
    <tableColumn id="21" xr3:uid="{BE4C5AC1-F388-4C4D-B823-03079E14B64F}" name="매칭된 godsends 이메일"/>
    <tableColumn id="22" xr3:uid="{CC3ED31B-4034-403C-8ECD-D12513AA82A8}" name="판정 근거"/>
    <tableColumn id="23" xr3:uid="{36FA0E20-0189-4607-8DF0-D331318DA2B9}" name="Column 1"/>
  </tableColumns>
  <tableStyleInfo name="Form Responses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899DAE-5225-4B18-ACA5-9520AFB67FEE}" name="Form_Responses36" displayName="Form_Responses36" ref="A4:W554">
  <autoFilter ref="A4:W554" xr:uid="{00000000-0009-0000-0100-000001000000}"/>
  <tableColumns count="23">
    <tableColumn id="1" xr3:uid="{F1C0F62D-32B5-4BCF-BFFD-C6516126423B}" name="Timestamp"/>
    <tableColumn id="2" xr3:uid="{C3704F58-95C9-447A-B0EB-645C6D4362D2}" name="1. Name_x000a_As it appears on your passport"/>
    <tableColumn id="3" xr3:uid="{E1FF3E9C-B191-4190-BBE9-00EED092A76A}" name="2. Name (Korean):"/>
    <tableColumn id="4" xr3:uid="{A44DFB95-40AB-4C90-8461-0968647A837B}" name="3. Gender:  "/>
    <tableColumn id="5" xr3:uid="{33483DD7-86C5-45E9-A63E-CCAF48F2B58B}" name="4.  Date of Birth: (MM-DD-YYYY)"/>
    <tableColumn id="6" xr3:uid="{ADF5E01C-96A7-4EDD-9C8D-9DA37E2F8D51}" name="5. Nationality_x000a__x000a_As it appears on your passport"/>
    <tableColumn id="7" xr3:uid="{7B8A528C-B5D3-472A-9D71-5AC24CCDEB41}" name="6. Affiliation_x000a_School/Institution/Organization Name"/>
    <tableColumn id="8" xr3:uid="{7560B02B-2DAC-4AB1-BAEC-5B3C1327A17C}" name="7. Title/Position"/>
    <tableColumn id="9" xr3:uid="{19A49257-9417-4C58-A55E-94C8C1D0505C}" name="8. World Bank Category_x000a_Found on your Registration Tab"/>
    <tableColumn id="10" xr3:uid="{5940A900-77AE-4740-A8C7-BF195D0D928C}" name="9. Email Address_x000a_Must be the same email used for registration"/>
    <tableColumn id="11" xr3:uid="{AAFBC8B7-E38E-47D4-869A-D7058E97116D}" name="10. ICMDA Event You Plan to Attend"/>
    <tableColumn id="12" xr3:uid="{BBA243EA-544E-4F3F-A931-E86A8A05D6A2}" name="11. Free Accommodation Request Dates"/>
    <tableColumn id="13" xr3:uid="{9BD58F72-622A-49BF-8CE5-8C1189C6417B}" name="12.   Accompanying Family Member(s)(Name/Gender/Relationship):_x000a_Are you bringing family member(s)? If yes, please indicate how many will accompany you and provide their name, gender, and relationship_x000a_(ex: 1, John Doe, male, husband, John_D@gmail.com)"/>
    <tableColumn id="14" xr3:uid="{1E3420AC-1F1F-40F0-9AF0-DB423C690401}" name="동반자 전체 요악"/>
    <tableColumn id="15" xr3:uid="{A310D521-FB74-4373-88E1-F4654774E9B4}" name="본인 포함 총 인원(가족 단위 경우만)"/>
    <tableColumn id="16" xr3:uid="{AB7BD9E2-4500-4479-BEC2-DE3DB44A929B}" name="13. Consent for Personal Information Use_x000a_I hereby consent to the collection and use of the personal information provided above for the purpose of evaluating my application for ICMDA free accommodation and for related communications. "/>
    <tableColumn id="17" xr3:uid="{EEA95C4E-204D-4E66-9692-1733FFE610D4}" name="등록판정"/>
    <tableColumn id="18" xr3:uid="{F94850B2-1314-40F3-914E-D01A8311433F}" name="Paid"/>
    <tableColumn id="19" xr3:uid="{E4970792-E74A-45EC-8816-250423DC8566}" name="매칭된 godsends 이름"/>
    <tableColumn id="20" xr3:uid="{5E1A2680-1212-4C5C-BDB7-E5B7A9FCEF0C}" name="매칭된 godsends 생년월일"/>
    <tableColumn id="21" xr3:uid="{C7A79F0C-87CF-4650-B154-7A23642B956E}" name="매칭된 godsends 이메일"/>
    <tableColumn id="22" xr3:uid="{08388FE1-3F92-4BC8-A5E9-C86FE593826F}" name="판정 근거"/>
    <tableColumn id="23" xr3:uid="{4D89BAC0-4132-41DE-B17F-EEC1ADB4EBEC}" name="Column 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avanagmc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pavanagmc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mailto:pavanagm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C220"/>
  <sheetViews>
    <sheetView workbookViewId="0">
      <selection activeCell="E35" sqref="E35"/>
    </sheetView>
  </sheetViews>
  <sheetFormatPr defaultColWidth="12.7109375" defaultRowHeight="15.75" customHeight="1"/>
  <cols>
    <col min="2" max="2" width="26.28515625" customWidth="1"/>
    <col min="3" max="3" width="24.140625" customWidth="1"/>
  </cols>
  <sheetData>
    <row r="2" spans="2:3" ht="15.75" customHeight="1">
      <c r="B2" s="471" t="s">
        <v>4465</v>
      </c>
      <c r="C2" s="472"/>
    </row>
    <row r="3" spans="2:3" ht="15.75" customHeight="1">
      <c r="B3" s="449" t="s">
        <v>4466</v>
      </c>
      <c r="C3" s="449" t="s">
        <v>4467</v>
      </c>
    </row>
    <row r="4" spans="2:3" ht="15.75" customHeight="1">
      <c r="B4" s="450" t="s">
        <v>3317</v>
      </c>
      <c r="C4" s="450" t="s">
        <v>4223</v>
      </c>
    </row>
    <row r="5" spans="2:3" ht="15.75" customHeight="1">
      <c r="B5" s="450" t="s">
        <v>3739</v>
      </c>
      <c r="C5" s="450" t="s">
        <v>4219</v>
      </c>
    </row>
    <row r="6" spans="2:3" ht="15.75" customHeight="1">
      <c r="B6" s="450" t="s">
        <v>1107</v>
      </c>
      <c r="C6" s="450" t="s">
        <v>4219</v>
      </c>
    </row>
    <row r="7" spans="2:3" ht="15.75" customHeight="1">
      <c r="B7" s="450" t="s">
        <v>4468</v>
      </c>
      <c r="C7" s="450" t="s">
        <v>4237</v>
      </c>
    </row>
    <row r="8" spans="2:3" ht="15.75" customHeight="1">
      <c r="B8" s="450" t="s">
        <v>4469</v>
      </c>
      <c r="C8" s="450" t="s">
        <v>4237</v>
      </c>
    </row>
    <row r="9" spans="2:3" ht="15.75" customHeight="1">
      <c r="B9" s="450" t="s">
        <v>4470</v>
      </c>
      <c r="C9" s="450" t="s">
        <v>4219</v>
      </c>
    </row>
    <row r="10" spans="2:3" ht="15.75" customHeight="1">
      <c r="B10" s="450" t="s">
        <v>4471</v>
      </c>
      <c r="C10" s="450" t="s">
        <v>4237</v>
      </c>
    </row>
    <row r="11" spans="2:3" ht="15.75" customHeight="1">
      <c r="B11" s="450" t="s">
        <v>2154</v>
      </c>
      <c r="C11" s="450" t="s">
        <v>4219</v>
      </c>
    </row>
    <row r="12" spans="2:3" ht="15.75" customHeight="1">
      <c r="B12" s="450" t="s">
        <v>3613</v>
      </c>
      <c r="C12" s="450" t="s">
        <v>4219</v>
      </c>
    </row>
    <row r="13" spans="2:3" ht="15.75" customHeight="1">
      <c r="B13" s="450" t="s">
        <v>4472</v>
      </c>
      <c r="C13" s="450" t="s">
        <v>4237</v>
      </c>
    </row>
    <row r="14" spans="2:3" ht="15.75" customHeight="1">
      <c r="B14" s="450" t="s">
        <v>2246</v>
      </c>
      <c r="C14" s="450" t="s">
        <v>4237</v>
      </c>
    </row>
    <row r="15" spans="2:3" ht="15.75" customHeight="1">
      <c r="B15" s="450" t="s">
        <v>4473</v>
      </c>
      <c r="C15" s="450" t="s">
        <v>4237</v>
      </c>
    </row>
    <row r="16" spans="2:3" ht="15.75" customHeight="1">
      <c r="B16" s="450" t="s">
        <v>1249</v>
      </c>
      <c r="C16" s="450" t="s">
        <v>4219</v>
      </c>
    </row>
    <row r="17" spans="2:3" ht="15.75" customHeight="1">
      <c r="B17" s="450" t="s">
        <v>4474</v>
      </c>
      <c r="C17" s="450" t="s">
        <v>4237</v>
      </c>
    </row>
    <row r="18" spans="2:3" ht="15.75" customHeight="1">
      <c r="B18" s="450" t="s">
        <v>3544</v>
      </c>
      <c r="C18" s="450" t="s">
        <v>4219</v>
      </c>
    </row>
    <row r="19" spans="2:3" ht="15.75" customHeight="1">
      <c r="B19" s="450" t="s">
        <v>4475</v>
      </c>
      <c r="C19" s="450" t="s">
        <v>4237</v>
      </c>
    </row>
    <row r="20" spans="2:3" ht="15.75" customHeight="1">
      <c r="B20" s="450" t="s">
        <v>252</v>
      </c>
      <c r="C20" s="450" t="s">
        <v>4219</v>
      </c>
    </row>
    <row r="21" spans="2:3" ht="15.75" customHeight="1">
      <c r="B21" s="450" t="s">
        <v>4476</v>
      </c>
      <c r="C21" s="450" t="s">
        <v>4237</v>
      </c>
    </row>
    <row r="22" spans="2:3" ht="15.75" customHeight="1">
      <c r="B22" s="450" t="s">
        <v>4477</v>
      </c>
      <c r="C22" s="450" t="s">
        <v>4219</v>
      </c>
    </row>
    <row r="23" spans="2:3" ht="15.75" customHeight="1">
      <c r="B23" s="450" t="s">
        <v>513</v>
      </c>
      <c r="C23" s="450" t="s">
        <v>4219</v>
      </c>
    </row>
    <row r="24" spans="2:3" ht="15.75" customHeight="1">
      <c r="B24" s="450" t="s">
        <v>4478</v>
      </c>
      <c r="C24" s="450" t="s">
        <v>4237</v>
      </c>
    </row>
    <row r="25" spans="2:3" ht="15.75" customHeight="1">
      <c r="B25" s="450" t="s">
        <v>1038</v>
      </c>
      <c r="C25" s="450" t="s">
        <v>4219</v>
      </c>
    </row>
    <row r="26" spans="2:3" ht="15.75" customHeight="1">
      <c r="B26" s="450" t="s">
        <v>1387</v>
      </c>
      <c r="C26" s="450" t="s">
        <v>4219</v>
      </c>
    </row>
    <row r="27" spans="2:3" ht="14.25">
      <c r="B27" s="450" t="s">
        <v>4479</v>
      </c>
      <c r="C27" s="450" t="s">
        <v>4219</v>
      </c>
    </row>
    <row r="28" spans="2:3" ht="14.25">
      <c r="B28" s="450" t="s">
        <v>3065</v>
      </c>
      <c r="C28" s="450" t="s">
        <v>4219</v>
      </c>
    </row>
    <row r="29" spans="2:3" ht="14.25">
      <c r="B29" s="450" t="s">
        <v>198</v>
      </c>
      <c r="C29" s="450" t="s">
        <v>4219</v>
      </c>
    </row>
    <row r="30" spans="2:3" ht="14.25">
      <c r="B30" s="450" t="s">
        <v>4480</v>
      </c>
      <c r="C30" s="450" t="s">
        <v>4237</v>
      </c>
    </row>
    <row r="31" spans="2:3" ht="14.25">
      <c r="B31" s="450" t="s">
        <v>4481</v>
      </c>
      <c r="C31" s="450" t="s">
        <v>4237</v>
      </c>
    </row>
    <row r="32" spans="2:3" ht="14.25">
      <c r="B32" s="450" t="s">
        <v>4482</v>
      </c>
      <c r="C32" s="450" t="s">
        <v>4237</v>
      </c>
    </row>
    <row r="33" spans="2:3" ht="14.25">
      <c r="B33" s="450" t="s">
        <v>799</v>
      </c>
      <c r="C33" s="450" t="s">
        <v>4223</v>
      </c>
    </row>
    <row r="34" spans="2:3" ht="14.25">
      <c r="B34" s="450" t="s">
        <v>88</v>
      </c>
      <c r="C34" s="450" t="s">
        <v>4223</v>
      </c>
    </row>
    <row r="35" spans="2:3" ht="14.25">
      <c r="B35" s="450" t="s">
        <v>4483</v>
      </c>
      <c r="C35" s="450" t="s">
        <v>4219</v>
      </c>
    </row>
    <row r="36" spans="2:3" ht="14.25">
      <c r="B36" s="450" t="s">
        <v>980</v>
      </c>
      <c r="C36" s="450" t="s">
        <v>4219</v>
      </c>
    </row>
    <row r="37" spans="2:3" ht="14.25">
      <c r="B37" s="450" t="s">
        <v>274</v>
      </c>
      <c r="C37" s="450" t="s">
        <v>4219</v>
      </c>
    </row>
    <row r="38" spans="2:3" ht="14.25">
      <c r="B38" s="450" t="s">
        <v>955</v>
      </c>
      <c r="C38" s="450" t="s">
        <v>4237</v>
      </c>
    </row>
    <row r="39" spans="2:3" ht="14.25">
      <c r="B39" s="450" t="s">
        <v>4484</v>
      </c>
      <c r="C39" s="450" t="s">
        <v>4237</v>
      </c>
    </row>
    <row r="40" spans="2:3" ht="14.25">
      <c r="B40" s="450" t="s">
        <v>1427</v>
      </c>
      <c r="C40" s="450" t="s">
        <v>4223</v>
      </c>
    </row>
    <row r="41" spans="2:3" ht="14.25">
      <c r="B41" s="450" t="s">
        <v>612</v>
      </c>
      <c r="C41" s="450" t="s">
        <v>4223</v>
      </c>
    </row>
    <row r="42" spans="2:3" ht="14.25">
      <c r="B42" s="450" t="s">
        <v>4485</v>
      </c>
      <c r="C42" s="450" t="s">
        <v>4237</v>
      </c>
    </row>
    <row r="43" spans="2:3" ht="14.25">
      <c r="B43" s="450" t="s">
        <v>4007</v>
      </c>
      <c r="C43" s="450" t="s">
        <v>4237</v>
      </c>
    </row>
    <row r="44" spans="2:3" ht="14.25">
      <c r="B44" s="450" t="s">
        <v>2093</v>
      </c>
      <c r="C44" s="450" t="s">
        <v>4219</v>
      </c>
    </row>
    <row r="45" spans="2:3" ht="14.25">
      <c r="B45" s="450" t="s">
        <v>4486</v>
      </c>
      <c r="C45" s="450" t="s">
        <v>4219</v>
      </c>
    </row>
    <row r="46" spans="2:3" ht="14.25">
      <c r="B46" s="450" t="s">
        <v>4487</v>
      </c>
      <c r="C46" s="450" t="s">
        <v>4219</v>
      </c>
    </row>
    <row r="47" spans="2:3" ht="14.25">
      <c r="B47" s="450" t="s">
        <v>380</v>
      </c>
      <c r="C47" s="450" t="s">
        <v>4223</v>
      </c>
    </row>
    <row r="48" spans="2:3" ht="14.25">
      <c r="B48" s="450" t="s">
        <v>470</v>
      </c>
      <c r="C48" s="450" t="s">
        <v>4219</v>
      </c>
    </row>
    <row r="49" spans="2:3" ht="14.25">
      <c r="B49" s="450" t="s">
        <v>1301</v>
      </c>
      <c r="C49" s="450" t="s">
        <v>4219</v>
      </c>
    </row>
    <row r="50" spans="2:3" ht="14.25">
      <c r="B50" s="451" t="s">
        <v>528</v>
      </c>
      <c r="C50" s="450" t="s">
        <v>4219</v>
      </c>
    </row>
    <row r="51" spans="2:3" ht="14.25">
      <c r="B51" s="451" t="s">
        <v>4488</v>
      </c>
      <c r="C51" s="450" t="s">
        <v>4237</v>
      </c>
    </row>
    <row r="52" spans="2:3" ht="14.25">
      <c r="B52" s="451" t="s">
        <v>1690</v>
      </c>
      <c r="C52" s="450" t="s">
        <v>4219</v>
      </c>
    </row>
    <row r="53" spans="2:3" ht="14.25">
      <c r="B53" s="451" t="s">
        <v>4489</v>
      </c>
      <c r="C53" s="450" t="s">
        <v>4237</v>
      </c>
    </row>
    <row r="54" spans="2:3" ht="14.25">
      <c r="B54" s="451" t="s">
        <v>4490</v>
      </c>
      <c r="C54" s="450" t="s">
        <v>4237</v>
      </c>
    </row>
    <row r="55" spans="2:3" ht="14.25">
      <c r="B55" s="451" t="s">
        <v>4491</v>
      </c>
      <c r="C55" s="450" t="s">
        <v>4237</v>
      </c>
    </row>
    <row r="56" spans="2:3" ht="14.25">
      <c r="B56" s="451" t="s">
        <v>2332</v>
      </c>
      <c r="C56" s="450" t="s">
        <v>4237</v>
      </c>
    </row>
    <row r="57" spans="2:3" ht="14.25">
      <c r="B57" s="451" t="s">
        <v>4492</v>
      </c>
      <c r="C57" s="450" t="s">
        <v>4219</v>
      </c>
    </row>
    <row r="58" spans="2:3" ht="14.25">
      <c r="B58" s="451" t="s">
        <v>3185</v>
      </c>
      <c r="C58" s="450" t="s">
        <v>4219</v>
      </c>
    </row>
    <row r="59" spans="2:3" ht="14.25">
      <c r="B59" s="451" t="s">
        <v>4493</v>
      </c>
      <c r="C59" s="450" t="s">
        <v>4219</v>
      </c>
    </row>
    <row r="60" spans="2:3" ht="14.25">
      <c r="B60" s="451" t="s">
        <v>1958</v>
      </c>
      <c r="C60" s="450" t="s">
        <v>4219</v>
      </c>
    </row>
    <row r="61" spans="2:3" ht="14.25">
      <c r="B61" s="451" t="s">
        <v>346</v>
      </c>
      <c r="C61" s="450" t="s">
        <v>4219</v>
      </c>
    </row>
    <row r="62" spans="2:3" ht="14.25">
      <c r="B62" s="451" t="s">
        <v>4494</v>
      </c>
      <c r="C62" s="450" t="s">
        <v>4219</v>
      </c>
    </row>
    <row r="63" spans="2:3" ht="14.25">
      <c r="B63" s="451" t="s">
        <v>4495</v>
      </c>
      <c r="C63" s="450" t="s">
        <v>4219</v>
      </c>
    </row>
    <row r="64" spans="2:3" ht="14.25">
      <c r="B64" s="451" t="s">
        <v>4496</v>
      </c>
      <c r="C64" s="450" t="s">
        <v>4223</v>
      </c>
    </row>
    <row r="65" spans="2:3" ht="14.25">
      <c r="B65" s="451" t="s">
        <v>4497</v>
      </c>
      <c r="C65" s="450" t="s">
        <v>4237</v>
      </c>
    </row>
    <row r="66" spans="2:3" ht="14.25">
      <c r="B66" s="451" t="s">
        <v>2529</v>
      </c>
      <c r="C66" s="450" t="s">
        <v>4219</v>
      </c>
    </row>
    <row r="67" spans="2:3" ht="14.25">
      <c r="B67" s="451" t="s">
        <v>433</v>
      </c>
      <c r="C67" s="450" t="s">
        <v>4223</v>
      </c>
    </row>
    <row r="68" spans="2:3" ht="14.25">
      <c r="B68" s="451" t="s">
        <v>4498</v>
      </c>
      <c r="C68" s="450" t="s">
        <v>4237</v>
      </c>
    </row>
    <row r="69" spans="2:3" ht="14.25">
      <c r="B69" s="451" t="s">
        <v>4499</v>
      </c>
      <c r="C69" s="450" t="s">
        <v>4219</v>
      </c>
    </row>
    <row r="70" spans="2:3" ht="14.25">
      <c r="B70" s="451" t="s">
        <v>2713</v>
      </c>
      <c r="C70" s="450" t="s">
        <v>4237</v>
      </c>
    </row>
    <row r="71" spans="2:3" ht="14.25">
      <c r="B71" s="451" t="s">
        <v>3040</v>
      </c>
      <c r="C71" s="450" t="s">
        <v>4237</v>
      </c>
    </row>
    <row r="72" spans="2:3" ht="14.25">
      <c r="B72" s="451" t="s">
        <v>4500</v>
      </c>
      <c r="C72" s="450" t="s">
        <v>4237</v>
      </c>
    </row>
    <row r="73" spans="2:3" ht="14.25">
      <c r="B73" s="451" t="s">
        <v>35</v>
      </c>
      <c r="C73" s="450" t="s">
        <v>4219</v>
      </c>
    </row>
    <row r="74" spans="2:3" ht="14.25">
      <c r="B74" s="451" t="s">
        <v>3273</v>
      </c>
      <c r="C74" s="450" t="s">
        <v>4223</v>
      </c>
    </row>
    <row r="75" spans="2:3" ht="14.25">
      <c r="B75" s="451" t="s">
        <v>4501</v>
      </c>
      <c r="C75" s="450" t="s">
        <v>4219</v>
      </c>
    </row>
    <row r="76" spans="2:3" ht="14.25">
      <c r="B76" s="451" t="s">
        <v>2344</v>
      </c>
      <c r="C76" s="450" t="s">
        <v>4237</v>
      </c>
    </row>
    <row r="77" spans="2:3" ht="14.25">
      <c r="B77" s="451" t="s">
        <v>475</v>
      </c>
      <c r="C77" s="450" t="s">
        <v>4219</v>
      </c>
    </row>
    <row r="78" spans="2:3" ht="14.25">
      <c r="B78" s="451" t="s">
        <v>4502</v>
      </c>
      <c r="C78" s="450" t="s">
        <v>4237</v>
      </c>
    </row>
    <row r="79" spans="2:3" ht="14.25">
      <c r="B79" s="451" t="s">
        <v>4503</v>
      </c>
      <c r="C79" s="450" t="s">
        <v>4237</v>
      </c>
    </row>
    <row r="80" spans="2:3" ht="14.25">
      <c r="B80" s="451" t="s">
        <v>4504</v>
      </c>
      <c r="C80" s="450" t="s">
        <v>4237</v>
      </c>
    </row>
    <row r="81" spans="2:3" ht="14.25">
      <c r="B81" s="451" t="s">
        <v>4505</v>
      </c>
      <c r="C81" s="450" t="s">
        <v>4219</v>
      </c>
    </row>
    <row r="82" spans="2:3" ht="14.25">
      <c r="B82" s="451" t="s">
        <v>4506</v>
      </c>
      <c r="C82" s="450" t="s">
        <v>4237</v>
      </c>
    </row>
    <row r="83" spans="2:3" ht="14.25">
      <c r="B83" s="451" t="s">
        <v>724</v>
      </c>
      <c r="C83" s="450" t="s">
        <v>4219</v>
      </c>
    </row>
    <row r="84" spans="2:3" ht="14.25">
      <c r="B84" s="451" t="s">
        <v>4507</v>
      </c>
      <c r="C84" s="450" t="s">
        <v>4219</v>
      </c>
    </row>
    <row r="85" spans="2:3" ht="14.25">
      <c r="B85" s="451" t="s">
        <v>1788</v>
      </c>
      <c r="C85" s="450" t="s">
        <v>4223</v>
      </c>
    </row>
    <row r="86" spans="2:3" ht="14.25">
      <c r="B86" s="451" t="s">
        <v>388</v>
      </c>
      <c r="C86" s="450" t="s">
        <v>4237</v>
      </c>
    </row>
    <row r="87" spans="2:3" ht="14.25">
      <c r="B87" s="451" t="s">
        <v>4508</v>
      </c>
      <c r="C87" s="450" t="s">
        <v>4219</v>
      </c>
    </row>
    <row r="88" spans="2:3" ht="14.25">
      <c r="B88" s="451" t="s">
        <v>3419</v>
      </c>
      <c r="C88" s="450" t="s">
        <v>4219</v>
      </c>
    </row>
    <row r="89" spans="2:3" ht="14.25">
      <c r="B89" s="451" t="s">
        <v>4130</v>
      </c>
      <c r="C89" s="450" t="s">
        <v>4237</v>
      </c>
    </row>
    <row r="90" spans="2:3" ht="14.25">
      <c r="B90" s="451" t="s">
        <v>4509</v>
      </c>
      <c r="C90" s="450" t="s">
        <v>4237</v>
      </c>
    </row>
    <row r="91" spans="2:3" ht="14.25">
      <c r="B91" s="451" t="s">
        <v>4510</v>
      </c>
      <c r="C91" s="450" t="s">
        <v>4237</v>
      </c>
    </row>
    <row r="92" spans="2:3" ht="14.25">
      <c r="B92" s="451" t="s">
        <v>416</v>
      </c>
      <c r="C92" s="450" t="s">
        <v>4219</v>
      </c>
    </row>
    <row r="93" spans="2:3" ht="14.25">
      <c r="B93" s="451" t="s">
        <v>227</v>
      </c>
      <c r="C93" s="450" t="s">
        <v>4219</v>
      </c>
    </row>
    <row r="94" spans="2:3" ht="14.25">
      <c r="B94" s="451" t="s">
        <v>4511</v>
      </c>
      <c r="C94" s="450" t="s">
        <v>4219</v>
      </c>
    </row>
    <row r="95" spans="2:3" ht="14.25">
      <c r="B95" s="451" t="s">
        <v>4512</v>
      </c>
      <c r="C95" s="450" t="s">
        <v>4219</v>
      </c>
    </row>
    <row r="96" spans="2:3" ht="14.25">
      <c r="B96" s="451" t="s">
        <v>4513</v>
      </c>
      <c r="C96" s="450" t="s">
        <v>4237</v>
      </c>
    </row>
    <row r="97" spans="2:3" ht="14.25">
      <c r="B97" s="451" t="s">
        <v>4514</v>
      </c>
      <c r="C97" s="450" t="s">
        <v>4237</v>
      </c>
    </row>
    <row r="98" spans="2:3" ht="14.25">
      <c r="B98" s="451" t="s">
        <v>4515</v>
      </c>
      <c r="C98" s="450" t="s">
        <v>4237</v>
      </c>
    </row>
    <row r="99" spans="2:3" ht="14.25">
      <c r="B99" s="451" t="s">
        <v>4516</v>
      </c>
      <c r="C99" s="450" t="s">
        <v>4237</v>
      </c>
    </row>
    <row r="100" spans="2:3" ht="14.25">
      <c r="B100" s="451" t="s">
        <v>4517</v>
      </c>
      <c r="C100" s="450" t="s">
        <v>4219</v>
      </c>
    </row>
    <row r="101" spans="2:3" ht="14.25">
      <c r="B101" s="451" t="s">
        <v>2777</v>
      </c>
      <c r="C101" s="450" t="s">
        <v>4237</v>
      </c>
    </row>
    <row r="102" spans="2:3" ht="14.25">
      <c r="B102" s="451" t="s">
        <v>3667</v>
      </c>
      <c r="C102" s="450" t="s">
        <v>4219</v>
      </c>
    </row>
    <row r="103" spans="2:3" ht="14.25">
      <c r="B103" s="451" t="s">
        <v>2556</v>
      </c>
      <c r="C103" s="450" t="s">
        <v>4219</v>
      </c>
    </row>
    <row r="104" spans="2:3" ht="13.5">
      <c r="B104" s="452" t="s">
        <v>52</v>
      </c>
      <c r="C104" s="452" t="s">
        <v>4219</v>
      </c>
    </row>
    <row r="105" spans="2:3" ht="13.5">
      <c r="B105" s="452" t="s">
        <v>4518</v>
      </c>
      <c r="C105" s="452" t="s">
        <v>4219</v>
      </c>
    </row>
    <row r="106" spans="2:3" ht="13.5">
      <c r="B106" s="452" t="s">
        <v>4519</v>
      </c>
      <c r="C106" s="452" t="s">
        <v>4223</v>
      </c>
    </row>
    <row r="107" spans="2:3" ht="13.5">
      <c r="B107" s="452" t="s">
        <v>1053</v>
      </c>
      <c r="C107" s="452" t="s">
        <v>4237</v>
      </c>
    </row>
    <row r="108" spans="2:3" ht="13.5">
      <c r="B108" s="452" t="s">
        <v>4520</v>
      </c>
      <c r="C108" s="452" t="s">
        <v>4219</v>
      </c>
    </row>
    <row r="109" spans="2:3" ht="13.5">
      <c r="B109" s="452" t="s">
        <v>4521</v>
      </c>
      <c r="C109" s="452" t="s">
        <v>4237</v>
      </c>
    </row>
    <row r="110" spans="2:3" ht="13.5">
      <c r="B110" s="452" t="s">
        <v>297</v>
      </c>
      <c r="C110" s="452" t="s">
        <v>4219</v>
      </c>
    </row>
    <row r="111" spans="2:3" ht="13.5">
      <c r="B111" s="452" t="s">
        <v>1900</v>
      </c>
      <c r="C111" s="452" t="s">
        <v>4219</v>
      </c>
    </row>
    <row r="112" spans="2:3" ht="13.5">
      <c r="B112" s="452" t="s">
        <v>4522</v>
      </c>
      <c r="C112" s="452" t="s">
        <v>4237</v>
      </c>
    </row>
    <row r="113" spans="2:3" ht="13.5">
      <c r="B113" s="452" t="s">
        <v>4523</v>
      </c>
      <c r="C113" s="452" t="s">
        <v>4219</v>
      </c>
    </row>
    <row r="114" spans="2:3" ht="13.5">
      <c r="B114" s="452" t="s">
        <v>400</v>
      </c>
      <c r="C114" s="452" t="s">
        <v>4219</v>
      </c>
    </row>
    <row r="115" spans="2:3" ht="13.5">
      <c r="B115" s="452" t="s">
        <v>1272</v>
      </c>
      <c r="C115" s="452" t="s">
        <v>4223</v>
      </c>
    </row>
    <row r="116" spans="2:3" ht="13.5">
      <c r="B116" s="452" t="s">
        <v>4524</v>
      </c>
      <c r="C116" s="452" t="s">
        <v>4219</v>
      </c>
    </row>
    <row r="117" spans="2:3" ht="13.5">
      <c r="B117" s="452" t="s">
        <v>4525</v>
      </c>
      <c r="C117" s="452" t="s">
        <v>4237</v>
      </c>
    </row>
    <row r="118" spans="2:3" ht="13.5">
      <c r="B118" s="452" t="s">
        <v>4526</v>
      </c>
      <c r="C118" s="452" t="s">
        <v>4237</v>
      </c>
    </row>
    <row r="119" spans="2:3" ht="13.5">
      <c r="B119" s="452" t="s">
        <v>4527</v>
      </c>
      <c r="C119" s="452" t="s">
        <v>4237</v>
      </c>
    </row>
    <row r="120" spans="2:3" ht="13.5">
      <c r="B120" s="452" t="s">
        <v>4528</v>
      </c>
      <c r="C120" s="452" t="s">
        <v>4237</v>
      </c>
    </row>
    <row r="121" spans="2:3" ht="13.5">
      <c r="B121" s="452" t="s">
        <v>1316</v>
      </c>
      <c r="C121" s="452" t="s">
        <v>4223</v>
      </c>
    </row>
    <row r="122" spans="2:3" ht="13.5">
      <c r="B122" s="452" t="s">
        <v>1905</v>
      </c>
      <c r="C122" s="452" t="s">
        <v>4223</v>
      </c>
    </row>
    <row r="123" spans="2:3" ht="13.5">
      <c r="B123" s="452" t="s">
        <v>652</v>
      </c>
      <c r="C123" s="452" t="s">
        <v>4219</v>
      </c>
    </row>
    <row r="124" spans="2:3" ht="13.5">
      <c r="B124" s="452" t="s">
        <v>4529</v>
      </c>
      <c r="C124" s="452" t="s">
        <v>4219</v>
      </c>
    </row>
    <row r="125" spans="2:3" ht="13.5">
      <c r="B125" s="452" t="s">
        <v>4530</v>
      </c>
      <c r="C125" s="452" t="s">
        <v>4223</v>
      </c>
    </row>
    <row r="126" spans="2:3" ht="13.5">
      <c r="B126" s="452" t="s">
        <v>4531</v>
      </c>
      <c r="C126" s="452" t="s">
        <v>4237</v>
      </c>
    </row>
    <row r="127" spans="2:3" ht="13.5">
      <c r="B127" s="452" t="s">
        <v>3559</v>
      </c>
      <c r="C127" s="452" t="s">
        <v>4219</v>
      </c>
    </row>
    <row r="128" spans="2:3" ht="13.5">
      <c r="B128" s="452" t="s">
        <v>4532</v>
      </c>
      <c r="C128" s="452" t="s">
        <v>4219</v>
      </c>
    </row>
    <row r="129" spans="2:3" ht="13.5">
      <c r="B129" s="452" t="s">
        <v>3045</v>
      </c>
      <c r="C129" s="452" t="s">
        <v>4219</v>
      </c>
    </row>
    <row r="130" spans="2:3" ht="13.5">
      <c r="B130" s="452" t="s">
        <v>2053</v>
      </c>
      <c r="C130" s="452" t="s">
        <v>4219</v>
      </c>
    </row>
    <row r="131" spans="2:3" ht="13.5">
      <c r="B131" s="452" t="s">
        <v>4533</v>
      </c>
      <c r="C131" s="452" t="s">
        <v>4219</v>
      </c>
    </row>
    <row r="132" spans="2:3" ht="13.5">
      <c r="B132" s="452" t="s">
        <v>4534</v>
      </c>
      <c r="C132" s="452" t="s">
        <v>4219</v>
      </c>
    </row>
    <row r="133" spans="2:3" ht="13.5">
      <c r="B133" s="452" t="s">
        <v>4535</v>
      </c>
      <c r="C133" s="452" t="s">
        <v>4237</v>
      </c>
    </row>
    <row r="134" spans="2:3" ht="13.5">
      <c r="B134" s="452" t="s">
        <v>1063</v>
      </c>
      <c r="C134" s="452" t="s">
        <v>4219</v>
      </c>
    </row>
    <row r="135" spans="2:3" ht="13.5">
      <c r="B135" s="452" t="s">
        <v>4536</v>
      </c>
      <c r="C135" s="452" t="s">
        <v>4219</v>
      </c>
    </row>
    <row r="136" spans="2:3" ht="13.5">
      <c r="B136" s="452" t="s">
        <v>4537</v>
      </c>
      <c r="C136" s="452" t="s">
        <v>4219</v>
      </c>
    </row>
    <row r="137" spans="2:3" ht="13.5">
      <c r="B137" s="452" t="s">
        <v>406</v>
      </c>
      <c r="C137" s="452" t="s">
        <v>4223</v>
      </c>
    </row>
    <row r="138" spans="2:3" ht="13.5">
      <c r="B138" s="452" t="s">
        <v>2596</v>
      </c>
      <c r="C138" s="452" t="s">
        <v>4219</v>
      </c>
    </row>
    <row r="139" spans="2:3" ht="13.5">
      <c r="B139" s="452" t="s">
        <v>1362</v>
      </c>
      <c r="C139" s="452" t="s">
        <v>4219</v>
      </c>
    </row>
    <row r="140" spans="2:3" ht="13.5">
      <c r="B140" s="452" t="s">
        <v>4538</v>
      </c>
      <c r="C140" s="452" t="s">
        <v>4237</v>
      </c>
    </row>
    <row r="141" spans="2:3" ht="13.5">
      <c r="B141" s="452" t="s">
        <v>838</v>
      </c>
      <c r="C141" s="452" t="s">
        <v>4219</v>
      </c>
    </row>
    <row r="142" spans="2:3" ht="13.5">
      <c r="B142" s="452" t="s">
        <v>4539</v>
      </c>
      <c r="C142" s="452" t="s">
        <v>4237</v>
      </c>
    </row>
    <row r="143" spans="2:3" ht="13.5">
      <c r="B143" s="452" t="s">
        <v>4540</v>
      </c>
      <c r="C143" s="452" t="s">
        <v>4237</v>
      </c>
    </row>
    <row r="144" spans="2:3" ht="13.5">
      <c r="B144" s="452" t="s">
        <v>1357</v>
      </c>
      <c r="C144" s="452" t="s">
        <v>4237</v>
      </c>
    </row>
    <row r="145" spans="2:3" ht="13.5">
      <c r="B145" s="452" t="s">
        <v>4541</v>
      </c>
      <c r="C145" s="452" t="s">
        <v>4219</v>
      </c>
    </row>
    <row r="146" spans="2:3" ht="13.5">
      <c r="B146" s="452" t="s">
        <v>3369</v>
      </c>
      <c r="C146" s="452" t="s">
        <v>4223</v>
      </c>
    </row>
    <row r="147" spans="2:3" ht="13.5">
      <c r="B147" s="452" t="s">
        <v>64</v>
      </c>
      <c r="C147" s="452" t="s">
        <v>4219</v>
      </c>
    </row>
    <row r="148" spans="2:3" ht="13.5">
      <c r="B148" s="452" t="s">
        <v>4542</v>
      </c>
      <c r="C148" s="452" t="s">
        <v>4237</v>
      </c>
    </row>
    <row r="149" spans="2:3" ht="13.5">
      <c r="B149" s="452" t="s">
        <v>4125</v>
      </c>
      <c r="C149" s="452" t="s">
        <v>4219</v>
      </c>
    </row>
    <row r="150" spans="2:3" ht="13.5">
      <c r="B150" s="452" t="s">
        <v>1983</v>
      </c>
      <c r="C150" s="452" t="s">
        <v>4237</v>
      </c>
    </row>
    <row r="151" spans="2:3" ht="13.5">
      <c r="B151" s="452" t="s">
        <v>4543</v>
      </c>
      <c r="C151" s="452" t="s">
        <v>4237</v>
      </c>
    </row>
    <row r="152" spans="2:3" ht="13.5">
      <c r="B152" s="452" t="s">
        <v>438</v>
      </c>
      <c r="C152" s="452" t="s">
        <v>4219</v>
      </c>
    </row>
    <row r="153" spans="2:3" ht="13.5">
      <c r="B153" s="452" t="s">
        <v>4544</v>
      </c>
      <c r="C153" s="452" t="s">
        <v>4237</v>
      </c>
    </row>
    <row r="154" spans="2:3" ht="13.5">
      <c r="B154" s="452" t="s">
        <v>1572</v>
      </c>
      <c r="C154" s="452" t="s">
        <v>4237</v>
      </c>
    </row>
    <row r="155" spans="2:3" ht="13.5">
      <c r="B155" s="452" t="s">
        <v>2720</v>
      </c>
      <c r="C155" s="452" t="s">
        <v>4219</v>
      </c>
    </row>
    <row r="156" spans="2:3" ht="13.5">
      <c r="B156" s="452" t="s">
        <v>25</v>
      </c>
      <c r="C156" s="452" t="s">
        <v>4219</v>
      </c>
    </row>
    <row r="157" spans="2:3" ht="13.5">
      <c r="B157" s="452" t="s">
        <v>203</v>
      </c>
      <c r="C157" s="452" t="s">
        <v>4219</v>
      </c>
    </row>
    <row r="158" spans="2:3" ht="13.5">
      <c r="B158" s="452" t="s">
        <v>623</v>
      </c>
      <c r="C158" s="452" t="s">
        <v>4219</v>
      </c>
    </row>
    <row r="159" spans="2:3" ht="13.5">
      <c r="B159" s="452" t="s">
        <v>4545</v>
      </c>
      <c r="C159" s="452" t="s">
        <v>4237</v>
      </c>
    </row>
    <row r="160" spans="2:3" ht="13.5">
      <c r="B160" s="452" t="s">
        <v>4546</v>
      </c>
      <c r="C160" s="452" t="s">
        <v>4237</v>
      </c>
    </row>
    <row r="161" spans="2:3" ht="13.5">
      <c r="B161" s="452" t="s">
        <v>4547</v>
      </c>
      <c r="C161" s="452" t="s">
        <v>4237</v>
      </c>
    </row>
    <row r="162" spans="2:3" ht="13.5">
      <c r="B162" s="452" t="s">
        <v>4548</v>
      </c>
      <c r="C162" s="452" t="s">
        <v>4237</v>
      </c>
    </row>
    <row r="163" spans="2:3" ht="13.5">
      <c r="B163" s="452" t="s">
        <v>486</v>
      </c>
      <c r="C163" s="452" t="s">
        <v>4237</v>
      </c>
    </row>
    <row r="164" spans="2:3" ht="13.5">
      <c r="B164" s="452" t="s">
        <v>310</v>
      </c>
      <c r="C164" s="452" t="s">
        <v>4237</v>
      </c>
    </row>
    <row r="165" spans="2:3" ht="13.5">
      <c r="B165" s="452" t="s">
        <v>83</v>
      </c>
      <c r="C165" s="452" t="s">
        <v>4223</v>
      </c>
    </row>
    <row r="166" spans="2:3" ht="13.5">
      <c r="B166" s="452" t="s">
        <v>4549</v>
      </c>
      <c r="C166" s="452" t="s">
        <v>4219</v>
      </c>
    </row>
    <row r="167" spans="2:3" ht="13.5">
      <c r="B167" s="452" t="s">
        <v>4550</v>
      </c>
      <c r="C167" s="452" t="s">
        <v>4237</v>
      </c>
    </row>
    <row r="168" spans="2:3" ht="13.5">
      <c r="B168" s="452" t="s">
        <v>4551</v>
      </c>
      <c r="C168" s="452" t="s">
        <v>4219</v>
      </c>
    </row>
    <row r="169" spans="2:3" ht="13.5">
      <c r="B169" s="452" t="s">
        <v>4552</v>
      </c>
      <c r="C169" s="452" t="s">
        <v>4237</v>
      </c>
    </row>
    <row r="170" spans="2:3" ht="13.5">
      <c r="B170" s="452" t="s">
        <v>507</v>
      </c>
      <c r="C170" s="452" t="s">
        <v>4219</v>
      </c>
    </row>
    <row r="171" spans="2:3" ht="13.5">
      <c r="B171" s="452" t="s">
        <v>4553</v>
      </c>
      <c r="C171" s="452" t="s">
        <v>4219</v>
      </c>
    </row>
    <row r="172" spans="2:3" ht="13.5">
      <c r="B172" s="452" t="s">
        <v>4554</v>
      </c>
      <c r="C172" s="452" t="s">
        <v>4237</v>
      </c>
    </row>
    <row r="173" spans="2:3" ht="13.5">
      <c r="B173" s="452" t="s">
        <v>1112</v>
      </c>
      <c r="C173" s="452" t="s">
        <v>4223</v>
      </c>
    </row>
    <row r="174" spans="2:3" ht="13.5">
      <c r="B174" s="452" t="s">
        <v>1188</v>
      </c>
      <c r="C174" s="452" t="s">
        <v>4237</v>
      </c>
    </row>
    <row r="175" spans="2:3" ht="13.5">
      <c r="B175" s="452" t="s">
        <v>4555</v>
      </c>
      <c r="C175" s="452" t="s">
        <v>4237</v>
      </c>
    </row>
    <row r="176" spans="2:3" ht="13.5">
      <c r="B176" s="452" t="s">
        <v>1335</v>
      </c>
      <c r="C176" s="452" t="s">
        <v>4237</v>
      </c>
    </row>
    <row r="177" spans="2:3" ht="13.5">
      <c r="B177" s="452" t="s">
        <v>4556</v>
      </c>
      <c r="C177" s="452" t="s">
        <v>4237</v>
      </c>
    </row>
    <row r="178" spans="2:3" ht="13.5">
      <c r="B178" s="452" t="s">
        <v>1277</v>
      </c>
      <c r="C178" s="452" t="s">
        <v>4219</v>
      </c>
    </row>
    <row r="179" spans="2:3" ht="13.5">
      <c r="B179" s="452" t="s">
        <v>4557</v>
      </c>
      <c r="C179" s="452" t="s">
        <v>4223</v>
      </c>
    </row>
    <row r="180" spans="2:3" ht="13.5">
      <c r="B180" s="452" t="s">
        <v>232</v>
      </c>
      <c r="C180" s="452" t="s">
        <v>4219</v>
      </c>
    </row>
    <row r="181" spans="2:3" ht="13.5">
      <c r="B181" s="452" t="s">
        <v>1727</v>
      </c>
      <c r="C181" s="452" t="s">
        <v>4223</v>
      </c>
    </row>
    <row r="182" spans="2:3" ht="13.5">
      <c r="B182" s="452" t="s">
        <v>4558</v>
      </c>
      <c r="C182" s="452" t="s">
        <v>4237</v>
      </c>
    </row>
    <row r="183" spans="2:3" ht="13.5">
      <c r="B183" s="452" t="s">
        <v>422</v>
      </c>
      <c r="C183" s="452" t="s">
        <v>4219</v>
      </c>
    </row>
    <row r="184" spans="2:3" ht="13.5">
      <c r="B184" s="452" t="s">
        <v>4559</v>
      </c>
      <c r="C184" s="452" t="s">
        <v>4237</v>
      </c>
    </row>
    <row r="185" spans="2:3" ht="13.5">
      <c r="B185" s="452" t="s">
        <v>4560</v>
      </c>
      <c r="C185" s="452" t="s">
        <v>4219</v>
      </c>
    </row>
    <row r="186" spans="2:3" ht="13.5">
      <c r="B186" s="452" t="s">
        <v>4561</v>
      </c>
      <c r="C186" s="452" t="s">
        <v>4237</v>
      </c>
    </row>
    <row r="187" spans="2:3" ht="13.5">
      <c r="B187" s="452" t="s">
        <v>4562</v>
      </c>
      <c r="C187" s="452" t="s">
        <v>4219</v>
      </c>
    </row>
    <row r="188" spans="2:3" ht="13.5">
      <c r="B188" s="452" t="s">
        <v>4563</v>
      </c>
      <c r="C188" s="452" t="s">
        <v>4223</v>
      </c>
    </row>
    <row r="189" spans="2:3" ht="13.5">
      <c r="B189" s="452" t="s">
        <v>4564</v>
      </c>
      <c r="C189" s="452" t="s">
        <v>4219</v>
      </c>
    </row>
    <row r="190" spans="2:3" ht="13.5">
      <c r="B190" s="452" t="s">
        <v>285</v>
      </c>
      <c r="C190" s="452" t="s">
        <v>4237</v>
      </c>
    </row>
    <row r="191" spans="2:3" ht="13.5">
      <c r="B191" s="452" t="s">
        <v>3764</v>
      </c>
      <c r="C191" s="452" t="s">
        <v>4237</v>
      </c>
    </row>
    <row r="192" spans="2:3" ht="13.5">
      <c r="B192" s="452" t="s">
        <v>4565</v>
      </c>
      <c r="C192" s="452" t="s">
        <v>4223</v>
      </c>
    </row>
    <row r="193" spans="2:3" ht="13.5">
      <c r="B193" s="452" t="s">
        <v>2738</v>
      </c>
      <c r="C193" s="452" t="s">
        <v>4237</v>
      </c>
    </row>
    <row r="194" spans="2:3" ht="13.5">
      <c r="B194" s="452" t="s">
        <v>4566</v>
      </c>
      <c r="C194" s="452" t="s">
        <v>4219</v>
      </c>
    </row>
    <row r="195" spans="2:3" ht="13.5">
      <c r="B195" s="452" t="s">
        <v>70</v>
      </c>
      <c r="C195" s="452" t="s">
        <v>4219</v>
      </c>
    </row>
    <row r="196" spans="2:3" ht="13.5">
      <c r="B196" s="452" t="s">
        <v>2378</v>
      </c>
      <c r="C196" s="452" t="s">
        <v>4219</v>
      </c>
    </row>
    <row r="197" spans="2:3" ht="13.5">
      <c r="B197" s="452" t="s">
        <v>1793</v>
      </c>
      <c r="C197" s="452" t="s">
        <v>4219</v>
      </c>
    </row>
    <row r="198" spans="2:3" ht="13.5">
      <c r="B198" s="452" t="s">
        <v>4567</v>
      </c>
      <c r="C198" s="452" t="s">
        <v>4223</v>
      </c>
    </row>
    <row r="199" spans="2:3" ht="13.5">
      <c r="B199" s="452" t="s">
        <v>4568</v>
      </c>
      <c r="C199" s="452" t="s">
        <v>4219</v>
      </c>
    </row>
    <row r="200" spans="2:3" ht="13.5">
      <c r="B200" s="452" t="s">
        <v>4569</v>
      </c>
      <c r="C200" s="452" t="s">
        <v>4237</v>
      </c>
    </row>
    <row r="201" spans="2:3" ht="13.5">
      <c r="B201" s="452" t="s">
        <v>4570</v>
      </c>
      <c r="C201" s="452" t="s">
        <v>4219</v>
      </c>
    </row>
    <row r="202" spans="2:3" ht="13.5">
      <c r="B202" s="452" t="s">
        <v>4571</v>
      </c>
      <c r="C202" s="452" t="s">
        <v>4219</v>
      </c>
    </row>
    <row r="203" spans="2:3" ht="13.5">
      <c r="B203" s="452" t="s">
        <v>3192</v>
      </c>
      <c r="C203" s="452" t="s">
        <v>4219</v>
      </c>
    </row>
    <row r="204" spans="2:3" ht="13.5">
      <c r="B204" s="452" t="s">
        <v>4572</v>
      </c>
      <c r="C204" s="452" t="s">
        <v>4237</v>
      </c>
    </row>
    <row r="205" spans="2:3" ht="13.5">
      <c r="B205" s="452" t="s">
        <v>4573</v>
      </c>
      <c r="C205" s="452" t="s">
        <v>4219</v>
      </c>
    </row>
    <row r="206" spans="2:3" ht="13.5">
      <c r="B206" s="452" t="s">
        <v>208</v>
      </c>
      <c r="C206" s="452" t="s">
        <v>4223</v>
      </c>
    </row>
    <row r="207" spans="2:3" ht="13.5">
      <c r="B207" s="452" t="s">
        <v>3293</v>
      </c>
      <c r="C207" s="452" t="s">
        <v>4219</v>
      </c>
    </row>
    <row r="208" spans="2:3" ht="13.5">
      <c r="B208" s="452" t="s">
        <v>4574</v>
      </c>
      <c r="C208" s="452" t="s">
        <v>4237</v>
      </c>
    </row>
    <row r="209" spans="2:3" ht="13.5">
      <c r="B209" s="452" t="s">
        <v>332</v>
      </c>
      <c r="C209" s="452" t="s">
        <v>4237</v>
      </c>
    </row>
    <row r="210" spans="2:3" ht="13.5">
      <c r="B210" s="452" t="s">
        <v>1179</v>
      </c>
      <c r="C210" s="452" t="s">
        <v>4237</v>
      </c>
    </row>
    <row r="211" spans="2:3" ht="13.5">
      <c r="B211" s="452" t="s">
        <v>2066</v>
      </c>
      <c r="C211" s="452" t="s">
        <v>4237</v>
      </c>
    </row>
    <row r="212" spans="2:3" ht="13.5">
      <c r="B212" s="452" t="s">
        <v>4575</v>
      </c>
      <c r="C212" s="452" t="s">
        <v>4219</v>
      </c>
    </row>
    <row r="213" spans="2:3" ht="13.5">
      <c r="B213" s="452" t="s">
        <v>3881</v>
      </c>
      <c r="C213" s="452" t="s">
        <v>4219</v>
      </c>
    </row>
    <row r="214" spans="2:3" ht="13.5">
      <c r="B214" s="452" t="s">
        <v>4576</v>
      </c>
      <c r="C214" s="452" t="s">
        <v>4223</v>
      </c>
    </row>
    <row r="215" spans="2:3" ht="13.5">
      <c r="B215" s="452" t="s">
        <v>1932</v>
      </c>
      <c r="C215" s="452" t="s">
        <v>4219</v>
      </c>
    </row>
    <row r="216" spans="2:3" ht="13.5">
      <c r="B216" s="452" t="s">
        <v>4577</v>
      </c>
      <c r="C216" s="452" t="s">
        <v>4237</v>
      </c>
    </row>
    <row r="217" spans="2:3" ht="13.5">
      <c r="B217" s="452" t="s">
        <v>4578</v>
      </c>
      <c r="C217" s="452" t="s">
        <v>4219</v>
      </c>
    </row>
    <row r="218" spans="2:3" ht="13.5">
      <c r="B218" s="452" t="s">
        <v>4579</v>
      </c>
      <c r="C218" s="452" t="s">
        <v>4223</v>
      </c>
    </row>
    <row r="219" spans="2:3" ht="13.5">
      <c r="B219" s="452" t="s">
        <v>732</v>
      </c>
      <c r="C219" s="452" t="s">
        <v>4219</v>
      </c>
    </row>
    <row r="220" spans="2:3" ht="13.5">
      <c r="B220" s="452" t="s">
        <v>58</v>
      </c>
      <c r="C220" s="452" t="s">
        <v>4219</v>
      </c>
    </row>
  </sheetData>
  <mergeCells count="1">
    <mergeCell ref="B2:C2"/>
  </mergeCells>
  <phoneticPr fontId="4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W932"/>
  <sheetViews>
    <sheetView workbookViewId="0">
      <pane ySplit="4" topLeftCell="A596" activePane="bottomLeft" state="frozen"/>
      <selection pane="bottomLeft" activeCell="A602" sqref="A602:XFD602"/>
    </sheetView>
  </sheetViews>
  <sheetFormatPr defaultColWidth="12.7109375" defaultRowHeight="15.75" customHeight="1"/>
  <cols>
    <col min="1" max="1" width="18.85546875" customWidth="1"/>
    <col min="2" max="2" width="27.7109375" customWidth="1"/>
    <col min="3" max="3" width="12.7109375" customWidth="1"/>
    <col min="4" max="4" width="16.7109375" customWidth="1"/>
    <col min="5" max="5" width="17.28515625" customWidth="1"/>
    <col min="6" max="6" width="17.42578125" customWidth="1"/>
    <col min="7" max="7" width="24.7109375" customWidth="1"/>
    <col min="8" max="8" width="33.85546875" customWidth="1"/>
    <col min="9" max="9" width="21.140625" customWidth="1"/>
    <col min="10" max="10" width="33.7109375" customWidth="1"/>
    <col min="11" max="11" width="35" customWidth="1"/>
    <col min="12" max="12" width="47.140625" customWidth="1"/>
    <col min="13" max="13" width="59" customWidth="1"/>
    <col min="14" max="14" width="23.7109375" customWidth="1"/>
    <col min="15" max="15" width="23" customWidth="1"/>
    <col min="16" max="16" width="0.28515625" customWidth="1"/>
    <col min="17" max="17" width="18.85546875" customWidth="1"/>
    <col min="18" max="19" width="34.7109375" customWidth="1"/>
    <col min="20" max="20" width="18.85546875" customWidth="1"/>
    <col min="21" max="21" width="23" customWidth="1"/>
    <col min="22" max="22" width="25.140625" customWidth="1"/>
    <col min="23" max="23" width="18.85546875" customWidth="1"/>
  </cols>
  <sheetData>
    <row r="2" spans="1:23" ht="60">
      <c r="A2" s="453">
        <f>COUNTA(B5:B14999)</f>
        <v>926</v>
      </c>
      <c r="B2" s="454"/>
      <c r="C2" s="455" t="s">
        <v>4580</v>
      </c>
      <c r="D2" s="456">
        <f>COUNTIF(Q5:Q1063,"등록")</f>
        <v>864</v>
      </c>
      <c r="E2" s="454"/>
      <c r="F2" s="457" t="s">
        <v>4581</v>
      </c>
      <c r="G2" s="456">
        <f>COUNTIF(Q5:Q2999,"미등록")</f>
        <v>61</v>
      </c>
      <c r="H2" s="454"/>
      <c r="I2" s="458" t="s">
        <v>4582</v>
      </c>
      <c r="J2" s="456">
        <f>COUNTA(R5:R14999)</f>
        <v>577</v>
      </c>
      <c r="K2" s="459"/>
    </row>
    <row r="4" spans="1:23" ht="22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2" t="s">
        <v>16</v>
      </c>
      <c r="R4" s="3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4" t="s">
        <v>22</v>
      </c>
    </row>
    <row r="5" spans="1:23" ht="22.5" customHeight="1">
      <c r="A5" s="5">
        <v>45841.452735972227</v>
      </c>
      <c r="B5" s="6" t="s">
        <v>23</v>
      </c>
      <c r="C5" s="7"/>
      <c r="D5" s="6" t="s">
        <v>24</v>
      </c>
      <c r="E5" s="8">
        <v>35614</v>
      </c>
      <c r="F5" s="6" t="s">
        <v>25</v>
      </c>
      <c r="G5" s="6" t="s">
        <v>26</v>
      </c>
      <c r="H5" s="6" t="s">
        <v>27</v>
      </c>
      <c r="I5" s="6" t="str">
        <f>VLOOKUP(CLEAN(F5),'World Bank Categories'!$B$4:$C$220,2,FALSE)</f>
        <v>Middle income</v>
      </c>
      <c r="J5" s="6" t="s">
        <v>28</v>
      </c>
      <c r="K5" s="6" t="s">
        <v>29</v>
      </c>
      <c r="L5" s="6" t="s">
        <v>30</v>
      </c>
      <c r="M5" s="7"/>
      <c r="N5" s="6"/>
      <c r="O5" s="6"/>
      <c r="P5" s="6" t="s">
        <v>31</v>
      </c>
      <c r="Q5" s="9" t="s">
        <v>32</v>
      </c>
      <c r="R5" s="10" t="s">
        <v>33</v>
      </c>
      <c r="S5" s="11" t="s">
        <v>23</v>
      </c>
      <c r="T5" s="12"/>
      <c r="U5" s="12"/>
      <c r="V5" s="12"/>
      <c r="W5" s="12"/>
    </row>
    <row r="6" spans="1:23" ht="22.5" customHeight="1">
      <c r="A6" s="13">
        <v>45843.794978622682</v>
      </c>
      <c r="B6" s="14" t="s">
        <v>34</v>
      </c>
      <c r="C6" s="15"/>
      <c r="D6" s="14" t="s">
        <v>24</v>
      </c>
      <c r="E6" s="16">
        <v>21016</v>
      </c>
      <c r="F6" s="14" t="s">
        <v>35</v>
      </c>
      <c r="G6" s="14" t="s">
        <v>36</v>
      </c>
      <c r="H6" s="14" t="s">
        <v>37</v>
      </c>
      <c r="I6" s="6" t="str">
        <f>VLOOKUP(CLEAN(F6),'World Bank Categories'!$B$4:$C$220,2,FALSE)</f>
        <v>Middle income</v>
      </c>
      <c r="J6" s="14" t="s">
        <v>38</v>
      </c>
      <c r="K6" s="14" t="s">
        <v>39</v>
      </c>
      <c r="L6" s="14" t="s">
        <v>30</v>
      </c>
      <c r="M6" s="6" t="s">
        <v>40</v>
      </c>
      <c r="N6" s="17" t="s">
        <v>41</v>
      </c>
      <c r="O6" s="14" t="s">
        <v>42</v>
      </c>
      <c r="P6" s="14" t="s">
        <v>31</v>
      </c>
      <c r="Q6" s="9" t="s">
        <v>32</v>
      </c>
      <c r="R6" s="18" t="s">
        <v>43</v>
      </c>
      <c r="S6" s="19" t="s">
        <v>34</v>
      </c>
      <c r="T6" s="12"/>
      <c r="U6" s="12"/>
      <c r="V6" s="12"/>
      <c r="W6" s="12"/>
    </row>
    <row r="7" spans="1:23" ht="22.5" customHeight="1">
      <c r="A7" s="13">
        <v>45846.760323854163</v>
      </c>
      <c r="B7" s="14" t="s">
        <v>44</v>
      </c>
      <c r="C7" s="15"/>
      <c r="D7" s="14" t="s">
        <v>45</v>
      </c>
      <c r="E7" s="16">
        <v>36912</v>
      </c>
      <c r="F7" s="14" t="s">
        <v>46</v>
      </c>
      <c r="G7" s="14" t="s">
        <v>47</v>
      </c>
      <c r="H7" s="14" t="s">
        <v>48</v>
      </c>
      <c r="I7" s="6" t="str">
        <f>VLOOKUP(CLEAN(F7),'World Bank Categories'!$B$4:$C$220,2,FALSE)</f>
        <v>Low income</v>
      </c>
      <c r="J7" s="14" t="s">
        <v>49</v>
      </c>
      <c r="K7" s="14" t="s">
        <v>39</v>
      </c>
      <c r="L7" s="14" t="s">
        <v>30</v>
      </c>
      <c r="M7" s="15"/>
      <c r="N7" s="14"/>
      <c r="O7" s="14"/>
      <c r="P7" s="14" t="s">
        <v>31</v>
      </c>
      <c r="Q7" s="9" t="s">
        <v>32</v>
      </c>
      <c r="R7" s="18"/>
      <c r="S7" s="19" t="s">
        <v>50</v>
      </c>
      <c r="T7" s="12"/>
      <c r="U7" s="12"/>
      <c r="V7" s="12"/>
      <c r="W7" s="12"/>
    </row>
    <row r="8" spans="1:23" ht="22.5" hidden="1" customHeight="1">
      <c r="A8" s="20">
        <v>45849.776631944442</v>
      </c>
      <c r="B8" s="21" t="s">
        <v>51</v>
      </c>
      <c r="C8" s="21"/>
      <c r="D8" s="21" t="s">
        <v>45</v>
      </c>
      <c r="E8" s="22">
        <v>32541</v>
      </c>
      <c r="F8" s="21" t="s">
        <v>52</v>
      </c>
      <c r="G8" s="21" t="s">
        <v>53</v>
      </c>
      <c r="H8" s="21" t="s">
        <v>54</v>
      </c>
      <c r="I8" s="6" t="str">
        <f>VLOOKUP(CLEAN(F8),'World Bank Categories'!$B$4:$C$220,2,FALSE)</f>
        <v>Middle income</v>
      </c>
      <c r="J8" s="21" t="s">
        <v>55</v>
      </c>
      <c r="K8" s="21" t="s">
        <v>39</v>
      </c>
      <c r="L8" s="21" t="s">
        <v>30</v>
      </c>
      <c r="M8" s="21"/>
      <c r="N8" s="21"/>
      <c r="O8" s="21"/>
      <c r="P8" s="21" t="s">
        <v>31</v>
      </c>
      <c r="Q8" s="23" t="s">
        <v>56</v>
      </c>
      <c r="R8" s="24"/>
      <c r="S8" s="25"/>
      <c r="T8" s="26"/>
      <c r="U8" s="25"/>
      <c r="V8" s="25"/>
      <c r="W8" s="25"/>
    </row>
    <row r="9" spans="1:23" ht="22.5" customHeight="1">
      <c r="A9" s="5">
        <v>45853.250324305554</v>
      </c>
      <c r="B9" s="6" t="s">
        <v>57</v>
      </c>
      <c r="C9" s="7"/>
      <c r="D9" s="6" t="s">
        <v>24</v>
      </c>
      <c r="E9" s="8">
        <v>36458</v>
      </c>
      <c r="F9" s="6" t="s">
        <v>58</v>
      </c>
      <c r="G9" s="6" t="s">
        <v>59</v>
      </c>
      <c r="H9" s="6" t="s">
        <v>60</v>
      </c>
      <c r="I9" s="6" t="str">
        <f>VLOOKUP(CLEAN(F9),'World Bank Categories'!$B$4:$C$220,2,FALSE)</f>
        <v>Middle income</v>
      </c>
      <c r="J9" s="6" t="s">
        <v>61</v>
      </c>
      <c r="K9" s="6" t="s">
        <v>29</v>
      </c>
      <c r="L9" s="6" t="s">
        <v>30</v>
      </c>
      <c r="M9" s="7"/>
      <c r="N9" s="6"/>
      <c r="O9" s="6"/>
      <c r="P9" s="6" t="s">
        <v>31</v>
      </c>
      <c r="Q9" s="9" t="s">
        <v>32</v>
      </c>
      <c r="R9" s="10" t="s">
        <v>33</v>
      </c>
      <c r="S9" s="11" t="s">
        <v>62</v>
      </c>
      <c r="T9" s="12"/>
      <c r="U9" s="12"/>
      <c r="V9" s="12"/>
      <c r="W9" s="12"/>
    </row>
    <row r="10" spans="1:23" ht="22.5" hidden="1" customHeight="1">
      <c r="A10" s="20">
        <v>45856.2500462963</v>
      </c>
      <c r="B10" s="21" t="s">
        <v>63</v>
      </c>
      <c r="C10" s="21"/>
      <c r="D10" s="21" t="s">
        <v>24</v>
      </c>
      <c r="E10" s="22">
        <v>38134</v>
      </c>
      <c r="F10" s="21" t="s">
        <v>64</v>
      </c>
      <c r="G10" s="21" t="s">
        <v>65</v>
      </c>
      <c r="H10" s="21" t="s">
        <v>66</v>
      </c>
      <c r="I10" s="6" t="str">
        <f>VLOOKUP(CLEAN(F10),'World Bank Categories'!$B$4:$C$220,2,FALSE)</f>
        <v>Middle income</v>
      </c>
      <c r="J10" s="21" t="s">
        <v>67</v>
      </c>
      <c r="K10" s="21" t="s">
        <v>68</v>
      </c>
      <c r="L10" s="21" t="s">
        <v>30</v>
      </c>
      <c r="M10" s="21"/>
      <c r="N10" s="21"/>
      <c r="O10" s="21"/>
      <c r="P10" s="21" t="s">
        <v>31</v>
      </c>
      <c r="Q10" s="23" t="s">
        <v>56</v>
      </c>
      <c r="R10" s="24"/>
      <c r="S10" s="25"/>
      <c r="T10" s="26"/>
      <c r="U10" s="25"/>
      <c r="V10" s="25"/>
      <c r="W10" s="25"/>
    </row>
    <row r="11" spans="1:23" ht="22.5" customHeight="1">
      <c r="A11" s="20">
        <v>45856.750833333332</v>
      </c>
      <c r="B11" s="21" t="s">
        <v>69</v>
      </c>
      <c r="C11" s="21"/>
      <c r="D11" s="21" t="s">
        <v>24</v>
      </c>
      <c r="E11" s="22">
        <v>37063</v>
      </c>
      <c r="F11" s="21" t="s">
        <v>70</v>
      </c>
      <c r="G11" s="21" t="s">
        <v>71</v>
      </c>
      <c r="H11" s="21" t="s">
        <v>72</v>
      </c>
      <c r="I11" s="6" t="str">
        <f>VLOOKUP(CLEAN(F11),'World Bank Categories'!$B$4:$C$220,2,FALSE)</f>
        <v>Middle income</v>
      </c>
      <c r="J11" s="21" t="s">
        <v>73</v>
      </c>
      <c r="K11" s="21" t="s">
        <v>39</v>
      </c>
      <c r="L11" s="21" t="s">
        <v>30</v>
      </c>
      <c r="M11" s="21"/>
      <c r="N11" s="21"/>
      <c r="O11" s="21"/>
      <c r="P11" s="21" t="s">
        <v>31</v>
      </c>
      <c r="Q11" s="9" t="s">
        <v>32</v>
      </c>
      <c r="R11" s="10"/>
      <c r="S11" s="25" t="s">
        <v>74</v>
      </c>
      <c r="T11" s="27">
        <v>36698</v>
      </c>
      <c r="U11" s="25" t="s">
        <v>73</v>
      </c>
      <c r="V11" s="25" t="s">
        <v>75</v>
      </c>
      <c r="W11" s="25"/>
    </row>
    <row r="12" spans="1:23" ht="22.5" customHeight="1">
      <c r="A12" s="20">
        <v>45857.619201388887</v>
      </c>
      <c r="B12" s="21" t="s">
        <v>76</v>
      </c>
      <c r="C12" s="21"/>
      <c r="D12" s="21" t="s">
        <v>24</v>
      </c>
      <c r="E12" s="22">
        <v>38314</v>
      </c>
      <c r="F12" s="21" t="s">
        <v>70</v>
      </c>
      <c r="G12" s="21" t="s">
        <v>77</v>
      </c>
      <c r="H12" s="21" t="s">
        <v>66</v>
      </c>
      <c r="I12" s="6" t="str">
        <f>VLOOKUP(CLEAN(F12),'World Bank Categories'!$B$4:$C$220,2,FALSE)</f>
        <v>Middle income</v>
      </c>
      <c r="J12" s="21" t="s">
        <v>78</v>
      </c>
      <c r="K12" s="21" t="s">
        <v>29</v>
      </c>
      <c r="L12" s="21" t="s">
        <v>30</v>
      </c>
      <c r="M12" s="21"/>
      <c r="N12" s="21"/>
      <c r="O12" s="21"/>
      <c r="P12" s="21" t="s">
        <v>31</v>
      </c>
      <c r="Q12" s="9" t="s">
        <v>32</v>
      </c>
      <c r="R12" s="18"/>
      <c r="S12" s="25" t="s">
        <v>76</v>
      </c>
      <c r="T12" s="27">
        <v>38314</v>
      </c>
      <c r="U12" s="25" t="s">
        <v>79</v>
      </c>
      <c r="V12" s="25" t="s">
        <v>80</v>
      </c>
      <c r="W12" s="25"/>
    </row>
    <row r="13" spans="1:23" ht="22.5" customHeight="1">
      <c r="A13" s="28">
        <v>45859.28665509259</v>
      </c>
      <c r="B13" s="29" t="s">
        <v>81</v>
      </c>
      <c r="C13" s="29" t="s">
        <v>82</v>
      </c>
      <c r="D13" s="29" t="s">
        <v>45</v>
      </c>
      <c r="E13" s="30">
        <v>29178</v>
      </c>
      <c r="F13" s="29" t="s">
        <v>83</v>
      </c>
      <c r="G13" s="29" t="s">
        <v>84</v>
      </c>
      <c r="H13" s="29" t="s">
        <v>85</v>
      </c>
      <c r="I13" s="6" t="str">
        <f>VLOOKUP(CLEAN(F13),'World Bank Categories'!$B$4:$C$220,2,FALSE)</f>
        <v>Low income</v>
      </c>
      <c r="J13" s="29" t="s">
        <v>86</v>
      </c>
      <c r="K13" s="29" t="s">
        <v>68</v>
      </c>
      <c r="L13" s="31">
        <v>46207</v>
      </c>
      <c r="M13" s="29"/>
      <c r="N13" s="29"/>
      <c r="O13" s="29"/>
      <c r="P13" s="29" t="s">
        <v>31</v>
      </c>
      <c r="Q13" s="9" t="s">
        <v>32</v>
      </c>
      <c r="R13" s="10" t="s">
        <v>33</v>
      </c>
      <c r="S13" s="25" t="s">
        <v>81</v>
      </c>
      <c r="T13" s="27">
        <v>29178</v>
      </c>
      <c r="U13" s="25" t="s">
        <v>86</v>
      </c>
      <c r="V13" s="25" t="s">
        <v>80</v>
      </c>
      <c r="W13" s="25"/>
    </row>
    <row r="14" spans="1:23" ht="22.5" hidden="1" customHeight="1">
      <c r="A14" s="20">
        <v>45859.316145833334</v>
      </c>
      <c r="B14" s="21" t="s">
        <v>87</v>
      </c>
      <c r="C14" s="21"/>
      <c r="D14" s="21" t="s">
        <v>45</v>
      </c>
      <c r="E14" s="22">
        <v>36278</v>
      </c>
      <c r="F14" s="21" t="s">
        <v>88</v>
      </c>
      <c r="G14" s="21" t="s">
        <v>89</v>
      </c>
      <c r="H14" s="21" t="s">
        <v>90</v>
      </c>
      <c r="I14" s="6" t="str">
        <f>VLOOKUP(CLEAN(F14),'World Bank Categories'!$B$4:$C$220,2,FALSE)</f>
        <v>Low income</v>
      </c>
      <c r="J14" s="21" t="s">
        <v>91</v>
      </c>
      <c r="K14" s="21" t="s">
        <v>68</v>
      </c>
      <c r="L14" s="21" t="s">
        <v>30</v>
      </c>
      <c r="M14" s="21"/>
      <c r="N14" s="21"/>
      <c r="O14" s="21"/>
      <c r="P14" s="21" t="s">
        <v>31</v>
      </c>
      <c r="Q14" s="23" t="s">
        <v>56</v>
      </c>
      <c r="R14" s="24"/>
      <c r="S14" s="25"/>
      <c r="T14" s="26"/>
      <c r="U14" s="25"/>
      <c r="V14" s="25"/>
      <c r="W14" s="25"/>
    </row>
    <row r="15" spans="1:23" ht="22.5" customHeight="1">
      <c r="A15" s="20">
        <v>45859.598078703704</v>
      </c>
      <c r="B15" s="21" t="s">
        <v>92</v>
      </c>
      <c r="C15" s="21"/>
      <c r="D15" s="21" t="s">
        <v>24</v>
      </c>
      <c r="E15" s="22">
        <v>37368</v>
      </c>
      <c r="F15" s="21" t="s">
        <v>83</v>
      </c>
      <c r="G15" s="21" t="s">
        <v>93</v>
      </c>
      <c r="H15" s="21" t="s">
        <v>66</v>
      </c>
      <c r="I15" s="6" t="str">
        <f>VLOOKUP(CLEAN(F15),'World Bank Categories'!$B$4:$C$220,2,FALSE)</f>
        <v>Low income</v>
      </c>
      <c r="J15" s="21" t="s">
        <v>94</v>
      </c>
      <c r="K15" s="21" t="s">
        <v>68</v>
      </c>
      <c r="L15" s="32">
        <v>46207</v>
      </c>
      <c r="M15" s="21"/>
      <c r="N15" s="21"/>
      <c r="O15" s="21"/>
      <c r="P15" s="21"/>
      <c r="Q15" s="9" t="s">
        <v>32</v>
      </c>
      <c r="R15" s="18"/>
      <c r="S15" s="25" t="s">
        <v>95</v>
      </c>
      <c r="T15" s="27">
        <v>37368</v>
      </c>
      <c r="U15" s="25" t="s">
        <v>94</v>
      </c>
      <c r="V15" s="25" t="s">
        <v>80</v>
      </c>
      <c r="W15" s="25"/>
    </row>
    <row r="16" spans="1:23" ht="22.5" customHeight="1">
      <c r="A16" s="20">
        <v>45859.600254629629</v>
      </c>
      <c r="B16" s="21" t="s">
        <v>96</v>
      </c>
      <c r="C16" s="21"/>
      <c r="D16" s="21" t="s">
        <v>24</v>
      </c>
      <c r="E16" s="22">
        <v>35424</v>
      </c>
      <c r="F16" s="21" t="s">
        <v>83</v>
      </c>
      <c r="G16" s="21" t="s">
        <v>97</v>
      </c>
      <c r="H16" s="21" t="s">
        <v>98</v>
      </c>
      <c r="I16" s="6" t="str">
        <f>VLOOKUP(CLEAN(F16),'World Bank Categories'!$B$4:$C$220,2,FALSE)</f>
        <v>Low income</v>
      </c>
      <c r="J16" s="21" t="s">
        <v>99</v>
      </c>
      <c r="K16" s="21" t="s">
        <v>29</v>
      </c>
      <c r="L16" s="21" t="s">
        <v>30</v>
      </c>
      <c r="M16" s="21"/>
      <c r="N16" s="21"/>
      <c r="O16" s="21"/>
      <c r="P16" s="21" t="s">
        <v>31</v>
      </c>
      <c r="Q16" s="9" t="s">
        <v>32</v>
      </c>
      <c r="R16" s="10"/>
      <c r="S16" s="25" t="s">
        <v>96</v>
      </c>
      <c r="T16" s="27">
        <v>35424</v>
      </c>
      <c r="U16" s="25" t="s">
        <v>100</v>
      </c>
      <c r="V16" s="25" t="s">
        <v>101</v>
      </c>
      <c r="W16" s="25"/>
    </row>
    <row r="17" spans="1:23" ht="22.5" hidden="1" customHeight="1">
      <c r="A17" s="20">
        <v>45859.616412037038</v>
      </c>
      <c r="B17" s="21" t="s">
        <v>102</v>
      </c>
      <c r="C17" s="21"/>
      <c r="D17" s="21" t="s">
        <v>24</v>
      </c>
      <c r="E17" s="22">
        <v>37239</v>
      </c>
      <c r="F17" s="21" t="s">
        <v>83</v>
      </c>
      <c r="G17" s="21" t="s">
        <v>93</v>
      </c>
      <c r="H17" s="21" t="s">
        <v>66</v>
      </c>
      <c r="I17" s="6" t="str">
        <f>VLOOKUP(CLEAN(F17),'World Bank Categories'!$B$4:$C$220,2,FALSE)</f>
        <v>Low income</v>
      </c>
      <c r="J17" s="21" t="s">
        <v>103</v>
      </c>
      <c r="K17" s="21" t="s">
        <v>29</v>
      </c>
      <c r="L17" s="21" t="s">
        <v>30</v>
      </c>
      <c r="M17" s="21"/>
      <c r="N17" s="21"/>
      <c r="O17" s="21"/>
      <c r="P17" s="21" t="s">
        <v>31</v>
      </c>
      <c r="Q17" s="23" t="s">
        <v>56</v>
      </c>
      <c r="R17" s="24"/>
      <c r="S17" s="25"/>
      <c r="T17" s="26"/>
      <c r="U17" s="25"/>
      <c r="V17" s="25"/>
      <c r="W17" s="25"/>
    </row>
    <row r="18" spans="1:23" ht="22.5" customHeight="1">
      <c r="A18" s="20">
        <v>45859.616875</v>
      </c>
      <c r="B18" s="21" t="s">
        <v>104</v>
      </c>
      <c r="C18" s="21"/>
      <c r="D18" s="21" t="s">
        <v>45</v>
      </c>
      <c r="E18" s="22">
        <v>37362</v>
      </c>
      <c r="F18" s="21" t="s">
        <v>83</v>
      </c>
      <c r="G18" s="21" t="s">
        <v>105</v>
      </c>
      <c r="H18" s="21" t="s">
        <v>106</v>
      </c>
      <c r="I18" s="6" t="str">
        <f>VLOOKUP(CLEAN(F18),'World Bank Categories'!$B$4:$C$220,2,FALSE)</f>
        <v>Low income</v>
      </c>
      <c r="J18" s="21" t="s">
        <v>107</v>
      </c>
      <c r="K18" s="21" t="s">
        <v>29</v>
      </c>
      <c r="L18" s="32">
        <v>46207</v>
      </c>
      <c r="M18" s="21"/>
      <c r="N18" s="21"/>
      <c r="O18" s="21"/>
      <c r="P18" s="21" t="s">
        <v>31</v>
      </c>
      <c r="Q18" s="9" t="s">
        <v>32</v>
      </c>
      <c r="R18" s="18"/>
      <c r="S18" s="25" t="s">
        <v>108</v>
      </c>
      <c r="T18" s="27">
        <v>37362</v>
      </c>
      <c r="U18" s="25" t="s">
        <v>107</v>
      </c>
      <c r="V18" s="25" t="s">
        <v>80</v>
      </c>
      <c r="W18" s="25"/>
    </row>
    <row r="19" spans="1:23" ht="22.5" customHeight="1">
      <c r="A19" s="20">
        <v>45859.623703703706</v>
      </c>
      <c r="B19" s="21" t="s">
        <v>109</v>
      </c>
      <c r="C19" s="21"/>
      <c r="D19" s="21" t="s">
        <v>24</v>
      </c>
      <c r="E19" s="22">
        <v>35154</v>
      </c>
      <c r="F19" s="21" t="s">
        <v>83</v>
      </c>
      <c r="G19" s="21" t="s">
        <v>110</v>
      </c>
      <c r="H19" s="21" t="s">
        <v>111</v>
      </c>
      <c r="I19" s="6" t="str">
        <f>VLOOKUP(CLEAN(F19),'World Bank Categories'!$B$4:$C$220,2,FALSE)</f>
        <v>Low income</v>
      </c>
      <c r="J19" s="21" t="s">
        <v>112</v>
      </c>
      <c r="K19" s="21" t="s">
        <v>29</v>
      </c>
      <c r="L19" s="21" t="s">
        <v>30</v>
      </c>
      <c r="M19" s="21"/>
      <c r="N19" s="21"/>
      <c r="O19" s="21"/>
      <c r="P19" s="21" t="s">
        <v>31</v>
      </c>
      <c r="Q19" s="9" t="s">
        <v>32</v>
      </c>
      <c r="R19" s="10"/>
      <c r="S19" s="25" t="s">
        <v>113</v>
      </c>
      <c r="T19" s="27">
        <v>35632</v>
      </c>
      <c r="U19" s="25" t="s">
        <v>112</v>
      </c>
      <c r="V19" s="25" t="s">
        <v>114</v>
      </c>
      <c r="W19" s="25"/>
    </row>
    <row r="20" spans="1:23" ht="22.5" hidden="1" customHeight="1">
      <c r="A20" s="28">
        <v>45859.628622685188</v>
      </c>
      <c r="B20" s="29" t="s">
        <v>115</v>
      </c>
      <c r="C20" s="29"/>
      <c r="D20" s="29" t="s">
        <v>45</v>
      </c>
      <c r="E20" s="30">
        <v>37457</v>
      </c>
      <c r="F20" s="29" t="s">
        <v>83</v>
      </c>
      <c r="G20" s="29" t="s">
        <v>116</v>
      </c>
      <c r="H20" s="29" t="s">
        <v>117</v>
      </c>
      <c r="I20" s="6" t="str">
        <f>VLOOKUP(CLEAN(F20),'World Bank Categories'!$B$4:$C$220,2,FALSE)</f>
        <v>Low income</v>
      </c>
      <c r="J20" s="29" t="s">
        <v>118</v>
      </c>
      <c r="K20" s="29" t="s">
        <v>68</v>
      </c>
      <c r="L20" s="29" t="s">
        <v>30</v>
      </c>
      <c r="M20" s="29"/>
      <c r="N20" s="29"/>
      <c r="O20" s="29"/>
      <c r="P20" s="29" t="s">
        <v>31</v>
      </c>
      <c r="Q20" s="23" t="s">
        <v>56</v>
      </c>
      <c r="R20" s="24"/>
      <c r="S20" s="25"/>
      <c r="T20" s="26"/>
      <c r="U20" s="25"/>
      <c r="V20" s="25"/>
      <c r="W20" s="25"/>
    </row>
    <row r="21" spans="1:23" ht="22.5" customHeight="1">
      <c r="A21" s="20">
        <v>45859.641261574077</v>
      </c>
      <c r="B21" s="21" t="s">
        <v>119</v>
      </c>
      <c r="C21" s="21" t="s">
        <v>119</v>
      </c>
      <c r="D21" s="21" t="s">
        <v>45</v>
      </c>
      <c r="E21" s="22">
        <v>37622</v>
      </c>
      <c r="F21" s="21" t="s">
        <v>83</v>
      </c>
      <c r="G21" s="21" t="s">
        <v>120</v>
      </c>
      <c r="H21" s="21" t="s">
        <v>66</v>
      </c>
      <c r="I21" s="6" t="str">
        <f>VLOOKUP(CLEAN(F21),'World Bank Categories'!$B$4:$C$220,2,FALSE)</f>
        <v>Low income</v>
      </c>
      <c r="J21" s="21" t="s">
        <v>121</v>
      </c>
      <c r="K21" s="21" t="s">
        <v>29</v>
      </c>
      <c r="L21" s="32">
        <v>46207</v>
      </c>
      <c r="M21" s="21"/>
      <c r="N21" s="21"/>
      <c r="O21" s="21"/>
      <c r="P21" s="21" t="s">
        <v>31</v>
      </c>
      <c r="Q21" s="9" t="s">
        <v>32</v>
      </c>
      <c r="R21" s="18"/>
      <c r="S21" s="25" t="s">
        <v>119</v>
      </c>
      <c r="T21" s="27">
        <v>37622</v>
      </c>
      <c r="U21" s="25" t="s">
        <v>121</v>
      </c>
      <c r="V21" s="25" t="s">
        <v>80</v>
      </c>
      <c r="W21" s="25"/>
    </row>
    <row r="22" spans="1:23" ht="22.5" hidden="1" customHeight="1">
      <c r="A22" s="20">
        <v>45859.642442129632</v>
      </c>
      <c r="B22" s="21" t="s">
        <v>122</v>
      </c>
      <c r="C22" s="21"/>
      <c r="D22" s="21" t="s">
        <v>24</v>
      </c>
      <c r="E22" s="22">
        <v>38330</v>
      </c>
      <c r="F22" s="21" t="s">
        <v>83</v>
      </c>
      <c r="G22" s="21" t="s">
        <v>123</v>
      </c>
      <c r="H22" s="21" t="s">
        <v>66</v>
      </c>
      <c r="I22" s="6" t="str">
        <f>VLOOKUP(CLEAN(F22),'World Bank Categories'!$B$4:$C$220,2,FALSE)</f>
        <v>Low income</v>
      </c>
      <c r="J22" s="21" t="s">
        <v>124</v>
      </c>
      <c r="K22" s="21" t="s">
        <v>68</v>
      </c>
      <c r="L22" s="21" t="s">
        <v>30</v>
      </c>
      <c r="M22" s="21"/>
      <c r="N22" s="21"/>
      <c r="O22" s="21"/>
      <c r="P22" s="21" t="s">
        <v>31</v>
      </c>
      <c r="Q22" s="23" t="s">
        <v>56</v>
      </c>
      <c r="R22" s="24"/>
      <c r="S22" s="25"/>
      <c r="T22" s="26"/>
      <c r="U22" s="25"/>
      <c r="V22" s="25"/>
      <c r="W22" s="25"/>
    </row>
    <row r="23" spans="1:23" ht="22.5" customHeight="1">
      <c r="A23" s="20">
        <v>45859.64640046296</v>
      </c>
      <c r="B23" s="21" t="s">
        <v>125</v>
      </c>
      <c r="C23" s="21"/>
      <c r="D23" s="21" t="s">
        <v>24</v>
      </c>
      <c r="E23" s="22">
        <v>37760</v>
      </c>
      <c r="F23" s="21" t="s">
        <v>64</v>
      </c>
      <c r="G23" s="21" t="s">
        <v>84</v>
      </c>
      <c r="H23" s="21" t="s">
        <v>66</v>
      </c>
      <c r="I23" s="6" t="str">
        <f>VLOOKUP(CLEAN(F23),'World Bank Categories'!$B$4:$C$220,2,FALSE)</f>
        <v>Middle income</v>
      </c>
      <c r="J23" s="21" t="s">
        <v>126</v>
      </c>
      <c r="K23" s="21" t="s">
        <v>29</v>
      </c>
      <c r="L23" s="32">
        <v>46207</v>
      </c>
      <c r="M23" s="21"/>
      <c r="N23" s="21"/>
      <c r="O23" s="21"/>
      <c r="P23" s="21" t="s">
        <v>31</v>
      </c>
      <c r="Q23" s="9" t="s">
        <v>32</v>
      </c>
      <c r="R23" s="10"/>
      <c r="S23" s="25" t="s">
        <v>127</v>
      </c>
      <c r="T23" s="27">
        <v>37760</v>
      </c>
      <c r="U23" s="25" t="s">
        <v>128</v>
      </c>
      <c r="V23" s="25" t="s">
        <v>129</v>
      </c>
      <c r="W23" s="25"/>
    </row>
    <row r="24" spans="1:23" ht="22.5" hidden="1" customHeight="1">
      <c r="A24" s="20">
        <v>45859.654618055552</v>
      </c>
      <c r="B24" s="21" t="s">
        <v>130</v>
      </c>
      <c r="C24" s="21"/>
      <c r="D24" s="21" t="s">
        <v>45</v>
      </c>
      <c r="E24" s="22">
        <v>37756</v>
      </c>
      <c r="F24" s="21" t="s">
        <v>83</v>
      </c>
      <c r="G24" s="21" t="s">
        <v>123</v>
      </c>
      <c r="H24" s="21" t="s">
        <v>48</v>
      </c>
      <c r="I24" s="6" t="str">
        <f>VLOOKUP(CLEAN(F24),'World Bank Categories'!$B$4:$C$220,2,FALSE)</f>
        <v>Low income</v>
      </c>
      <c r="J24" s="21" t="s">
        <v>131</v>
      </c>
      <c r="K24" s="21" t="s">
        <v>68</v>
      </c>
      <c r="L24" s="21" t="s">
        <v>30</v>
      </c>
      <c r="M24" s="21"/>
      <c r="N24" s="21"/>
      <c r="O24" s="21"/>
      <c r="P24" s="21" t="s">
        <v>31</v>
      </c>
      <c r="Q24" s="23" t="s">
        <v>56</v>
      </c>
      <c r="R24" s="24"/>
      <c r="S24" s="25"/>
      <c r="T24" s="26"/>
      <c r="U24" s="25"/>
      <c r="V24" s="25"/>
      <c r="W24" s="25"/>
    </row>
    <row r="25" spans="1:23" ht="22.5" hidden="1" customHeight="1">
      <c r="A25" s="20">
        <v>45859.656956018516</v>
      </c>
      <c r="B25" s="21" t="s">
        <v>132</v>
      </c>
      <c r="C25" s="21"/>
      <c r="D25" s="21" t="s">
        <v>24</v>
      </c>
      <c r="E25" s="22">
        <v>38183</v>
      </c>
      <c r="F25" s="21" t="s">
        <v>83</v>
      </c>
      <c r="G25" s="21" t="s">
        <v>123</v>
      </c>
      <c r="H25" s="21" t="s">
        <v>66</v>
      </c>
      <c r="I25" s="6" t="str">
        <f>VLOOKUP(CLEAN(F25),'World Bank Categories'!$B$4:$C$220,2,FALSE)</f>
        <v>Low income</v>
      </c>
      <c r="J25" s="21" t="s">
        <v>133</v>
      </c>
      <c r="K25" s="21" t="s">
        <v>68</v>
      </c>
      <c r="L25" s="21" t="s">
        <v>30</v>
      </c>
      <c r="M25" s="33" t="s">
        <v>134</v>
      </c>
      <c r="N25" s="34" t="s">
        <v>135</v>
      </c>
      <c r="O25" s="21" t="s">
        <v>42</v>
      </c>
      <c r="P25" s="21" t="s">
        <v>31</v>
      </c>
      <c r="Q25" s="23" t="s">
        <v>56</v>
      </c>
      <c r="R25" s="24"/>
      <c r="S25" s="25"/>
      <c r="T25" s="26"/>
      <c r="U25" s="25"/>
      <c r="V25" s="25"/>
      <c r="W25" s="25"/>
    </row>
    <row r="26" spans="1:23" ht="22.5" customHeight="1">
      <c r="A26" s="20">
        <v>45859.674641203703</v>
      </c>
      <c r="B26" s="21" t="s">
        <v>136</v>
      </c>
      <c r="C26" s="21" t="s">
        <v>137</v>
      </c>
      <c r="D26" s="21" t="s">
        <v>45</v>
      </c>
      <c r="E26" s="22">
        <v>37594</v>
      </c>
      <c r="F26" s="21" t="s">
        <v>83</v>
      </c>
      <c r="G26" s="21" t="s">
        <v>123</v>
      </c>
      <c r="H26" s="21" t="s">
        <v>138</v>
      </c>
      <c r="I26" s="6" t="str">
        <f>VLOOKUP(CLEAN(F26),'World Bank Categories'!$B$4:$C$220,2,FALSE)</f>
        <v>Low income</v>
      </c>
      <c r="J26" s="21" t="s">
        <v>139</v>
      </c>
      <c r="K26" s="21" t="s">
        <v>68</v>
      </c>
      <c r="L26" s="21" t="s">
        <v>30</v>
      </c>
      <c r="M26" s="21"/>
      <c r="N26" s="21"/>
      <c r="O26" s="21"/>
      <c r="P26" s="21" t="s">
        <v>31</v>
      </c>
      <c r="Q26" s="9" t="s">
        <v>32</v>
      </c>
      <c r="R26" s="18"/>
      <c r="S26" s="25" t="s">
        <v>136</v>
      </c>
      <c r="T26" s="27">
        <v>45762</v>
      </c>
      <c r="U26" s="25" t="s">
        <v>139</v>
      </c>
      <c r="V26" s="25" t="s">
        <v>140</v>
      </c>
      <c r="W26" s="25"/>
    </row>
    <row r="27" spans="1:23" ht="22.5" hidden="1" customHeight="1">
      <c r="A27" s="20">
        <v>45859.791932870372</v>
      </c>
      <c r="B27" s="21" t="s">
        <v>141</v>
      </c>
      <c r="C27" s="21"/>
      <c r="D27" s="21" t="s">
        <v>45</v>
      </c>
      <c r="E27" s="22">
        <v>37455</v>
      </c>
      <c r="F27" s="21" t="s">
        <v>83</v>
      </c>
      <c r="G27" s="21" t="s">
        <v>142</v>
      </c>
      <c r="H27" s="21" t="s">
        <v>138</v>
      </c>
      <c r="I27" s="6" t="str">
        <f>VLOOKUP(CLEAN(F27),'World Bank Categories'!$B$4:$C$220,2,FALSE)</f>
        <v>Low income</v>
      </c>
      <c r="J27" s="21" t="s">
        <v>143</v>
      </c>
      <c r="K27" s="21" t="s">
        <v>29</v>
      </c>
      <c r="L27" s="21" t="s">
        <v>30</v>
      </c>
      <c r="M27" s="21"/>
      <c r="N27" s="21"/>
      <c r="O27" s="21"/>
      <c r="P27" s="21" t="s">
        <v>31</v>
      </c>
      <c r="Q27" s="23" t="s">
        <v>56</v>
      </c>
      <c r="R27" s="24"/>
      <c r="S27" s="25"/>
      <c r="T27" s="26"/>
      <c r="U27" s="25"/>
      <c r="V27" s="25"/>
      <c r="W27" s="25"/>
    </row>
    <row r="28" spans="1:23" ht="22.5" customHeight="1">
      <c r="A28" s="20">
        <v>45860.185416666667</v>
      </c>
      <c r="B28" s="21" t="s">
        <v>144</v>
      </c>
      <c r="C28" s="21" t="s">
        <v>144</v>
      </c>
      <c r="D28" s="21" t="s">
        <v>45</v>
      </c>
      <c r="E28" s="22">
        <v>38109</v>
      </c>
      <c r="F28" s="21" t="s">
        <v>83</v>
      </c>
      <c r="G28" s="21" t="s">
        <v>123</v>
      </c>
      <c r="H28" s="21" t="s">
        <v>54</v>
      </c>
      <c r="I28" s="6" t="str">
        <f>VLOOKUP(CLEAN(F28),'World Bank Categories'!$B$4:$C$220,2,FALSE)</f>
        <v>Low income</v>
      </c>
      <c r="J28" s="21" t="s">
        <v>145</v>
      </c>
      <c r="K28" s="21" t="s">
        <v>68</v>
      </c>
      <c r="L28" s="21" t="s">
        <v>30</v>
      </c>
      <c r="M28" s="21"/>
      <c r="N28" s="21"/>
      <c r="O28" s="21"/>
      <c r="P28" s="21" t="s">
        <v>31</v>
      </c>
      <c r="Q28" s="9" t="s">
        <v>32</v>
      </c>
      <c r="R28" s="10"/>
      <c r="S28" s="25" t="s">
        <v>144</v>
      </c>
      <c r="T28" s="27">
        <v>38109</v>
      </c>
      <c r="U28" s="25" t="s">
        <v>145</v>
      </c>
      <c r="V28" s="25" t="s">
        <v>80</v>
      </c>
      <c r="W28" s="25"/>
    </row>
    <row r="29" spans="1:23" ht="22.5" hidden="1" customHeight="1">
      <c r="A29" s="20">
        <v>45860.592650462961</v>
      </c>
      <c r="B29" s="21" t="s">
        <v>146</v>
      </c>
      <c r="C29" s="21"/>
      <c r="D29" s="21" t="s">
        <v>45</v>
      </c>
      <c r="E29" s="22">
        <v>34335</v>
      </c>
      <c r="F29" s="21" t="s">
        <v>83</v>
      </c>
      <c r="G29" s="21" t="s">
        <v>84</v>
      </c>
      <c r="H29" s="21" t="s">
        <v>66</v>
      </c>
      <c r="I29" s="6" t="str">
        <f>VLOOKUP(CLEAN(F29),'World Bank Categories'!$B$4:$C$220,2,FALSE)</f>
        <v>Low income</v>
      </c>
      <c r="J29" s="21" t="s">
        <v>147</v>
      </c>
      <c r="K29" s="21" t="s">
        <v>29</v>
      </c>
      <c r="L29" s="32">
        <v>46207</v>
      </c>
      <c r="M29" s="21"/>
      <c r="N29" s="21"/>
      <c r="O29" s="21"/>
      <c r="P29" s="21" t="s">
        <v>31</v>
      </c>
      <c r="Q29" s="23" t="s">
        <v>56</v>
      </c>
      <c r="R29" s="24"/>
      <c r="S29" s="25"/>
      <c r="T29" s="26"/>
      <c r="U29" s="25"/>
      <c r="V29" s="25"/>
      <c r="W29" s="25"/>
    </row>
    <row r="30" spans="1:23" ht="22.5" customHeight="1">
      <c r="A30" s="20">
        <v>45860.7965625</v>
      </c>
      <c r="B30" s="21" t="s">
        <v>148</v>
      </c>
      <c r="C30" s="21"/>
      <c r="D30" s="21" t="s">
        <v>24</v>
      </c>
      <c r="E30" s="22">
        <v>35013</v>
      </c>
      <c r="F30" s="21" t="s">
        <v>83</v>
      </c>
      <c r="G30" s="21" t="s">
        <v>149</v>
      </c>
      <c r="H30" s="21" t="s">
        <v>150</v>
      </c>
      <c r="I30" s="6" t="str">
        <f>VLOOKUP(CLEAN(F30),'World Bank Categories'!$B$4:$C$220,2,FALSE)</f>
        <v>Low income</v>
      </c>
      <c r="J30" s="21" t="s">
        <v>151</v>
      </c>
      <c r="K30" s="21" t="s">
        <v>39</v>
      </c>
      <c r="L30" s="21" t="s">
        <v>152</v>
      </c>
      <c r="M30" s="21"/>
      <c r="N30" s="21"/>
      <c r="O30" s="21"/>
      <c r="P30" s="21" t="s">
        <v>31</v>
      </c>
      <c r="Q30" s="9" t="s">
        <v>32</v>
      </c>
      <c r="R30" s="18"/>
      <c r="S30" s="25" t="s">
        <v>153</v>
      </c>
      <c r="T30" s="27">
        <v>35013</v>
      </c>
      <c r="U30" s="25" t="s">
        <v>151</v>
      </c>
      <c r="V30" s="25" t="s">
        <v>154</v>
      </c>
      <c r="W30" s="25"/>
    </row>
    <row r="31" spans="1:23" ht="22.5" hidden="1" customHeight="1">
      <c r="A31" s="20">
        <v>45860.807581018518</v>
      </c>
      <c r="B31" s="21" t="s">
        <v>155</v>
      </c>
      <c r="C31" s="21"/>
      <c r="D31" s="21" t="s">
        <v>24</v>
      </c>
      <c r="E31" s="22">
        <v>35285</v>
      </c>
      <c r="F31" s="21" t="s">
        <v>83</v>
      </c>
      <c r="G31" s="21" t="s">
        <v>123</v>
      </c>
      <c r="H31" s="21" t="s">
        <v>156</v>
      </c>
      <c r="I31" s="6" t="str">
        <f>VLOOKUP(CLEAN(F31),'World Bank Categories'!$B$4:$C$220,2,FALSE)</f>
        <v>Low income</v>
      </c>
      <c r="J31" s="21" t="s">
        <v>157</v>
      </c>
      <c r="K31" s="21" t="s">
        <v>29</v>
      </c>
      <c r="L31" s="21" t="s">
        <v>30</v>
      </c>
      <c r="M31" s="33" t="s">
        <v>158</v>
      </c>
      <c r="N31" s="21"/>
      <c r="O31" s="21"/>
      <c r="P31" s="21" t="s">
        <v>31</v>
      </c>
      <c r="Q31" s="23" t="s">
        <v>56</v>
      </c>
      <c r="R31" s="24"/>
      <c r="S31" s="25"/>
      <c r="T31" s="26"/>
      <c r="U31" s="25"/>
      <c r="V31" s="25"/>
      <c r="W31" s="25"/>
    </row>
    <row r="32" spans="1:23" ht="22.5" hidden="1" customHeight="1">
      <c r="A32" s="35">
        <v>45860.823298611111</v>
      </c>
      <c r="B32" s="36" t="s">
        <v>159</v>
      </c>
      <c r="C32" s="36"/>
      <c r="D32" s="36" t="s">
        <v>45</v>
      </c>
      <c r="E32" s="37">
        <v>36362</v>
      </c>
      <c r="F32" s="36" t="s">
        <v>83</v>
      </c>
      <c r="G32" s="36" t="s">
        <v>84</v>
      </c>
      <c r="H32" s="36" t="s">
        <v>160</v>
      </c>
      <c r="I32" s="6" t="str">
        <f>VLOOKUP(CLEAN(F32),'World Bank Categories'!$B$4:$C$220,2,FALSE)</f>
        <v>Low income</v>
      </c>
      <c r="J32" s="36" t="s">
        <v>161</v>
      </c>
      <c r="K32" s="36" t="s">
        <v>29</v>
      </c>
      <c r="L32" s="36" t="s">
        <v>162</v>
      </c>
      <c r="M32" s="36"/>
      <c r="N32" s="36"/>
      <c r="O32" s="36"/>
      <c r="P32" s="36" t="s">
        <v>31</v>
      </c>
      <c r="Q32" s="23" t="s">
        <v>56</v>
      </c>
      <c r="R32" s="24"/>
      <c r="S32" s="25"/>
      <c r="T32" s="26"/>
      <c r="U32" s="25"/>
      <c r="V32" s="25"/>
      <c r="W32" s="25"/>
    </row>
    <row r="33" spans="1:23" ht="22.5" customHeight="1">
      <c r="A33" s="5">
        <v>45860.982208668982</v>
      </c>
      <c r="B33" s="6" t="s">
        <v>163</v>
      </c>
      <c r="C33" s="7"/>
      <c r="D33" s="6" t="s">
        <v>24</v>
      </c>
      <c r="E33" s="8">
        <v>37253</v>
      </c>
      <c r="F33" s="6" t="s">
        <v>58</v>
      </c>
      <c r="G33" s="6" t="s">
        <v>164</v>
      </c>
      <c r="H33" s="6" t="s">
        <v>66</v>
      </c>
      <c r="I33" s="6" t="str">
        <f>VLOOKUP(CLEAN(F33),'World Bank Categories'!$B$4:$C$220,2,FALSE)</f>
        <v>Middle income</v>
      </c>
      <c r="J33" s="6" t="s">
        <v>165</v>
      </c>
      <c r="K33" s="6" t="s">
        <v>39</v>
      </c>
      <c r="L33" s="6" t="s">
        <v>162</v>
      </c>
      <c r="M33" s="7"/>
      <c r="N33" s="6"/>
      <c r="O33" s="6"/>
      <c r="P33" s="6" t="s">
        <v>31</v>
      </c>
      <c r="Q33" s="9" t="s">
        <v>32</v>
      </c>
      <c r="R33" s="10"/>
      <c r="S33" s="11" t="s">
        <v>163</v>
      </c>
      <c r="T33" s="12"/>
      <c r="U33" s="12"/>
      <c r="V33" s="12"/>
      <c r="W33" s="12"/>
    </row>
    <row r="34" spans="1:23" ht="22.5" hidden="1" customHeight="1">
      <c r="A34" s="20">
        <v>45861.651932870373</v>
      </c>
      <c r="B34" s="21" t="s">
        <v>166</v>
      </c>
      <c r="C34" s="21"/>
      <c r="D34" s="21" t="s">
        <v>24</v>
      </c>
      <c r="E34" s="22">
        <v>36721</v>
      </c>
      <c r="F34" s="21" t="s">
        <v>83</v>
      </c>
      <c r="G34" s="21" t="s">
        <v>167</v>
      </c>
      <c r="H34" s="21" t="s">
        <v>66</v>
      </c>
      <c r="I34" s="6" t="str">
        <f>VLOOKUP(CLEAN(F34),'World Bank Categories'!$B$4:$C$220,2,FALSE)</f>
        <v>Low income</v>
      </c>
      <c r="J34" s="21" t="s">
        <v>168</v>
      </c>
      <c r="K34" s="21" t="s">
        <v>68</v>
      </c>
      <c r="L34" s="21" t="s">
        <v>30</v>
      </c>
      <c r="M34" s="21"/>
      <c r="N34" s="21"/>
      <c r="O34" s="21"/>
      <c r="P34" s="21" t="s">
        <v>31</v>
      </c>
      <c r="Q34" s="23" t="s">
        <v>56</v>
      </c>
      <c r="R34" s="24"/>
      <c r="S34" s="25"/>
      <c r="T34" s="26"/>
      <c r="U34" s="25"/>
      <c r="V34" s="25"/>
      <c r="W34" s="25"/>
    </row>
    <row r="35" spans="1:23" ht="22.5" hidden="1" customHeight="1">
      <c r="A35" s="20">
        <v>45862.864953703705</v>
      </c>
      <c r="B35" s="21" t="s">
        <v>169</v>
      </c>
      <c r="C35" s="21"/>
      <c r="D35" s="21" t="s">
        <v>45</v>
      </c>
      <c r="E35" s="22">
        <v>36536</v>
      </c>
      <c r="F35" s="21" t="s">
        <v>83</v>
      </c>
      <c r="G35" s="21" t="s">
        <v>170</v>
      </c>
      <c r="H35" s="21" t="s">
        <v>171</v>
      </c>
      <c r="I35" s="6" t="str">
        <f>VLOOKUP(CLEAN(F35),'World Bank Categories'!$B$4:$C$220,2,FALSE)</f>
        <v>Low income</v>
      </c>
      <c r="J35" s="21" t="s">
        <v>172</v>
      </c>
      <c r="K35" s="21" t="s">
        <v>39</v>
      </c>
      <c r="L35" s="21" t="s">
        <v>162</v>
      </c>
      <c r="M35" s="21"/>
      <c r="N35" s="21"/>
      <c r="O35" s="21"/>
      <c r="P35" s="21" t="s">
        <v>31</v>
      </c>
      <c r="Q35" s="23" t="s">
        <v>56</v>
      </c>
      <c r="R35" s="24"/>
      <c r="S35" s="25"/>
      <c r="T35" s="26"/>
      <c r="U35" s="25"/>
      <c r="V35" s="25"/>
      <c r="W35" s="25"/>
    </row>
    <row r="36" spans="1:23" ht="22.5" hidden="1" customHeight="1">
      <c r="A36" s="20">
        <v>45862.937175925923</v>
      </c>
      <c r="B36" s="21" t="s">
        <v>173</v>
      </c>
      <c r="C36" s="21" t="s">
        <v>174</v>
      </c>
      <c r="D36" s="21" t="s">
        <v>24</v>
      </c>
      <c r="E36" s="22">
        <v>38542</v>
      </c>
      <c r="F36" s="21" t="s">
        <v>83</v>
      </c>
      <c r="G36" s="21" t="s">
        <v>175</v>
      </c>
      <c r="H36" s="21" t="s">
        <v>66</v>
      </c>
      <c r="I36" s="6" t="str">
        <f>VLOOKUP(CLEAN(F36),'World Bank Categories'!$B$4:$C$220,2,FALSE)</f>
        <v>Low income</v>
      </c>
      <c r="J36" s="21" t="s">
        <v>176</v>
      </c>
      <c r="K36" s="21" t="s">
        <v>68</v>
      </c>
      <c r="L36" s="21" t="s">
        <v>30</v>
      </c>
      <c r="M36" s="21"/>
      <c r="N36" s="21"/>
      <c r="O36" s="21"/>
      <c r="P36" s="21" t="s">
        <v>31</v>
      </c>
      <c r="Q36" s="23" t="s">
        <v>56</v>
      </c>
      <c r="R36" s="24"/>
      <c r="S36" s="25"/>
      <c r="T36" s="26"/>
      <c r="U36" s="25"/>
      <c r="V36" s="25"/>
      <c r="W36" s="25"/>
    </row>
    <row r="37" spans="1:23" ht="22.5" hidden="1" customHeight="1">
      <c r="A37" s="28">
        <v>45865.161458333336</v>
      </c>
      <c r="B37" s="29" t="s">
        <v>177</v>
      </c>
      <c r="C37" s="29"/>
      <c r="D37" s="29" t="s">
        <v>45</v>
      </c>
      <c r="E37" s="30">
        <v>45908</v>
      </c>
      <c r="F37" s="29" t="s">
        <v>83</v>
      </c>
      <c r="G37" s="29" t="s">
        <v>178</v>
      </c>
      <c r="H37" s="29" t="s">
        <v>179</v>
      </c>
      <c r="I37" s="6" t="str">
        <f>VLOOKUP(CLEAN(F37),'World Bank Categories'!$B$4:$C$220,2,FALSE)</f>
        <v>Low income</v>
      </c>
      <c r="J37" s="29" t="s">
        <v>180</v>
      </c>
      <c r="K37" s="29" t="s">
        <v>29</v>
      </c>
      <c r="L37" s="29" t="s">
        <v>30</v>
      </c>
      <c r="M37" s="29"/>
      <c r="N37" s="29"/>
      <c r="O37" s="29"/>
      <c r="P37" s="29" t="s">
        <v>31</v>
      </c>
      <c r="Q37" s="23" t="s">
        <v>56</v>
      </c>
      <c r="R37" s="24"/>
      <c r="S37" s="25"/>
      <c r="T37" s="26"/>
      <c r="U37" s="25"/>
      <c r="V37" s="25"/>
      <c r="W37" s="25"/>
    </row>
    <row r="38" spans="1:23" ht="22.5" customHeight="1">
      <c r="A38" s="20">
        <v>45865.164687500001</v>
      </c>
      <c r="B38" s="21" t="s">
        <v>181</v>
      </c>
      <c r="C38" s="21"/>
      <c r="D38" s="21" t="s">
        <v>24</v>
      </c>
      <c r="E38" s="22">
        <v>32229</v>
      </c>
      <c r="F38" s="21" t="s">
        <v>52</v>
      </c>
      <c r="G38" s="21" t="s">
        <v>182</v>
      </c>
      <c r="H38" s="21" t="s">
        <v>183</v>
      </c>
      <c r="I38" s="6" t="str">
        <f>VLOOKUP(CLEAN(F38),'World Bank Categories'!$B$4:$C$220,2,FALSE)</f>
        <v>Middle income</v>
      </c>
      <c r="J38" s="21" t="s">
        <v>184</v>
      </c>
      <c r="K38" s="21" t="s">
        <v>29</v>
      </c>
      <c r="L38" s="21" t="s">
        <v>30</v>
      </c>
      <c r="M38" s="21"/>
      <c r="N38" s="21"/>
      <c r="O38" s="21"/>
      <c r="P38" s="21" t="s">
        <v>31</v>
      </c>
      <c r="Q38" s="9" t="s">
        <v>32</v>
      </c>
      <c r="R38" s="10" t="s">
        <v>43</v>
      </c>
      <c r="S38" s="25" t="s">
        <v>181</v>
      </c>
      <c r="T38" s="27">
        <v>32229</v>
      </c>
      <c r="U38" s="25" t="s">
        <v>184</v>
      </c>
      <c r="V38" s="25" t="s">
        <v>80</v>
      </c>
      <c r="W38" s="25"/>
    </row>
    <row r="39" spans="1:23" ht="22.5" customHeight="1">
      <c r="A39" s="20">
        <v>45865.818796296298</v>
      </c>
      <c r="B39" s="21" t="s">
        <v>185</v>
      </c>
      <c r="C39" s="21"/>
      <c r="D39" s="21" t="s">
        <v>24</v>
      </c>
      <c r="E39" s="22">
        <v>28995</v>
      </c>
      <c r="F39" s="21" t="s">
        <v>83</v>
      </c>
      <c r="G39" s="21" t="s">
        <v>167</v>
      </c>
      <c r="H39" s="21" t="s">
        <v>186</v>
      </c>
      <c r="I39" s="6" t="str">
        <f>VLOOKUP(CLEAN(F39),'World Bank Categories'!$B$4:$C$220,2,FALSE)</f>
        <v>Low income</v>
      </c>
      <c r="J39" s="21" t="s">
        <v>187</v>
      </c>
      <c r="K39" s="21" t="s">
        <v>29</v>
      </c>
      <c r="L39" s="21" t="s">
        <v>30</v>
      </c>
      <c r="M39" s="21"/>
      <c r="N39" s="21"/>
      <c r="O39" s="21"/>
      <c r="P39" s="21" t="s">
        <v>31</v>
      </c>
      <c r="Q39" s="9" t="s">
        <v>32</v>
      </c>
      <c r="R39" s="18"/>
      <c r="S39" s="25" t="s">
        <v>188</v>
      </c>
      <c r="T39" s="27">
        <v>28995</v>
      </c>
      <c r="U39" s="25" t="s">
        <v>187</v>
      </c>
      <c r="V39" s="25" t="s">
        <v>154</v>
      </c>
      <c r="W39" s="25"/>
    </row>
    <row r="40" spans="1:23" ht="22.5" hidden="1" customHeight="1">
      <c r="A40" s="20">
        <v>45865.818981481483</v>
      </c>
      <c r="B40" s="21" t="s">
        <v>189</v>
      </c>
      <c r="C40" s="21"/>
      <c r="D40" s="21" t="s">
        <v>45</v>
      </c>
      <c r="E40" s="22">
        <v>35647</v>
      </c>
      <c r="F40" s="21" t="s">
        <v>83</v>
      </c>
      <c r="G40" s="21" t="s">
        <v>190</v>
      </c>
      <c r="H40" s="21" t="s">
        <v>191</v>
      </c>
      <c r="I40" s="6" t="str">
        <f>VLOOKUP(CLEAN(F40),'World Bank Categories'!$B$4:$C$220,2,FALSE)</f>
        <v>Low income</v>
      </c>
      <c r="J40" s="21" t="s">
        <v>192</v>
      </c>
      <c r="K40" s="21" t="s">
        <v>29</v>
      </c>
      <c r="L40" s="21" t="s">
        <v>162</v>
      </c>
      <c r="M40" s="21"/>
      <c r="N40" s="21"/>
      <c r="O40" s="21"/>
      <c r="P40" s="21" t="s">
        <v>31</v>
      </c>
      <c r="Q40" s="23" t="s">
        <v>56</v>
      </c>
      <c r="R40" s="24"/>
      <c r="S40" s="25"/>
      <c r="T40" s="26"/>
      <c r="U40" s="25"/>
      <c r="V40" s="25"/>
      <c r="W40" s="25"/>
    </row>
    <row r="41" spans="1:23" ht="22.5" hidden="1" customHeight="1">
      <c r="A41" s="20">
        <v>45866.256111111114</v>
      </c>
      <c r="B41" s="21" t="s">
        <v>193</v>
      </c>
      <c r="C41" s="21" t="s">
        <v>193</v>
      </c>
      <c r="D41" s="21" t="s">
        <v>45</v>
      </c>
      <c r="E41" s="22">
        <v>26966</v>
      </c>
      <c r="F41" s="21" t="s">
        <v>83</v>
      </c>
      <c r="G41" s="21" t="s">
        <v>194</v>
      </c>
      <c r="H41" s="21" t="s">
        <v>195</v>
      </c>
      <c r="I41" s="6" t="str">
        <f>VLOOKUP(CLEAN(F41),'World Bank Categories'!$B$4:$C$220,2,FALSE)</f>
        <v>Low income</v>
      </c>
      <c r="J41" s="21" t="s">
        <v>196</v>
      </c>
      <c r="K41" s="21" t="s">
        <v>39</v>
      </c>
      <c r="L41" s="21" t="s">
        <v>152</v>
      </c>
      <c r="M41" s="21"/>
      <c r="N41" s="21"/>
      <c r="O41" s="21"/>
      <c r="P41" s="21" t="s">
        <v>31</v>
      </c>
      <c r="Q41" s="23" t="s">
        <v>56</v>
      </c>
      <c r="R41" s="24"/>
      <c r="S41" s="25"/>
      <c r="T41" s="26"/>
      <c r="U41" s="25"/>
      <c r="V41" s="25"/>
      <c r="W41" s="25"/>
    </row>
    <row r="42" spans="1:23" ht="22.5" customHeight="1">
      <c r="A42" s="20">
        <v>45870.141527777778</v>
      </c>
      <c r="B42" s="21" t="s">
        <v>197</v>
      </c>
      <c r="C42" s="21" t="s">
        <v>197</v>
      </c>
      <c r="D42" s="21" t="s">
        <v>24</v>
      </c>
      <c r="E42" s="22">
        <v>32847</v>
      </c>
      <c r="F42" s="21" t="s">
        <v>198</v>
      </c>
      <c r="G42" s="21" t="s">
        <v>199</v>
      </c>
      <c r="H42" s="21" t="s">
        <v>200</v>
      </c>
      <c r="I42" s="6" t="str">
        <f>VLOOKUP(CLEAN(F42),'World Bank Categories'!$B$4:$C$220,2,FALSE)</f>
        <v>Middle income</v>
      </c>
      <c r="J42" s="21" t="s">
        <v>201</v>
      </c>
      <c r="K42" s="21" t="s">
        <v>68</v>
      </c>
      <c r="L42" s="21" t="s">
        <v>30</v>
      </c>
      <c r="M42" s="21"/>
      <c r="N42" s="21"/>
      <c r="O42" s="21"/>
      <c r="P42" s="21" t="s">
        <v>31</v>
      </c>
      <c r="Q42" s="9" t="s">
        <v>32</v>
      </c>
      <c r="R42" s="18" t="s">
        <v>43</v>
      </c>
      <c r="S42" s="25" t="s">
        <v>197</v>
      </c>
      <c r="T42" s="27">
        <v>32847</v>
      </c>
      <c r="U42" s="25" t="s">
        <v>201</v>
      </c>
      <c r="V42" s="25" t="s">
        <v>80</v>
      </c>
      <c r="W42" s="25"/>
    </row>
    <row r="43" spans="1:23" ht="22.5" hidden="1" customHeight="1">
      <c r="A43" s="13">
        <v>45871.14445162037</v>
      </c>
      <c r="B43" s="14" t="s">
        <v>202</v>
      </c>
      <c r="C43" s="15"/>
      <c r="D43" s="14" t="s">
        <v>24</v>
      </c>
      <c r="E43" s="16">
        <v>31443</v>
      </c>
      <c r="F43" s="14" t="s">
        <v>203</v>
      </c>
      <c r="G43" s="14" t="s">
        <v>204</v>
      </c>
      <c r="H43" s="14" t="s">
        <v>205</v>
      </c>
      <c r="I43" s="6" t="str">
        <f>VLOOKUP(CLEAN(F43),'World Bank Categories'!$B$4:$C$220,2,FALSE)</f>
        <v>Middle income</v>
      </c>
      <c r="J43" s="14" t="s">
        <v>206</v>
      </c>
      <c r="K43" s="14" t="s">
        <v>39</v>
      </c>
      <c r="L43" s="14" t="s">
        <v>30</v>
      </c>
      <c r="M43" s="15"/>
      <c r="N43" s="14"/>
      <c r="O43" s="14"/>
      <c r="P43" s="14" t="s">
        <v>31</v>
      </c>
      <c r="Q43" s="23" t="s">
        <v>56</v>
      </c>
      <c r="R43" s="24"/>
      <c r="S43" s="15"/>
      <c r="T43" s="12"/>
      <c r="U43" s="12"/>
      <c r="V43" s="12"/>
      <c r="W43" s="12"/>
    </row>
    <row r="44" spans="1:23" ht="22.5" customHeight="1">
      <c r="A44" s="20">
        <v>45871.236030092594</v>
      </c>
      <c r="B44" s="21" t="s">
        <v>207</v>
      </c>
      <c r="C44" s="38"/>
      <c r="D44" s="21" t="s">
        <v>45</v>
      </c>
      <c r="E44" s="22">
        <v>28186</v>
      </c>
      <c r="F44" s="21" t="s">
        <v>208</v>
      </c>
      <c r="G44" s="21" t="s">
        <v>209</v>
      </c>
      <c r="H44" s="21" t="s">
        <v>210</v>
      </c>
      <c r="I44" s="6" t="str">
        <f>VLOOKUP(CLEAN(F44),'World Bank Categories'!$B$4:$C$220,2,FALSE)</f>
        <v>Low income</v>
      </c>
      <c r="J44" s="21" t="s">
        <v>211</v>
      </c>
      <c r="K44" s="21" t="s">
        <v>68</v>
      </c>
      <c r="L44" s="21" t="s">
        <v>30</v>
      </c>
      <c r="M44" s="33" t="s">
        <v>212</v>
      </c>
      <c r="N44" s="21" t="s">
        <v>213</v>
      </c>
      <c r="O44" s="21" t="s">
        <v>214</v>
      </c>
      <c r="P44" s="21" t="s">
        <v>31</v>
      </c>
      <c r="Q44" s="9" t="s">
        <v>32</v>
      </c>
      <c r="R44" s="10" t="s">
        <v>33</v>
      </c>
      <c r="S44" s="25" t="s">
        <v>215</v>
      </c>
      <c r="T44" s="27">
        <v>28186</v>
      </c>
      <c r="U44" s="25" t="s">
        <v>216</v>
      </c>
      <c r="V44" s="25" t="s">
        <v>80</v>
      </c>
      <c r="W44" s="25"/>
    </row>
    <row r="45" spans="1:23" ht="22.5" customHeight="1">
      <c r="A45" s="5">
        <v>45874.229586655092</v>
      </c>
      <c r="B45" s="6" t="s">
        <v>217</v>
      </c>
      <c r="C45" s="7"/>
      <c r="D45" s="6" t="s">
        <v>24</v>
      </c>
      <c r="E45" s="8">
        <v>28943</v>
      </c>
      <c r="F45" s="6" t="s">
        <v>208</v>
      </c>
      <c r="G45" s="6" t="s">
        <v>218</v>
      </c>
      <c r="H45" s="6" t="s">
        <v>219</v>
      </c>
      <c r="I45" s="6" t="str">
        <f>VLOOKUP(CLEAN(F45),'World Bank Categories'!$B$4:$C$220,2,FALSE)</f>
        <v>Low income</v>
      </c>
      <c r="J45" s="6" t="s">
        <v>220</v>
      </c>
      <c r="K45" s="6" t="s">
        <v>39</v>
      </c>
      <c r="L45" s="6" t="s">
        <v>162</v>
      </c>
      <c r="M45" s="7"/>
      <c r="N45" s="6"/>
      <c r="O45" s="6"/>
      <c r="P45" s="6" t="s">
        <v>31</v>
      </c>
      <c r="Q45" s="9" t="s">
        <v>32</v>
      </c>
      <c r="R45" s="18" t="s">
        <v>33</v>
      </c>
      <c r="S45" s="11" t="s">
        <v>221</v>
      </c>
      <c r="T45" s="12"/>
      <c r="U45" s="12"/>
      <c r="V45" s="12"/>
      <c r="W45" s="12"/>
    </row>
    <row r="46" spans="1:23" ht="22.5" customHeight="1">
      <c r="A46" s="20">
        <v>45874.567488425928</v>
      </c>
      <c r="B46" s="21" t="s">
        <v>222</v>
      </c>
      <c r="C46" s="38"/>
      <c r="D46" s="21" t="s">
        <v>45</v>
      </c>
      <c r="E46" s="22">
        <v>36651</v>
      </c>
      <c r="F46" s="21" t="s">
        <v>208</v>
      </c>
      <c r="G46" s="21" t="s">
        <v>223</v>
      </c>
      <c r="H46" s="21" t="s">
        <v>224</v>
      </c>
      <c r="I46" s="6" t="str">
        <f>VLOOKUP(CLEAN(F46),'World Bank Categories'!$B$4:$C$220,2,FALSE)</f>
        <v>Low income</v>
      </c>
      <c r="J46" s="21" t="s">
        <v>225</v>
      </c>
      <c r="K46" s="21" t="s">
        <v>68</v>
      </c>
      <c r="L46" s="21" t="s">
        <v>30</v>
      </c>
      <c r="M46" s="21"/>
      <c r="N46" s="21"/>
      <c r="O46" s="21"/>
      <c r="P46" s="21" t="s">
        <v>31</v>
      </c>
      <c r="Q46" s="9" t="s">
        <v>32</v>
      </c>
      <c r="R46" s="10"/>
      <c r="S46" s="25" t="s">
        <v>222</v>
      </c>
      <c r="T46" s="27">
        <v>36651</v>
      </c>
      <c r="U46" s="25" t="s">
        <v>225</v>
      </c>
      <c r="V46" s="25" t="s">
        <v>80</v>
      </c>
      <c r="W46" s="25"/>
    </row>
    <row r="47" spans="1:23" ht="22.5" customHeight="1">
      <c r="A47" s="20">
        <v>45875.633298611108</v>
      </c>
      <c r="B47" s="21" t="s">
        <v>226</v>
      </c>
      <c r="C47" s="38"/>
      <c r="D47" s="21" t="s">
        <v>45</v>
      </c>
      <c r="E47" s="22">
        <v>32327</v>
      </c>
      <c r="F47" s="21" t="s">
        <v>227</v>
      </c>
      <c r="G47" s="21" t="s">
        <v>209</v>
      </c>
      <c r="H47" s="21" t="s">
        <v>228</v>
      </c>
      <c r="I47" s="6" t="str">
        <f>VLOOKUP(CLEAN(F47),'World Bank Categories'!$B$4:$C$220,2,FALSE)</f>
        <v>Middle income</v>
      </c>
      <c r="J47" s="21" t="s">
        <v>229</v>
      </c>
      <c r="K47" s="21" t="s">
        <v>29</v>
      </c>
      <c r="L47" s="21" t="s">
        <v>30</v>
      </c>
      <c r="M47" s="21"/>
      <c r="N47" s="21"/>
      <c r="O47" s="21"/>
      <c r="P47" s="21" t="s">
        <v>31</v>
      </c>
      <c r="Q47" s="9" t="s">
        <v>32</v>
      </c>
      <c r="R47" s="18" t="s">
        <v>43</v>
      </c>
      <c r="S47" s="25" t="s">
        <v>226</v>
      </c>
      <c r="T47" s="27">
        <v>32327</v>
      </c>
      <c r="U47" s="25" t="s">
        <v>229</v>
      </c>
      <c r="V47" s="25" t="s">
        <v>80</v>
      </c>
      <c r="W47" s="25"/>
    </row>
    <row r="48" spans="1:23" ht="22.5" customHeight="1">
      <c r="A48" s="20">
        <v>45877.788344907407</v>
      </c>
      <c r="B48" s="21" t="s">
        <v>230</v>
      </c>
      <c r="C48" s="21" t="s">
        <v>231</v>
      </c>
      <c r="D48" s="21" t="s">
        <v>24</v>
      </c>
      <c r="E48" s="22">
        <v>45883</v>
      </c>
      <c r="F48" s="21" t="s">
        <v>232</v>
      </c>
      <c r="G48" s="21" t="s">
        <v>209</v>
      </c>
      <c r="H48" s="21" t="s">
        <v>233</v>
      </c>
      <c r="I48" s="6" t="str">
        <f>VLOOKUP(CLEAN(F48),'World Bank Categories'!$B$4:$C$220,2,FALSE)</f>
        <v>Middle income</v>
      </c>
      <c r="J48" s="21" t="s">
        <v>234</v>
      </c>
      <c r="K48" s="21" t="s">
        <v>29</v>
      </c>
      <c r="L48" s="21" t="s">
        <v>30</v>
      </c>
      <c r="M48" s="21"/>
      <c r="N48" s="21"/>
      <c r="O48" s="21"/>
      <c r="P48" s="21" t="s">
        <v>31</v>
      </c>
      <c r="Q48" s="9" t="s">
        <v>32</v>
      </c>
      <c r="R48" s="10"/>
      <c r="S48" s="25" t="s">
        <v>230</v>
      </c>
      <c r="T48" s="27">
        <v>20712</v>
      </c>
      <c r="U48" s="25" t="s">
        <v>235</v>
      </c>
      <c r="V48" s="25" t="s">
        <v>236</v>
      </c>
      <c r="W48" s="25"/>
    </row>
    <row r="49" spans="1:23" ht="22.5" hidden="1" customHeight="1">
      <c r="A49" s="20">
        <v>45881.297222222223</v>
      </c>
      <c r="B49" s="21" t="s">
        <v>237</v>
      </c>
      <c r="C49" s="21" t="s">
        <v>238</v>
      </c>
      <c r="D49" s="21" t="s">
        <v>24</v>
      </c>
      <c r="E49" s="22">
        <v>24605</v>
      </c>
      <c r="F49" s="21" t="s">
        <v>83</v>
      </c>
      <c r="G49" s="21" t="s">
        <v>84</v>
      </c>
      <c r="H49" s="21" t="s">
        <v>239</v>
      </c>
      <c r="I49" s="6" t="str">
        <f>VLOOKUP(CLEAN(F49),'World Bank Categories'!$B$4:$C$220,2,FALSE)</f>
        <v>Low income</v>
      </c>
      <c r="J49" s="21" t="s">
        <v>240</v>
      </c>
      <c r="K49" s="21" t="s">
        <v>39</v>
      </c>
      <c r="L49" s="21" t="s">
        <v>241</v>
      </c>
      <c r="M49" s="33" t="s">
        <v>242</v>
      </c>
      <c r="N49" s="39" t="s">
        <v>243</v>
      </c>
      <c r="O49" s="21" t="s">
        <v>42</v>
      </c>
      <c r="P49" s="21" t="s">
        <v>31</v>
      </c>
      <c r="Q49" s="23" t="s">
        <v>56</v>
      </c>
      <c r="R49" s="24"/>
      <c r="S49" s="25"/>
      <c r="T49" s="26"/>
      <c r="U49" s="25"/>
      <c r="V49" s="25"/>
      <c r="W49" s="25"/>
    </row>
    <row r="50" spans="1:23" ht="22.5" customHeight="1">
      <c r="A50" s="20">
        <v>45883.567048611112</v>
      </c>
      <c r="B50" s="21" t="s">
        <v>244</v>
      </c>
      <c r="C50" s="38"/>
      <c r="D50" s="21" t="s">
        <v>45</v>
      </c>
      <c r="E50" s="22">
        <v>28573</v>
      </c>
      <c r="F50" s="21" t="s">
        <v>245</v>
      </c>
      <c r="G50" s="21" t="s">
        <v>246</v>
      </c>
      <c r="H50" s="21" t="s">
        <v>247</v>
      </c>
      <c r="I50" s="6" t="str">
        <f>VLOOKUP(CLEAN(F50),'World Bank Categories'!$B$4:$C$220,2,FALSE)</f>
        <v>Middle income</v>
      </c>
      <c r="J50" s="21" t="s">
        <v>248</v>
      </c>
      <c r="K50" s="21" t="s">
        <v>39</v>
      </c>
      <c r="L50" s="21" t="s">
        <v>152</v>
      </c>
      <c r="M50" s="33" t="s">
        <v>249</v>
      </c>
      <c r="N50" s="34" t="s">
        <v>250</v>
      </c>
      <c r="O50" s="21" t="s">
        <v>42</v>
      </c>
      <c r="P50" s="21" t="s">
        <v>31</v>
      </c>
      <c r="Q50" s="9" t="s">
        <v>32</v>
      </c>
      <c r="R50" s="10" t="s">
        <v>43</v>
      </c>
      <c r="S50" s="25" t="s">
        <v>244</v>
      </c>
      <c r="T50" s="27">
        <v>28573</v>
      </c>
      <c r="U50" s="25" t="s">
        <v>248</v>
      </c>
      <c r="V50" s="25" t="s">
        <v>80</v>
      </c>
      <c r="W50" s="25"/>
    </row>
    <row r="51" spans="1:23" ht="22.5" customHeight="1">
      <c r="A51" s="13">
        <v>45890.989432731483</v>
      </c>
      <c r="B51" s="14" t="s">
        <v>251</v>
      </c>
      <c r="C51" s="15"/>
      <c r="D51" s="14" t="s">
        <v>24</v>
      </c>
      <c r="E51" s="16">
        <v>36334</v>
      </c>
      <c r="F51" s="14" t="s">
        <v>252</v>
      </c>
      <c r="G51" s="14" t="s">
        <v>253</v>
      </c>
      <c r="H51" s="14" t="s">
        <v>254</v>
      </c>
      <c r="I51" s="6" t="str">
        <f>VLOOKUP(CLEAN(F51),'World Bank Categories'!$B$4:$C$220,2,FALSE)</f>
        <v>Middle income</v>
      </c>
      <c r="J51" s="14" t="s">
        <v>255</v>
      </c>
      <c r="K51" s="14" t="s">
        <v>39</v>
      </c>
      <c r="L51" s="14" t="s">
        <v>30</v>
      </c>
      <c r="M51" s="15"/>
      <c r="N51" s="14"/>
      <c r="O51" s="14"/>
      <c r="P51" s="14" t="s">
        <v>31</v>
      </c>
      <c r="Q51" s="9" t="s">
        <v>32</v>
      </c>
      <c r="R51" s="10" t="s">
        <v>33</v>
      </c>
      <c r="S51" s="19" t="s">
        <v>256</v>
      </c>
      <c r="T51" s="12"/>
      <c r="U51" s="12"/>
      <c r="V51" s="12"/>
      <c r="W51" s="12"/>
    </row>
    <row r="52" spans="1:23" ht="22.5" customHeight="1">
      <c r="A52" s="5">
        <v>45891.187588900459</v>
      </c>
      <c r="B52" s="6" t="s">
        <v>257</v>
      </c>
      <c r="C52" s="7"/>
      <c r="D52" s="6" t="s">
        <v>45</v>
      </c>
      <c r="E52" s="8">
        <v>34606</v>
      </c>
      <c r="F52" s="6" t="s">
        <v>64</v>
      </c>
      <c r="G52" s="6" t="s">
        <v>258</v>
      </c>
      <c r="H52" s="6" t="s">
        <v>90</v>
      </c>
      <c r="I52" s="6" t="str">
        <f>VLOOKUP(CLEAN(F52),'World Bank Categories'!$B$4:$C$220,2,FALSE)</f>
        <v>Middle income</v>
      </c>
      <c r="J52" s="6" t="s">
        <v>259</v>
      </c>
      <c r="K52" s="6" t="s">
        <v>29</v>
      </c>
      <c r="L52" s="6" t="s">
        <v>30</v>
      </c>
      <c r="M52" s="7"/>
      <c r="N52" s="6"/>
      <c r="O52" s="6"/>
      <c r="P52" s="6" t="s">
        <v>31</v>
      </c>
      <c r="Q52" s="9" t="s">
        <v>32</v>
      </c>
      <c r="R52" s="18"/>
      <c r="S52" s="11" t="s">
        <v>260</v>
      </c>
      <c r="T52" s="12"/>
      <c r="U52" s="12"/>
      <c r="V52" s="12"/>
      <c r="W52" s="12"/>
    </row>
    <row r="53" spans="1:23" ht="22.5" hidden="1" customHeight="1">
      <c r="A53" s="20">
        <v>45893.856932870367</v>
      </c>
      <c r="B53" s="21" t="s">
        <v>261</v>
      </c>
      <c r="C53" s="38"/>
      <c r="D53" s="21" t="s">
        <v>24</v>
      </c>
      <c r="E53" s="22">
        <v>36839</v>
      </c>
      <c r="F53" s="21" t="s">
        <v>83</v>
      </c>
      <c r="G53" s="21" t="s">
        <v>262</v>
      </c>
      <c r="H53" s="21" t="s">
        <v>263</v>
      </c>
      <c r="I53" s="6" t="str">
        <f>VLOOKUP(CLEAN(F53),'World Bank Categories'!$B$4:$C$220,2,FALSE)</f>
        <v>Low income</v>
      </c>
      <c r="J53" s="21" t="s">
        <v>264</v>
      </c>
      <c r="K53" s="21" t="s">
        <v>29</v>
      </c>
      <c r="L53" s="21" t="s">
        <v>30</v>
      </c>
      <c r="M53" s="21"/>
      <c r="N53" s="21"/>
      <c r="O53" s="21"/>
      <c r="P53" s="21" t="s">
        <v>31</v>
      </c>
      <c r="Q53" s="23" t="s">
        <v>56</v>
      </c>
      <c r="R53" s="24"/>
      <c r="S53" s="25"/>
      <c r="T53" s="26"/>
      <c r="U53" s="25"/>
      <c r="V53" s="25"/>
      <c r="W53" s="25"/>
    </row>
    <row r="54" spans="1:23" ht="22.5" customHeight="1">
      <c r="A54" s="20">
        <v>45893.877083333333</v>
      </c>
      <c r="B54" s="21" t="s">
        <v>265</v>
      </c>
      <c r="C54" s="38"/>
      <c r="D54" s="21" t="s">
        <v>24</v>
      </c>
      <c r="E54" s="22">
        <v>37908</v>
      </c>
      <c r="F54" s="21" t="s">
        <v>83</v>
      </c>
      <c r="G54" s="21" t="s">
        <v>266</v>
      </c>
      <c r="H54" s="21" t="s">
        <v>267</v>
      </c>
      <c r="I54" s="6" t="str">
        <f>VLOOKUP(CLEAN(F54),'World Bank Categories'!$B$4:$C$220,2,FALSE)</f>
        <v>Low income</v>
      </c>
      <c r="J54" s="21" t="s">
        <v>268</v>
      </c>
      <c r="K54" s="21" t="s">
        <v>68</v>
      </c>
      <c r="L54" s="21" t="s">
        <v>30</v>
      </c>
      <c r="M54" s="21"/>
      <c r="N54" s="21"/>
      <c r="O54" s="21"/>
      <c r="P54" s="21" t="s">
        <v>31</v>
      </c>
      <c r="Q54" s="9" t="s">
        <v>32</v>
      </c>
      <c r="R54" s="10"/>
      <c r="S54" s="25" t="s">
        <v>265</v>
      </c>
      <c r="T54" s="27">
        <v>37908</v>
      </c>
      <c r="U54" s="25" t="s">
        <v>268</v>
      </c>
      <c r="V54" s="25" t="s">
        <v>80</v>
      </c>
      <c r="W54" s="25"/>
    </row>
    <row r="55" spans="1:23" ht="22.5" hidden="1" customHeight="1">
      <c r="A55" s="20">
        <v>45893.889479166668</v>
      </c>
      <c r="B55" s="21" t="s">
        <v>269</v>
      </c>
      <c r="C55" s="38"/>
      <c r="D55" s="21" t="s">
        <v>45</v>
      </c>
      <c r="E55" s="22">
        <v>36281</v>
      </c>
      <c r="F55" s="21" t="s">
        <v>83</v>
      </c>
      <c r="G55" s="21" t="s">
        <v>270</v>
      </c>
      <c r="H55" s="21" t="s">
        <v>271</v>
      </c>
      <c r="I55" s="6" t="str">
        <f>VLOOKUP(CLEAN(F55),'World Bank Categories'!$B$4:$C$220,2,FALSE)</f>
        <v>Low income</v>
      </c>
      <c r="J55" s="21" t="s">
        <v>272</v>
      </c>
      <c r="K55" s="21" t="s">
        <v>29</v>
      </c>
      <c r="L55" s="21" t="s">
        <v>30</v>
      </c>
      <c r="M55" s="21"/>
      <c r="N55" s="21"/>
      <c r="O55" s="21"/>
      <c r="P55" s="21" t="s">
        <v>31</v>
      </c>
      <c r="Q55" s="23" t="s">
        <v>56</v>
      </c>
      <c r="R55" s="24"/>
      <c r="S55" s="25"/>
      <c r="T55" s="26"/>
      <c r="U55" s="25"/>
      <c r="V55" s="25"/>
      <c r="W55" s="25"/>
    </row>
    <row r="56" spans="1:23" ht="22.5" customHeight="1">
      <c r="A56" s="20">
        <v>45893.920057870368</v>
      </c>
      <c r="B56" s="21" t="s">
        <v>273</v>
      </c>
      <c r="C56" s="38"/>
      <c r="D56" s="21" t="s">
        <v>45</v>
      </c>
      <c r="E56" s="22">
        <v>21091</v>
      </c>
      <c r="F56" s="21" t="s">
        <v>274</v>
      </c>
      <c r="G56" s="21" t="s">
        <v>275</v>
      </c>
      <c r="H56" s="21" t="s">
        <v>276</v>
      </c>
      <c r="I56" s="6" t="str">
        <f>VLOOKUP(CLEAN(F56),'World Bank Categories'!$B$4:$C$220,2,FALSE)</f>
        <v>Middle income</v>
      </c>
      <c r="J56" s="21" t="s">
        <v>277</v>
      </c>
      <c r="K56" s="21" t="s">
        <v>29</v>
      </c>
      <c r="L56" s="32">
        <v>46202</v>
      </c>
      <c r="M56" s="21" t="s">
        <v>278</v>
      </c>
      <c r="N56" s="21"/>
      <c r="O56" s="21"/>
      <c r="P56" s="21" t="s">
        <v>31</v>
      </c>
      <c r="Q56" s="9" t="s">
        <v>32</v>
      </c>
      <c r="R56" s="18"/>
      <c r="S56" s="25" t="s">
        <v>279</v>
      </c>
      <c r="T56" s="27">
        <v>21091</v>
      </c>
      <c r="U56" s="25" t="s">
        <v>277</v>
      </c>
      <c r="V56" s="25" t="s">
        <v>154</v>
      </c>
      <c r="W56" s="25"/>
    </row>
    <row r="57" spans="1:23" ht="22.5" customHeight="1">
      <c r="A57" s="20">
        <v>45894.450254629628</v>
      </c>
      <c r="B57" s="21" t="s">
        <v>280</v>
      </c>
      <c r="C57" s="38"/>
      <c r="D57" s="21" t="s">
        <v>24</v>
      </c>
      <c r="E57" s="22">
        <v>36283</v>
      </c>
      <c r="F57" s="21" t="s">
        <v>198</v>
      </c>
      <c r="G57" s="21" t="s">
        <v>281</v>
      </c>
      <c r="H57" s="21" t="s">
        <v>282</v>
      </c>
      <c r="I57" s="6" t="str">
        <f>VLOOKUP(CLEAN(F57),'World Bank Categories'!$B$4:$C$220,2,FALSE)</f>
        <v>Middle income</v>
      </c>
      <c r="J57" s="21" t="s">
        <v>283</v>
      </c>
      <c r="K57" s="21" t="s">
        <v>39</v>
      </c>
      <c r="L57" s="21" t="s">
        <v>30</v>
      </c>
      <c r="M57" s="21"/>
      <c r="N57" s="21"/>
      <c r="O57" s="21"/>
      <c r="P57" s="21" t="s">
        <v>31</v>
      </c>
      <c r="Q57" s="9" t="s">
        <v>32</v>
      </c>
      <c r="R57" s="10"/>
      <c r="S57" s="25" t="s">
        <v>280</v>
      </c>
      <c r="T57" s="27">
        <v>36283</v>
      </c>
      <c r="U57" s="25" t="s">
        <v>283</v>
      </c>
      <c r="V57" s="25" t="s">
        <v>80</v>
      </c>
      <c r="W57" s="25"/>
    </row>
    <row r="58" spans="1:23" ht="22.5" customHeight="1">
      <c r="A58" s="20">
        <v>45895.305358796293</v>
      </c>
      <c r="B58" s="21" t="s">
        <v>284</v>
      </c>
      <c r="C58" s="38"/>
      <c r="D58" s="21" t="s">
        <v>45</v>
      </c>
      <c r="E58" s="22">
        <v>24127</v>
      </c>
      <c r="F58" s="21" t="s">
        <v>285</v>
      </c>
      <c r="G58" s="21" t="s">
        <v>286</v>
      </c>
      <c r="H58" s="21" t="s">
        <v>287</v>
      </c>
      <c r="I58" s="6" t="str">
        <f>VLOOKUP(CLEAN(F58),'World Bank Categories'!$B$4:$C$220,2,FALSE)</f>
        <v>High income</v>
      </c>
      <c r="J58" s="21" t="s">
        <v>288</v>
      </c>
      <c r="K58" s="21" t="s">
        <v>29</v>
      </c>
      <c r="L58" s="21" t="s">
        <v>30</v>
      </c>
      <c r="M58" s="21" t="s">
        <v>289</v>
      </c>
      <c r="N58" s="17" t="s">
        <v>290</v>
      </c>
      <c r="O58" s="21" t="s">
        <v>42</v>
      </c>
      <c r="P58" s="21" t="s">
        <v>31</v>
      </c>
      <c r="Q58" s="9" t="s">
        <v>32</v>
      </c>
      <c r="R58" s="10" t="s">
        <v>43</v>
      </c>
      <c r="S58" s="25" t="s">
        <v>291</v>
      </c>
      <c r="T58" s="27">
        <v>24492</v>
      </c>
      <c r="U58" s="25" t="s">
        <v>288</v>
      </c>
      <c r="V58" s="25" t="s">
        <v>114</v>
      </c>
      <c r="W58" s="25"/>
    </row>
    <row r="59" spans="1:23" ht="22.5" hidden="1" customHeight="1">
      <c r="A59" s="20">
        <v>45897.564722222225</v>
      </c>
      <c r="B59" s="21" t="s">
        <v>292</v>
      </c>
      <c r="C59" s="38"/>
      <c r="D59" s="21" t="s">
        <v>24</v>
      </c>
      <c r="E59" s="22">
        <v>38276</v>
      </c>
      <c r="F59" s="21" t="s">
        <v>64</v>
      </c>
      <c r="G59" s="21" t="s">
        <v>293</v>
      </c>
      <c r="H59" s="21" t="s">
        <v>294</v>
      </c>
      <c r="I59" s="6" t="str">
        <f>VLOOKUP(CLEAN(F59),'World Bank Categories'!$B$4:$C$220,2,FALSE)</f>
        <v>Middle income</v>
      </c>
      <c r="J59" s="21" t="s">
        <v>295</v>
      </c>
      <c r="K59" s="21" t="s">
        <v>68</v>
      </c>
      <c r="L59" s="21" t="s">
        <v>30</v>
      </c>
      <c r="M59" s="21"/>
      <c r="N59" s="21"/>
      <c r="O59" s="21"/>
      <c r="P59" s="21" t="s">
        <v>31</v>
      </c>
      <c r="Q59" s="23" t="s">
        <v>56</v>
      </c>
      <c r="R59" s="24"/>
      <c r="S59" s="25"/>
      <c r="T59" s="26"/>
      <c r="U59" s="25"/>
      <c r="V59" s="25"/>
      <c r="W59" s="25"/>
    </row>
    <row r="60" spans="1:23" ht="22.5" customHeight="1">
      <c r="A60" s="20">
        <v>45900.025902777779</v>
      </c>
      <c r="B60" s="21" t="s">
        <v>296</v>
      </c>
      <c r="C60" s="38"/>
      <c r="D60" s="21" t="s">
        <v>24</v>
      </c>
      <c r="E60" s="22">
        <v>29297</v>
      </c>
      <c r="F60" s="21" t="s">
        <v>297</v>
      </c>
      <c r="G60" s="21" t="s">
        <v>209</v>
      </c>
      <c r="H60" s="21" t="s">
        <v>111</v>
      </c>
      <c r="I60" s="6" t="str">
        <f>VLOOKUP(CLEAN(F60),'World Bank Categories'!$B$4:$C$220,2,FALSE)</f>
        <v>Middle income</v>
      </c>
      <c r="J60" s="21" t="s">
        <v>298</v>
      </c>
      <c r="K60" s="21" t="s">
        <v>68</v>
      </c>
      <c r="L60" s="21" t="s">
        <v>30</v>
      </c>
      <c r="M60" s="21" t="s">
        <v>299</v>
      </c>
      <c r="N60" s="34" t="s">
        <v>300</v>
      </c>
      <c r="O60" s="14" t="s">
        <v>301</v>
      </c>
      <c r="P60" s="21" t="s">
        <v>31</v>
      </c>
      <c r="Q60" s="9" t="s">
        <v>32</v>
      </c>
      <c r="R60" s="18" t="s">
        <v>43</v>
      </c>
      <c r="S60" s="25" t="s">
        <v>302</v>
      </c>
      <c r="T60" s="27">
        <v>29297</v>
      </c>
      <c r="U60" s="25" t="s">
        <v>298</v>
      </c>
      <c r="V60" s="25" t="s">
        <v>80</v>
      </c>
      <c r="W60" s="25"/>
    </row>
    <row r="61" spans="1:23" ht="22.5" customHeight="1">
      <c r="A61" s="20">
        <v>45908.02685185185</v>
      </c>
      <c r="B61" s="21" t="s">
        <v>303</v>
      </c>
      <c r="C61" s="38"/>
      <c r="D61" s="21" t="s">
        <v>45</v>
      </c>
      <c r="E61" s="22">
        <v>29582</v>
      </c>
      <c r="F61" s="21" t="s">
        <v>83</v>
      </c>
      <c r="G61" s="21" t="s">
        <v>304</v>
      </c>
      <c r="H61" s="21" t="s">
        <v>305</v>
      </c>
      <c r="I61" s="6" t="str">
        <f>VLOOKUP(CLEAN(F61),'World Bank Categories'!$B$4:$C$220,2,FALSE)</f>
        <v>Low income</v>
      </c>
      <c r="J61" s="21" t="s">
        <v>306</v>
      </c>
      <c r="K61" s="21" t="s">
        <v>29</v>
      </c>
      <c r="L61" s="21" t="s">
        <v>30</v>
      </c>
      <c r="M61" s="21"/>
      <c r="N61" s="21"/>
      <c r="O61" s="21"/>
      <c r="P61" s="21" t="s">
        <v>31</v>
      </c>
      <c r="Q61" s="9" t="s">
        <v>32</v>
      </c>
      <c r="R61" s="18"/>
      <c r="S61" s="25" t="s">
        <v>307</v>
      </c>
      <c r="T61" s="27">
        <v>29582</v>
      </c>
      <c r="U61" s="25" t="s">
        <v>306</v>
      </c>
      <c r="V61" s="25" t="s">
        <v>154</v>
      </c>
      <c r="W61" s="25"/>
    </row>
    <row r="62" spans="1:23" ht="22.5" customHeight="1">
      <c r="A62" s="20">
        <v>45908.781759259262</v>
      </c>
      <c r="B62" s="21" t="s">
        <v>308</v>
      </c>
      <c r="C62" s="21" t="s">
        <v>309</v>
      </c>
      <c r="D62" s="21" t="s">
        <v>24</v>
      </c>
      <c r="E62" s="22">
        <v>30253</v>
      </c>
      <c r="F62" s="21" t="s">
        <v>310</v>
      </c>
      <c r="G62" s="21" t="s">
        <v>209</v>
      </c>
      <c r="H62" s="21" t="s">
        <v>311</v>
      </c>
      <c r="I62" s="6" t="str">
        <f>VLOOKUP(CLEAN(F62),'World Bank Categories'!$B$4:$C$220,2,FALSE)</f>
        <v>High income</v>
      </c>
      <c r="J62" s="21" t="s">
        <v>312</v>
      </c>
      <c r="K62" s="21" t="s">
        <v>29</v>
      </c>
      <c r="L62" s="21" t="s">
        <v>30</v>
      </c>
      <c r="M62" s="21" t="s">
        <v>313</v>
      </c>
      <c r="N62" s="21" t="s">
        <v>314</v>
      </c>
      <c r="O62" s="21" t="s">
        <v>42</v>
      </c>
      <c r="P62" s="21" t="s">
        <v>31</v>
      </c>
      <c r="Q62" s="9" t="s">
        <v>32</v>
      </c>
      <c r="R62" s="10" t="s">
        <v>33</v>
      </c>
      <c r="S62" s="25" t="s">
        <v>315</v>
      </c>
      <c r="T62" s="27">
        <v>30253</v>
      </c>
      <c r="U62" s="25" t="s">
        <v>312</v>
      </c>
      <c r="V62" s="25" t="s">
        <v>316</v>
      </c>
      <c r="W62" s="25"/>
    </row>
    <row r="63" spans="1:23" ht="22.5" customHeight="1">
      <c r="A63" s="20">
        <v>45909.15766203704</v>
      </c>
      <c r="B63" s="21" t="s">
        <v>317</v>
      </c>
      <c r="C63" s="38"/>
      <c r="D63" s="21" t="s">
        <v>45</v>
      </c>
      <c r="E63" s="22">
        <v>37263</v>
      </c>
      <c r="F63" s="21" t="s">
        <v>310</v>
      </c>
      <c r="G63" s="21" t="s">
        <v>318</v>
      </c>
      <c r="H63" s="21" t="s">
        <v>66</v>
      </c>
      <c r="I63" s="6" t="str">
        <f>VLOOKUP(CLEAN(F63),'World Bank Categories'!$B$4:$C$220,2,FALSE)</f>
        <v>High income</v>
      </c>
      <c r="J63" s="21" t="s">
        <v>319</v>
      </c>
      <c r="K63" s="21" t="s">
        <v>68</v>
      </c>
      <c r="L63" s="21" t="s">
        <v>30</v>
      </c>
      <c r="M63" s="21"/>
      <c r="N63" s="21"/>
      <c r="O63" s="21"/>
      <c r="P63" s="21" t="s">
        <v>31</v>
      </c>
      <c r="Q63" s="9" t="s">
        <v>32</v>
      </c>
      <c r="R63" s="18"/>
      <c r="S63" s="25" t="s">
        <v>320</v>
      </c>
      <c r="T63" s="27">
        <v>37263</v>
      </c>
      <c r="U63" s="25" t="s">
        <v>319</v>
      </c>
      <c r="V63" s="25" t="s">
        <v>154</v>
      </c>
      <c r="W63" s="25"/>
    </row>
    <row r="64" spans="1:23" ht="22.5" customHeight="1">
      <c r="A64" s="20">
        <v>45909.696238425924</v>
      </c>
      <c r="B64" s="21" t="s">
        <v>321</v>
      </c>
      <c r="C64" s="38"/>
      <c r="D64" s="21" t="s">
        <v>45</v>
      </c>
      <c r="E64" s="22">
        <v>35302</v>
      </c>
      <c r="F64" s="21" t="s">
        <v>322</v>
      </c>
      <c r="G64" s="21" t="s">
        <v>323</v>
      </c>
      <c r="H64" s="21" t="s">
        <v>324</v>
      </c>
      <c r="I64" s="6" t="str">
        <f>VLOOKUP(CLEAN(F64),'World Bank Categories'!$B$4:$C$220,2,FALSE)</f>
        <v>Middle income</v>
      </c>
      <c r="J64" s="21" t="s">
        <v>325</v>
      </c>
      <c r="K64" s="21" t="s">
        <v>68</v>
      </c>
      <c r="L64" s="21" t="s">
        <v>30</v>
      </c>
      <c r="M64" s="21"/>
      <c r="N64" s="21"/>
      <c r="O64" s="21"/>
      <c r="P64" s="21" t="s">
        <v>31</v>
      </c>
      <c r="Q64" s="9" t="s">
        <v>32</v>
      </c>
      <c r="R64" s="10" t="s">
        <v>33</v>
      </c>
      <c r="S64" s="25" t="s">
        <v>326</v>
      </c>
      <c r="T64" s="27">
        <v>35302</v>
      </c>
      <c r="U64" s="25" t="s">
        <v>325</v>
      </c>
      <c r="V64" s="25" t="s">
        <v>154</v>
      </c>
      <c r="W64" s="25"/>
    </row>
    <row r="65" spans="1:23" ht="22.5" customHeight="1">
      <c r="A65" s="20">
        <v>45916.786400462966</v>
      </c>
      <c r="B65" s="21" t="s">
        <v>327</v>
      </c>
      <c r="C65" s="38"/>
      <c r="D65" s="21" t="s">
        <v>24</v>
      </c>
      <c r="E65" s="22">
        <v>30307</v>
      </c>
      <c r="F65" s="21" t="s">
        <v>227</v>
      </c>
      <c r="G65" s="21" t="s">
        <v>328</v>
      </c>
      <c r="H65" s="21" t="s">
        <v>329</v>
      </c>
      <c r="I65" s="6" t="str">
        <f>VLOOKUP(CLEAN(F65),'World Bank Categories'!$B$4:$C$220,2,FALSE)</f>
        <v>Middle income</v>
      </c>
      <c r="J65" s="21" t="s">
        <v>330</v>
      </c>
      <c r="K65" s="21" t="s">
        <v>39</v>
      </c>
      <c r="L65" s="21" t="s">
        <v>152</v>
      </c>
      <c r="M65" s="21"/>
      <c r="N65" s="21"/>
      <c r="O65" s="21"/>
      <c r="P65" s="21" t="s">
        <v>31</v>
      </c>
      <c r="Q65" s="9" t="s">
        <v>32</v>
      </c>
      <c r="R65" s="18"/>
      <c r="S65" s="25" t="s">
        <v>327</v>
      </c>
      <c r="T65" s="27">
        <v>30307</v>
      </c>
      <c r="U65" s="25" t="s">
        <v>330</v>
      </c>
      <c r="V65" s="25" t="s">
        <v>80</v>
      </c>
      <c r="W65" s="25"/>
    </row>
    <row r="66" spans="1:23" ht="22.5" customHeight="1">
      <c r="A66" s="20">
        <v>45918.29042824074</v>
      </c>
      <c r="B66" s="21" t="s">
        <v>331</v>
      </c>
      <c r="C66" s="38"/>
      <c r="D66" s="21" t="s">
        <v>45</v>
      </c>
      <c r="E66" s="22">
        <v>28989</v>
      </c>
      <c r="F66" s="21" t="s">
        <v>332</v>
      </c>
      <c r="G66" s="21" t="s">
        <v>333</v>
      </c>
      <c r="H66" s="21" t="s">
        <v>334</v>
      </c>
      <c r="I66" s="6" t="str">
        <f>VLOOKUP(CLEAN(F66),'World Bank Categories'!$B$4:$C$220,2,FALSE)</f>
        <v>High income</v>
      </c>
      <c r="J66" s="21" t="s">
        <v>335</v>
      </c>
      <c r="K66" s="21" t="s">
        <v>29</v>
      </c>
      <c r="L66" s="21" t="s">
        <v>30</v>
      </c>
      <c r="M66" s="21" t="s">
        <v>336</v>
      </c>
      <c r="N66" s="40" t="s">
        <v>337</v>
      </c>
      <c r="O66" s="21" t="s">
        <v>338</v>
      </c>
      <c r="P66" s="21" t="s">
        <v>31</v>
      </c>
      <c r="Q66" s="9" t="s">
        <v>32</v>
      </c>
      <c r="R66" s="10" t="s">
        <v>43</v>
      </c>
      <c r="S66" s="25" t="s">
        <v>331</v>
      </c>
      <c r="T66" s="27">
        <v>28989</v>
      </c>
      <c r="U66" s="25" t="s">
        <v>335</v>
      </c>
      <c r="V66" s="25" t="s">
        <v>80</v>
      </c>
      <c r="W66" s="25"/>
    </row>
    <row r="67" spans="1:23" ht="22.5" customHeight="1">
      <c r="A67" s="20">
        <v>45918.574583333335</v>
      </c>
      <c r="B67" s="21" t="s">
        <v>339</v>
      </c>
      <c r="C67" s="21" t="s">
        <v>340</v>
      </c>
      <c r="D67" s="21" t="s">
        <v>24</v>
      </c>
      <c r="E67" s="22">
        <v>34006</v>
      </c>
      <c r="F67" s="21" t="s">
        <v>208</v>
      </c>
      <c r="G67" s="21" t="s">
        <v>341</v>
      </c>
      <c r="H67" s="21" t="s">
        <v>342</v>
      </c>
      <c r="I67" s="6" t="str">
        <f>VLOOKUP(CLEAN(F68),'World Bank Categories'!$B$4:$C$220,2,FALSE)</f>
        <v>Middle income</v>
      </c>
      <c r="J67" s="21" t="s">
        <v>343</v>
      </c>
      <c r="K67" s="21" t="s">
        <v>29</v>
      </c>
      <c r="L67" s="21" t="s">
        <v>30</v>
      </c>
      <c r="M67" s="21"/>
      <c r="N67" s="21"/>
      <c r="O67" s="21"/>
      <c r="P67" s="21" t="s">
        <v>31</v>
      </c>
      <c r="Q67" s="9" t="s">
        <v>32</v>
      </c>
      <c r="R67" s="18" t="s">
        <v>33</v>
      </c>
      <c r="S67" s="25" t="s">
        <v>344</v>
      </c>
      <c r="T67" s="27">
        <v>34006</v>
      </c>
      <c r="U67" s="25" t="s">
        <v>343</v>
      </c>
      <c r="V67" s="25" t="s">
        <v>316</v>
      </c>
      <c r="W67" s="25"/>
    </row>
    <row r="68" spans="1:23" ht="22.5" customHeight="1">
      <c r="A68" s="13">
        <v>45921.896862164351</v>
      </c>
      <c r="B68" s="14" t="s">
        <v>345</v>
      </c>
      <c r="C68" s="15"/>
      <c r="D68" s="14" t="s">
        <v>24</v>
      </c>
      <c r="E68" s="16">
        <v>36404</v>
      </c>
      <c r="F68" s="14" t="s">
        <v>346</v>
      </c>
      <c r="G68" s="14" t="s">
        <v>347</v>
      </c>
      <c r="H68" s="14" t="s">
        <v>348</v>
      </c>
      <c r="J68" s="14" t="s">
        <v>349</v>
      </c>
      <c r="K68" s="14" t="s">
        <v>29</v>
      </c>
      <c r="L68" s="14" t="s">
        <v>30</v>
      </c>
      <c r="M68" s="14" t="s">
        <v>350</v>
      </c>
      <c r="N68" s="14"/>
      <c r="O68" s="14"/>
      <c r="P68" s="14" t="s">
        <v>31</v>
      </c>
      <c r="Q68" s="9" t="s">
        <v>32</v>
      </c>
      <c r="R68" s="10"/>
      <c r="S68" s="19" t="s">
        <v>351</v>
      </c>
      <c r="T68" s="12"/>
      <c r="U68" s="12"/>
      <c r="V68" s="12"/>
      <c r="W68" s="12"/>
    </row>
    <row r="69" spans="1:23" ht="22.5" customHeight="1">
      <c r="A69" s="5">
        <v>45922.814504606482</v>
      </c>
      <c r="B69" s="6" t="s">
        <v>352</v>
      </c>
      <c r="C69" s="7"/>
      <c r="D69" s="6" t="s">
        <v>24</v>
      </c>
      <c r="E69" s="8">
        <v>30328</v>
      </c>
      <c r="F69" s="6" t="s">
        <v>346</v>
      </c>
      <c r="G69" s="6" t="s">
        <v>353</v>
      </c>
      <c r="H69" s="6" t="s">
        <v>354</v>
      </c>
      <c r="I69" s="6" t="str">
        <f>VLOOKUP(CLEAN(F69),'World Bank Categories'!$B$4:$C$220,2,FALSE)</f>
        <v>Middle income</v>
      </c>
      <c r="J69" s="6" t="s">
        <v>355</v>
      </c>
      <c r="K69" s="6" t="s">
        <v>29</v>
      </c>
      <c r="L69" s="6" t="s">
        <v>30</v>
      </c>
      <c r="M69" s="6" t="s">
        <v>356</v>
      </c>
      <c r="N69" s="34" t="s">
        <v>357</v>
      </c>
      <c r="O69" s="14" t="s">
        <v>301</v>
      </c>
      <c r="P69" s="6" t="s">
        <v>31</v>
      </c>
      <c r="Q69" s="9" t="s">
        <v>32</v>
      </c>
      <c r="R69" s="18" t="s">
        <v>33</v>
      </c>
      <c r="S69" s="11" t="s">
        <v>358</v>
      </c>
      <c r="T69" s="12"/>
      <c r="U69" s="12"/>
      <c r="V69" s="12"/>
      <c r="W69" s="12"/>
    </row>
    <row r="70" spans="1:23" ht="22.5" customHeight="1">
      <c r="A70" s="20">
        <v>45923.699444444443</v>
      </c>
      <c r="B70" s="21" t="s">
        <v>359</v>
      </c>
      <c r="C70" s="38"/>
      <c r="D70" s="21" t="s">
        <v>24</v>
      </c>
      <c r="E70" s="22">
        <v>30073</v>
      </c>
      <c r="F70" s="21" t="s">
        <v>227</v>
      </c>
      <c r="G70" s="21" t="s">
        <v>360</v>
      </c>
      <c r="H70" s="21" t="s">
        <v>361</v>
      </c>
      <c r="I70" s="6" t="str">
        <f>VLOOKUP(CLEAN(F70),'World Bank Categories'!$B$4:$C$220,2,FALSE)</f>
        <v>Middle income</v>
      </c>
      <c r="J70" s="21" t="s">
        <v>362</v>
      </c>
      <c r="K70" s="21" t="s">
        <v>29</v>
      </c>
      <c r="L70" s="21" t="s">
        <v>30</v>
      </c>
      <c r="M70" s="21" t="s">
        <v>363</v>
      </c>
      <c r="N70" s="21" t="s">
        <v>364</v>
      </c>
      <c r="O70" s="21" t="s">
        <v>365</v>
      </c>
      <c r="P70" s="21" t="s">
        <v>31</v>
      </c>
      <c r="Q70" s="9" t="s">
        <v>32</v>
      </c>
      <c r="R70" s="10"/>
      <c r="S70" s="25" t="s">
        <v>359</v>
      </c>
      <c r="T70" s="27">
        <v>30073</v>
      </c>
      <c r="U70" s="25" t="s">
        <v>362</v>
      </c>
      <c r="V70" s="25" t="s">
        <v>80</v>
      </c>
      <c r="W70" s="25"/>
    </row>
    <row r="71" spans="1:23" ht="22.5" customHeight="1">
      <c r="A71" s="20">
        <v>45924.787326388891</v>
      </c>
      <c r="B71" s="21" t="s">
        <v>366</v>
      </c>
      <c r="C71" s="38"/>
      <c r="D71" s="21" t="s">
        <v>45</v>
      </c>
      <c r="E71" s="22">
        <v>37309</v>
      </c>
      <c r="F71" s="21" t="s">
        <v>346</v>
      </c>
      <c r="G71" s="21" t="s">
        <v>367</v>
      </c>
      <c r="H71" s="21" t="s">
        <v>368</v>
      </c>
      <c r="I71" s="6" t="str">
        <f>VLOOKUP(CLEAN(F71),'World Bank Categories'!$B$4:$C$220,2,FALSE)</f>
        <v>Middle income</v>
      </c>
      <c r="J71" s="21" t="s">
        <v>369</v>
      </c>
      <c r="K71" s="21" t="s">
        <v>29</v>
      </c>
      <c r="L71" s="21" t="s">
        <v>30</v>
      </c>
      <c r="M71" s="21"/>
      <c r="N71" s="21"/>
      <c r="O71" s="21"/>
      <c r="P71" s="21" t="s">
        <v>31</v>
      </c>
      <c r="Q71" s="9" t="s">
        <v>32</v>
      </c>
      <c r="R71" s="18"/>
      <c r="S71" s="25" t="s">
        <v>370</v>
      </c>
      <c r="T71" s="27">
        <v>37309</v>
      </c>
      <c r="U71" s="25" t="s">
        <v>369</v>
      </c>
      <c r="V71" s="25" t="s">
        <v>80</v>
      </c>
      <c r="W71" s="25"/>
    </row>
    <row r="72" spans="1:23" ht="22.5" customHeight="1">
      <c r="A72" s="20">
        <v>45925.890185185184</v>
      </c>
      <c r="B72" s="21" t="s">
        <v>371</v>
      </c>
      <c r="C72" s="38"/>
      <c r="D72" s="21" t="s">
        <v>45</v>
      </c>
      <c r="E72" s="22">
        <v>45927</v>
      </c>
      <c r="F72" s="21" t="s">
        <v>346</v>
      </c>
      <c r="G72" s="21" t="s">
        <v>372</v>
      </c>
      <c r="H72" s="21" t="s">
        <v>368</v>
      </c>
      <c r="I72" s="6" t="str">
        <f>VLOOKUP(CLEAN(F72),'World Bank Categories'!$B$4:$C$220,2,FALSE)</f>
        <v>Middle income</v>
      </c>
      <c r="J72" s="21" t="s">
        <v>373</v>
      </c>
      <c r="K72" s="21" t="s">
        <v>29</v>
      </c>
      <c r="L72" s="21" t="s">
        <v>30</v>
      </c>
      <c r="M72" s="21"/>
      <c r="N72" s="21"/>
      <c r="O72" s="21"/>
      <c r="P72" s="21" t="s">
        <v>31</v>
      </c>
      <c r="Q72" s="9" t="s">
        <v>32</v>
      </c>
      <c r="R72" s="10"/>
      <c r="S72" s="25" t="s">
        <v>371</v>
      </c>
      <c r="T72" s="27">
        <v>37372</v>
      </c>
      <c r="U72" s="25" t="s">
        <v>373</v>
      </c>
      <c r="V72" s="25" t="s">
        <v>236</v>
      </c>
      <c r="W72" s="25"/>
    </row>
    <row r="73" spans="1:23" ht="22.5" customHeight="1">
      <c r="A73" s="20">
        <v>45926.518229166664</v>
      </c>
      <c r="B73" s="21" t="s">
        <v>374</v>
      </c>
      <c r="C73" s="38"/>
      <c r="D73" s="21" t="s">
        <v>24</v>
      </c>
      <c r="E73" s="22">
        <v>34121</v>
      </c>
      <c r="F73" s="21" t="s">
        <v>70</v>
      </c>
      <c r="G73" s="21" t="s">
        <v>375</v>
      </c>
      <c r="H73" s="21" t="s">
        <v>376</v>
      </c>
      <c r="I73" s="6" t="str">
        <f>VLOOKUP(CLEAN(F73),'World Bank Categories'!$B$4:$C$220,2,FALSE)</f>
        <v>Middle income</v>
      </c>
      <c r="J73" s="21" t="s">
        <v>377</v>
      </c>
      <c r="K73" s="21" t="s">
        <v>29</v>
      </c>
      <c r="L73" s="21" t="s">
        <v>30</v>
      </c>
      <c r="M73" s="21"/>
      <c r="N73" s="21"/>
      <c r="O73" s="21"/>
      <c r="P73" s="21" t="s">
        <v>31</v>
      </c>
      <c r="Q73" s="9" t="s">
        <v>32</v>
      </c>
      <c r="R73" s="18"/>
      <c r="S73" s="25" t="s">
        <v>378</v>
      </c>
      <c r="T73" s="27">
        <v>34121</v>
      </c>
      <c r="U73" s="25" t="s">
        <v>377</v>
      </c>
      <c r="V73" s="25" t="s">
        <v>154</v>
      </c>
      <c r="W73" s="25"/>
    </row>
    <row r="74" spans="1:23" ht="22.5" hidden="1" customHeight="1">
      <c r="A74" s="13">
        <v>45927.529484224535</v>
      </c>
      <c r="B74" s="14" t="s">
        <v>379</v>
      </c>
      <c r="C74" s="15"/>
      <c r="D74" s="14" t="s">
        <v>45</v>
      </c>
      <c r="E74" s="16">
        <v>26111</v>
      </c>
      <c r="F74" s="14" t="s">
        <v>380</v>
      </c>
      <c r="G74" s="14" t="s">
        <v>381</v>
      </c>
      <c r="H74" s="14" t="s">
        <v>382</v>
      </c>
      <c r="I74" s="6" t="str">
        <f>VLOOKUP(CLEAN(F74),'World Bank Categories'!$B$4:$C$220,2,FALSE)</f>
        <v>Low income</v>
      </c>
      <c r="J74" s="14" t="s">
        <v>383</v>
      </c>
      <c r="K74" s="14" t="s">
        <v>39</v>
      </c>
      <c r="L74" s="14" t="s">
        <v>30</v>
      </c>
      <c r="M74" s="15"/>
      <c r="N74" s="14"/>
      <c r="O74" s="14"/>
      <c r="P74" s="14" t="s">
        <v>31</v>
      </c>
      <c r="Q74" s="23" t="s">
        <v>56</v>
      </c>
      <c r="R74" s="24"/>
      <c r="S74" s="15"/>
      <c r="T74" s="12"/>
      <c r="U74" s="12"/>
      <c r="V74" s="12"/>
      <c r="W74" s="12"/>
    </row>
    <row r="75" spans="1:23" ht="22.5" customHeight="1">
      <c r="A75" s="20">
        <v>45927.903912037036</v>
      </c>
      <c r="B75" s="21" t="s">
        <v>384</v>
      </c>
      <c r="C75" s="38"/>
      <c r="D75" s="21" t="s">
        <v>24</v>
      </c>
      <c r="E75" s="22">
        <v>35457</v>
      </c>
      <c r="F75" s="21" t="s">
        <v>227</v>
      </c>
      <c r="G75" s="21" t="s">
        <v>209</v>
      </c>
      <c r="H75" s="21" t="s">
        <v>385</v>
      </c>
      <c r="I75" s="6" t="str">
        <f>VLOOKUP(CLEAN(F75),'World Bank Categories'!$B$4:$C$220,2,FALSE)</f>
        <v>Middle income</v>
      </c>
      <c r="J75" s="21" t="s">
        <v>386</v>
      </c>
      <c r="K75" s="21" t="s">
        <v>29</v>
      </c>
      <c r="L75" s="21" t="s">
        <v>162</v>
      </c>
      <c r="M75" s="41"/>
      <c r="N75" s="21"/>
      <c r="O75" s="21"/>
      <c r="P75" s="21" t="s">
        <v>31</v>
      </c>
      <c r="Q75" s="9" t="s">
        <v>32</v>
      </c>
      <c r="R75" s="10" t="s">
        <v>43</v>
      </c>
      <c r="S75" s="25" t="s">
        <v>384</v>
      </c>
      <c r="T75" s="27">
        <v>35457</v>
      </c>
      <c r="U75" s="25" t="s">
        <v>386</v>
      </c>
      <c r="V75" s="25" t="s">
        <v>80</v>
      </c>
      <c r="W75" s="25"/>
    </row>
    <row r="76" spans="1:23" ht="22.5" customHeight="1">
      <c r="A76" s="5">
        <v>45927.983740509255</v>
      </c>
      <c r="B76" s="6" t="s">
        <v>387</v>
      </c>
      <c r="C76" s="7"/>
      <c r="D76" s="6" t="s">
        <v>45</v>
      </c>
      <c r="E76" s="8">
        <v>31257</v>
      </c>
      <c r="F76" s="6" t="s">
        <v>388</v>
      </c>
      <c r="G76" s="6" t="s">
        <v>389</v>
      </c>
      <c r="H76" s="6" t="s">
        <v>390</v>
      </c>
      <c r="I76" s="6" t="str">
        <f>VLOOKUP(CLEAN(F76),'World Bank Categories'!$B$4:$C$220,2,FALSE)</f>
        <v>High income</v>
      </c>
      <c r="J76" s="6" t="s">
        <v>391</v>
      </c>
      <c r="K76" s="6" t="s">
        <v>39</v>
      </c>
      <c r="L76" s="6" t="s">
        <v>30</v>
      </c>
      <c r="M76" s="7"/>
      <c r="N76" s="6"/>
      <c r="O76" s="6"/>
      <c r="P76" s="6" t="s">
        <v>31</v>
      </c>
      <c r="Q76" s="9" t="s">
        <v>32</v>
      </c>
      <c r="R76" s="18" t="s">
        <v>33</v>
      </c>
      <c r="S76" s="11" t="s">
        <v>387</v>
      </c>
      <c r="T76" s="12"/>
      <c r="U76" s="12"/>
      <c r="V76" s="12"/>
      <c r="W76" s="12"/>
    </row>
    <row r="77" spans="1:23" ht="22.5" customHeight="1">
      <c r="A77" s="20">
        <v>45928.771412037036</v>
      </c>
      <c r="B77" s="21" t="s">
        <v>392</v>
      </c>
      <c r="C77" s="21"/>
      <c r="D77" s="21" t="s">
        <v>45</v>
      </c>
      <c r="E77" s="22">
        <v>38475</v>
      </c>
      <c r="F77" s="21" t="s">
        <v>393</v>
      </c>
      <c r="G77" s="21" t="s">
        <v>394</v>
      </c>
      <c r="H77" s="21" t="s">
        <v>138</v>
      </c>
      <c r="I77" s="6" t="str">
        <f>VLOOKUP(CLEAN(F77),'World Bank Categories'!$B$4:$C$220,2,FALSE)</f>
        <v>High income</v>
      </c>
      <c r="J77" s="21" t="s">
        <v>395</v>
      </c>
      <c r="K77" s="21" t="s">
        <v>29</v>
      </c>
      <c r="L77" s="21" t="s">
        <v>396</v>
      </c>
      <c r="M77" s="21" t="s">
        <v>397</v>
      </c>
      <c r="N77" s="21"/>
      <c r="O77" s="21"/>
      <c r="P77" s="21" t="s">
        <v>31</v>
      </c>
      <c r="Q77" s="9" t="s">
        <v>32</v>
      </c>
      <c r="R77" s="10" t="s">
        <v>43</v>
      </c>
      <c r="S77" s="25" t="s">
        <v>398</v>
      </c>
      <c r="T77" s="27">
        <v>38475</v>
      </c>
      <c r="U77" s="25" t="s">
        <v>395</v>
      </c>
      <c r="V77" s="25" t="s">
        <v>154</v>
      </c>
      <c r="W77" s="25"/>
    </row>
    <row r="78" spans="1:23" ht="22.5" customHeight="1">
      <c r="A78" s="20">
        <v>45929.067048611112</v>
      </c>
      <c r="B78" s="21" t="s">
        <v>399</v>
      </c>
      <c r="C78" s="21"/>
      <c r="D78" s="21" t="s">
        <v>24</v>
      </c>
      <c r="E78" s="22">
        <v>35435</v>
      </c>
      <c r="F78" s="21" t="s">
        <v>400</v>
      </c>
      <c r="G78" s="21" t="s">
        <v>401</v>
      </c>
      <c r="H78" s="21" t="s">
        <v>276</v>
      </c>
      <c r="I78" s="6" t="str">
        <f>VLOOKUP(CLEAN(F78),'World Bank Categories'!$B$4:$C$220,2,FALSE)</f>
        <v>Middle income</v>
      </c>
      <c r="J78" s="21" t="s">
        <v>402</v>
      </c>
      <c r="K78" s="21" t="s">
        <v>29</v>
      </c>
      <c r="L78" s="21" t="s">
        <v>30</v>
      </c>
      <c r="M78" s="41"/>
      <c r="N78" s="21"/>
      <c r="O78" s="21"/>
      <c r="P78" s="21" t="s">
        <v>31</v>
      </c>
      <c r="Q78" s="9" t="s">
        <v>32</v>
      </c>
      <c r="R78" s="18" t="s">
        <v>33</v>
      </c>
      <c r="S78" s="25" t="s">
        <v>403</v>
      </c>
      <c r="T78" s="27">
        <v>35435</v>
      </c>
      <c r="U78" s="25" t="s">
        <v>404</v>
      </c>
      <c r="V78" s="25" t="s">
        <v>129</v>
      </c>
      <c r="W78" s="25"/>
    </row>
    <row r="79" spans="1:23" ht="22.5" customHeight="1">
      <c r="A79" s="20">
        <v>45929.922511574077</v>
      </c>
      <c r="B79" s="21" t="s">
        <v>405</v>
      </c>
      <c r="C79" s="21"/>
      <c r="D79" s="21" t="s">
        <v>45</v>
      </c>
      <c r="E79" s="22">
        <v>36423</v>
      </c>
      <c r="F79" s="21" t="s">
        <v>406</v>
      </c>
      <c r="G79" s="21" t="s">
        <v>407</v>
      </c>
      <c r="H79" s="21" t="s">
        <v>408</v>
      </c>
      <c r="I79" s="6" t="str">
        <f>VLOOKUP(CLEAN(F79),'World Bank Categories'!$B$4:$C$220,2,FALSE)</f>
        <v>Low income</v>
      </c>
      <c r="J79" s="21" t="s">
        <v>409</v>
      </c>
      <c r="K79" s="21" t="s">
        <v>29</v>
      </c>
      <c r="L79" s="21" t="s">
        <v>30</v>
      </c>
      <c r="M79" s="21"/>
      <c r="N79" s="21"/>
      <c r="O79" s="21"/>
      <c r="P79" s="21" t="s">
        <v>31</v>
      </c>
      <c r="Q79" s="9" t="s">
        <v>32</v>
      </c>
      <c r="R79" s="10"/>
      <c r="S79" s="25" t="s">
        <v>405</v>
      </c>
      <c r="T79" s="27">
        <v>36423</v>
      </c>
      <c r="U79" s="25" t="s">
        <v>410</v>
      </c>
      <c r="V79" s="25" t="s">
        <v>80</v>
      </c>
      <c r="W79" s="25"/>
    </row>
    <row r="80" spans="1:23" ht="22.5" customHeight="1">
      <c r="A80" s="13">
        <v>45930.241823518518</v>
      </c>
      <c r="B80" s="14" t="s">
        <v>411</v>
      </c>
      <c r="C80" s="15"/>
      <c r="D80" s="14" t="s">
        <v>24</v>
      </c>
      <c r="E80" s="16">
        <v>36388</v>
      </c>
      <c r="F80" s="14" t="s">
        <v>208</v>
      </c>
      <c r="G80" s="14" t="s">
        <v>412</v>
      </c>
      <c r="H80" s="14" t="s">
        <v>66</v>
      </c>
      <c r="I80" s="6" t="str">
        <f>VLOOKUP(CLEAN(F80),'World Bank Categories'!$B$4:$C$220,2,FALSE)</f>
        <v>Low income</v>
      </c>
      <c r="J80" s="14" t="s">
        <v>413</v>
      </c>
      <c r="K80" s="14" t="s">
        <v>29</v>
      </c>
      <c r="L80" s="14" t="s">
        <v>30</v>
      </c>
      <c r="M80" s="15"/>
      <c r="N80" s="14"/>
      <c r="O80" s="14"/>
      <c r="P80" s="14" t="s">
        <v>31</v>
      </c>
      <c r="Q80" s="9" t="s">
        <v>32</v>
      </c>
      <c r="R80" s="18"/>
      <c r="S80" s="19" t="s">
        <v>414</v>
      </c>
      <c r="T80" s="12"/>
      <c r="U80" s="12"/>
      <c r="V80" s="12"/>
      <c r="W80" s="12"/>
    </row>
    <row r="81" spans="1:23" ht="22.5" customHeight="1">
      <c r="A81" s="20">
        <v>45930.647893518515</v>
      </c>
      <c r="B81" s="21" t="s">
        <v>415</v>
      </c>
      <c r="C81" s="21"/>
      <c r="D81" s="21" t="s">
        <v>24</v>
      </c>
      <c r="E81" s="22">
        <v>25119</v>
      </c>
      <c r="F81" s="21" t="s">
        <v>416</v>
      </c>
      <c r="G81" s="21" t="s">
        <v>417</v>
      </c>
      <c r="H81" s="21" t="s">
        <v>418</v>
      </c>
      <c r="I81" s="6" t="str">
        <f>VLOOKUP(CLEAN(F81),'World Bank Categories'!$B$4:$C$220,2,FALSE)</f>
        <v>Middle income</v>
      </c>
      <c r="J81" s="21" t="s">
        <v>419</v>
      </c>
      <c r="K81" s="21" t="s">
        <v>29</v>
      </c>
      <c r="L81" s="21" t="s">
        <v>30</v>
      </c>
      <c r="M81" s="21"/>
      <c r="N81" s="21"/>
      <c r="O81" s="21"/>
      <c r="P81" s="21" t="s">
        <v>31</v>
      </c>
      <c r="Q81" s="42" t="s">
        <v>32</v>
      </c>
      <c r="R81" s="10" t="s">
        <v>33</v>
      </c>
      <c r="S81" s="25" t="s">
        <v>415</v>
      </c>
      <c r="T81" s="43">
        <v>25119</v>
      </c>
      <c r="U81" s="25" t="s">
        <v>420</v>
      </c>
      <c r="V81" s="25"/>
      <c r="W81" s="25"/>
    </row>
    <row r="82" spans="1:23" ht="22.5" customHeight="1">
      <c r="A82" s="5">
        <v>45930.815189722227</v>
      </c>
      <c r="B82" s="6" t="s">
        <v>421</v>
      </c>
      <c r="C82" s="7"/>
      <c r="D82" s="6" t="s">
        <v>24</v>
      </c>
      <c r="E82" s="8">
        <v>23997</v>
      </c>
      <c r="F82" s="6" t="s">
        <v>422</v>
      </c>
      <c r="G82" s="6" t="s">
        <v>423</v>
      </c>
      <c r="H82" s="6" t="s">
        <v>424</v>
      </c>
      <c r="I82" s="6" t="str">
        <f>VLOOKUP(CLEAN(F82),'World Bank Categories'!$B$4:$C$220,2,FALSE)</f>
        <v>Middle income</v>
      </c>
      <c r="J82" s="6" t="s">
        <v>425</v>
      </c>
      <c r="K82" s="6" t="s">
        <v>39</v>
      </c>
      <c r="L82" s="6" t="s">
        <v>30</v>
      </c>
      <c r="M82" s="7"/>
      <c r="N82" s="6"/>
      <c r="O82" s="6"/>
      <c r="P82" s="6" t="s">
        <v>31</v>
      </c>
      <c r="Q82" s="9" t="s">
        <v>32</v>
      </c>
      <c r="R82" s="18"/>
      <c r="S82" s="11" t="s">
        <v>426</v>
      </c>
      <c r="T82" s="12"/>
      <c r="U82" s="12"/>
      <c r="V82" s="12"/>
      <c r="W82" s="12"/>
    </row>
    <row r="83" spans="1:23" ht="22.5" hidden="1" customHeight="1">
      <c r="A83" s="20">
        <v>45930.815208333333</v>
      </c>
      <c r="B83" s="21" t="s">
        <v>427</v>
      </c>
      <c r="C83" s="21"/>
      <c r="D83" s="21" t="s">
        <v>45</v>
      </c>
      <c r="E83" s="22">
        <v>37516</v>
      </c>
      <c r="F83" s="21" t="s">
        <v>64</v>
      </c>
      <c r="G83" s="21" t="s">
        <v>428</v>
      </c>
      <c r="H83" s="21" t="s">
        <v>429</v>
      </c>
      <c r="I83" s="6" t="str">
        <f>VLOOKUP(CLEAN(F83),'World Bank Categories'!$B$4:$C$220,2,FALSE)</f>
        <v>Middle income</v>
      </c>
      <c r="J83" s="21" t="s">
        <v>430</v>
      </c>
      <c r="K83" s="21" t="s">
        <v>29</v>
      </c>
      <c r="L83" s="21" t="s">
        <v>30</v>
      </c>
      <c r="M83" s="21"/>
      <c r="N83" s="21"/>
      <c r="O83" s="21"/>
      <c r="P83" s="21" t="s">
        <v>31</v>
      </c>
      <c r="Q83" s="23" t="s">
        <v>56</v>
      </c>
      <c r="R83" s="24"/>
      <c r="S83" s="25"/>
      <c r="T83" s="26"/>
      <c r="U83" s="25"/>
      <c r="V83" s="25"/>
      <c r="W83" s="25"/>
    </row>
    <row r="84" spans="1:23" ht="22.5" customHeight="1">
      <c r="A84" s="20">
        <v>45932.03570601852</v>
      </c>
      <c r="B84" s="21" t="s">
        <v>431</v>
      </c>
      <c r="C84" s="21" t="s">
        <v>432</v>
      </c>
      <c r="D84" s="21" t="s">
        <v>45</v>
      </c>
      <c r="E84" s="22">
        <v>31339</v>
      </c>
      <c r="F84" s="21" t="s">
        <v>433</v>
      </c>
      <c r="G84" s="21" t="s">
        <v>434</v>
      </c>
      <c r="H84" s="21" t="s">
        <v>435</v>
      </c>
      <c r="I84" s="6" t="str">
        <f>VLOOKUP(CLEAN(F84),'World Bank Categories'!$B$4:$C$220,2,FALSE)</f>
        <v>Low income</v>
      </c>
      <c r="J84" s="21" t="s">
        <v>436</v>
      </c>
      <c r="K84" s="21" t="s">
        <v>29</v>
      </c>
      <c r="L84" s="21" t="s">
        <v>30</v>
      </c>
      <c r="M84" s="21"/>
      <c r="N84" s="21"/>
      <c r="O84" s="21"/>
      <c r="P84" s="21" t="s">
        <v>31</v>
      </c>
      <c r="Q84" s="9" t="s">
        <v>32</v>
      </c>
      <c r="R84" s="10" t="s">
        <v>33</v>
      </c>
      <c r="S84" s="25" t="s">
        <v>431</v>
      </c>
      <c r="T84" s="27">
        <v>31339</v>
      </c>
      <c r="U84" s="25" t="s">
        <v>436</v>
      </c>
      <c r="V84" s="25" t="s">
        <v>80</v>
      </c>
      <c r="W84" s="25"/>
    </row>
    <row r="85" spans="1:23" ht="22.5" hidden="1" customHeight="1">
      <c r="A85" s="13">
        <v>45933.041488831019</v>
      </c>
      <c r="B85" s="14" t="s">
        <v>437</v>
      </c>
      <c r="C85" s="15"/>
      <c r="D85" s="14" t="s">
        <v>45</v>
      </c>
      <c r="E85" s="16">
        <v>29853</v>
      </c>
      <c r="F85" s="14" t="s">
        <v>438</v>
      </c>
      <c r="G85" s="14" t="s">
        <v>439</v>
      </c>
      <c r="H85" s="14" t="s">
        <v>440</v>
      </c>
      <c r="I85" s="6" t="str">
        <f>VLOOKUP(CLEAN(F85),'World Bank Categories'!$B$4:$C$220,2,FALSE)</f>
        <v>Middle income</v>
      </c>
      <c r="J85" s="14" t="s">
        <v>441</v>
      </c>
      <c r="K85" s="14" t="s">
        <v>29</v>
      </c>
      <c r="L85" s="14" t="s">
        <v>30</v>
      </c>
      <c r="M85" s="14" t="s">
        <v>442</v>
      </c>
      <c r="N85" s="44" t="s">
        <v>443</v>
      </c>
      <c r="O85" s="14" t="s">
        <v>444</v>
      </c>
      <c r="P85" s="14" t="s">
        <v>31</v>
      </c>
      <c r="Q85" s="23" t="s">
        <v>56</v>
      </c>
      <c r="R85" s="24"/>
      <c r="S85" s="15"/>
      <c r="T85" s="12"/>
      <c r="U85" s="12"/>
      <c r="V85" s="12"/>
      <c r="W85" s="12"/>
    </row>
    <row r="86" spans="1:23" ht="22.5" customHeight="1">
      <c r="A86" s="20">
        <v>45933.580405092594</v>
      </c>
      <c r="B86" s="21" t="s">
        <v>445</v>
      </c>
      <c r="C86" s="21"/>
      <c r="D86" s="21" t="s">
        <v>24</v>
      </c>
      <c r="E86" s="22">
        <v>36608</v>
      </c>
      <c r="F86" s="21" t="s">
        <v>227</v>
      </c>
      <c r="G86" s="21" t="s">
        <v>446</v>
      </c>
      <c r="H86" s="21" t="s">
        <v>90</v>
      </c>
      <c r="I86" s="6" t="str">
        <f>VLOOKUP(CLEAN(F86),'World Bank Categories'!$B$4:$C$220,2,FALSE)</f>
        <v>Middle income</v>
      </c>
      <c r="J86" s="21" t="s">
        <v>447</v>
      </c>
      <c r="K86" s="21" t="s">
        <v>29</v>
      </c>
      <c r="L86" s="21" t="s">
        <v>30</v>
      </c>
      <c r="M86" s="21"/>
      <c r="N86" s="21"/>
      <c r="O86" s="21"/>
      <c r="P86" s="21" t="s">
        <v>31</v>
      </c>
      <c r="Q86" s="9" t="s">
        <v>32</v>
      </c>
      <c r="R86" s="18"/>
      <c r="S86" s="25" t="s">
        <v>445</v>
      </c>
      <c r="T86" s="27">
        <v>36608</v>
      </c>
      <c r="U86" s="25" t="s">
        <v>447</v>
      </c>
      <c r="V86" s="25" t="s">
        <v>80</v>
      </c>
      <c r="W86" s="25"/>
    </row>
    <row r="87" spans="1:23" ht="22.5" customHeight="1">
      <c r="A87" s="20">
        <v>45933.673692129632</v>
      </c>
      <c r="B87" s="21" t="s">
        <v>448</v>
      </c>
      <c r="C87" s="21" t="s">
        <v>449</v>
      </c>
      <c r="D87" s="21" t="s">
        <v>24</v>
      </c>
      <c r="E87" s="22">
        <v>36659</v>
      </c>
      <c r="F87" s="21" t="s">
        <v>227</v>
      </c>
      <c r="G87" s="21" t="s">
        <v>446</v>
      </c>
      <c r="H87" s="21" t="s">
        <v>90</v>
      </c>
      <c r="I87" s="6" t="str">
        <f>VLOOKUP(CLEAN(F87),'World Bank Categories'!$B$4:$C$220,2,FALSE)</f>
        <v>Middle income</v>
      </c>
      <c r="J87" s="21" t="s">
        <v>450</v>
      </c>
      <c r="K87" s="21" t="s">
        <v>39</v>
      </c>
      <c r="L87" s="21" t="s">
        <v>152</v>
      </c>
      <c r="M87" s="21"/>
      <c r="N87" s="21"/>
      <c r="O87" s="21"/>
      <c r="P87" s="21" t="s">
        <v>31</v>
      </c>
      <c r="Q87" s="9" t="s">
        <v>32</v>
      </c>
      <c r="R87" s="10" t="s">
        <v>33</v>
      </c>
      <c r="S87" s="25" t="s">
        <v>448</v>
      </c>
      <c r="T87" s="27">
        <v>36659</v>
      </c>
      <c r="U87" s="25" t="s">
        <v>450</v>
      </c>
      <c r="V87" s="25" t="s">
        <v>80</v>
      </c>
      <c r="W87" s="25"/>
    </row>
    <row r="88" spans="1:23" ht="22.5" customHeight="1">
      <c r="A88" s="20">
        <v>45936.842638888891</v>
      </c>
      <c r="B88" s="21" t="s">
        <v>451</v>
      </c>
      <c r="C88" s="21"/>
      <c r="D88" s="21" t="s">
        <v>45</v>
      </c>
      <c r="E88" s="22">
        <v>36383</v>
      </c>
      <c r="F88" s="21" t="s">
        <v>208</v>
      </c>
      <c r="G88" s="21" t="s">
        <v>452</v>
      </c>
      <c r="H88" s="21" t="s">
        <v>66</v>
      </c>
      <c r="I88" s="6" t="str">
        <f>VLOOKUP(CLEAN(F88),'World Bank Categories'!$B$4:$C$220,2,FALSE)</f>
        <v>Low income</v>
      </c>
      <c r="J88" s="21" t="s">
        <v>453</v>
      </c>
      <c r="K88" s="21" t="s">
        <v>29</v>
      </c>
      <c r="L88" s="21" t="s">
        <v>30</v>
      </c>
      <c r="M88" s="21"/>
      <c r="N88" s="21"/>
      <c r="O88" s="21"/>
      <c r="P88" s="21" t="s">
        <v>31</v>
      </c>
      <c r="Q88" s="9" t="s">
        <v>32</v>
      </c>
      <c r="R88" s="18"/>
      <c r="S88" s="25" t="s">
        <v>454</v>
      </c>
      <c r="T88" s="27">
        <v>36414</v>
      </c>
      <c r="U88" s="25" t="s">
        <v>453</v>
      </c>
      <c r="V88" s="25" t="s">
        <v>236</v>
      </c>
      <c r="W88" s="25"/>
    </row>
    <row r="89" spans="1:23" ht="22.5" customHeight="1">
      <c r="A89" s="20">
        <v>45936.9450462963</v>
      </c>
      <c r="B89" s="21" t="s">
        <v>455</v>
      </c>
      <c r="C89" s="21"/>
      <c r="D89" s="21" t="s">
        <v>45</v>
      </c>
      <c r="E89" s="22">
        <v>37238</v>
      </c>
      <c r="F89" s="21" t="s">
        <v>208</v>
      </c>
      <c r="G89" s="21" t="s">
        <v>456</v>
      </c>
      <c r="H89" s="21" t="s">
        <v>66</v>
      </c>
      <c r="I89" s="6" t="str">
        <f>VLOOKUP(CLEAN(F89),'World Bank Categories'!$B$4:$C$220,2,FALSE)</f>
        <v>Low income</v>
      </c>
      <c r="J89" s="21" t="s">
        <v>457</v>
      </c>
      <c r="K89" s="21" t="s">
        <v>29</v>
      </c>
      <c r="L89" s="21" t="s">
        <v>30</v>
      </c>
      <c r="M89" s="21"/>
      <c r="N89" s="21"/>
      <c r="O89" s="21"/>
      <c r="P89" s="21" t="s">
        <v>31</v>
      </c>
      <c r="Q89" s="9" t="s">
        <v>32</v>
      </c>
      <c r="R89" s="10"/>
      <c r="S89" s="25" t="s">
        <v>458</v>
      </c>
      <c r="T89" s="27">
        <v>37238</v>
      </c>
      <c r="U89" s="25" t="s">
        <v>457</v>
      </c>
      <c r="V89" s="25" t="s">
        <v>80</v>
      </c>
      <c r="W89" s="25"/>
    </row>
    <row r="90" spans="1:23" ht="22.5" customHeight="1">
      <c r="A90" s="20">
        <v>45937.119791666664</v>
      </c>
      <c r="B90" s="21" t="s">
        <v>459</v>
      </c>
      <c r="C90" s="21"/>
      <c r="D90" s="21" t="s">
        <v>24</v>
      </c>
      <c r="E90" s="22">
        <v>37321</v>
      </c>
      <c r="F90" s="21" t="s">
        <v>208</v>
      </c>
      <c r="G90" s="21" t="s">
        <v>460</v>
      </c>
      <c r="H90" s="21" t="s">
        <v>461</v>
      </c>
      <c r="I90" s="6" t="str">
        <f>VLOOKUP(CLEAN(F90),'World Bank Categories'!$B$4:$C$220,2,FALSE)</f>
        <v>Low income</v>
      </c>
      <c r="J90" s="21" t="s">
        <v>462</v>
      </c>
      <c r="K90" s="21" t="s">
        <v>29</v>
      </c>
      <c r="L90" s="21" t="s">
        <v>30</v>
      </c>
      <c r="M90" s="21"/>
      <c r="N90" s="21"/>
      <c r="O90" s="21"/>
      <c r="P90" s="21" t="s">
        <v>31</v>
      </c>
      <c r="Q90" s="9" t="s">
        <v>32</v>
      </c>
      <c r="R90" s="18"/>
      <c r="S90" s="25" t="s">
        <v>459</v>
      </c>
      <c r="T90" s="27">
        <v>37321</v>
      </c>
      <c r="U90" s="25" t="s">
        <v>462</v>
      </c>
      <c r="V90" s="25" t="s">
        <v>463</v>
      </c>
      <c r="W90" s="25"/>
    </row>
    <row r="91" spans="1:23" ht="22.5" customHeight="1">
      <c r="A91" s="20">
        <v>45940.734467592592</v>
      </c>
      <c r="B91" s="21" t="s">
        <v>464</v>
      </c>
      <c r="C91" s="21"/>
      <c r="D91" s="21" t="s">
        <v>45</v>
      </c>
      <c r="E91" s="22">
        <v>30764</v>
      </c>
      <c r="F91" s="21" t="s">
        <v>433</v>
      </c>
      <c r="G91" s="21" t="s">
        <v>465</v>
      </c>
      <c r="H91" s="21" t="s">
        <v>466</v>
      </c>
      <c r="I91" s="6" t="str">
        <f>VLOOKUP(CLEAN(F91),'World Bank Categories'!$B$4:$C$220,2,FALSE)</f>
        <v>Low income</v>
      </c>
      <c r="J91" s="21" t="s">
        <v>467</v>
      </c>
      <c r="K91" s="21" t="s">
        <v>29</v>
      </c>
      <c r="L91" s="21" t="s">
        <v>30</v>
      </c>
      <c r="M91" s="21"/>
      <c r="N91" s="21"/>
      <c r="O91" s="21"/>
      <c r="P91" s="21" t="s">
        <v>31</v>
      </c>
      <c r="Q91" s="9" t="s">
        <v>32</v>
      </c>
      <c r="R91" s="18"/>
      <c r="S91" s="25" t="s">
        <v>464</v>
      </c>
      <c r="T91" s="27">
        <v>30764</v>
      </c>
      <c r="U91" s="25" t="s">
        <v>467</v>
      </c>
      <c r="V91" s="25" t="s">
        <v>80</v>
      </c>
      <c r="W91" s="25"/>
    </row>
    <row r="92" spans="1:23" ht="22.5" hidden="1" customHeight="1">
      <c r="A92" s="20">
        <v>45942.882754629631</v>
      </c>
      <c r="B92" s="21" t="s">
        <v>468</v>
      </c>
      <c r="C92" s="21" t="s">
        <v>469</v>
      </c>
      <c r="D92" s="21" t="s">
        <v>45</v>
      </c>
      <c r="E92" s="22">
        <v>28912</v>
      </c>
      <c r="F92" s="21" t="s">
        <v>470</v>
      </c>
      <c r="G92" s="21" t="s">
        <v>471</v>
      </c>
      <c r="H92" s="21" t="s">
        <v>90</v>
      </c>
      <c r="I92" s="6" t="str">
        <f>VLOOKUP(CLEAN(F92),'World Bank Categories'!$B$4:$C$220,2,FALSE)</f>
        <v>Middle income</v>
      </c>
      <c r="J92" s="21" t="s">
        <v>472</v>
      </c>
      <c r="K92" s="21" t="s">
        <v>29</v>
      </c>
      <c r="L92" s="21" t="s">
        <v>30</v>
      </c>
      <c r="M92" s="21" t="s">
        <v>473</v>
      </c>
      <c r="N92" s="21"/>
      <c r="O92" s="21"/>
      <c r="P92" s="21" t="s">
        <v>31</v>
      </c>
      <c r="Q92" s="23" t="s">
        <v>56</v>
      </c>
      <c r="R92" s="24"/>
      <c r="S92" s="25"/>
      <c r="T92" s="26"/>
      <c r="U92" s="25"/>
      <c r="V92" s="25"/>
      <c r="W92" s="25"/>
    </row>
    <row r="93" spans="1:23" ht="22.5" customHeight="1">
      <c r="A93" s="20">
        <v>45943.15556712963</v>
      </c>
      <c r="B93" s="21" t="s">
        <v>474</v>
      </c>
      <c r="C93" s="21"/>
      <c r="D93" s="21" t="s">
        <v>45</v>
      </c>
      <c r="E93" s="22">
        <v>26224</v>
      </c>
      <c r="F93" s="21" t="s">
        <v>475</v>
      </c>
      <c r="G93" s="21" t="s">
        <v>476</v>
      </c>
      <c r="H93" s="21" t="s">
        <v>477</v>
      </c>
      <c r="I93" s="6" t="str">
        <f>VLOOKUP(CLEAN(F93),'World Bank Categories'!$B$4:$C$220,2,FALSE)</f>
        <v>Middle income</v>
      </c>
      <c r="J93" s="21" t="s">
        <v>478</v>
      </c>
      <c r="K93" s="21" t="s">
        <v>29</v>
      </c>
      <c r="L93" s="21" t="s">
        <v>30</v>
      </c>
      <c r="M93" s="21" t="s">
        <v>479</v>
      </c>
      <c r="N93" s="21"/>
      <c r="O93" s="21"/>
      <c r="P93" s="21" t="s">
        <v>31</v>
      </c>
      <c r="Q93" s="9" t="s">
        <v>32</v>
      </c>
      <c r="R93" s="10" t="s">
        <v>17</v>
      </c>
      <c r="S93" s="25" t="s">
        <v>480</v>
      </c>
      <c r="T93" s="27">
        <v>26224</v>
      </c>
      <c r="U93" s="25" t="s">
        <v>481</v>
      </c>
      <c r="V93" s="25" t="s">
        <v>154</v>
      </c>
      <c r="W93" s="25"/>
    </row>
    <row r="94" spans="1:23" ht="22.5" customHeight="1">
      <c r="A94" s="20">
        <v>45945.977766203701</v>
      </c>
      <c r="B94" s="21" t="s">
        <v>482</v>
      </c>
      <c r="C94" s="21"/>
      <c r="D94" s="21" t="s">
        <v>24</v>
      </c>
      <c r="E94" s="22">
        <v>37213</v>
      </c>
      <c r="F94" s="21" t="s">
        <v>208</v>
      </c>
      <c r="G94" s="21" t="s">
        <v>483</v>
      </c>
      <c r="H94" s="21" t="s">
        <v>66</v>
      </c>
      <c r="I94" s="6" t="str">
        <f>VLOOKUP(CLEAN(F94),'World Bank Categories'!$B$4:$C$220,2,FALSE)</f>
        <v>Low income</v>
      </c>
      <c r="J94" s="21" t="s">
        <v>484</v>
      </c>
      <c r="K94" s="21" t="s">
        <v>29</v>
      </c>
      <c r="L94" s="21" t="s">
        <v>30</v>
      </c>
      <c r="M94" s="21"/>
      <c r="N94" s="21"/>
      <c r="O94" s="21"/>
      <c r="P94" s="21" t="s">
        <v>31</v>
      </c>
      <c r="Q94" s="9" t="s">
        <v>32</v>
      </c>
      <c r="R94" s="18"/>
      <c r="S94" s="25" t="s">
        <v>482</v>
      </c>
      <c r="T94" s="27">
        <v>37213</v>
      </c>
      <c r="U94" s="25" t="s">
        <v>484</v>
      </c>
      <c r="V94" s="25" t="s">
        <v>80</v>
      </c>
      <c r="W94" s="25"/>
    </row>
    <row r="95" spans="1:23" ht="22.5" customHeight="1">
      <c r="A95" s="20">
        <v>45946.596886574072</v>
      </c>
      <c r="B95" s="21" t="s">
        <v>485</v>
      </c>
      <c r="C95" s="21"/>
      <c r="D95" s="21" t="s">
        <v>24</v>
      </c>
      <c r="E95" s="22">
        <v>37372</v>
      </c>
      <c r="F95" s="21" t="s">
        <v>486</v>
      </c>
      <c r="G95" s="21" t="s">
        <v>487</v>
      </c>
      <c r="H95" s="21" t="s">
        <v>66</v>
      </c>
      <c r="I95" s="6" t="str">
        <f>VLOOKUP(CLEAN(F95),'World Bank Categories'!$B$4:$C$220,2,FALSE)</f>
        <v>High income</v>
      </c>
      <c r="J95" s="21" t="s">
        <v>488</v>
      </c>
      <c r="K95" s="21" t="s">
        <v>29</v>
      </c>
      <c r="L95" s="21" t="s">
        <v>30</v>
      </c>
      <c r="M95" s="21"/>
      <c r="N95" s="21"/>
      <c r="O95" s="21"/>
      <c r="P95" s="21" t="s">
        <v>31</v>
      </c>
      <c r="Q95" s="9" t="s">
        <v>32</v>
      </c>
      <c r="R95" s="10" t="s">
        <v>33</v>
      </c>
      <c r="S95" s="25" t="s">
        <v>489</v>
      </c>
      <c r="T95" s="27">
        <v>37372</v>
      </c>
      <c r="U95" s="25" t="s">
        <v>488</v>
      </c>
      <c r="V95" s="25" t="s">
        <v>154</v>
      </c>
      <c r="W95" s="25"/>
    </row>
    <row r="96" spans="1:23" ht="22.5" customHeight="1">
      <c r="A96" s="20">
        <v>45946.731423611112</v>
      </c>
      <c r="B96" s="21" t="s">
        <v>490</v>
      </c>
      <c r="C96" s="21"/>
      <c r="D96" s="21" t="s">
        <v>24</v>
      </c>
      <c r="E96" s="22">
        <v>37052</v>
      </c>
      <c r="F96" s="21" t="s">
        <v>88</v>
      </c>
      <c r="G96" s="21" t="s">
        <v>491</v>
      </c>
      <c r="H96" s="21" t="s">
        <v>66</v>
      </c>
      <c r="I96" s="6" t="str">
        <f>VLOOKUP(CLEAN(F96),'World Bank Categories'!$B$4:$C$220,2,FALSE)</f>
        <v>Low income</v>
      </c>
      <c r="J96" s="21" t="s">
        <v>492</v>
      </c>
      <c r="K96" s="21" t="s">
        <v>29</v>
      </c>
      <c r="L96" s="21" t="s">
        <v>30</v>
      </c>
      <c r="M96" s="21"/>
      <c r="N96" s="21"/>
      <c r="O96" s="21"/>
      <c r="P96" s="21" t="s">
        <v>31</v>
      </c>
      <c r="Q96" s="9" t="s">
        <v>32</v>
      </c>
      <c r="R96" s="18"/>
      <c r="S96" s="25" t="s">
        <v>493</v>
      </c>
      <c r="T96" s="27">
        <v>37052</v>
      </c>
      <c r="U96" s="25" t="s">
        <v>494</v>
      </c>
      <c r="V96" s="25" t="s">
        <v>101</v>
      </c>
      <c r="W96" s="25"/>
    </row>
    <row r="97" spans="1:23" ht="22.5" customHeight="1">
      <c r="A97" s="20">
        <v>45946.974629629629</v>
      </c>
      <c r="B97" s="21" t="s">
        <v>495</v>
      </c>
      <c r="C97" s="21"/>
      <c r="D97" s="21" t="s">
        <v>45</v>
      </c>
      <c r="E97" s="22">
        <v>36184</v>
      </c>
      <c r="F97" s="21" t="s">
        <v>88</v>
      </c>
      <c r="G97" s="21" t="s">
        <v>496</v>
      </c>
      <c r="H97" s="21" t="s">
        <v>497</v>
      </c>
      <c r="I97" s="6" t="str">
        <f>VLOOKUP(CLEAN(F97),'World Bank Categories'!$B$4:$C$220,2,FALSE)</f>
        <v>Low income</v>
      </c>
      <c r="J97" s="21" t="s">
        <v>498</v>
      </c>
      <c r="K97" s="21" t="s">
        <v>29</v>
      </c>
      <c r="L97" s="21" t="s">
        <v>30</v>
      </c>
      <c r="M97" s="21"/>
      <c r="N97" s="21"/>
      <c r="O97" s="21"/>
      <c r="P97" s="21" t="s">
        <v>31</v>
      </c>
      <c r="Q97" s="9" t="s">
        <v>32</v>
      </c>
      <c r="R97" s="10"/>
      <c r="S97" s="25" t="s">
        <v>495</v>
      </c>
      <c r="T97" s="27">
        <v>36184</v>
      </c>
      <c r="U97" s="25" t="s">
        <v>498</v>
      </c>
      <c r="V97" s="25" t="s">
        <v>80</v>
      </c>
      <c r="W97" s="25"/>
    </row>
    <row r="98" spans="1:23" ht="22.5" customHeight="1">
      <c r="A98" s="28">
        <v>45947.178981481484</v>
      </c>
      <c r="B98" s="29" t="s">
        <v>499</v>
      </c>
      <c r="C98" s="29"/>
      <c r="D98" s="29" t="s">
        <v>45</v>
      </c>
      <c r="E98" s="30">
        <v>33297</v>
      </c>
      <c r="F98" s="21" t="s">
        <v>88</v>
      </c>
      <c r="G98" s="29" t="s">
        <v>500</v>
      </c>
      <c r="H98" s="29" t="s">
        <v>186</v>
      </c>
      <c r="I98" s="6" t="str">
        <f>VLOOKUP(CLEAN(F98),'World Bank Categories'!$B$4:$C$220,2,FALSE)</f>
        <v>Low income</v>
      </c>
      <c r="J98" s="29" t="s">
        <v>501</v>
      </c>
      <c r="K98" s="29" t="s">
        <v>29</v>
      </c>
      <c r="L98" s="29" t="s">
        <v>30</v>
      </c>
      <c r="M98" s="29"/>
      <c r="N98" s="29"/>
      <c r="O98" s="29"/>
      <c r="P98" s="29" t="s">
        <v>31</v>
      </c>
      <c r="Q98" s="9" t="s">
        <v>32</v>
      </c>
      <c r="R98" s="18" t="s">
        <v>33</v>
      </c>
      <c r="S98" s="25" t="s">
        <v>499</v>
      </c>
      <c r="T98" s="27">
        <v>33297</v>
      </c>
      <c r="U98" s="25" t="s">
        <v>501</v>
      </c>
      <c r="V98" s="25" t="s">
        <v>80</v>
      </c>
      <c r="W98" s="25"/>
    </row>
    <row r="99" spans="1:23" ht="22.5" customHeight="1">
      <c r="A99" s="20">
        <v>45947.179699074077</v>
      </c>
      <c r="B99" s="21" t="s">
        <v>502</v>
      </c>
      <c r="C99" s="21"/>
      <c r="D99" s="21" t="s">
        <v>24</v>
      </c>
      <c r="E99" s="22">
        <v>33702</v>
      </c>
      <c r="F99" s="21" t="s">
        <v>88</v>
      </c>
      <c r="G99" s="21" t="s">
        <v>500</v>
      </c>
      <c r="H99" s="21" t="s">
        <v>503</v>
      </c>
      <c r="I99" s="6" t="str">
        <f>VLOOKUP(CLEAN(F99),'World Bank Categories'!$B$4:$C$220,2,FALSE)</f>
        <v>Low income</v>
      </c>
      <c r="J99" s="21" t="s">
        <v>504</v>
      </c>
      <c r="K99" s="21" t="s">
        <v>29</v>
      </c>
      <c r="L99" s="21" t="s">
        <v>30</v>
      </c>
      <c r="M99" s="21"/>
      <c r="N99" s="21"/>
      <c r="O99" s="21"/>
      <c r="P99" s="21" t="s">
        <v>31</v>
      </c>
      <c r="Q99" s="9" t="s">
        <v>32</v>
      </c>
      <c r="R99" s="10"/>
      <c r="S99" s="25" t="s">
        <v>505</v>
      </c>
      <c r="T99" s="27">
        <v>33702</v>
      </c>
      <c r="U99" s="25" t="s">
        <v>504</v>
      </c>
      <c r="V99" s="25" t="s">
        <v>154</v>
      </c>
      <c r="W99" s="25"/>
    </row>
    <row r="100" spans="1:23" ht="22.5" customHeight="1">
      <c r="A100" s="20">
        <v>45947.313321759262</v>
      </c>
      <c r="B100" s="21" t="s">
        <v>506</v>
      </c>
      <c r="C100" s="21"/>
      <c r="D100" s="21" t="s">
        <v>24</v>
      </c>
      <c r="E100" s="22">
        <v>36417</v>
      </c>
      <c r="F100" s="21" t="s">
        <v>507</v>
      </c>
      <c r="G100" s="21" t="s">
        <v>508</v>
      </c>
      <c r="H100" s="21" t="s">
        <v>509</v>
      </c>
      <c r="I100" s="6" t="str">
        <f>VLOOKUP(CLEAN(F100),'World Bank Categories'!$B$4:$C$220,2,FALSE)</f>
        <v>Middle income</v>
      </c>
      <c r="J100" s="21" t="s">
        <v>510</v>
      </c>
      <c r="K100" s="21" t="s">
        <v>29</v>
      </c>
      <c r="L100" s="21" t="s">
        <v>30</v>
      </c>
      <c r="M100" s="21"/>
      <c r="N100" s="21"/>
      <c r="O100" s="21"/>
      <c r="P100" s="21" t="s">
        <v>31</v>
      </c>
      <c r="Q100" s="9" t="s">
        <v>32</v>
      </c>
      <c r="R100" s="10" t="s">
        <v>33</v>
      </c>
      <c r="S100" s="25" t="s">
        <v>511</v>
      </c>
      <c r="T100" s="27">
        <v>36417</v>
      </c>
      <c r="U100" s="25" t="s">
        <v>510</v>
      </c>
      <c r="V100" s="25" t="s">
        <v>80</v>
      </c>
      <c r="W100" s="25"/>
    </row>
    <row r="101" spans="1:23" ht="22.5" customHeight="1">
      <c r="A101" s="20">
        <v>45947.313344907408</v>
      </c>
      <c r="B101" s="21" t="s">
        <v>512</v>
      </c>
      <c r="C101" s="21"/>
      <c r="D101" s="21" t="s">
        <v>24</v>
      </c>
      <c r="E101" s="22">
        <v>37086</v>
      </c>
      <c r="F101" s="21" t="s">
        <v>513</v>
      </c>
      <c r="G101" s="21" t="s">
        <v>514</v>
      </c>
      <c r="H101" s="21" t="s">
        <v>106</v>
      </c>
      <c r="I101" s="6" t="str">
        <f>VLOOKUP(CLEAN(F101),'World Bank Categories'!$B$4:$C$220,2,FALSE)</f>
        <v>Middle income</v>
      </c>
      <c r="J101" s="21" t="s">
        <v>515</v>
      </c>
      <c r="K101" s="21" t="s">
        <v>29</v>
      </c>
      <c r="L101" s="21" t="s">
        <v>30</v>
      </c>
      <c r="M101" s="21"/>
      <c r="N101" s="21"/>
      <c r="O101" s="21"/>
      <c r="P101" s="21" t="s">
        <v>31</v>
      </c>
      <c r="Q101" s="9" t="s">
        <v>32</v>
      </c>
      <c r="R101" s="10" t="s">
        <v>33</v>
      </c>
      <c r="S101" s="25" t="s">
        <v>516</v>
      </c>
      <c r="T101" s="27">
        <v>37086</v>
      </c>
      <c r="U101" s="25" t="s">
        <v>515</v>
      </c>
      <c r="V101" s="25" t="s">
        <v>154</v>
      </c>
      <c r="W101" s="25"/>
    </row>
    <row r="102" spans="1:23" ht="22.5" customHeight="1">
      <c r="A102" s="20">
        <v>45947.313368055555</v>
      </c>
      <c r="B102" s="21" t="s">
        <v>517</v>
      </c>
      <c r="C102" s="21"/>
      <c r="D102" s="21" t="s">
        <v>24</v>
      </c>
      <c r="E102" s="22">
        <v>33994</v>
      </c>
      <c r="F102" s="21" t="s">
        <v>507</v>
      </c>
      <c r="G102" s="21" t="s">
        <v>508</v>
      </c>
      <c r="H102" s="21" t="s">
        <v>518</v>
      </c>
      <c r="I102" s="6" t="str">
        <f>VLOOKUP(CLEAN(F102),'World Bank Categories'!$B$4:$C$220,2,FALSE)</f>
        <v>Middle income</v>
      </c>
      <c r="J102" s="21" t="s">
        <v>519</v>
      </c>
      <c r="K102" s="21" t="s">
        <v>29</v>
      </c>
      <c r="L102" s="21" t="s">
        <v>30</v>
      </c>
      <c r="M102" s="21"/>
      <c r="N102" s="21"/>
      <c r="O102" s="21"/>
      <c r="P102" s="21" t="s">
        <v>31</v>
      </c>
      <c r="Q102" s="9" t="s">
        <v>32</v>
      </c>
      <c r="R102" s="18" t="s">
        <v>33</v>
      </c>
      <c r="S102" s="25" t="s">
        <v>517</v>
      </c>
      <c r="T102" s="27">
        <v>33994</v>
      </c>
      <c r="U102" s="25" t="s">
        <v>519</v>
      </c>
      <c r="V102" s="25" t="s">
        <v>80</v>
      </c>
      <c r="W102" s="25"/>
    </row>
    <row r="103" spans="1:23" ht="22.5" customHeight="1">
      <c r="A103" s="20">
        <v>45948.034930555557</v>
      </c>
      <c r="B103" s="21" t="s">
        <v>520</v>
      </c>
      <c r="C103" s="38"/>
      <c r="D103" s="21" t="s">
        <v>45</v>
      </c>
      <c r="E103" s="22">
        <v>34555</v>
      </c>
      <c r="F103" s="21" t="s">
        <v>208</v>
      </c>
      <c r="G103" s="21" t="s">
        <v>521</v>
      </c>
      <c r="H103" s="21" t="s">
        <v>522</v>
      </c>
      <c r="I103" s="6" t="str">
        <f>VLOOKUP(CLEAN(F103),'World Bank Categories'!$B$4:$C$220,2,FALSE)</f>
        <v>Low income</v>
      </c>
      <c r="J103" s="21" t="s">
        <v>523</v>
      </c>
      <c r="K103" s="21" t="s">
        <v>29</v>
      </c>
      <c r="L103" s="21" t="s">
        <v>524</v>
      </c>
      <c r="M103" s="21"/>
      <c r="N103" s="21"/>
      <c r="O103" s="21"/>
      <c r="P103" s="21" t="s">
        <v>31</v>
      </c>
      <c r="Q103" s="9" t="s">
        <v>32</v>
      </c>
      <c r="R103" s="10"/>
      <c r="S103" s="25" t="s">
        <v>525</v>
      </c>
      <c r="T103" s="27">
        <v>34555</v>
      </c>
      <c r="U103" s="25" t="s">
        <v>526</v>
      </c>
      <c r="V103" s="25" t="s">
        <v>129</v>
      </c>
      <c r="W103" s="25"/>
    </row>
    <row r="104" spans="1:23" ht="22.5" customHeight="1">
      <c r="A104" s="20">
        <v>45948.297013888892</v>
      </c>
      <c r="B104" s="21" t="s">
        <v>527</v>
      </c>
      <c r="C104" s="38"/>
      <c r="D104" s="21" t="s">
        <v>45</v>
      </c>
      <c r="E104" s="22">
        <v>34126</v>
      </c>
      <c r="F104" s="21" t="s">
        <v>528</v>
      </c>
      <c r="G104" s="21" t="s">
        <v>529</v>
      </c>
      <c r="H104" s="21" t="s">
        <v>530</v>
      </c>
      <c r="I104" s="6" t="str">
        <f>VLOOKUP(CLEAN(F104),'World Bank Categories'!$B$4:$C$220,2,FALSE)</f>
        <v>Middle income</v>
      </c>
      <c r="J104" s="21" t="s">
        <v>531</v>
      </c>
      <c r="K104" s="21" t="s">
        <v>29</v>
      </c>
      <c r="L104" s="21" t="s">
        <v>30</v>
      </c>
      <c r="M104" s="21"/>
      <c r="N104" s="21"/>
      <c r="O104" s="21"/>
      <c r="P104" s="21" t="s">
        <v>31</v>
      </c>
      <c r="Q104" s="9" t="s">
        <v>32</v>
      </c>
      <c r="R104" s="18" t="s">
        <v>33</v>
      </c>
      <c r="S104" s="25" t="s">
        <v>527</v>
      </c>
      <c r="T104" s="27">
        <v>34126</v>
      </c>
      <c r="U104" s="25" t="s">
        <v>531</v>
      </c>
      <c r="V104" s="25" t="s">
        <v>80</v>
      </c>
      <c r="W104" s="25"/>
    </row>
    <row r="105" spans="1:23" ht="22.5" customHeight="1">
      <c r="A105" s="20">
        <v>45948.303599537037</v>
      </c>
      <c r="B105" s="21" t="s">
        <v>532</v>
      </c>
      <c r="C105" s="38"/>
      <c r="D105" s="21" t="s">
        <v>24</v>
      </c>
      <c r="E105" s="22">
        <v>36923</v>
      </c>
      <c r="F105" s="21" t="s">
        <v>507</v>
      </c>
      <c r="G105" s="21" t="s">
        <v>533</v>
      </c>
      <c r="H105" s="21" t="s">
        <v>66</v>
      </c>
      <c r="I105" s="6" t="str">
        <f>VLOOKUP(CLEAN(F105),'World Bank Categories'!$B$4:$C$220,2,FALSE)</f>
        <v>Middle income</v>
      </c>
      <c r="J105" s="21" t="s">
        <v>534</v>
      </c>
      <c r="K105" s="21" t="s">
        <v>29</v>
      </c>
      <c r="L105" s="21" t="s">
        <v>30</v>
      </c>
      <c r="M105" s="21"/>
      <c r="N105" s="21"/>
      <c r="O105" s="21"/>
      <c r="P105" s="21" t="s">
        <v>31</v>
      </c>
      <c r="Q105" s="9" t="s">
        <v>32</v>
      </c>
      <c r="R105" s="10"/>
      <c r="S105" s="25" t="s">
        <v>532</v>
      </c>
      <c r="T105" s="27">
        <v>36923</v>
      </c>
      <c r="U105" s="25" t="s">
        <v>534</v>
      </c>
      <c r="V105" s="25" t="s">
        <v>80</v>
      </c>
      <c r="W105" s="25"/>
    </row>
    <row r="106" spans="1:23" ht="22.5" customHeight="1">
      <c r="A106" s="20">
        <v>45948.800138888888</v>
      </c>
      <c r="B106" s="21" t="s">
        <v>535</v>
      </c>
      <c r="C106" s="21" t="s">
        <v>536</v>
      </c>
      <c r="D106" s="21" t="s">
        <v>24</v>
      </c>
      <c r="E106" s="22">
        <v>34099</v>
      </c>
      <c r="F106" s="21" t="s">
        <v>346</v>
      </c>
      <c r="G106" s="21" t="s">
        <v>537</v>
      </c>
      <c r="H106" s="21" t="s">
        <v>538</v>
      </c>
      <c r="I106" s="6" t="str">
        <f>VLOOKUP(CLEAN(F106),'World Bank Categories'!$B$4:$C$220,2,FALSE)</f>
        <v>Middle income</v>
      </c>
      <c r="J106" s="21" t="s">
        <v>539</v>
      </c>
      <c r="K106" s="21" t="s">
        <v>29</v>
      </c>
      <c r="L106" s="21" t="s">
        <v>30</v>
      </c>
      <c r="M106" s="21"/>
      <c r="N106" s="21"/>
      <c r="O106" s="21"/>
      <c r="P106" s="21" t="s">
        <v>31</v>
      </c>
      <c r="Q106" s="9" t="s">
        <v>32</v>
      </c>
      <c r="R106" s="18" t="s">
        <v>33</v>
      </c>
      <c r="S106" s="25" t="s">
        <v>540</v>
      </c>
      <c r="T106" s="27">
        <v>34099</v>
      </c>
      <c r="U106" s="25" t="s">
        <v>539</v>
      </c>
      <c r="V106" s="25" t="s">
        <v>154</v>
      </c>
      <c r="W106" s="25"/>
    </row>
    <row r="107" spans="1:23" ht="22.5" hidden="1" customHeight="1">
      <c r="A107" s="20">
        <v>45948.813715277778</v>
      </c>
      <c r="B107" s="21" t="s">
        <v>541</v>
      </c>
      <c r="C107" s="38"/>
      <c r="D107" s="21" t="s">
        <v>24</v>
      </c>
      <c r="E107" s="22">
        <v>37525</v>
      </c>
      <c r="F107" s="21" t="s">
        <v>70</v>
      </c>
      <c r="G107" s="21" t="s">
        <v>542</v>
      </c>
      <c r="H107" s="21" t="s">
        <v>138</v>
      </c>
      <c r="I107" s="6" t="str">
        <f>VLOOKUP(CLEAN(F107),'World Bank Categories'!$B$4:$C$220,2,FALSE)</f>
        <v>Middle income</v>
      </c>
      <c r="J107" s="21" t="s">
        <v>543</v>
      </c>
      <c r="K107" s="21" t="s">
        <v>29</v>
      </c>
      <c r="L107" s="21" t="s">
        <v>30</v>
      </c>
      <c r="M107" s="21"/>
      <c r="N107" s="21"/>
      <c r="O107" s="21"/>
      <c r="P107" s="21" t="s">
        <v>31</v>
      </c>
      <c r="Q107" s="23" t="s">
        <v>56</v>
      </c>
      <c r="R107" s="24"/>
      <c r="S107" s="25"/>
      <c r="T107" s="26"/>
      <c r="U107" s="25"/>
      <c r="V107" s="25"/>
      <c r="W107" s="25"/>
    </row>
    <row r="108" spans="1:23" ht="22.5" customHeight="1">
      <c r="A108" s="20">
        <v>45949.128912037035</v>
      </c>
      <c r="B108" s="21" t="s">
        <v>544</v>
      </c>
      <c r="C108" s="38"/>
      <c r="D108" s="21" t="s">
        <v>24</v>
      </c>
      <c r="E108" s="22">
        <v>36381</v>
      </c>
      <c r="F108" s="21" t="s">
        <v>346</v>
      </c>
      <c r="G108" s="21" t="s">
        <v>545</v>
      </c>
      <c r="H108" s="21" t="s">
        <v>546</v>
      </c>
      <c r="I108" s="6" t="str">
        <f>VLOOKUP(CLEAN(F108),'World Bank Categories'!$B$4:$C$220,2,FALSE)</f>
        <v>Middle income</v>
      </c>
      <c r="J108" s="21" t="s">
        <v>547</v>
      </c>
      <c r="K108" s="21" t="s">
        <v>29</v>
      </c>
      <c r="L108" s="21" t="s">
        <v>30</v>
      </c>
      <c r="M108" s="21"/>
      <c r="N108" s="21"/>
      <c r="O108" s="21"/>
      <c r="P108" s="21" t="s">
        <v>31</v>
      </c>
      <c r="Q108" s="9" t="s">
        <v>32</v>
      </c>
      <c r="R108" s="18" t="s">
        <v>33</v>
      </c>
      <c r="S108" s="25" t="s">
        <v>544</v>
      </c>
      <c r="T108" s="27">
        <v>36381</v>
      </c>
      <c r="U108" s="25" t="s">
        <v>547</v>
      </c>
      <c r="V108" s="25" t="s">
        <v>80</v>
      </c>
      <c r="W108" s="25"/>
    </row>
    <row r="109" spans="1:23" ht="22.5" customHeight="1">
      <c r="A109" s="20">
        <v>45949.23201388889</v>
      </c>
      <c r="B109" s="21" t="s">
        <v>548</v>
      </c>
      <c r="C109" s="38"/>
      <c r="D109" s="21" t="s">
        <v>24</v>
      </c>
      <c r="E109" s="22">
        <v>37412</v>
      </c>
      <c r="F109" s="21" t="s">
        <v>528</v>
      </c>
      <c r="G109" s="21" t="s">
        <v>529</v>
      </c>
      <c r="H109" s="21" t="s">
        <v>368</v>
      </c>
      <c r="I109" s="6" t="str">
        <f>VLOOKUP(CLEAN(F109),'World Bank Categories'!$B$4:$C$220,2,FALSE)</f>
        <v>Middle income</v>
      </c>
      <c r="J109" s="21" t="s">
        <v>549</v>
      </c>
      <c r="K109" s="21" t="s">
        <v>29</v>
      </c>
      <c r="L109" s="21" t="s">
        <v>30</v>
      </c>
      <c r="M109" s="21"/>
      <c r="N109" s="21"/>
      <c r="O109" s="21"/>
      <c r="P109" s="21" t="s">
        <v>31</v>
      </c>
      <c r="Q109" s="9" t="s">
        <v>32</v>
      </c>
      <c r="R109" s="10" t="s">
        <v>33</v>
      </c>
      <c r="S109" s="25" t="s">
        <v>548</v>
      </c>
      <c r="T109" s="27">
        <v>37412</v>
      </c>
      <c r="U109" s="25" t="s">
        <v>549</v>
      </c>
      <c r="V109" s="25" t="s">
        <v>80</v>
      </c>
      <c r="W109" s="25"/>
    </row>
    <row r="110" spans="1:23" ht="22.5" customHeight="1">
      <c r="A110" s="20">
        <v>45949.291805555556</v>
      </c>
      <c r="B110" s="21" t="s">
        <v>550</v>
      </c>
      <c r="C110" s="38"/>
      <c r="D110" s="21" t="s">
        <v>45</v>
      </c>
      <c r="E110" s="22">
        <v>37113</v>
      </c>
      <c r="F110" s="21" t="s">
        <v>208</v>
      </c>
      <c r="G110" s="21" t="s">
        <v>551</v>
      </c>
      <c r="H110" s="21" t="s">
        <v>54</v>
      </c>
      <c r="I110" s="6" t="str">
        <f>VLOOKUP(CLEAN(F110),'World Bank Categories'!$B$4:$C$220,2,FALSE)</f>
        <v>Low income</v>
      </c>
      <c r="J110" s="21" t="s">
        <v>552</v>
      </c>
      <c r="K110" s="21" t="s">
        <v>29</v>
      </c>
      <c r="L110" s="21" t="s">
        <v>30</v>
      </c>
      <c r="M110" s="21"/>
      <c r="N110" s="21"/>
      <c r="O110" s="21"/>
      <c r="P110" s="21" t="s">
        <v>31</v>
      </c>
      <c r="Q110" s="9" t="s">
        <v>32</v>
      </c>
      <c r="R110" s="18"/>
      <c r="S110" s="25" t="s">
        <v>550</v>
      </c>
      <c r="T110" s="27">
        <v>37113</v>
      </c>
      <c r="U110" s="25" t="s">
        <v>552</v>
      </c>
      <c r="V110" s="25" t="s">
        <v>80</v>
      </c>
      <c r="W110" s="25"/>
    </row>
    <row r="111" spans="1:23" ht="22.5" customHeight="1">
      <c r="A111" s="20">
        <v>45950.12636574074</v>
      </c>
      <c r="B111" s="21" t="s">
        <v>553</v>
      </c>
      <c r="C111" s="38"/>
      <c r="D111" s="21" t="s">
        <v>45</v>
      </c>
      <c r="E111" s="22">
        <v>28979</v>
      </c>
      <c r="F111" s="21" t="s">
        <v>475</v>
      </c>
      <c r="G111" s="21" t="s">
        <v>554</v>
      </c>
      <c r="H111" s="21" t="s">
        <v>555</v>
      </c>
      <c r="I111" s="6" t="str">
        <f>VLOOKUP(CLEAN(F111),'World Bank Categories'!$B$4:$C$220,2,FALSE)</f>
        <v>Middle income</v>
      </c>
      <c r="J111" s="21" t="s">
        <v>556</v>
      </c>
      <c r="K111" s="21" t="s">
        <v>29</v>
      </c>
      <c r="L111" s="21" t="s">
        <v>30</v>
      </c>
      <c r="M111" s="21" t="s">
        <v>557</v>
      </c>
      <c r="N111" s="21"/>
      <c r="O111" s="21"/>
      <c r="P111" s="21" t="s">
        <v>31</v>
      </c>
      <c r="Q111" s="9" t="s">
        <v>32</v>
      </c>
      <c r="R111" s="10" t="s">
        <v>43</v>
      </c>
      <c r="S111" s="25" t="s">
        <v>558</v>
      </c>
      <c r="T111" s="27">
        <v>28979</v>
      </c>
      <c r="U111" s="25" t="s">
        <v>556</v>
      </c>
      <c r="V111" s="25" t="s">
        <v>154</v>
      </c>
      <c r="W111" s="25"/>
    </row>
    <row r="112" spans="1:23" ht="22.5" customHeight="1">
      <c r="A112" s="20">
        <v>45950.133796296293</v>
      </c>
      <c r="B112" s="21" t="s">
        <v>559</v>
      </c>
      <c r="C112" s="38"/>
      <c r="D112" s="21" t="s">
        <v>45</v>
      </c>
      <c r="E112" s="22">
        <v>27390</v>
      </c>
      <c r="F112" s="21" t="s">
        <v>64</v>
      </c>
      <c r="G112" s="21" t="s">
        <v>560</v>
      </c>
      <c r="H112" s="21" t="s">
        <v>561</v>
      </c>
      <c r="I112" s="6" t="str">
        <f>VLOOKUP(CLEAN(F112),'World Bank Categories'!$B$4:$C$220,2,FALSE)</f>
        <v>Middle income</v>
      </c>
      <c r="J112" s="21" t="s">
        <v>562</v>
      </c>
      <c r="K112" s="21" t="s">
        <v>29</v>
      </c>
      <c r="L112" s="21" t="s">
        <v>30</v>
      </c>
      <c r="M112" s="21"/>
      <c r="N112" s="21"/>
      <c r="O112" s="21"/>
      <c r="P112" s="21" t="s">
        <v>31</v>
      </c>
      <c r="Q112" s="9" t="s">
        <v>32</v>
      </c>
      <c r="R112" s="18" t="s">
        <v>33</v>
      </c>
      <c r="S112" s="25" t="s">
        <v>563</v>
      </c>
      <c r="T112" s="27">
        <v>27390</v>
      </c>
      <c r="U112" s="25" t="s">
        <v>562</v>
      </c>
      <c r="V112" s="25" t="s">
        <v>154</v>
      </c>
      <c r="W112" s="25"/>
    </row>
    <row r="113" spans="1:23" ht="22.5" customHeight="1">
      <c r="A113" s="20">
        <v>45950.867245370369</v>
      </c>
      <c r="B113" s="21" t="s">
        <v>564</v>
      </c>
      <c r="C113" s="38"/>
      <c r="D113" s="21" t="s">
        <v>24</v>
      </c>
      <c r="E113" s="22">
        <v>37562</v>
      </c>
      <c r="F113" s="21" t="s">
        <v>208</v>
      </c>
      <c r="G113" s="21" t="s">
        <v>565</v>
      </c>
      <c r="H113" s="21" t="s">
        <v>368</v>
      </c>
      <c r="I113" s="6" t="str">
        <f>VLOOKUP(CLEAN(F113),'World Bank Categories'!$B$4:$C$220,2,FALSE)</f>
        <v>Low income</v>
      </c>
      <c r="J113" s="21" t="s">
        <v>566</v>
      </c>
      <c r="K113" s="21" t="s">
        <v>29</v>
      </c>
      <c r="L113" s="21" t="s">
        <v>30</v>
      </c>
      <c r="M113" s="21"/>
      <c r="N113" s="21"/>
      <c r="O113" s="21"/>
      <c r="P113" s="21" t="s">
        <v>31</v>
      </c>
      <c r="Q113" s="9" t="s">
        <v>32</v>
      </c>
      <c r="R113" s="10"/>
      <c r="S113" s="25" t="s">
        <v>567</v>
      </c>
      <c r="T113" s="27">
        <v>37562</v>
      </c>
      <c r="U113" s="25" t="s">
        <v>566</v>
      </c>
      <c r="V113" s="25" t="s">
        <v>80</v>
      </c>
      <c r="W113" s="25"/>
    </row>
    <row r="114" spans="1:23" ht="22.5" customHeight="1">
      <c r="A114" s="20">
        <v>45951.219884259262</v>
      </c>
      <c r="B114" s="21" t="s">
        <v>568</v>
      </c>
      <c r="C114" s="21" t="s">
        <v>569</v>
      </c>
      <c r="D114" s="21" t="s">
        <v>45</v>
      </c>
      <c r="E114" s="22">
        <v>38579</v>
      </c>
      <c r="F114" s="21" t="s">
        <v>64</v>
      </c>
      <c r="G114" s="21" t="s">
        <v>570</v>
      </c>
      <c r="H114" s="21" t="s">
        <v>48</v>
      </c>
      <c r="I114" s="6" t="str">
        <f>VLOOKUP(CLEAN(F114),'World Bank Categories'!$B$4:$C$220,2,FALSE)</f>
        <v>Middle income</v>
      </c>
      <c r="J114" s="21" t="s">
        <v>571</v>
      </c>
      <c r="K114" s="21" t="s">
        <v>29</v>
      </c>
      <c r="L114" s="21" t="s">
        <v>162</v>
      </c>
      <c r="M114" s="21"/>
      <c r="N114" s="21"/>
      <c r="O114" s="21"/>
      <c r="P114" s="21" t="s">
        <v>31</v>
      </c>
      <c r="Q114" s="9" t="s">
        <v>32</v>
      </c>
      <c r="R114" s="10" t="s">
        <v>33</v>
      </c>
      <c r="S114" s="25" t="s">
        <v>568</v>
      </c>
      <c r="T114" s="27">
        <v>38579</v>
      </c>
      <c r="U114" s="25" t="s">
        <v>571</v>
      </c>
      <c r="V114" s="25" t="s">
        <v>80</v>
      </c>
      <c r="W114" s="25"/>
    </row>
    <row r="115" spans="1:23" ht="22.5" customHeight="1">
      <c r="A115" s="20">
        <v>45951.619641203702</v>
      </c>
      <c r="B115" s="21" t="s">
        <v>572</v>
      </c>
      <c r="C115" s="38"/>
      <c r="D115" s="21" t="s">
        <v>24</v>
      </c>
      <c r="E115" s="22">
        <v>31249</v>
      </c>
      <c r="F115" s="21" t="s">
        <v>274</v>
      </c>
      <c r="G115" s="21" t="s">
        <v>573</v>
      </c>
      <c r="H115" s="21" t="s">
        <v>90</v>
      </c>
      <c r="I115" s="6" t="str">
        <f>VLOOKUP(CLEAN(F115),'World Bank Categories'!$B$4:$C$220,2,FALSE)</f>
        <v>Middle income</v>
      </c>
      <c r="J115" s="21" t="s">
        <v>574</v>
      </c>
      <c r="K115" s="21" t="s">
        <v>39</v>
      </c>
      <c r="L115" s="32">
        <v>46202</v>
      </c>
      <c r="M115" s="21"/>
      <c r="N115" s="21"/>
      <c r="O115" s="21"/>
      <c r="P115" s="21" t="s">
        <v>31</v>
      </c>
      <c r="Q115" s="9" t="s">
        <v>32</v>
      </c>
      <c r="R115" s="10"/>
      <c r="S115" s="25" t="s">
        <v>575</v>
      </c>
      <c r="T115" s="27">
        <v>31249</v>
      </c>
      <c r="U115" s="25" t="s">
        <v>574</v>
      </c>
      <c r="V115" s="25" t="s">
        <v>154</v>
      </c>
      <c r="W115" s="25"/>
    </row>
    <row r="116" spans="1:23" ht="22.5" customHeight="1">
      <c r="A116" s="20">
        <v>45952.287199074075</v>
      </c>
      <c r="B116" s="21" t="s">
        <v>576</v>
      </c>
      <c r="C116" s="38"/>
      <c r="D116" s="21" t="s">
        <v>45</v>
      </c>
      <c r="E116" s="22">
        <v>35236</v>
      </c>
      <c r="F116" s="21" t="s">
        <v>208</v>
      </c>
      <c r="G116" s="21" t="s">
        <v>577</v>
      </c>
      <c r="H116" s="21" t="s">
        <v>578</v>
      </c>
      <c r="I116" s="6" t="str">
        <f>VLOOKUP(CLEAN(F116),'World Bank Categories'!$B$4:$C$220,2,FALSE)</f>
        <v>Low income</v>
      </c>
      <c r="J116" s="21" t="s">
        <v>579</v>
      </c>
      <c r="K116" s="21" t="s">
        <v>29</v>
      </c>
      <c r="L116" s="21" t="s">
        <v>30</v>
      </c>
      <c r="M116" s="21"/>
      <c r="N116" s="21"/>
      <c r="O116" s="21"/>
      <c r="P116" s="21" t="s">
        <v>31</v>
      </c>
      <c r="Q116" s="9" t="s">
        <v>32</v>
      </c>
      <c r="R116" s="18" t="s">
        <v>33</v>
      </c>
      <c r="S116" s="25" t="s">
        <v>580</v>
      </c>
      <c r="T116" s="27">
        <v>35236</v>
      </c>
      <c r="U116" s="25" t="s">
        <v>579</v>
      </c>
      <c r="V116" s="25" t="s">
        <v>80</v>
      </c>
      <c r="W116" s="25"/>
    </row>
    <row r="117" spans="1:23" ht="22.5" customHeight="1">
      <c r="A117" s="20">
        <v>45952.340300925927</v>
      </c>
      <c r="B117" s="21" t="s">
        <v>581</v>
      </c>
      <c r="C117" s="38"/>
      <c r="D117" s="21" t="s">
        <v>24</v>
      </c>
      <c r="E117" s="22">
        <v>36103</v>
      </c>
      <c r="F117" s="21" t="s">
        <v>198</v>
      </c>
      <c r="G117" s="21" t="s">
        <v>582</v>
      </c>
      <c r="H117" s="21" t="s">
        <v>583</v>
      </c>
      <c r="I117" s="6" t="str">
        <f>VLOOKUP(CLEAN(F117),'World Bank Categories'!$B$4:$C$220,2,FALSE)</f>
        <v>Middle income</v>
      </c>
      <c r="J117" s="21" t="s">
        <v>584</v>
      </c>
      <c r="K117" s="21" t="s">
        <v>39</v>
      </c>
      <c r="L117" s="21" t="s">
        <v>152</v>
      </c>
      <c r="M117" s="21"/>
      <c r="N117" s="21"/>
      <c r="O117" s="21"/>
      <c r="P117" s="21" t="s">
        <v>31</v>
      </c>
      <c r="Q117" s="9" t="s">
        <v>32</v>
      </c>
      <c r="R117" s="10"/>
      <c r="S117" s="25" t="s">
        <v>581</v>
      </c>
      <c r="T117" s="27">
        <v>36103</v>
      </c>
      <c r="U117" s="25" t="s">
        <v>584</v>
      </c>
      <c r="V117" s="25" t="s">
        <v>80</v>
      </c>
      <c r="W117" s="25"/>
    </row>
    <row r="118" spans="1:23" ht="22.5" customHeight="1">
      <c r="A118" s="20">
        <v>45952.442824074074</v>
      </c>
      <c r="B118" s="21" t="s">
        <v>585</v>
      </c>
      <c r="C118" s="38"/>
      <c r="D118" s="21" t="s">
        <v>24</v>
      </c>
      <c r="E118" s="22">
        <v>23283</v>
      </c>
      <c r="F118" s="21" t="s">
        <v>198</v>
      </c>
      <c r="G118" s="21" t="s">
        <v>586</v>
      </c>
      <c r="H118" s="21" t="s">
        <v>587</v>
      </c>
      <c r="I118" s="6" t="str">
        <f>VLOOKUP(CLEAN(F118),'World Bank Categories'!$B$4:$C$220,2,FALSE)</f>
        <v>Middle income</v>
      </c>
      <c r="J118" s="21" t="s">
        <v>588</v>
      </c>
      <c r="K118" s="21" t="s">
        <v>29</v>
      </c>
      <c r="L118" s="21" t="s">
        <v>30</v>
      </c>
      <c r="M118" s="21"/>
      <c r="N118" s="21"/>
      <c r="O118" s="21"/>
      <c r="P118" s="21" t="s">
        <v>31</v>
      </c>
      <c r="Q118" s="9" t="s">
        <v>32</v>
      </c>
      <c r="R118" s="10"/>
      <c r="S118" s="25" t="s">
        <v>589</v>
      </c>
      <c r="T118" s="27">
        <v>23283</v>
      </c>
      <c r="U118" s="25" t="s">
        <v>590</v>
      </c>
      <c r="V118" s="25" t="s">
        <v>80</v>
      </c>
      <c r="W118" s="25"/>
    </row>
    <row r="119" spans="1:23" ht="22.5" customHeight="1">
      <c r="A119" s="20">
        <v>45952.50922453704</v>
      </c>
      <c r="B119" s="21" t="s">
        <v>591</v>
      </c>
      <c r="C119" s="38"/>
      <c r="D119" s="21" t="s">
        <v>45</v>
      </c>
      <c r="E119" s="22">
        <v>37547</v>
      </c>
      <c r="F119" s="21" t="s">
        <v>208</v>
      </c>
      <c r="G119" s="21" t="s">
        <v>592</v>
      </c>
      <c r="H119" s="21" t="s">
        <v>66</v>
      </c>
      <c r="I119" s="6" t="str">
        <f>VLOOKUP(CLEAN(F119),'World Bank Categories'!$B$4:$C$220,2,FALSE)</f>
        <v>Low income</v>
      </c>
      <c r="J119" s="21" t="s">
        <v>593</v>
      </c>
      <c r="K119" s="21" t="s">
        <v>29</v>
      </c>
      <c r="L119" s="21" t="s">
        <v>30</v>
      </c>
      <c r="M119" s="21"/>
      <c r="N119" s="21"/>
      <c r="O119" s="21"/>
      <c r="P119" s="21" t="s">
        <v>31</v>
      </c>
      <c r="Q119" s="9" t="s">
        <v>32</v>
      </c>
      <c r="R119" s="18" t="s">
        <v>33</v>
      </c>
      <c r="S119" s="25" t="s">
        <v>591</v>
      </c>
      <c r="T119" s="27">
        <v>37182</v>
      </c>
      <c r="U119" s="25" t="s">
        <v>593</v>
      </c>
      <c r="V119" s="25" t="s">
        <v>236</v>
      </c>
      <c r="W119" s="25"/>
    </row>
    <row r="120" spans="1:23" ht="22.5" customHeight="1">
      <c r="A120" s="20">
        <v>45952.512488425928</v>
      </c>
      <c r="B120" s="21" t="s">
        <v>594</v>
      </c>
      <c r="C120" s="21" t="s">
        <v>595</v>
      </c>
      <c r="D120" s="21" t="s">
        <v>45</v>
      </c>
      <c r="E120" s="22">
        <v>27621</v>
      </c>
      <c r="F120" s="21" t="s">
        <v>416</v>
      </c>
      <c r="G120" s="21" t="s">
        <v>596</v>
      </c>
      <c r="H120" s="21" t="s">
        <v>597</v>
      </c>
      <c r="I120" s="6" t="str">
        <f>VLOOKUP(CLEAN(F120),'World Bank Categories'!$B$4:$C$220,2,FALSE)</f>
        <v>Middle income</v>
      </c>
      <c r="J120" s="21" t="s">
        <v>598</v>
      </c>
      <c r="K120" s="21" t="s">
        <v>29</v>
      </c>
      <c r="L120" s="21" t="s">
        <v>30</v>
      </c>
      <c r="M120" s="21"/>
      <c r="N120" s="21"/>
      <c r="O120" s="21"/>
      <c r="P120" s="21" t="s">
        <v>31</v>
      </c>
      <c r="Q120" s="9" t="s">
        <v>32</v>
      </c>
      <c r="R120" s="10"/>
      <c r="S120" s="25" t="s">
        <v>594</v>
      </c>
      <c r="T120" s="27">
        <v>27736</v>
      </c>
      <c r="U120" s="25" t="s">
        <v>598</v>
      </c>
      <c r="V120" s="25" t="s">
        <v>236</v>
      </c>
      <c r="W120" s="25"/>
    </row>
    <row r="121" spans="1:23" ht="22.5" customHeight="1">
      <c r="A121" s="28">
        <v>45952.557256944441</v>
      </c>
      <c r="B121" s="29" t="s">
        <v>599</v>
      </c>
      <c r="C121" s="45"/>
      <c r="D121" s="29" t="s">
        <v>24</v>
      </c>
      <c r="E121" s="30">
        <v>29011</v>
      </c>
      <c r="F121" s="29" t="s">
        <v>198</v>
      </c>
      <c r="G121" s="29" t="s">
        <v>586</v>
      </c>
      <c r="H121" s="29" t="s">
        <v>600</v>
      </c>
      <c r="I121" s="6" t="str">
        <f>VLOOKUP(CLEAN(F121),'World Bank Categories'!$B$4:$C$220,2,FALSE)</f>
        <v>Middle income</v>
      </c>
      <c r="J121" s="29" t="s">
        <v>601</v>
      </c>
      <c r="K121" s="29" t="s">
        <v>29</v>
      </c>
      <c r="L121" s="29" t="s">
        <v>30</v>
      </c>
      <c r="M121" s="29" t="s">
        <v>602</v>
      </c>
      <c r="N121" s="29"/>
      <c r="O121" s="29"/>
      <c r="P121" s="29" t="s">
        <v>31</v>
      </c>
      <c r="Q121" s="9" t="s">
        <v>32</v>
      </c>
      <c r="R121" s="18" t="s">
        <v>33</v>
      </c>
      <c r="S121" s="25" t="s">
        <v>603</v>
      </c>
      <c r="T121" s="27">
        <v>29011</v>
      </c>
      <c r="U121" s="25" t="s">
        <v>601</v>
      </c>
      <c r="V121" s="25" t="s">
        <v>80</v>
      </c>
      <c r="W121" s="25"/>
    </row>
    <row r="122" spans="1:23" ht="22.5" customHeight="1">
      <c r="A122" s="20">
        <v>45952.739560185182</v>
      </c>
      <c r="B122" s="21" t="s">
        <v>604</v>
      </c>
      <c r="C122" s="38"/>
      <c r="D122" s="21" t="s">
        <v>24</v>
      </c>
      <c r="E122" s="22">
        <v>36498</v>
      </c>
      <c r="F122" s="21" t="s">
        <v>227</v>
      </c>
      <c r="G122" s="21" t="s">
        <v>209</v>
      </c>
      <c r="H122" s="21" t="s">
        <v>605</v>
      </c>
      <c r="I122" s="6" t="str">
        <f>VLOOKUP(CLEAN(F122),'World Bank Categories'!$B$4:$C$220,2,FALSE)</f>
        <v>Middle income</v>
      </c>
      <c r="J122" s="21" t="s">
        <v>606</v>
      </c>
      <c r="K122" s="21" t="s">
        <v>29</v>
      </c>
      <c r="L122" s="21" t="s">
        <v>162</v>
      </c>
      <c r="M122" s="21"/>
      <c r="N122" s="21"/>
      <c r="O122" s="21"/>
      <c r="P122" s="21" t="s">
        <v>31</v>
      </c>
      <c r="Q122" s="9" t="s">
        <v>32</v>
      </c>
      <c r="R122" s="10" t="s">
        <v>43</v>
      </c>
      <c r="S122" s="25" t="s">
        <v>604</v>
      </c>
      <c r="T122" s="27">
        <v>36498</v>
      </c>
      <c r="U122" s="25" t="s">
        <v>606</v>
      </c>
      <c r="V122" s="25" t="s">
        <v>80</v>
      </c>
      <c r="W122" s="25"/>
    </row>
    <row r="123" spans="1:23" ht="22.5" hidden="1" customHeight="1">
      <c r="A123" s="20">
        <v>45952.820208333331</v>
      </c>
      <c r="B123" s="21" t="s">
        <v>607</v>
      </c>
      <c r="C123" s="38"/>
      <c r="D123" s="21" t="s">
        <v>24</v>
      </c>
      <c r="E123" s="22">
        <v>34494</v>
      </c>
      <c r="F123" s="21" t="s">
        <v>52</v>
      </c>
      <c r="G123" s="21" t="s">
        <v>608</v>
      </c>
      <c r="H123" s="21" t="s">
        <v>609</v>
      </c>
      <c r="I123" s="6" t="str">
        <f>VLOOKUP(CLEAN(F123),'World Bank Categories'!$B$4:$C$220,2,FALSE)</f>
        <v>Middle income</v>
      </c>
      <c r="J123" s="21" t="s">
        <v>610</v>
      </c>
      <c r="K123" s="21" t="s">
        <v>29</v>
      </c>
      <c r="L123" s="21" t="s">
        <v>30</v>
      </c>
      <c r="M123" s="21"/>
      <c r="N123" s="21"/>
      <c r="O123" s="21"/>
      <c r="P123" s="21" t="s">
        <v>31</v>
      </c>
      <c r="Q123" s="23" t="s">
        <v>56</v>
      </c>
      <c r="R123" s="24"/>
      <c r="S123" s="25"/>
      <c r="T123" s="26"/>
      <c r="U123" s="25"/>
      <c r="V123" s="25"/>
      <c r="W123" s="25"/>
    </row>
    <row r="124" spans="1:23" ht="22.5" customHeight="1">
      <c r="A124" s="20">
        <v>45952.831932870373</v>
      </c>
      <c r="B124" s="21" t="s">
        <v>611</v>
      </c>
      <c r="C124" s="38"/>
      <c r="D124" s="21" t="s">
        <v>24</v>
      </c>
      <c r="E124" s="22">
        <v>37163</v>
      </c>
      <c r="F124" s="21" t="s">
        <v>612</v>
      </c>
      <c r="G124" s="21" t="s">
        <v>613</v>
      </c>
      <c r="H124" s="21" t="s">
        <v>614</v>
      </c>
      <c r="I124" s="6" t="str">
        <f>VLOOKUP(CLEAN(F124),'World Bank Categories'!$B$4:$C$220,2,FALSE)</f>
        <v>Low income</v>
      </c>
      <c r="J124" s="21" t="s">
        <v>615</v>
      </c>
      <c r="K124" s="21" t="s">
        <v>29</v>
      </c>
      <c r="L124" s="21" t="s">
        <v>30</v>
      </c>
      <c r="M124" s="21"/>
      <c r="N124" s="21"/>
      <c r="O124" s="21"/>
      <c r="P124" s="21" t="s">
        <v>31</v>
      </c>
      <c r="Q124" s="9" t="s">
        <v>32</v>
      </c>
      <c r="R124" s="18" t="s">
        <v>33</v>
      </c>
      <c r="S124" s="25" t="s">
        <v>616</v>
      </c>
      <c r="T124" s="27">
        <v>37163</v>
      </c>
      <c r="U124" s="25" t="s">
        <v>615</v>
      </c>
      <c r="V124" s="25" t="s">
        <v>80</v>
      </c>
      <c r="W124" s="25"/>
    </row>
    <row r="125" spans="1:23" ht="22.5" customHeight="1">
      <c r="A125" s="20">
        <v>45952.890497685185</v>
      </c>
      <c r="B125" s="21" t="s">
        <v>617</v>
      </c>
      <c r="C125" s="38"/>
      <c r="D125" s="21" t="s">
        <v>24</v>
      </c>
      <c r="E125" s="22">
        <v>34219</v>
      </c>
      <c r="F125" s="21" t="s">
        <v>227</v>
      </c>
      <c r="G125" s="21" t="s">
        <v>618</v>
      </c>
      <c r="H125" s="21" t="s">
        <v>619</v>
      </c>
      <c r="I125" s="6" t="str">
        <f>VLOOKUP(CLEAN(F125),'World Bank Categories'!$B$4:$C$220,2,FALSE)</f>
        <v>Middle income</v>
      </c>
      <c r="J125" s="21" t="s">
        <v>620</v>
      </c>
      <c r="K125" s="21" t="s">
        <v>39</v>
      </c>
      <c r="L125" s="21" t="s">
        <v>621</v>
      </c>
      <c r="M125" s="21"/>
      <c r="N125" s="21"/>
      <c r="O125" s="21"/>
      <c r="P125" s="21" t="s">
        <v>31</v>
      </c>
      <c r="Q125" s="9" t="s">
        <v>32</v>
      </c>
      <c r="R125" s="10" t="s">
        <v>33</v>
      </c>
      <c r="S125" s="25" t="s">
        <v>617</v>
      </c>
      <c r="T125" s="27">
        <v>34219</v>
      </c>
      <c r="U125" s="25" t="s">
        <v>620</v>
      </c>
      <c r="V125" s="25" t="s">
        <v>80</v>
      </c>
      <c r="W125" s="25"/>
    </row>
    <row r="126" spans="1:23" ht="22.5" customHeight="1">
      <c r="A126" s="20">
        <v>45952.990497685183</v>
      </c>
      <c r="B126" s="21" t="s">
        <v>622</v>
      </c>
      <c r="C126" s="38"/>
      <c r="D126" s="21" t="s">
        <v>24</v>
      </c>
      <c r="E126" s="22">
        <v>35438</v>
      </c>
      <c r="F126" s="21" t="s">
        <v>623</v>
      </c>
      <c r="G126" s="21" t="s">
        <v>624</v>
      </c>
      <c r="H126" s="21" t="s">
        <v>625</v>
      </c>
      <c r="I126" s="6" t="str">
        <f>VLOOKUP(CLEAN(F126),'World Bank Categories'!$B$4:$C$220,2,FALSE)</f>
        <v>Middle income</v>
      </c>
      <c r="J126" s="21" t="s">
        <v>626</v>
      </c>
      <c r="K126" s="21" t="s">
        <v>39</v>
      </c>
      <c r="L126" s="21" t="s">
        <v>621</v>
      </c>
      <c r="M126" s="21"/>
      <c r="N126" s="21"/>
      <c r="O126" s="21"/>
      <c r="P126" s="21" t="s">
        <v>31</v>
      </c>
      <c r="Q126" s="9" t="s">
        <v>32</v>
      </c>
      <c r="R126" s="18" t="s">
        <v>33</v>
      </c>
      <c r="S126" s="25" t="s">
        <v>627</v>
      </c>
      <c r="T126" s="27">
        <v>35438</v>
      </c>
      <c r="U126" s="25" t="s">
        <v>626</v>
      </c>
      <c r="V126" s="25" t="s">
        <v>154</v>
      </c>
      <c r="W126" s="25"/>
    </row>
    <row r="127" spans="1:23" ht="22.5" customHeight="1">
      <c r="A127" s="20">
        <v>45953.025266203702</v>
      </c>
      <c r="B127" s="21" t="s">
        <v>628</v>
      </c>
      <c r="C127" s="38"/>
      <c r="D127" s="21" t="s">
        <v>24</v>
      </c>
      <c r="E127" s="22">
        <v>23483</v>
      </c>
      <c r="F127" s="21" t="s">
        <v>623</v>
      </c>
      <c r="G127" s="21" t="s">
        <v>629</v>
      </c>
      <c r="H127" s="21" t="s">
        <v>630</v>
      </c>
      <c r="I127" s="6" t="str">
        <f>VLOOKUP(CLEAN(F127),'World Bank Categories'!$B$4:$C$220,2,FALSE)</f>
        <v>Middle income</v>
      </c>
      <c r="J127" s="21" t="s">
        <v>631</v>
      </c>
      <c r="K127" s="21" t="s">
        <v>29</v>
      </c>
      <c r="L127" s="21" t="s">
        <v>30</v>
      </c>
      <c r="M127" s="21" t="s">
        <v>632</v>
      </c>
      <c r="N127" s="21"/>
      <c r="O127" s="21"/>
      <c r="P127" s="21" t="s">
        <v>31</v>
      </c>
      <c r="Q127" s="9" t="s">
        <v>32</v>
      </c>
      <c r="R127" s="10" t="s">
        <v>33</v>
      </c>
      <c r="S127" s="25" t="s">
        <v>633</v>
      </c>
      <c r="T127" s="27">
        <v>22752</v>
      </c>
      <c r="U127" s="25" t="s">
        <v>631</v>
      </c>
      <c r="V127" s="25" t="s">
        <v>114</v>
      </c>
      <c r="W127" s="25"/>
    </row>
    <row r="128" spans="1:23" ht="22.5" hidden="1" customHeight="1">
      <c r="A128" s="5">
        <v>45953.848991412036</v>
      </c>
      <c r="B128" s="6" t="s">
        <v>634</v>
      </c>
      <c r="C128" s="6" t="s">
        <v>635</v>
      </c>
      <c r="D128" s="6" t="s">
        <v>24</v>
      </c>
      <c r="E128" s="8">
        <v>36703</v>
      </c>
      <c r="F128" s="6" t="s">
        <v>380</v>
      </c>
      <c r="G128" s="6" t="s">
        <v>209</v>
      </c>
      <c r="H128" s="6" t="s">
        <v>636</v>
      </c>
      <c r="I128" s="6" t="str">
        <f>VLOOKUP(CLEAN(F128),'World Bank Categories'!$B$4:$C$220,2,FALSE)</f>
        <v>Low income</v>
      </c>
      <c r="J128" s="6" t="s">
        <v>637</v>
      </c>
      <c r="K128" s="6" t="s">
        <v>29</v>
      </c>
      <c r="L128" s="6" t="s">
        <v>30</v>
      </c>
      <c r="M128" s="7"/>
      <c r="N128" s="6"/>
      <c r="O128" s="6"/>
      <c r="P128" s="6" t="s">
        <v>31</v>
      </c>
      <c r="Q128" s="23" t="s">
        <v>56</v>
      </c>
      <c r="R128" s="24"/>
      <c r="S128" s="7"/>
      <c r="T128" s="12"/>
      <c r="U128" s="12"/>
      <c r="V128" s="12"/>
      <c r="W128" s="12"/>
    </row>
    <row r="129" spans="1:23" ht="22.5" customHeight="1">
      <c r="A129" s="20">
        <v>45953.919502314813</v>
      </c>
      <c r="B129" s="21" t="s">
        <v>638</v>
      </c>
      <c r="C129" s="38"/>
      <c r="D129" s="21" t="s">
        <v>45</v>
      </c>
      <c r="E129" s="22">
        <v>31262</v>
      </c>
      <c r="F129" s="21" t="s">
        <v>227</v>
      </c>
      <c r="G129" s="21" t="s">
        <v>639</v>
      </c>
      <c r="H129" s="21" t="s">
        <v>640</v>
      </c>
      <c r="I129" s="6" t="str">
        <f>VLOOKUP(CLEAN(F129),'World Bank Categories'!$B$4:$C$220,2,FALSE)</f>
        <v>Middle income</v>
      </c>
      <c r="J129" s="21" t="s">
        <v>641</v>
      </c>
      <c r="K129" s="21" t="s">
        <v>39</v>
      </c>
      <c r="L129" s="21" t="s">
        <v>30</v>
      </c>
      <c r="M129" s="21"/>
      <c r="N129" s="21"/>
      <c r="O129" s="21"/>
      <c r="P129" s="21" t="s">
        <v>31</v>
      </c>
      <c r="Q129" s="9" t="s">
        <v>32</v>
      </c>
      <c r="R129" s="10" t="s">
        <v>33</v>
      </c>
      <c r="S129" s="25" t="s">
        <v>638</v>
      </c>
      <c r="T129" s="27">
        <v>31262</v>
      </c>
      <c r="U129" s="25" t="s">
        <v>641</v>
      </c>
      <c r="V129" s="25" t="s">
        <v>80</v>
      </c>
      <c r="W129" s="25"/>
    </row>
    <row r="130" spans="1:23" ht="22.5" customHeight="1">
      <c r="A130" s="20">
        <v>45954.066493055558</v>
      </c>
      <c r="B130" s="21" t="s">
        <v>642</v>
      </c>
      <c r="C130" s="38"/>
      <c r="D130" s="21" t="s">
        <v>24</v>
      </c>
      <c r="E130" s="22">
        <v>36855</v>
      </c>
      <c r="F130" s="21" t="s">
        <v>208</v>
      </c>
      <c r="G130" s="21" t="s">
        <v>643</v>
      </c>
      <c r="H130" s="21" t="s">
        <v>98</v>
      </c>
      <c r="I130" s="6" t="str">
        <f>VLOOKUP(CLEAN(F130),'World Bank Categories'!$B$4:$C$220,2,FALSE)</f>
        <v>Low income</v>
      </c>
      <c r="J130" s="21" t="s">
        <v>644</v>
      </c>
      <c r="K130" s="21" t="s">
        <v>29</v>
      </c>
      <c r="L130" s="32">
        <v>46203</v>
      </c>
      <c r="M130" s="21"/>
      <c r="N130" s="21"/>
      <c r="O130" s="21"/>
      <c r="P130" s="21" t="s">
        <v>31</v>
      </c>
      <c r="Q130" s="9" t="s">
        <v>32</v>
      </c>
      <c r="R130" s="18" t="s">
        <v>33</v>
      </c>
      <c r="S130" s="25" t="s">
        <v>642</v>
      </c>
      <c r="T130" s="27">
        <v>36855</v>
      </c>
      <c r="U130" s="25" t="s">
        <v>644</v>
      </c>
      <c r="V130" s="25" t="s">
        <v>80</v>
      </c>
      <c r="W130" s="25"/>
    </row>
    <row r="131" spans="1:23" ht="22.5" customHeight="1">
      <c r="A131" s="20">
        <v>45954.082465277781</v>
      </c>
      <c r="B131" s="21" t="s">
        <v>645</v>
      </c>
      <c r="C131" s="38"/>
      <c r="D131" s="21" t="s">
        <v>45</v>
      </c>
      <c r="E131" s="22">
        <v>34928</v>
      </c>
      <c r="F131" s="21" t="s">
        <v>70</v>
      </c>
      <c r="G131" s="21" t="s">
        <v>71</v>
      </c>
      <c r="H131" s="21" t="s">
        <v>98</v>
      </c>
      <c r="I131" s="6" t="str">
        <f>VLOOKUP(CLEAN(F131),'World Bank Categories'!$B$4:$C$220,2,FALSE)</f>
        <v>Middle income</v>
      </c>
      <c r="J131" s="21" t="s">
        <v>646</v>
      </c>
      <c r="K131" s="21" t="s">
        <v>39</v>
      </c>
      <c r="L131" s="21" t="s">
        <v>30</v>
      </c>
      <c r="M131" s="21"/>
      <c r="N131" s="21"/>
      <c r="O131" s="21"/>
      <c r="P131" s="21" t="s">
        <v>31</v>
      </c>
      <c r="Q131" s="9" t="s">
        <v>32</v>
      </c>
      <c r="R131" s="10"/>
      <c r="S131" s="25" t="s">
        <v>645</v>
      </c>
      <c r="T131" s="27">
        <v>34928</v>
      </c>
      <c r="U131" s="25" t="s">
        <v>646</v>
      </c>
      <c r="V131" s="25" t="s">
        <v>80</v>
      </c>
      <c r="W131" s="25"/>
    </row>
    <row r="132" spans="1:23" ht="22.5" customHeight="1">
      <c r="A132" s="20">
        <v>45954.202025462961</v>
      </c>
      <c r="B132" s="21" t="s">
        <v>647</v>
      </c>
      <c r="C132" s="38"/>
      <c r="D132" s="21" t="s">
        <v>24</v>
      </c>
      <c r="E132" s="22">
        <v>36796</v>
      </c>
      <c r="F132" s="21" t="s">
        <v>232</v>
      </c>
      <c r="G132" s="21" t="s">
        <v>648</v>
      </c>
      <c r="H132" s="21" t="s">
        <v>186</v>
      </c>
      <c r="I132" s="6" t="str">
        <f>VLOOKUP(CLEAN(F132),'World Bank Categories'!$B$4:$C$220,2,FALSE)</f>
        <v>Middle income</v>
      </c>
      <c r="J132" s="21" t="s">
        <v>649</v>
      </c>
      <c r="K132" s="21" t="s">
        <v>29</v>
      </c>
      <c r="L132" s="21" t="s">
        <v>30</v>
      </c>
      <c r="M132" s="21"/>
      <c r="N132" s="21"/>
      <c r="O132" s="21"/>
      <c r="P132" s="21" t="s">
        <v>31</v>
      </c>
      <c r="Q132" s="9" t="s">
        <v>32</v>
      </c>
      <c r="R132" s="18"/>
      <c r="S132" s="25" t="s">
        <v>650</v>
      </c>
      <c r="T132" s="27">
        <v>36796</v>
      </c>
      <c r="U132" s="25" t="s">
        <v>649</v>
      </c>
      <c r="V132" s="25" t="s">
        <v>154</v>
      </c>
      <c r="W132" s="25"/>
    </row>
    <row r="133" spans="1:23" ht="22.5" customHeight="1">
      <c r="A133" s="13">
        <v>45955.025895393519</v>
      </c>
      <c r="B133" s="14" t="s">
        <v>651</v>
      </c>
      <c r="C133" s="15"/>
      <c r="D133" s="14" t="s">
        <v>24</v>
      </c>
      <c r="E133" s="16">
        <v>31345</v>
      </c>
      <c r="F133" s="14" t="s">
        <v>652</v>
      </c>
      <c r="G133" s="14" t="s">
        <v>653</v>
      </c>
      <c r="H133" s="14" t="s">
        <v>654</v>
      </c>
      <c r="I133" s="6" t="str">
        <f>VLOOKUP(CLEAN(F133),'World Bank Categories'!$B$4:$C$220,2,FALSE)</f>
        <v>Middle income</v>
      </c>
      <c r="J133" s="14" t="s">
        <v>655</v>
      </c>
      <c r="K133" s="14" t="s">
        <v>29</v>
      </c>
      <c r="L133" s="14" t="s">
        <v>656</v>
      </c>
      <c r="M133" s="14" t="s">
        <v>657</v>
      </c>
      <c r="N133" s="6"/>
      <c r="O133" s="14"/>
      <c r="P133" s="14" t="s">
        <v>31</v>
      </c>
      <c r="Q133" s="9" t="s">
        <v>32</v>
      </c>
      <c r="R133" s="10"/>
      <c r="S133" s="19" t="s">
        <v>658</v>
      </c>
      <c r="T133" s="12"/>
      <c r="U133" s="12"/>
      <c r="V133" s="12"/>
      <c r="W133" s="12"/>
    </row>
    <row r="134" spans="1:23" ht="22.5" customHeight="1">
      <c r="A134" s="20">
        <v>45955.118090277778</v>
      </c>
      <c r="B134" s="21" t="s">
        <v>659</v>
      </c>
      <c r="C134" s="38"/>
      <c r="D134" s="21" t="s">
        <v>45</v>
      </c>
      <c r="E134" s="22">
        <v>35590</v>
      </c>
      <c r="F134" s="21" t="s">
        <v>513</v>
      </c>
      <c r="G134" s="21" t="s">
        <v>660</v>
      </c>
      <c r="H134" s="21" t="s">
        <v>90</v>
      </c>
      <c r="I134" s="6" t="str">
        <f>VLOOKUP(CLEAN(F134),'World Bank Categories'!$B$4:$C$220,2,FALSE)</f>
        <v>Middle income</v>
      </c>
      <c r="J134" s="21" t="s">
        <v>661</v>
      </c>
      <c r="K134" s="21" t="s">
        <v>29</v>
      </c>
      <c r="L134" s="21" t="s">
        <v>30</v>
      </c>
      <c r="M134" s="21"/>
      <c r="N134" s="21"/>
      <c r="O134" s="21"/>
      <c r="P134" s="21" t="s">
        <v>31</v>
      </c>
      <c r="Q134" s="9" t="s">
        <v>32</v>
      </c>
      <c r="R134" s="18"/>
      <c r="S134" s="25" t="s">
        <v>662</v>
      </c>
      <c r="T134" s="27">
        <v>35590</v>
      </c>
      <c r="U134" s="25" t="s">
        <v>661</v>
      </c>
      <c r="V134" s="25" t="s">
        <v>154</v>
      </c>
      <c r="W134" s="25"/>
    </row>
    <row r="135" spans="1:23" ht="22.5" customHeight="1">
      <c r="A135" s="20">
        <v>45955.198657407411</v>
      </c>
      <c r="B135" s="21" t="s">
        <v>663</v>
      </c>
      <c r="C135" s="38"/>
      <c r="D135" s="21" t="s">
        <v>24</v>
      </c>
      <c r="E135" s="22">
        <v>36376</v>
      </c>
      <c r="F135" s="21" t="s">
        <v>52</v>
      </c>
      <c r="G135" s="21" t="s">
        <v>664</v>
      </c>
      <c r="H135" s="21" t="s">
        <v>66</v>
      </c>
      <c r="I135" s="6" t="str">
        <f>VLOOKUP(CLEAN(F135),'World Bank Categories'!$B$4:$C$220,2,FALSE)</f>
        <v>Middle income</v>
      </c>
      <c r="J135" s="21" t="s">
        <v>665</v>
      </c>
      <c r="K135" s="21" t="s">
        <v>29</v>
      </c>
      <c r="L135" s="21" t="s">
        <v>30</v>
      </c>
      <c r="M135" s="21"/>
      <c r="N135" s="21"/>
      <c r="O135" s="21"/>
      <c r="P135" s="21" t="s">
        <v>31</v>
      </c>
      <c r="Q135" s="9" t="s">
        <v>32</v>
      </c>
      <c r="R135" s="10" t="s">
        <v>33</v>
      </c>
      <c r="S135" s="25" t="s">
        <v>663</v>
      </c>
      <c r="T135" s="27">
        <v>36376</v>
      </c>
      <c r="U135" s="25" t="s">
        <v>666</v>
      </c>
      <c r="V135" s="25" t="s">
        <v>80</v>
      </c>
      <c r="W135" s="25"/>
    </row>
    <row r="136" spans="1:23" ht="22.5" customHeight="1">
      <c r="A136" s="20">
        <v>45955.906666666669</v>
      </c>
      <c r="B136" s="21" t="s">
        <v>667</v>
      </c>
      <c r="C136" s="38"/>
      <c r="D136" s="21" t="s">
        <v>45</v>
      </c>
      <c r="E136" s="22">
        <v>36863</v>
      </c>
      <c r="F136" s="21" t="s">
        <v>612</v>
      </c>
      <c r="G136" s="21" t="s">
        <v>668</v>
      </c>
      <c r="H136" s="21" t="s">
        <v>669</v>
      </c>
      <c r="I136" s="6" t="str">
        <f>VLOOKUP(CLEAN(F136),'World Bank Categories'!$B$4:$C$220,2,FALSE)</f>
        <v>Low income</v>
      </c>
      <c r="J136" s="21" t="s">
        <v>670</v>
      </c>
      <c r="K136" s="21" t="s">
        <v>39</v>
      </c>
      <c r="L136" s="21" t="s">
        <v>30</v>
      </c>
      <c r="M136" s="21" t="s">
        <v>671</v>
      </c>
      <c r="N136" s="21"/>
      <c r="O136" s="21"/>
      <c r="P136" s="21" t="s">
        <v>31</v>
      </c>
      <c r="Q136" s="9" t="s">
        <v>32</v>
      </c>
      <c r="R136" s="18"/>
      <c r="S136" s="25" t="s">
        <v>672</v>
      </c>
      <c r="T136" s="27">
        <v>36863</v>
      </c>
      <c r="U136" s="25" t="s">
        <v>670</v>
      </c>
      <c r="V136" s="25" t="s">
        <v>80</v>
      </c>
      <c r="W136" s="25"/>
    </row>
    <row r="137" spans="1:23" ht="22.5" customHeight="1">
      <c r="A137" s="20">
        <v>45956.708113425928</v>
      </c>
      <c r="B137" s="21" t="s">
        <v>673</v>
      </c>
      <c r="C137" s="38"/>
      <c r="D137" s="21" t="s">
        <v>45</v>
      </c>
      <c r="E137" s="22">
        <v>34799</v>
      </c>
      <c r="F137" s="21" t="s">
        <v>88</v>
      </c>
      <c r="G137" s="21" t="s">
        <v>674</v>
      </c>
      <c r="H137" s="21" t="s">
        <v>675</v>
      </c>
      <c r="I137" s="6" t="str">
        <f>VLOOKUP(CLEAN(F137),'World Bank Categories'!$B$4:$C$220,2,FALSE)</f>
        <v>Low income</v>
      </c>
      <c r="J137" s="21" t="s">
        <v>676</v>
      </c>
      <c r="K137" s="21" t="s">
        <v>29</v>
      </c>
      <c r="L137" s="21" t="s">
        <v>30</v>
      </c>
      <c r="M137" s="21"/>
      <c r="N137" s="21"/>
      <c r="O137" s="21"/>
      <c r="P137" s="21" t="s">
        <v>31</v>
      </c>
      <c r="Q137" s="9" t="s">
        <v>32</v>
      </c>
      <c r="R137" s="10"/>
      <c r="S137" s="25" t="s">
        <v>673</v>
      </c>
      <c r="T137" s="27">
        <v>34799</v>
      </c>
      <c r="U137" s="25" t="s">
        <v>676</v>
      </c>
      <c r="V137" s="25" t="s">
        <v>80</v>
      </c>
      <c r="W137" s="25"/>
    </row>
    <row r="138" spans="1:23" ht="22.5" customHeight="1">
      <c r="A138" s="46">
        <v>45957.161712962959</v>
      </c>
      <c r="B138" s="47" t="s">
        <v>677</v>
      </c>
      <c r="C138" s="48"/>
      <c r="D138" s="47" t="s">
        <v>24</v>
      </c>
      <c r="E138" s="49">
        <v>36253</v>
      </c>
      <c r="F138" s="47" t="s">
        <v>678</v>
      </c>
      <c r="G138" s="47" t="s">
        <v>679</v>
      </c>
      <c r="H138" s="47" t="s">
        <v>680</v>
      </c>
      <c r="I138" s="6" t="str">
        <f>VLOOKUP(CLEAN(F138),'World Bank Categories'!$B$4:$C$220,2,FALSE)</f>
        <v>Middle income</v>
      </c>
      <c r="J138" s="47" t="s">
        <v>681</v>
      </c>
      <c r="K138" s="47" t="s">
        <v>29</v>
      </c>
      <c r="L138" s="47" t="s">
        <v>30</v>
      </c>
      <c r="M138" s="47"/>
      <c r="N138" s="47"/>
      <c r="O138" s="47"/>
      <c r="P138" s="47" t="s">
        <v>31</v>
      </c>
      <c r="Q138" s="9" t="s">
        <v>32</v>
      </c>
      <c r="R138" s="18" t="s">
        <v>17</v>
      </c>
      <c r="S138" s="25" t="s">
        <v>682</v>
      </c>
      <c r="T138" s="27">
        <v>36253</v>
      </c>
      <c r="U138" s="25" t="s">
        <v>681</v>
      </c>
      <c r="V138" s="25" t="s">
        <v>80</v>
      </c>
      <c r="W138" s="25"/>
    </row>
    <row r="139" spans="1:23" ht="22.5" customHeight="1">
      <c r="A139" s="5">
        <v>45957.227886863431</v>
      </c>
      <c r="B139" s="6" t="s">
        <v>683</v>
      </c>
      <c r="C139" s="7"/>
      <c r="D139" s="6" t="s">
        <v>45</v>
      </c>
      <c r="E139" s="8">
        <v>37613</v>
      </c>
      <c r="F139" s="6" t="s">
        <v>64</v>
      </c>
      <c r="G139" s="6" t="s">
        <v>684</v>
      </c>
      <c r="H139" s="6" t="s">
        <v>685</v>
      </c>
      <c r="I139" s="6" t="str">
        <f>VLOOKUP(CLEAN(F139),'World Bank Categories'!$B$4:$C$220,2,FALSE)</f>
        <v>Middle income</v>
      </c>
      <c r="J139" s="6" t="s">
        <v>686</v>
      </c>
      <c r="K139" s="6" t="s">
        <v>29</v>
      </c>
      <c r="L139" s="6" t="s">
        <v>30</v>
      </c>
      <c r="M139" s="7"/>
      <c r="N139" s="6"/>
      <c r="O139" s="6"/>
      <c r="P139" s="6" t="s">
        <v>31</v>
      </c>
      <c r="Q139" s="9" t="s">
        <v>32</v>
      </c>
      <c r="R139" s="10"/>
      <c r="S139" s="11" t="s">
        <v>687</v>
      </c>
      <c r="T139" s="12"/>
      <c r="U139" s="12"/>
      <c r="V139" s="12"/>
      <c r="W139" s="12"/>
    </row>
    <row r="140" spans="1:23" ht="22.5" customHeight="1">
      <c r="A140" s="20">
        <v>45957.261435185188</v>
      </c>
      <c r="B140" s="21" t="s">
        <v>688</v>
      </c>
      <c r="C140" s="38"/>
      <c r="D140" s="21" t="s">
        <v>45</v>
      </c>
      <c r="E140" s="22">
        <v>35712</v>
      </c>
      <c r="F140" s="21" t="s">
        <v>64</v>
      </c>
      <c r="G140" s="21" t="s">
        <v>689</v>
      </c>
      <c r="H140" s="21" t="s">
        <v>111</v>
      </c>
      <c r="I140" s="6" t="str">
        <f>VLOOKUP(CLEAN(F140),'World Bank Categories'!$B$4:$C$220,2,FALSE)</f>
        <v>Middle income</v>
      </c>
      <c r="J140" s="21" t="s">
        <v>690</v>
      </c>
      <c r="K140" s="21" t="s">
        <v>29</v>
      </c>
      <c r="L140" s="21" t="s">
        <v>30</v>
      </c>
      <c r="M140" s="21"/>
      <c r="N140" s="21"/>
      <c r="O140" s="21"/>
      <c r="P140" s="21" t="s">
        <v>31</v>
      </c>
      <c r="Q140" s="9" t="s">
        <v>32</v>
      </c>
      <c r="R140" s="18" t="s">
        <v>33</v>
      </c>
      <c r="S140" s="25" t="s">
        <v>691</v>
      </c>
      <c r="T140" s="27">
        <v>35712</v>
      </c>
      <c r="U140" s="25" t="s">
        <v>690</v>
      </c>
      <c r="V140" s="25" t="s">
        <v>154</v>
      </c>
      <c r="W140" s="25"/>
    </row>
    <row r="141" spans="1:23" ht="22.5" customHeight="1">
      <c r="A141" s="20">
        <v>45957.283680555556</v>
      </c>
      <c r="B141" s="21" t="s">
        <v>692</v>
      </c>
      <c r="C141" s="38"/>
      <c r="D141" s="21" t="s">
        <v>45</v>
      </c>
      <c r="E141" s="22">
        <v>30098</v>
      </c>
      <c r="F141" s="21" t="s">
        <v>64</v>
      </c>
      <c r="G141" s="21" t="s">
        <v>693</v>
      </c>
      <c r="H141" s="21" t="s">
        <v>694</v>
      </c>
      <c r="I141" s="6" t="str">
        <f>VLOOKUP(CLEAN(F141),'World Bank Categories'!$B$4:$C$220,2,FALSE)</f>
        <v>Middle income</v>
      </c>
      <c r="J141" s="21" t="s">
        <v>695</v>
      </c>
      <c r="K141" s="21" t="s">
        <v>29</v>
      </c>
      <c r="L141" s="21" t="s">
        <v>30</v>
      </c>
      <c r="M141" s="21"/>
      <c r="N141" s="21"/>
      <c r="O141" s="21"/>
      <c r="P141" s="21" t="s">
        <v>31</v>
      </c>
      <c r="Q141" s="9" t="s">
        <v>32</v>
      </c>
      <c r="R141" s="10" t="s">
        <v>33</v>
      </c>
      <c r="S141" s="25" t="s">
        <v>696</v>
      </c>
      <c r="T141" s="27">
        <v>30098</v>
      </c>
      <c r="U141" s="25" t="s">
        <v>695</v>
      </c>
      <c r="V141" s="25" t="s">
        <v>80</v>
      </c>
      <c r="W141" s="25"/>
    </row>
    <row r="142" spans="1:23" ht="22.5" customHeight="1">
      <c r="A142" s="20">
        <v>45957.460034722222</v>
      </c>
      <c r="B142" s="21" t="s">
        <v>697</v>
      </c>
      <c r="C142" s="38"/>
      <c r="D142" s="21" t="s">
        <v>45</v>
      </c>
      <c r="E142" s="22">
        <v>35773</v>
      </c>
      <c r="F142" s="21" t="s">
        <v>64</v>
      </c>
      <c r="G142" s="21" t="s">
        <v>698</v>
      </c>
      <c r="H142" s="21" t="s">
        <v>276</v>
      </c>
      <c r="I142" s="6" t="str">
        <f>VLOOKUP(CLEAN(F142),'World Bank Categories'!$B$4:$C$220,2,FALSE)</f>
        <v>Middle income</v>
      </c>
      <c r="J142" s="21" t="s">
        <v>699</v>
      </c>
      <c r="K142" s="21" t="s">
        <v>29</v>
      </c>
      <c r="L142" s="21" t="s">
        <v>30</v>
      </c>
      <c r="M142" s="21"/>
      <c r="N142" s="21"/>
      <c r="O142" s="21"/>
      <c r="P142" s="21" t="s">
        <v>31</v>
      </c>
      <c r="Q142" s="9" t="s">
        <v>32</v>
      </c>
      <c r="R142" s="18" t="s">
        <v>33</v>
      </c>
      <c r="S142" s="25" t="s">
        <v>700</v>
      </c>
      <c r="T142" s="27">
        <v>35773</v>
      </c>
      <c r="U142" s="25" t="s">
        <v>699</v>
      </c>
      <c r="V142" s="25" t="s">
        <v>80</v>
      </c>
      <c r="W142" s="25"/>
    </row>
    <row r="143" spans="1:23" ht="22.5" customHeight="1">
      <c r="A143" s="28">
        <v>45957.624768518515</v>
      </c>
      <c r="B143" s="29" t="s">
        <v>701</v>
      </c>
      <c r="C143" s="45"/>
      <c r="D143" s="29" t="s">
        <v>24</v>
      </c>
      <c r="E143" s="30">
        <v>35768</v>
      </c>
      <c r="F143" s="21" t="s">
        <v>208</v>
      </c>
      <c r="G143" s="29" t="s">
        <v>702</v>
      </c>
      <c r="H143" s="29" t="s">
        <v>138</v>
      </c>
      <c r="I143" s="6" t="str">
        <f>VLOOKUP(CLEAN(F143),'World Bank Categories'!$B$4:$C$220,2,FALSE)</f>
        <v>Low income</v>
      </c>
      <c r="J143" s="29" t="s">
        <v>703</v>
      </c>
      <c r="K143" s="29" t="s">
        <v>29</v>
      </c>
      <c r="L143" s="29" t="s">
        <v>30</v>
      </c>
      <c r="M143" s="29"/>
      <c r="N143" s="29"/>
      <c r="O143" s="29"/>
      <c r="P143" s="29" t="s">
        <v>31</v>
      </c>
      <c r="Q143" s="9" t="s">
        <v>32</v>
      </c>
      <c r="R143" s="10"/>
      <c r="S143" s="25" t="s">
        <v>704</v>
      </c>
      <c r="T143" s="27">
        <v>35768</v>
      </c>
      <c r="U143" s="25" t="s">
        <v>703</v>
      </c>
      <c r="V143" s="25" t="s">
        <v>80</v>
      </c>
      <c r="W143" s="25"/>
    </row>
    <row r="144" spans="1:23" ht="22.5" customHeight="1">
      <c r="A144" s="20">
        <v>45957.686678240738</v>
      </c>
      <c r="B144" s="21" t="s">
        <v>705</v>
      </c>
      <c r="C144" s="38"/>
      <c r="D144" s="21" t="s">
        <v>45</v>
      </c>
      <c r="E144" s="22">
        <v>31243</v>
      </c>
      <c r="F144" s="21" t="s">
        <v>438</v>
      </c>
      <c r="G144" s="21" t="s">
        <v>706</v>
      </c>
      <c r="H144" s="21" t="s">
        <v>707</v>
      </c>
      <c r="I144" s="6" t="str">
        <f>VLOOKUP(CLEAN(F144),'World Bank Categories'!$B$4:$C$220,2,FALSE)</f>
        <v>Middle income</v>
      </c>
      <c r="J144" s="21" t="s">
        <v>708</v>
      </c>
      <c r="K144" s="21" t="s">
        <v>29</v>
      </c>
      <c r="L144" s="21" t="s">
        <v>30</v>
      </c>
      <c r="M144" s="21"/>
      <c r="N144" s="21"/>
      <c r="O144" s="21"/>
      <c r="P144" s="21" t="s">
        <v>31</v>
      </c>
      <c r="Q144" s="9" t="s">
        <v>32</v>
      </c>
      <c r="R144" s="18"/>
      <c r="S144" s="25" t="s">
        <v>705</v>
      </c>
      <c r="T144" s="27">
        <v>31243</v>
      </c>
      <c r="U144" s="25" t="s">
        <v>708</v>
      </c>
      <c r="V144" s="25" t="s">
        <v>80</v>
      </c>
      <c r="W144" s="25"/>
    </row>
    <row r="145" spans="1:23" ht="22.5" customHeight="1">
      <c r="A145" s="20">
        <v>45958.564745370371</v>
      </c>
      <c r="B145" s="21" t="s">
        <v>709</v>
      </c>
      <c r="C145" s="38"/>
      <c r="D145" s="21" t="s">
        <v>24</v>
      </c>
      <c r="E145" s="22">
        <v>27940</v>
      </c>
      <c r="F145" s="21" t="s">
        <v>227</v>
      </c>
      <c r="G145" s="21" t="s">
        <v>710</v>
      </c>
      <c r="H145" s="21" t="s">
        <v>711</v>
      </c>
      <c r="I145" s="6" t="str">
        <f>VLOOKUP(CLEAN(F145),'World Bank Categories'!$B$4:$C$220,2,FALSE)</f>
        <v>Middle income</v>
      </c>
      <c r="J145" s="21" t="s">
        <v>712</v>
      </c>
      <c r="K145" s="21" t="s">
        <v>29</v>
      </c>
      <c r="L145" s="21" t="s">
        <v>162</v>
      </c>
      <c r="M145" s="21"/>
      <c r="N145" s="21"/>
      <c r="O145" s="21"/>
      <c r="P145" s="21" t="s">
        <v>31</v>
      </c>
      <c r="Q145" s="9" t="s">
        <v>32</v>
      </c>
      <c r="R145" s="10" t="s">
        <v>33</v>
      </c>
      <c r="S145" s="25" t="s">
        <v>709</v>
      </c>
      <c r="T145" s="27">
        <v>27940</v>
      </c>
      <c r="U145" s="25" t="s">
        <v>712</v>
      </c>
      <c r="V145" s="25" t="s">
        <v>80</v>
      </c>
      <c r="W145" s="25"/>
    </row>
    <row r="146" spans="1:23" ht="22.5" customHeight="1">
      <c r="A146" s="20">
        <v>45958.776678240742</v>
      </c>
      <c r="B146" s="21" t="s">
        <v>713</v>
      </c>
      <c r="C146" s="38"/>
      <c r="D146" s="21" t="s">
        <v>45</v>
      </c>
      <c r="E146" s="22">
        <v>31409</v>
      </c>
      <c r="F146" s="21" t="s">
        <v>64</v>
      </c>
      <c r="G146" s="21" t="s">
        <v>714</v>
      </c>
      <c r="H146" s="21" t="s">
        <v>715</v>
      </c>
      <c r="I146" s="6" t="str">
        <f>VLOOKUP(CLEAN(F146),'World Bank Categories'!$B$4:$C$220,2,FALSE)</f>
        <v>Middle income</v>
      </c>
      <c r="J146" s="21" t="s">
        <v>716</v>
      </c>
      <c r="K146" s="21" t="s">
        <v>29</v>
      </c>
      <c r="L146" s="21" t="s">
        <v>30</v>
      </c>
      <c r="M146" s="21"/>
      <c r="N146" s="21"/>
      <c r="O146" s="21"/>
      <c r="P146" s="21" t="s">
        <v>31</v>
      </c>
      <c r="Q146" s="9" t="s">
        <v>32</v>
      </c>
      <c r="R146" s="18" t="s">
        <v>33</v>
      </c>
      <c r="S146" s="25" t="s">
        <v>713</v>
      </c>
      <c r="T146" s="27">
        <v>31409</v>
      </c>
      <c r="U146" s="25" t="s">
        <v>716</v>
      </c>
      <c r="V146" s="25" t="s">
        <v>80</v>
      </c>
      <c r="W146" s="25"/>
    </row>
    <row r="147" spans="1:23" ht="22.5" customHeight="1">
      <c r="A147" s="20">
        <v>45958.989363425928</v>
      </c>
      <c r="B147" s="21" t="s">
        <v>717</v>
      </c>
      <c r="C147" s="38"/>
      <c r="D147" s="21" t="s">
        <v>24</v>
      </c>
      <c r="E147" s="22">
        <v>34612</v>
      </c>
      <c r="F147" s="21" t="s">
        <v>70</v>
      </c>
      <c r="G147" s="21" t="s">
        <v>718</v>
      </c>
      <c r="H147" s="21" t="s">
        <v>719</v>
      </c>
      <c r="I147" s="6" t="str">
        <f>VLOOKUP(CLEAN(F147),'World Bank Categories'!$B$4:$C$220,2,FALSE)</f>
        <v>Middle income</v>
      </c>
      <c r="J147" s="21" t="s">
        <v>720</v>
      </c>
      <c r="K147" s="21" t="s">
        <v>29</v>
      </c>
      <c r="L147" s="32">
        <v>46202</v>
      </c>
      <c r="M147" s="21"/>
      <c r="N147" s="21"/>
      <c r="O147" s="21"/>
      <c r="P147" s="21" t="s">
        <v>31</v>
      </c>
      <c r="Q147" s="9" t="s">
        <v>32</v>
      </c>
      <c r="R147" s="10" t="s">
        <v>33</v>
      </c>
      <c r="S147" s="25" t="s">
        <v>721</v>
      </c>
      <c r="T147" s="27">
        <v>34612</v>
      </c>
      <c r="U147" s="25" t="s">
        <v>720</v>
      </c>
      <c r="V147" s="25" t="s">
        <v>722</v>
      </c>
      <c r="W147" s="25"/>
    </row>
    <row r="148" spans="1:23" ht="22.5" hidden="1" customHeight="1">
      <c r="A148" s="20">
        <v>45960.660324074073</v>
      </c>
      <c r="B148" s="21" t="s">
        <v>723</v>
      </c>
      <c r="C148" s="38"/>
      <c r="D148" s="21" t="s">
        <v>24</v>
      </c>
      <c r="E148" s="22">
        <v>34968</v>
      </c>
      <c r="F148" s="21" t="s">
        <v>724</v>
      </c>
      <c r="G148" s="21" t="s">
        <v>725</v>
      </c>
      <c r="H148" s="21" t="s">
        <v>726</v>
      </c>
      <c r="I148" s="6" t="str">
        <f>VLOOKUP(CLEAN(F148),'World Bank Categories'!$B$4:$C$220,2,FALSE)</f>
        <v>Middle income</v>
      </c>
      <c r="J148" s="21" t="s">
        <v>727</v>
      </c>
      <c r="K148" s="21" t="s">
        <v>29</v>
      </c>
      <c r="L148" s="21" t="s">
        <v>30</v>
      </c>
      <c r="M148" s="21"/>
      <c r="N148" s="21"/>
      <c r="O148" s="21"/>
      <c r="P148" s="21" t="s">
        <v>31</v>
      </c>
      <c r="Q148" s="23" t="s">
        <v>56</v>
      </c>
      <c r="R148" s="24"/>
      <c r="S148" s="25"/>
      <c r="T148" s="26"/>
      <c r="U148" s="25"/>
      <c r="V148" s="25"/>
      <c r="W148" s="25"/>
    </row>
    <row r="149" spans="1:23" ht="22.5" customHeight="1">
      <c r="A149" s="20">
        <v>45961.094328703701</v>
      </c>
      <c r="B149" s="21" t="s">
        <v>728</v>
      </c>
      <c r="C149" s="38"/>
      <c r="D149" s="21" t="s">
        <v>45</v>
      </c>
      <c r="E149" s="22">
        <v>36016</v>
      </c>
      <c r="F149" s="21" t="s">
        <v>70</v>
      </c>
      <c r="G149" s="21" t="s">
        <v>729</v>
      </c>
      <c r="H149" s="21" t="s">
        <v>186</v>
      </c>
      <c r="I149" s="6" t="str">
        <f>VLOOKUP(CLEAN(F149),'World Bank Categories'!$B$4:$C$220,2,FALSE)</f>
        <v>Middle income</v>
      </c>
      <c r="J149" s="21" t="s">
        <v>730</v>
      </c>
      <c r="K149" s="21" t="s">
        <v>29</v>
      </c>
      <c r="L149" s="21" t="s">
        <v>30</v>
      </c>
      <c r="M149" s="21"/>
      <c r="N149" s="21"/>
      <c r="O149" s="21"/>
      <c r="P149" s="21" t="s">
        <v>31</v>
      </c>
      <c r="Q149" s="9" t="s">
        <v>32</v>
      </c>
      <c r="R149" s="10" t="s">
        <v>33</v>
      </c>
      <c r="S149" s="25" t="s">
        <v>728</v>
      </c>
      <c r="T149" s="27">
        <v>36016</v>
      </c>
      <c r="U149" s="25" t="s">
        <v>730</v>
      </c>
      <c r="V149" s="25" t="s">
        <v>80</v>
      </c>
      <c r="W149" s="25"/>
    </row>
    <row r="150" spans="1:23" ht="22.5" customHeight="1">
      <c r="A150" s="20">
        <v>45961.660601851851</v>
      </c>
      <c r="B150" s="21" t="s">
        <v>731</v>
      </c>
      <c r="C150" s="38"/>
      <c r="D150" s="21" t="s">
        <v>24</v>
      </c>
      <c r="E150" s="22">
        <v>35682</v>
      </c>
      <c r="F150" s="21" t="s">
        <v>732</v>
      </c>
      <c r="G150" s="21" t="s">
        <v>733</v>
      </c>
      <c r="H150" s="21" t="s">
        <v>734</v>
      </c>
      <c r="I150" s="6" t="str">
        <f>VLOOKUP(CLEAN(F150),'World Bank Categories'!$B$4:$C$220,2,FALSE)</f>
        <v>Middle income</v>
      </c>
      <c r="J150" s="21" t="s">
        <v>735</v>
      </c>
      <c r="K150" s="21" t="s">
        <v>39</v>
      </c>
      <c r="L150" s="21" t="s">
        <v>621</v>
      </c>
      <c r="M150" s="21"/>
      <c r="N150" s="21"/>
      <c r="O150" s="21"/>
      <c r="P150" s="21" t="s">
        <v>31</v>
      </c>
      <c r="Q150" s="9" t="s">
        <v>32</v>
      </c>
      <c r="R150" s="18"/>
      <c r="S150" s="25" t="s">
        <v>731</v>
      </c>
      <c r="T150" s="27">
        <v>35682</v>
      </c>
      <c r="U150" s="25" t="s">
        <v>735</v>
      </c>
      <c r="V150" s="25" t="s">
        <v>80</v>
      </c>
      <c r="W150" s="25"/>
    </row>
    <row r="151" spans="1:23" ht="22.5" hidden="1" customHeight="1">
      <c r="A151" s="20">
        <v>45962.369756944441</v>
      </c>
      <c r="B151" s="21" t="s">
        <v>736</v>
      </c>
      <c r="C151" s="38"/>
      <c r="D151" s="21" t="s">
        <v>24</v>
      </c>
      <c r="E151" s="22">
        <v>35087</v>
      </c>
      <c r="F151" s="21" t="s">
        <v>724</v>
      </c>
      <c r="G151" s="21" t="s">
        <v>737</v>
      </c>
      <c r="H151" s="21" t="s">
        <v>738</v>
      </c>
      <c r="I151" s="6" t="str">
        <f>VLOOKUP(CLEAN(F151),'World Bank Categories'!$B$4:$C$220,2,FALSE)</f>
        <v>Middle income</v>
      </c>
      <c r="J151" s="21" t="s">
        <v>739</v>
      </c>
      <c r="K151" s="21" t="s">
        <v>29</v>
      </c>
      <c r="L151" s="21" t="s">
        <v>30</v>
      </c>
      <c r="M151" s="21"/>
      <c r="N151" s="21"/>
      <c r="O151" s="21"/>
      <c r="P151" s="21" t="s">
        <v>31</v>
      </c>
      <c r="Q151" s="23" t="s">
        <v>56</v>
      </c>
      <c r="R151" s="24"/>
      <c r="S151" s="25"/>
      <c r="T151" s="26"/>
      <c r="U151" s="25"/>
      <c r="V151" s="25"/>
      <c r="W151" s="25"/>
    </row>
    <row r="152" spans="1:23" ht="22.5" customHeight="1">
      <c r="A152" s="13">
        <v>45962.906888379628</v>
      </c>
      <c r="B152" s="14" t="s">
        <v>740</v>
      </c>
      <c r="C152" s="15"/>
      <c r="D152" s="14" t="s">
        <v>45</v>
      </c>
      <c r="E152" s="16">
        <v>32013</v>
      </c>
      <c r="F152" s="14" t="s">
        <v>52</v>
      </c>
      <c r="G152" s="14" t="s">
        <v>741</v>
      </c>
      <c r="H152" s="14" t="s">
        <v>186</v>
      </c>
      <c r="I152" s="6" t="str">
        <f>VLOOKUP(CLEAN(F152),'World Bank Categories'!$B$4:$C$220,2,FALSE)</f>
        <v>Middle income</v>
      </c>
      <c r="J152" s="14" t="s">
        <v>742</v>
      </c>
      <c r="K152" s="14" t="s">
        <v>29</v>
      </c>
      <c r="L152" s="14" t="s">
        <v>30</v>
      </c>
      <c r="M152" s="15"/>
      <c r="N152" s="14"/>
      <c r="O152" s="14"/>
      <c r="P152" s="14" t="s">
        <v>31</v>
      </c>
      <c r="Q152" s="9" t="s">
        <v>32</v>
      </c>
      <c r="R152" s="10" t="s">
        <v>33</v>
      </c>
      <c r="S152" s="19" t="s">
        <v>740</v>
      </c>
      <c r="T152" s="12"/>
      <c r="U152" s="12"/>
      <c r="V152" s="12"/>
      <c r="W152" s="12"/>
    </row>
    <row r="153" spans="1:23" ht="22.5" customHeight="1">
      <c r="A153" s="20">
        <v>45963.104594907411</v>
      </c>
      <c r="B153" s="21" t="s">
        <v>743</v>
      </c>
      <c r="C153" s="38"/>
      <c r="D153" s="21" t="s">
        <v>24</v>
      </c>
      <c r="E153" s="22">
        <v>36103</v>
      </c>
      <c r="F153" s="21" t="s">
        <v>227</v>
      </c>
      <c r="G153" s="21" t="s">
        <v>744</v>
      </c>
      <c r="H153" s="21" t="s">
        <v>66</v>
      </c>
      <c r="I153" s="6" t="str">
        <f>VLOOKUP(CLEAN(F153),'World Bank Categories'!$B$4:$C$220,2,FALSE)</f>
        <v>Middle income</v>
      </c>
      <c r="J153" s="21" t="s">
        <v>745</v>
      </c>
      <c r="K153" s="21" t="s">
        <v>39</v>
      </c>
      <c r="L153" s="21" t="s">
        <v>621</v>
      </c>
      <c r="M153" s="21"/>
      <c r="N153" s="21"/>
      <c r="O153" s="21"/>
      <c r="P153" s="21" t="s">
        <v>31</v>
      </c>
      <c r="Q153" s="9" t="s">
        <v>32</v>
      </c>
      <c r="R153" s="18"/>
      <c r="S153" s="25" t="s">
        <v>743</v>
      </c>
      <c r="T153" s="27">
        <v>36103</v>
      </c>
      <c r="U153" s="25" t="s">
        <v>745</v>
      </c>
      <c r="V153" s="25" t="s">
        <v>80</v>
      </c>
      <c r="W153" s="25"/>
    </row>
    <row r="154" spans="1:23" ht="22.5" customHeight="1">
      <c r="A154" s="20">
        <v>45964.119108796294</v>
      </c>
      <c r="B154" s="21" t="s">
        <v>746</v>
      </c>
      <c r="C154" s="38"/>
      <c r="D154" s="21" t="s">
        <v>24</v>
      </c>
      <c r="E154" s="22">
        <v>35083</v>
      </c>
      <c r="F154" s="21" t="s">
        <v>52</v>
      </c>
      <c r="G154" s="21" t="s">
        <v>702</v>
      </c>
      <c r="H154" s="21" t="s">
        <v>66</v>
      </c>
      <c r="I154" s="6" t="str">
        <f>VLOOKUP(CLEAN(F154),'World Bank Categories'!$B$4:$C$220,2,FALSE)</f>
        <v>Middle income</v>
      </c>
      <c r="J154" s="21" t="s">
        <v>747</v>
      </c>
      <c r="K154" s="21" t="s">
        <v>29</v>
      </c>
      <c r="L154" s="21" t="s">
        <v>30</v>
      </c>
      <c r="M154" s="21"/>
      <c r="N154" s="21"/>
      <c r="O154" s="21"/>
      <c r="P154" s="21" t="s">
        <v>31</v>
      </c>
      <c r="Q154" s="9" t="s">
        <v>32</v>
      </c>
      <c r="R154" s="10"/>
      <c r="S154" s="25" t="s">
        <v>746</v>
      </c>
      <c r="T154" s="27">
        <v>35083</v>
      </c>
      <c r="U154" s="25" t="s">
        <v>747</v>
      </c>
      <c r="V154" s="25" t="s">
        <v>80</v>
      </c>
      <c r="W154" s="25"/>
    </row>
    <row r="155" spans="1:23" ht="22.5" customHeight="1">
      <c r="A155" s="20">
        <v>45964.769606481481</v>
      </c>
      <c r="B155" s="21" t="s">
        <v>748</v>
      </c>
      <c r="C155" s="38"/>
      <c r="D155" s="21" t="s">
        <v>24</v>
      </c>
      <c r="E155" s="22">
        <v>37380</v>
      </c>
      <c r="F155" s="21" t="s">
        <v>208</v>
      </c>
      <c r="G155" s="21" t="s">
        <v>452</v>
      </c>
      <c r="H155" s="21" t="s">
        <v>66</v>
      </c>
      <c r="I155" s="6" t="str">
        <f>VLOOKUP(CLEAN(F155),'World Bank Categories'!$B$4:$C$220,2,FALSE)</f>
        <v>Low income</v>
      </c>
      <c r="J155" s="21" t="s">
        <v>749</v>
      </c>
      <c r="K155" s="21" t="s">
        <v>29</v>
      </c>
      <c r="L155" s="21" t="s">
        <v>30</v>
      </c>
      <c r="M155" s="21"/>
      <c r="N155" s="21"/>
      <c r="O155" s="21"/>
      <c r="P155" s="21" t="s">
        <v>31</v>
      </c>
      <c r="Q155" s="9" t="s">
        <v>32</v>
      </c>
      <c r="R155" s="18" t="s">
        <v>33</v>
      </c>
      <c r="S155" s="25" t="s">
        <v>748</v>
      </c>
      <c r="T155" s="27">
        <v>45781</v>
      </c>
      <c r="U155" s="25" t="s">
        <v>749</v>
      </c>
      <c r="V155" s="25" t="s">
        <v>236</v>
      </c>
      <c r="W155" s="25"/>
    </row>
    <row r="156" spans="1:23" ht="22.5" customHeight="1">
      <c r="A156" s="20">
        <v>45965.19090277778</v>
      </c>
      <c r="B156" s="21" t="s">
        <v>750</v>
      </c>
      <c r="C156" s="38"/>
      <c r="D156" s="21" t="s">
        <v>45</v>
      </c>
      <c r="E156" s="22">
        <v>28467</v>
      </c>
      <c r="F156" s="21" t="s">
        <v>751</v>
      </c>
      <c r="G156" s="21" t="s">
        <v>209</v>
      </c>
      <c r="H156" s="21" t="s">
        <v>186</v>
      </c>
      <c r="I156" s="6" t="str">
        <f>VLOOKUP(CLEAN(F156),'World Bank Categories'!$B$4:$C$220,2,FALSE)</f>
        <v>Low income</v>
      </c>
      <c r="J156" s="21" t="s">
        <v>752</v>
      </c>
      <c r="K156" s="21" t="s">
        <v>29</v>
      </c>
      <c r="L156" s="21" t="s">
        <v>30</v>
      </c>
      <c r="M156" s="21"/>
      <c r="N156" s="21"/>
      <c r="O156" s="21"/>
      <c r="P156" s="21" t="s">
        <v>31</v>
      </c>
      <c r="Q156" s="9" t="s">
        <v>32</v>
      </c>
      <c r="R156" s="10" t="s">
        <v>33</v>
      </c>
      <c r="S156" s="25" t="s">
        <v>750</v>
      </c>
      <c r="T156" s="27">
        <v>28467</v>
      </c>
      <c r="U156" s="25" t="s">
        <v>752</v>
      </c>
      <c r="V156" s="25" t="s">
        <v>80</v>
      </c>
      <c r="W156" s="25"/>
    </row>
    <row r="157" spans="1:23" ht="22.5" hidden="1" customHeight="1">
      <c r="A157" s="20">
        <v>45965.195451388892</v>
      </c>
      <c r="B157" s="21" t="s">
        <v>753</v>
      </c>
      <c r="C157" s="38"/>
      <c r="D157" s="21" t="s">
        <v>24</v>
      </c>
      <c r="E157" s="22">
        <v>23548</v>
      </c>
      <c r="F157" s="21" t="s">
        <v>208</v>
      </c>
      <c r="G157" s="21" t="s">
        <v>754</v>
      </c>
      <c r="H157" s="21" t="s">
        <v>755</v>
      </c>
      <c r="I157" s="6" t="str">
        <f>VLOOKUP(CLEAN(F157),'World Bank Categories'!$B$4:$C$220,2,FALSE)</f>
        <v>Low income</v>
      </c>
      <c r="J157" s="21" t="s">
        <v>756</v>
      </c>
      <c r="K157" s="21" t="s">
        <v>29</v>
      </c>
      <c r="L157" s="21" t="s">
        <v>30</v>
      </c>
      <c r="M157" s="21"/>
      <c r="N157" s="21"/>
      <c r="O157" s="21"/>
      <c r="P157" s="21" t="s">
        <v>31</v>
      </c>
      <c r="Q157" s="23" t="s">
        <v>56</v>
      </c>
      <c r="R157" s="24"/>
      <c r="S157" s="25"/>
      <c r="T157" s="26"/>
      <c r="U157" s="25"/>
      <c r="V157" s="25"/>
      <c r="W157" s="25"/>
    </row>
    <row r="158" spans="1:23" ht="22.5" customHeight="1">
      <c r="A158" s="20">
        <v>45965.231990740744</v>
      </c>
      <c r="B158" s="21" t="s">
        <v>757</v>
      </c>
      <c r="C158" s="38"/>
      <c r="D158" s="21" t="s">
        <v>45</v>
      </c>
      <c r="E158" s="22">
        <v>32128</v>
      </c>
      <c r="F158" s="21" t="s">
        <v>751</v>
      </c>
      <c r="G158" s="21" t="s">
        <v>758</v>
      </c>
      <c r="H158" s="21" t="s">
        <v>759</v>
      </c>
      <c r="I158" s="6" t="str">
        <f>VLOOKUP(CLEAN(F158),'World Bank Categories'!$B$4:$C$220,2,FALSE)</f>
        <v>Low income</v>
      </c>
      <c r="J158" s="21" t="s">
        <v>760</v>
      </c>
      <c r="K158" s="21" t="s">
        <v>29</v>
      </c>
      <c r="L158" s="21" t="s">
        <v>30</v>
      </c>
      <c r="M158" s="21"/>
      <c r="N158" s="21"/>
      <c r="O158" s="21"/>
      <c r="P158" s="21" t="s">
        <v>31</v>
      </c>
      <c r="Q158" s="9" t="s">
        <v>32</v>
      </c>
      <c r="R158" s="18" t="s">
        <v>33</v>
      </c>
      <c r="S158" s="25" t="s">
        <v>761</v>
      </c>
      <c r="T158" s="27">
        <v>32128</v>
      </c>
      <c r="U158" s="25" t="s">
        <v>760</v>
      </c>
      <c r="V158" s="25" t="s">
        <v>80</v>
      </c>
      <c r="W158" s="25"/>
    </row>
    <row r="159" spans="1:23" ht="22.5" customHeight="1">
      <c r="A159" s="20">
        <v>45965.376875000002</v>
      </c>
      <c r="B159" s="21" t="s">
        <v>762</v>
      </c>
      <c r="C159" s="38"/>
      <c r="D159" s="21" t="s">
        <v>45</v>
      </c>
      <c r="E159" s="22">
        <v>34722</v>
      </c>
      <c r="F159" s="21" t="s">
        <v>751</v>
      </c>
      <c r="G159" s="21" t="s">
        <v>763</v>
      </c>
      <c r="H159" s="21" t="s">
        <v>111</v>
      </c>
      <c r="I159" s="6" t="str">
        <f>VLOOKUP(CLEAN(F159),'World Bank Categories'!$B$4:$C$220,2,FALSE)</f>
        <v>Low income</v>
      </c>
      <c r="J159" s="21" t="s">
        <v>764</v>
      </c>
      <c r="K159" s="21" t="s">
        <v>29</v>
      </c>
      <c r="L159" s="21" t="s">
        <v>30</v>
      </c>
      <c r="M159" s="21"/>
      <c r="N159" s="21"/>
      <c r="O159" s="21"/>
      <c r="P159" s="21" t="s">
        <v>31</v>
      </c>
      <c r="Q159" s="9" t="s">
        <v>32</v>
      </c>
      <c r="R159" s="10" t="s">
        <v>33</v>
      </c>
      <c r="S159" s="25" t="s">
        <v>762</v>
      </c>
      <c r="T159" s="27">
        <v>34722</v>
      </c>
      <c r="U159" s="25" t="s">
        <v>764</v>
      </c>
      <c r="V159" s="25" t="s">
        <v>80</v>
      </c>
      <c r="W159" s="25"/>
    </row>
    <row r="160" spans="1:23" ht="22.5" customHeight="1">
      <c r="A160" s="20">
        <v>45966.15929398148</v>
      </c>
      <c r="B160" s="21" t="s">
        <v>765</v>
      </c>
      <c r="C160" s="38"/>
      <c r="D160" s="21" t="s">
        <v>24</v>
      </c>
      <c r="E160" s="22">
        <v>33801</v>
      </c>
      <c r="F160" s="21" t="s">
        <v>310</v>
      </c>
      <c r="G160" s="21" t="s">
        <v>766</v>
      </c>
      <c r="H160" s="21" t="s">
        <v>767</v>
      </c>
      <c r="I160" s="6" t="str">
        <f>VLOOKUP(CLEAN(F160),'World Bank Categories'!$B$4:$C$220,2,FALSE)</f>
        <v>High income</v>
      </c>
      <c r="J160" s="21" t="s">
        <v>768</v>
      </c>
      <c r="K160" s="21" t="s">
        <v>29</v>
      </c>
      <c r="L160" s="21" t="s">
        <v>30</v>
      </c>
      <c r="M160" s="21"/>
      <c r="N160" s="21"/>
      <c r="O160" s="21"/>
      <c r="P160" s="21" t="s">
        <v>31</v>
      </c>
      <c r="Q160" s="9" t="s">
        <v>32</v>
      </c>
      <c r="R160" s="18"/>
      <c r="S160" s="25" t="s">
        <v>769</v>
      </c>
      <c r="T160" s="27">
        <v>33801</v>
      </c>
      <c r="U160" s="25" t="s">
        <v>768</v>
      </c>
      <c r="V160" s="25" t="s">
        <v>463</v>
      </c>
      <c r="W160" s="25"/>
    </row>
    <row r="161" spans="1:23" ht="22.5" customHeight="1">
      <c r="A161" s="20">
        <v>45966.819918981484</v>
      </c>
      <c r="B161" s="21" t="s">
        <v>770</v>
      </c>
      <c r="C161" s="38"/>
      <c r="D161" s="21" t="s">
        <v>24</v>
      </c>
      <c r="E161" s="22">
        <v>34721</v>
      </c>
      <c r="F161" s="21" t="s">
        <v>227</v>
      </c>
      <c r="G161" s="21" t="s">
        <v>209</v>
      </c>
      <c r="H161" s="21" t="s">
        <v>771</v>
      </c>
      <c r="I161" s="6" t="str">
        <f>VLOOKUP(CLEAN(F161),'World Bank Categories'!$B$4:$C$220,2,FALSE)</f>
        <v>Middle income</v>
      </c>
      <c r="J161" s="21" t="s">
        <v>772</v>
      </c>
      <c r="K161" s="21" t="s">
        <v>29</v>
      </c>
      <c r="L161" s="21" t="s">
        <v>30</v>
      </c>
      <c r="M161" s="21"/>
      <c r="N161" s="21"/>
      <c r="O161" s="21"/>
      <c r="P161" s="21" t="s">
        <v>31</v>
      </c>
      <c r="Q161" s="9" t="s">
        <v>32</v>
      </c>
      <c r="R161" s="10"/>
      <c r="S161" s="25" t="s">
        <v>773</v>
      </c>
      <c r="T161" s="27">
        <v>34721</v>
      </c>
      <c r="U161" s="25" t="s">
        <v>772</v>
      </c>
      <c r="V161" s="25" t="s">
        <v>154</v>
      </c>
      <c r="W161" s="25"/>
    </row>
    <row r="162" spans="1:23" ht="22.5" customHeight="1">
      <c r="A162" s="20">
        <v>45966.82203703704</v>
      </c>
      <c r="B162" s="21" t="s">
        <v>774</v>
      </c>
      <c r="C162" s="38"/>
      <c r="D162" s="21" t="s">
        <v>24</v>
      </c>
      <c r="E162" s="22">
        <v>38402</v>
      </c>
      <c r="F162" s="21" t="s">
        <v>227</v>
      </c>
      <c r="G162" s="21" t="s">
        <v>775</v>
      </c>
      <c r="H162" s="21" t="s">
        <v>66</v>
      </c>
      <c r="I162" s="6" t="str">
        <f>VLOOKUP(CLEAN(F162),'World Bank Categories'!$B$4:$C$220,2,FALSE)</f>
        <v>Middle income</v>
      </c>
      <c r="J162" s="21" t="s">
        <v>776</v>
      </c>
      <c r="K162" s="21" t="s">
        <v>29</v>
      </c>
      <c r="L162" s="21" t="s">
        <v>30</v>
      </c>
      <c r="M162" s="21"/>
      <c r="N162" s="21"/>
      <c r="O162" s="21"/>
      <c r="P162" s="21" t="s">
        <v>31</v>
      </c>
      <c r="Q162" s="9" t="s">
        <v>32</v>
      </c>
      <c r="R162" s="18" t="s">
        <v>33</v>
      </c>
      <c r="S162" s="25" t="s">
        <v>774</v>
      </c>
      <c r="T162" s="27">
        <v>38402</v>
      </c>
      <c r="U162" s="25" t="s">
        <v>776</v>
      </c>
      <c r="V162" s="25" t="s">
        <v>80</v>
      </c>
      <c r="W162" s="25"/>
    </row>
    <row r="163" spans="1:23" ht="22.5" customHeight="1">
      <c r="A163" s="20">
        <v>45969.149988425925</v>
      </c>
      <c r="B163" s="21" t="s">
        <v>777</v>
      </c>
      <c r="C163" s="38"/>
      <c r="D163" s="21" t="s">
        <v>45</v>
      </c>
      <c r="E163" s="22">
        <v>35695</v>
      </c>
      <c r="F163" s="21" t="s">
        <v>208</v>
      </c>
      <c r="G163" s="21" t="s">
        <v>778</v>
      </c>
      <c r="H163" s="21" t="s">
        <v>779</v>
      </c>
      <c r="I163" s="6" t="str">
        <f>VLOOKUP(CLEAN(F163),'World Bank Categories'!$B$4:$C$220,2,FALSE)</f>
        <v>Low income</v>
      </c>
      <c r="J163" s="21" t="s">
        <v>780</v>
      </c>
      <c r="K163" s="21" t="s">
        <v>29</v>
      </c>
      <c r="L163" s="21" t="s">
        <v>30</v>
      </c>
      <c r="M163" s="21"/>
      <c r="N163" s="21"/>
      <c r="O163" s="21"/>
      <c r="P163" s="21" t="s">
        <v>31</v>
      </c>
      <c r="Q163" s="9" t="s">
        <v>32</v>
      </c>
      <c r="R163" s="10" t="s">
        <v>33</v>
      </c>
      <c r="S163" s="25" t="s">
        <v>777</v>
      </c>
      <c r="T163" s="27">
        <v>35695</v>
      </c>
      <c r="U163" s="25" t="s">
        <v>780</v>
      </c>
      <c r="V163" s="25" t="s">
        <v>80</v>
      </c>
      <c r="W163" s="25"/>
    </row>
    <row r="164" spans="1:23" ht="22.5" customHeight="1">
      <c r="A164" s="20">
        <v>45970.186041666668</v>
      </c>
      <c r="B164" s="21" t="s">
        <v>781</v>
      </c>
      <c r="C164" s="38"/>
      <c r="D164" s="21" t="s">
        <v>24</v>
      </c>
      <c r="E164" s="22">
        <v>37575</v>
      </c>
      <c r="F164" s="21" t="s">
        <v>732</v>
      </c>
      <c r="G164" s="21" t="s">
        <v>782</v>
      </c>
      <c r="H164" s="21" t="s">
        <v>368</v>
      </c>
      <c r="I164" s="6" t="str">
        <f>VLOOKUP(CLEAN(F164),'World Bank Categories'!$B$4:$C$220,2,FALSE)</f>
        <v>Middle income</v>
      </c>
      <c r="J164" s="21" t="s">
        <v>783</v>
      </c>
      <c r="K164" s="21" t="s">
        <v>29</v>
      </c>
      <c r="L164" s="21" t="s">
        <v>30</v>
      </c>
      <c r="M164" s="21"/>
      <c r="N164" s="21"/>
      <c r="O164" s="21"/>
      <c r="P164" s="21" t="s">
        <v>31</v>
      </c>
      <c r="Q164" s="9" t="s">
        <v>32</v>
      </c>
      <c r="R164" s="18" t="s">
        <v>33</v>
      </c>
      <c r="S164" s="25" t="s">
        <v>781</v>
      </c>
      <c r="T164" s="27">
        <v>37575</v>
      </c>
      <c r="U164" s="25" t="s">
        <v>783</v>
      </c>
      <c r="V164" s="25" t="s">
        <v>80</v>
      </c>
      <c r="W164" s="25"/>
    </row>
    <row r="165" spans="1:23" ht="22.5" customHeight="1">
      <c r="A165" s="20">
        <v>45971.427928240744</v>
      </c>
      <c r="B165" s="21" t="s">
        <v>784</v>
      </c>
      <c r="C165" s="38"/>
      <c r="D165" s="21" t="s">
        <v>45</v>
      </c>
      <c r="E165" s="22">
        <v>30689</v>
      </c>
      <c r="F165" s="21" t="s">
        <v>751</v>
      </c>
      <c r="G165" s="21" t="s">
        <v>763</v>
      </c>
      <c r="H165" s="21" t="s">
        <v>785</v>
      </c>
      <c r="I165" s="6" t="str">
        <f>VLOOKUP(CLEAN(F165),'World Bank Categories'!$B$4:$C$220,2,FALSE)</f>
        <v>Low income</v>
      </c>
      <c r="J165" s="21" t="s">
        <v>786</v>
      </c>
      <c r="K165" s="21" t="s">
        <v>29</v>
      </c>
      <c r="L165" s="21" t="s">
        <v>30</v>
      </c>
      <c r="M165" s="21"/>
      <c r="N165" s="21"/>
      <c r="O165" s="21"/>
      <c r="P165" s="21" t="s">
        <v>31</v>
      </c>
      <c r="Q165" s="9" t="s">
        <v>32</v>
      </c>
      <c r="R165" s="10"/>
      <c r="S165" s="25" t="s">
        <v>787</v>
      </c>
      <c r="T165" s="27">
        <v>30689</v>
      </c>
      <c r="U165" s="25" t="s">
        <v>786</v>
      </c>
      <c r="V165" s="25" t="s">
        <v>80</v>
      </c>
      <c r="W165" s="25"/>
    </row>
    <row r="166" spans="1:23" ht="22.5" customHeight="1">
      <c r="A166" s="5">
        <v>45971.840571296299</v>
      </c>
      <c r="B166" s="6" t="s">
        <v>788</v>
      </c>
      <c r="C166" s="7"/>
      <c r="D166" s="6" t="s">
        <v>45</v>
      </c>
      <c r="E166" s="8">
        <v>37385</v>
      </c>
      <c r="F166" s="6" t="s">
        <v>245</v>
      </c>
      <c r="G166" s="6" t="s">
        <v>789</v>
      </c>
      <c r="H166" s="6" t="s">
        <v>790</v>
      </c>
      <c r="I166" s="6" t="str">
        <f>VLOOKUP(CLEAN(F166),'World Bank Categories'!$B$4:$C$220,2,FALSE)</f>
        <v>Middle income</v>
      </c>
      <c r="J166" s="6" t="s">
        <v>791</v>
      </c>
      <c r="K166" s="6" t="s">
        <v>29</v>
      </c>
      <c r="L166" s="6" t="s">
        <v>30</v>
      </c>
      <c r="M166" s="7"/>
      <c r="N166" s="6"/>
      <c r="O166" s="6"/>
      <c r="P166" s="6" t="s">
        <v>31</v>
      </c>
      <c r="Q166" s="9" t="s">
        <v>32</v>
      </c>
      <c r="R166" s="18" t="s">
        <v>33</v>
      </c>
      <c r="S166" s="11" t="s">
        <v>792</v>
      </c>
      <c r="T166" s="12"/>
      <c r="U166" s="12"/>
      <c r="V166" s="12"/>
      <c r="W166" s="12"/>
    </row>
    <row r="167" spans="1:23" ht="22.5" customHeight="1">
      <c r="A167" s="20">
        <v>45972.180428240739</v>
      </c>
      <c r="B167" s="21" t="s">
        <v>793</v>
      </c>
      <c r="C167" s="38"/>
      <c r="D167" s="21" t="s">
        <v>45</v>
      </c>
      <c r="E167" s="22">
        <v>34699</v>
      </c>
      <c r="F167" s="21" t="s">
        <v>751</v>
      </c>
      <c r="G167" s="21" t="s">
        <v>794</v>
      </c>
      <c r="H167" s="21" t="s">
        <v>795</v>
      </c>
      <c r="I167" s="6" t="str">
        <f>VLOOKUP(CLEAN(F167),'World Bank Categories'!$B$4:$C$220,2,FALSE)</f>
        <v>Low income</v>
      </c>
      <c r="J167" s="21" t="s">
        <v>796</v>
      </c>
      <c r="K167" s="21" t="s">
        <v>29</v>
      </c>
      <c r="L167" s="21" t="s">
        <v>30</v>
      </c>
      <c r="M167" s="21"/>
      <c r="N167" s="21"/>
      <c r="O167" s="21"/>
      <c r="P167" s="21" t="s">
        <v>31</v>
      </c>
      <c r="Q167" s="9" t="s">
        <v>32</v>
      </c>
      <c r="R167" s="10" t="s">
        <v>33</v>
      </c>
      <c r="S167" s="25" t="s">
        <v>797</v>
      </c>
      <c r="T167" s="27">
        <v>34699</v>
      </c>
      <c r="U167" s="25" t="s">
        <v>796</v>
      </c>
      <c r="V167" s="25" t="s">
        <v>463</v>
      </c>
      <c r="W167" s="25"/>
    </row>
    <row r="168" spans="1:23" ht="22.5" customHeight="1">
      <c r="A168" s="20">
        <v>45972.955127314817</v>
      </c>
      <c r="B168" s="21" t="s">
        <v>798</v>
      </c>
      <c r="C168" s="38"/>
      <c r="D168" s="21" t="s">
        <v>45</v>
      </c>
      <c r="E168" s="22">
        <v>32617</v>
      </c>
      <c r="F168" s="21" t="s">
        <v>799</v>
      </c>
      <c r="G168" s="21" t="s">
        <v>500</v>
      </c>
      <c r="H168" s="21" t="s">
        <v>111</v>
      </c>
      <c r="I168" s="6" t="str">
        <f>VLOOKUP(CLEAN(F168),'World Bank Categories'!$B$4:$C$220,2,FALSE)</f>
        <v>Low income</v>
      </c>
      <c r="J168" s="21" t="s">
        <v>800</v>
      </c>
      <c r="K168" s="21" t="s">
        <v>29</v>
      </c>
      <c r="L168" s="21" t="s">
        <v>30</v>
      </c>
      <c r="M168" s="21" t="s">
        <v>801</v>
      </c>
      <c r="N168" s="21" t="s">
        <v>802</v>
      </c>
      <c r="O168" s="21" t="s">
        <v>365</v>
      </c>
      <c r="P168" s="21" t="s">
        <v>31</v>
      </c>
      <c r="Q168" s="9" t="s">
        <v>32</v>
      </c>
      <c r="R168" s="18"/>
      <c r="S168" s="25" t="s">
        <v>803</v>
      </c>
      <c r="T168" s="27">
        <v>32617</v>
      </c>
      <c r="U168" s="25" t="s">
        <v>800</v>
      </c>
      <c r="V168" s="25" t="s">
        <v>154</v>
      </c>
      <c r="W168" s="25"/>
    </row>
    <row r="169" spans="1:23" ht="22.5" customHeight="1">
      <c r="A169" s="20">
        <v>45972.984675925924</v>
      </c>
      <c r="B169" s="21" t="s">
        <v>804</v>
      </c>
      <c r="C169" s="38"/>
      <c r="D169" s="21" t="s">
        <v>45</v>
      </c>
      <c r="E169" s="22">
        <v>33969</v>
      </c>
      <c r="F169" s="21" t="s">
        <v>799</v>
      </c>
      <c r="G169" s="21" t="s">
        <v>805</v>
      </c>
      <c r="H169" s="21" t="s">
        <v>806</v>
      </c>
      <c r="I169" s="6" t="str">
        <f>VLOOKUP(CLEAN(F169),'World Bank Categories'!$B$4:$C$220,2,FALSE)</f>
        <v>Low income</v>
      </c>
      <c r="J169" s="21" t="s">
        <v>807</v>
      </c>
      <c r="K169" s="21" t="s">
        <v>29</v>
      </c>
      <c r="L169" s="21" t="s">
        <v>30</v>
      </c>
      <c r="M169" s="21" t="s">
        <v>808</v>
      </c>
      <c r="N169" s="21"/>
      <c r="O169" s="21"/>
      <c r="P169" s="21" t="s">
        <v>31</v>
      </c>
      <c r="Q169" s="9" t="s">
        <v>32</v>
      </c>
      <c r="R169" s="10"/>
      <c r="S169" s="25" t="s">
        <v>809</v>
      </c>
      <c r="T169" s="27">
        <v>33969</v>
      </c>
      <c r="U169" s="25" t="s">
        <v>807</v>
      </c>
      <c r="V169" s="25" t="s">
        <v>154</v>
      </c>
      <c r="W169" s="25"/>
    </row>
    <row r="170" spans="1:23" ht="22.5" customHeight="1">
      <c r="A170" s="20">
        <v>45973.180532407408</v>
      </c>
      <c r="B170" s="21" t="s">
        <v>810</v>
      </c>
      <c r="C170" s="38"/>
      <c r="D170" s="21" t="s">
        <v>45</v>
      </c>
      <c r="E170" s="22">
        <v>36450</v>
      </c>
      <c r="F170" s="21" t="s">
        <v>70</v>
      </c>
      <c r="G170" s="21" t="s">
        <v>811</v>
      </c>
      <c r="H170" s="21" t="s">
        <v>90</v>
      </c>
      <c r="I170" s="6" t="str">
        <f>VLOOKUP(CLEAN(F170),'World Bank Categories'!$B$4:$C$220,2,FALSE)</f>
        <v>Middle income</v>
      </c>
      <c r="J170" s="21" t="s">
        <v>812</v>
      </c>
      <c r="K170" s="21" t="s">
        <v>39</v>
      </c>
      <c r="L170" s="21" t="s">
        <v>30</v>
      </c>
      <c r="M170" s="21"/>
      <c r="N170" s="21"/>
      <c r="O170" s="21"/>
      <c r="P170" s="21" t="s">
        <v>31</v>
      </c>
      <c r="Q170" s="9" t="s">
        <v>32</v>
      </c>
      <c r="R170" s="18"/>
      <c r="S170" s="25" t="s">
        <v>810</v>
      </c>
      <c r="T170" s="27">
        <v>36450</v>
      </c>
      <c r="U170" s="25" t="s">
        <v>812</v>
      </c>
      <c r="V170" s="25" t="s">
        <v>80</v>
      </c>
      <c r="W170" s="25"/>
    </row>
    <row r="171" spans="1:23" ht="22.5" customHeight="1">
      <c r="A171" s="20">
        <v>45973.327685185184</v>
      </c>
      <c r="B171" s="21" t="s">
        <v>813</v>
      </c>
      <c r="C171" s="38"/>
      <c r="D171" s="21" t="s">
        <v>45</v>
      </c>
      <c r="E171" s="22">
        <v>35541</v>
      </c>
      <c r="F171" s="21" t="s">
        <v>751</v>
      </c>
      <c r="G171" s="21" t="s">
        <v>814</v>
      </c>
      <c r="H171" s="21" t="s">
        <v>815</v>
      </c>
      <c r="I171" s="6" t="str">
        <f>VLOOKUP(CLEAN(F171),'World Bank Categories'!$B$4:$C$220,2,FALSE)</f>
        <v>Low income</v>
      </c>
      <c r="J171" s="21" t="s">
        <v>816</v>
      </c>
      <c r="K171" s="21" t="s">
        <v>29</v>
      </c>
      <c r="L171" s="21" t="s">
        <v>30</v>
      </c>
      <c r="M171" s="21" t="s">
        <v>817</v>
      </c>
      <c r="N171" s="21"/>
      <c r="O171" s="21"/>
      <c r="P171" s="21" t="s">
        <v>31</v>
      </c>
      <c r="Q171" s="9" t="s">
        <v>32</v>
      </c>
      <c r="R171" s="10"/>
      <c r="S171" s="25" t="s">
        <v>818</v>
      </c>
      <c r="T171" s="27">
        <v>35541</v>
      </c>
      <c r="U171" s="25" t="s">
        <v>816</v>
      </c>
      <c r="V171" s="25" t="s">
        <v>154</v>
      </c>
      <c r="W171" s="25"/>
    </row>
    <row r="172" spans="1:23" ht="22.5" customHeight="1">
      <c r="A172" s="20">
        <v>45974.189027777778</v>
      </c>
      <c r="B172" s="21" t="s">
        <v>819</v>
      </c>
      <c r="C172" s="38"/>
      <c r="D172" s="21" t="s">
        <v>45</v>
      </c>
      <c r="E172" s="22">
        <v>25022</v>
      </c>
      <c r="F172" s="21" t="s">
        <v>438</v>
      </c>
      <c r="G172" s="21" t="s">
        <v>820</v>
      </c>
      <c r="H172" s="12" t="s">
        <v>821</v>
      </c>
      <c r="I172" s="6" t="str">
        <f>VLOOKUP(CLEAN(F172),'World Bank Categories'!$B$4:$C$220,2,FALSE)</f>
        <v>Middle income</v>
      </c>
      <c r="J172" s="21" t="s">
        <v>822</v>
      </c>
      <c r="K172" s="21" t="s">
        <v>29</v>
      </c>
      <c r="L172" s="21" t="s">
        <v>30</v>
      </c>
      <c r="M172" s="21" t="s">
        <v>823</v>
      </c>
      <c r="N172" s="21"/>
      <c r="O172" s="21"/>
      <c r="P172" s="21" t="s">
        <v>31</v>
      </c>
      <c r="Q172" s="9" t="s">
        <v>32</v>
      </c>
      <c r="R172" s="24"/>
      <c r="S172" s="25"/>
      <c r="T172" s="26"/>
      <c r="U172" s="25"/>
      <c r="V172" s="25"/>
      <c r="W172" s="25"/>
    </row>
    <row r="173" spans="1:23" ht="22.5" hidden="1" customHeight="1">
      <c r="A173" s="20">
        <v>45974.441087962965</v>
      </c>
      <c r="B173" s="21" t="s">
        <v>824</v>
      </c>
      <c r="C173" s="38"/>
      <c r="D173" s="21" t="s">
        <v>24</v>
      </c>
      <c r="E173" s="22">
        <v>37888</v>
      </c>
      <c r="F173" s="21" t="s">
        <v>52</v>
      </c>
      <c r="G173" s="21" t="s">
        <v>825</v>
      </c>
      <c r="H173" s="21" t="s">
        <v>826</v>
      </c>
      <c r="I173" s="6" t="str">
        <f>VLOOKUP(CLEAN(F173),'World Bank Categories'!$B$4:$C$220,2,FALSE)</f>
        <v>Middle income</v>
      </c>
      <c r="J173" s="21" t="s">
        <v>827</v>
      </c>
      <c r="K173" s="21" t="s">
        <v>29</v>
      </c>
      <c r="L173" s="21" t="s">
        <v>30</v>
      </c>
      <c r="M173" s="21"/>
      <c r="N173" s="21"/>
      <c r="O173" s="21"/>
      <c r="P173" s="21" t="s">
        <v>31</v>
      </c>
      <c r="Q173" s="23" t="s">
        <v>56</v>
      </c>
      <c r="R173" s="24"/>
      <c r="S173" s="25"/>
      <c r="T173" s="27"/>
      <c r="U173" s="25"/>
      <c r="V173" s="25"/>
      <c r="W173" s="25"/>
    </row>
    <row r="174" spans="1:23" ht="22.5" customHeight="1">
      <c r="A174" s="20">
        <v>45975.207569444443</v>
      </c>
      <c r="B174" s="21" t="s">
        <v>828</v>
      </c>
      <c r="C174" s="38"/>
      <c r="D174" s="21" t="s">
        <v>24</v>
      </c>
      <c r="E174" s="22">
        <v>35974</v>
      </c>
      <c r="F174" s="21" t="s">
        <v>751</v>
      </c>
      <c r="G174" s="21" t="s">
        <v>829</v>
      </c>
      <c r="H174" s="21" t="s">
        <v>815</v>
      </c>
      <c r="I174" s="6" t="str">
        <f>VLOOKUP(CLEAN(F174),'World Bank Categories'!$B$4:$C$220,2,FALSE)</f>
        <v>Low income</v>
      </c>
      <c r="J174" s="21" t="s">
        <v>830</v>
      </c>
      <c r="K174" s="21" t="s">
        <v>29</v>
      </c>
      <c r="L174" s="21" t="s">
        <v>30</v>
      </c>
      <c r="M174" s="21" t="s">
        <v>831</v>
      </c>
      <c r="N174" s="21"/>
      <c r="O174" s="21"/>
      <c r="P174" s="21" t="s">
        <v>31</v>
      </c>
      <c r="Q174" s="9" t="s">
        <v>32</v>
      </c>
      <c r="R174" s="18"/>
      <c r="S174" s="25" t="s">
        <v>828</v>
      </c>
      <c r="T174" s="27">
        <v>35974</v>
      </c>
      <c r="U174" s="25" t="s">
        <v>830</v>
      </c>
      <c r="V174" s="25" t="s">
        <v>80</v>
      </c>
      <c r="W174" s="25"/>
    </row>
    <row r="175" spans="1:23" ht="22.5" customHeight="1">
      <c r="A175" s="20">
        <v>45975.8515162037</v>
      </c>
      <c r="B175" s="21" t="s">
        <v>832</v>
      </c>
      <c r="C175" s="38"/>
      <c r="D175" s="21" t="s">
        <v>45</v>
      </c>
      <c r="E175" s="22">
        <v>26816</v>
      </c>
      <c r="F175" s="21" t="s">
        <v>433</v>
      </c>
      <c r="G175" s="21" t="s">
        <v>833</v>
      </c>
      <c r="H175" s="21" t="s">
        <v>834</v>
      </c>
      <c r="I175" s="6" t="str">
        <f>VLOOKUP(CLEAN(F175),'World Bank Categories'!$B$4:$C$220,2,FALSE)</f>
        <v>Low income</v>
      </c>
      <c r="J175" s="21" t="s">
        <v>835</v>
      </c>
      <c r="K175" s="21" t="s">
        <v>29</v>
      </c>
      <c r="L175" s="21" t="s">
        <v>30</v>
      </c>
      <c r="M175" s="21"/>
      <c r="N175" s="21"/>
      <c r="O175" s="21"/>
      <c r="P175" s="21" t="s">
        <v>31</v>
      </c>
      <c r="Q175" s="9" t="s">
        <v>32</v>
      </c>
      <c r="R175" s="10" t="s">
        <v>33</v>
      </c>
      <c r="S175" s="25" t="s">
        <v>832</v>
      </c>
      <c r="T175" s="27">
        <v>26816</v>
      </c>
      <c r="U175" s="25" t="s">
        <v>836</v>
      </c>
      <c r="V175" s="25" t="s">
        <v>101</v>
      </c>
      <c r="W175" s="25"/>
    </row>
    <row r="176" spans="1:23" ht="22.5" customHeight="1">
      <c r="A176" s="13">
        <v>45976.196471574076</v>
      </c>
      <c r="B176" s="14" t="s">
        <v>837</v>
      </c>
      <c r="C176" s="15"/>
      <c r="D176" s="14" t="s">
        <v>45</v>
      </c>
      <c r="E176" s="16">
        <v>36840</v>
      </c>
      <c r="F176" s="14" t="s">
        <v>838</v>
      </c>
      <c r="G176" s="14" t="s">
        <v>839</v>
      </c>
      <c r="H176" s="14" t="s">
        <v>840</v>
      </c>
      <c r="I176" s="6" t="str">
        <f>VLOOKUP(CLEAN(F176),'World Bank Categories'!$B$4:$C$220,2,FALSE)</f>
        <v>Middle income</v>
      </c>
      <c r="J176" s="14" t="s">
        <v>841</v>
      </c>
      <c r="K176" s="14" t="s">
        <v>29</v>
      </c>
      <c r="L176" s="14" t="s">
        <v>30</v>
      </c>
      <c r="M176" s="15"/>
      <c r="N176" s="14"/>
      <c r="O176" s="14"/>
      <c r="P176" s="14" t="s">
        <v>31</v>
      </c>
      <c r="Q176" s="9" t="s">
        <v>32</v>
      </c>
      <c r="R176" s="18" t="s">
        <v>33</v>
      </c>
      <c r="S176" s="19" t="s">
        <v>837</v>
      </c>
      <c r="T176" s="12"/>
      <c r="U176" s="12"/>
      <c r="V176" s="12"/>
      <c r="W176" s="12"/>
    </row>
    <row r="177" spans="1:23" ht="22.5" customHeight="1">
      <c r="A177" s="20">
        <v>45976.352337962962</v>
      </c>
      <c r="B177" s="21" t="s">
        <v>842</v>
      </c>
      <c r="C177" s="21" t="s">
        <v>842</v>
      </c>
      <c r="D177" s="21" t="s">
        <v>45</v>
      </c>
      <c r="E177" s="22">
        <v>34699</v>
      </c>
      <c r="F177" s="21" t="s">
        <v>799</v>
      </c>
      <c r="G177" s="21" t="s">
        <v>843</v>
      </c>
      <c r="H177" s="21" t="s">
        <v>90</v>
      </c>
      <c r="I177" s="6" t="str">
        <f>VLOOKUP(CLEAN(F177),'World Bank Categories'!$B$4:$C$220,2,FALSE)</f>
        <v>Low income</v>
      </c>
      <c r="J177" s="21" t="s">
        <v>844</v>
      </c>
      <c r="K177" s="21" t="s">
        <v>29</v>
      </c>
      <c r="L177" s="21" t="s">
        <v>30</v>
      </c>
      <c r="M177" s="21"/>
      <c r="N177" s="21"/>
      <c r="O177" s="21"/>
      <c r="P177" s="21" t="s">
        <v>31</v>
      </c>
      <c r="Q177" s="9" t="s">
        <v>32</v>
      </c>
      <c r="R177" s="10"/>
      <c r="S177" s="25" t="s">
        <v>842</v>
      </c>
      <c r="T177" s="27">
        <v>34699</v>
      </c>
      <c r="U177" s="25" t="s">
        <v>844</v>
      </c>
      <c r="V177" s="25" t="s">
        <v>80</v>
      </c>
      <c r="W177" s="25"/>
    </row>
    <row r="178" spans="1:23" ht="22.5" customHeight="1">
      <c r="A178" s="20">
        <v>45977.958958333336</v>
      </c>
      <c r="B178" s="21" t="s">
        <v>845</v>
      </c>
      <c r="C178" s="38"/>
      <c r="D178" s="21" t="s">
        <v>24</v>
      </c>
      <c r="E178" s="22">
        <v>34624</v>
      </c>
      <c r="F178" s="21" t="s">
        <v>507</v>
      </c>
      <c r="G178" s="21" t="s">
        <v>514</v>
      </c>
      <c r="H178" s="21" t="s">
        <v>90</v>
      </c>
      <c r="I178" s="6" t="str">
        <f>VLOOKUP(CLEAN(F178),'World Bank Categories'!$B$4:$C$220,2,FALSE)</f>
        <v>Middle income</v>
      </c>
      <c r="J178" s="21" t="s">
        <v>846</v>
      </c>
      <c r="K178" s="21" t="s">
        <v>29</v>
      </c>
      <c r="L178" s="21" t="s">
        <v>30</v>
      </c>
      <c r="M178" s="21"/>
      <c r="N178" s="21"/>
      <c r="O178" s="21"/>
      <c r="P178" s="21" t="s">
        <v>31</v>
      </c>
      <c r="Q178" s="9" t="s">
        <v>32</v>
      </c>
      <c r="R178" s="10"/>
      <c r="S178" s="25" t="s">
        <v>847</v>
      </c>
      <c r="T178" s="27">
        <v>34624</v>
      </c>
      <c r="U178" s="25" t="s">
        <v>846</v>
      </c>
      <c r="V178" s="25" t="s">
        <v>154</v>
      </c>
      <c r="W178" s="25"/>
    </row>
    <row r="179" spans="1:23" ht="22.5" customHeight="1">
      <c r="A179" s="20">
        <v>45978.249201388891</v>
      </c>
      <c r="B179" s="21" t="s">
        <v>848</v>
      </c>
      <c r="C179" s="38"/>
      <c r="D179" s="21" t="s">
        <v>24</v>
      </c>
      <c r="E179" s="22">
        <v>38009</v>
      </c>
      <c r="F179" s="21" t="s">
        <v>513</v>
      </c>
      <c r="G179" s="21" t="s">
        <v>849</v>
      </c>
      <c r="H179" s="21" t="s">
        <v>368</v>
      </c>
      <c r="I179" s="6" t="str">
        <f>VLOOKUP(CLEAN(F179),'World Bank Categories'!$B$4:$C$220,2,FALSE)</f>
        <v>Middle income</v>
      </c>
      <c r="J179" s="21" t="s">
        <v>850</v>
      </c>
      <c r="K179" s="21" t="s">
        <v>29</v>
      </c>
      <c r="L179" s="21" t="s">
        <v>30</v>
      </c>
      <c r="M179" s="21"/>
      <c r="N179" s="21"/>
      <c r="O179" s="21"/>
      <c r="P179" s="21" t="s">
        <v>31</v>
      </c>
      <c r="Q179" s="9" t="s">
        <v>32</v>
      </c>
      <c r="R179" s="18"/>
      <c r="S179" s="25" t="s">
        <v>848</v>
      </c>
      <c r="T179" s="27">
        <v>38009</v>
      </c>
      <c r="U179" s="25" t="s">
        <v>850</v>
      </c>
      <c r="V179" s="25" t="s">
        <v>80</v>
      </c>
      <c r="W179" s="25"/>
    </row>
    <row r="180" spans="1:23" ht="22.5" hidden="1" customHeight="1">
      <c r="A180" s="5">
        <v>45978.989204062498</v>
      </c>
      <c r="B180" s="6" t="s">
        <v>851</v>
      </c>
      <c r="C180" s="7"/>
      <c r="D180" s="6" t="s">
        <v>45</v>
      </c>
      <c r="E180" s="8">
        <v>27273</v>
      </c>
      <c r="F180" s="6" t="s">
        <v>475</v>
      </c>
      <c r="G180" s="6" t="s">
        <v>852</v>
      </c>
      <c r="H180" s="6" t="s">
        <v>853</v>
      </c>
      <c r="I180" s="6" t="str">
        <f>VLOOKUP(CLEAN(F180),'World Bank Categories'!$B$4:$C$220,2,FALSE)</f>
        <v>Middle income</v>
      </c>
      <c r="J180" s="6" t="s">
        <v>854</v>
      </c>
      <c r="K180" s="6" t="s">
        <v>29</v>
      </c>
      <c r="L180" s="6" t="s">
        <v>30</v>
      </c>
      <c r="M180" s="7"/>
      <c r="N180" s="6"/>
      <c r="O180" s="6"/>
      <c r="P180" s="6" t="s">
        <v>31</v>
      </c>
      <c r="Q180" s="23" t="s">
        <v>56</v>
      </c>
      <c r="R180" s="24"/>
      <c r="S180" s="7"/>
      <c r="T180" s="12"/>
      <c r="U180" s="12"/>
      <c r="V180" s="12"/>
      <c r="W180" s="12"/>
    </row>
    <row r="181" spans="1:23" ht="22.5" customHeight="1">
      <c r="A181" s="20">
        <v>45979.117245370369</v>
      </c>
      <c r="B181" s="21" t="s">
        <v>855</v>
      </c>
      <c r="C181" s="38"/>
      <c r="D181" s="21" t="s">
        <v>24</v>
      </c>
      <c r="E181" s="22">
        <v>37749</v>
      </c>
      <c r="F181" s="21" t="s">
        <v>70</v>
      </c>
      <c r="G181" s="21" t="s">
        <v>77</v>
      </c>
      <c r="H181" s="21" t="s">
        <v>138</v>
      </c>
      <c r="I181" s="6" t="str">
        <f>VLOOKUP(CLEAN(F181),'World Bank Categories'!$B$4:$C$220,2,FALSE)</f>
        <v>Middle income</v>
      </c>
      <c r="J181" s="21" t="s">
        <v>856</v>
      </c>
      <c r="K181" s="21" t="s">
        <v>29</v>
      </c>
      <c r="L181" s="21" t="s">
        <v>162</v>
      </c>
      <c r="M181" s="21"/>
      <c r="N181" s="21"/>
      <c r="O181" s="21"/>
      <c r="P181" s="21" t="s">
        <v>31</v>
      </c>
      <c r="Q181" s="9" t="s">
        <v>32</v>
      </c>
      <c r="R181" s="10"/>
      <c r="S181" s="25" t="s">
        <v>855</v>
      </c>
      <c r="T181" s="27">
        <v>37749</v>
      </c>
      <c r="U181" s="25" t="s">
        <v>856</v>
      </c>
      <c r="V181" s="25" t="s">
        <v>80</v>
      </c>
      <c r="W181" s="25"/>
    </row>
    <row r="182" spans="1:23" ht="22.5" customHeight="1">
      <c r="A182" s="20">
        <v>45979.592997685184</v>
      </c>
      <c r="B182" s="21" t="s">
        <v>857</v>
      </c>
      <c r="C182" s="38"/>
      <c r="D182" s="21" t="s">
        <v>45</v>
      </c>
      <c r="E182" s="22">
        <v>35122</v>
      </c>
      <c r="F182" s="21" t="s">
        <v>70</v>
      </c>
      <c r="G182" s="21" t="s">
        <v>858</v>
      </c>
      <c r="H182" s="21" t="s">
        <v>859</v>
      </c>
      <c r="I182" s="6" t="str">
        <f>VLOOKUP(CLEAN(F182),'World Bank Categories'!$B$4:$C$220,2,FALSE)</f>
        <v>Middle income</v>
      </c>
      <c r="J182" s="21" t="s">
        <v>860</v>
      </c>
      <c r="K182" s="21" t="s">
        <v>29</v>
      </c>
      <c r="L182" s="21" t="s">
        <v>30</v>
      </c>
      <c r="M182" s="21"/>
      <c r="N182" s="21"/>
      <c r="O182" s="21"/>
      <c r="P182" s="21" t="s">
        <v>31</v>
      </c>
      <c r="Q182" s="9" t="s">
        <v>32</v>
      </c>
      <c r="R182" s="18" t="s">
        <v>33</v>
      </c>
      <c r="S182" s="25" t="s">
        <v>857</v>
      </c>
      <c r="T182" s="27">
        <v>35122</v>
      </c>
      <c r="U182" s="25" t="s">
        <v>860</v>
      </c>
      <c r="V182" s="25" t="s">
        <v>80</v>
      </c>
      <c r="W182" s="25"/>
    </row>
    <row r="183" spans="1:23" ht="22.5" customHeight="1">
      <c r="A183" s="20">
        <v>45981.637546296297</v>
      </c>
      <c r="B183" s="21" t="s">
        <v>861</v>
      </c>
      <c r="C183" s="38"/>
      <c r="D183" s="21" t="s">
        <v>45</v>
      </c>
      <c r="E183" s="22">
        <v>33001</v>
      </c>
      <c r="F183" s="21" t="s">
        <v>88</v>
      </c>
      <c r="G183" s="21" t="s">
        <v>862</v>
      </c>
      <c r="H183" s="21" t="s">
        <v>156</v>
      </c>
      <c r="I183" s="6" t="str">
        <f>VLOOKUP(CLEAN(F183),'World Bank Categories'!$B$4:$C$220,2,FALSE)</f>
        <v>Low income</v>
      </c>
      <c r="J183" s="21" t="s">
        <v>863</v>
      </c>
      <c r="K183" s="21" t="s">
        <v>29</v>
      </c>
      <c r="L183" s="21" t="s">
        <v>30</v>
      </c>
      <c r="M183" s="21"/>
      <c r="N183" s="21"/>
      <c r="O183" s="21"/>
      <c r="P183" s="21" t="s">
        <v>31</v>
      </c>
      <c r="Q183" s="9" t="s">
        <v>32</v>
      </c>
      <c r="R183" s="10"/>
      <c r="S183" s="25" t="s">
        <v>864</v>
      </c>
      <c r="T183" s="27">
        <v>33001</v>
      </c>
      <c r="U183" s="25" t="s">
        <v>863</v>
      </c>
      <c r="V183" s="25" t="s">
        <v>80</v>
      </c>
      <c r="W183" s="25"/>
    </row>
    <row r="184" spans="1:23" ht="22.5" customHeight="1">
      <c r="A184" s="50">
        <v>45981.655694444446</v>
      </c>
      <c r="B184" s="51" t="s">
        <v>865</v>
      </c>
      <c r="C184" s="52"/>
      <c r="D184" s="51" t="s">
        <v>45</v>
      </c>
      <c r="E184" s="53">
        <v>32586</v>
      </c>
      <c r="F184" s="21" t="s">
        <v>88</v>
      </c>
      <c r="G184" s="51" t="s">
        <v>866</v>
      </c>
      <c r="H184" s="51" t="s">
        <v>867</v>
      </c>
      <c r="I184" s="6" t="str">
        <f>VLOOKUP(CLEAN(F184),'World Bank Categories'!$B$4:$C$220,2,FALSE)</f>
        <v>Low income</v>
      </c>
      <c r="J184" s="51" t="s">
        <v>868</v>
      </c>
      <c r="K184" s="51" t="s">
        <v>29</v>
      </c>
      <c r="L184" s="51" t="s">
        <v>30</v>
      </c>
      <c r="M184" s="51"/>
      <c r="N184" s="51"/>
      <c r="O184" s="51"/>
      <c r="P184" s="51" t="s">
        <v>31</v>
      </c>
      <c r="Q184" s="9" t="s">
        <v>32</v>
      </c>
      <c r="R184" s="18" t="s">
        <v>33</v>
      </c>
      <c r="S184" s="25" t="s">
        <v>869</v>
      </c>
      <c r="T184" s="27">
        <v>32586</v>
      </c>
      <c r="U184" s="25" t="s">
        <v>868</v>
      </c>
      <c r="V184" s="25" t="s">
        <v>154</v>
      </c>
      <c r="W184" s="25"/>
    </row>
    <row r="185" spans="1:23" ht="22.5" customHeight="1">
      <c r="A185" s="20">
        <v>45981.792500000003</v>
      </c>
      <c r="B185" s="21" t="s">
        <v>870</v>
      </c>
      <c r="C185" s="38"/>
      <c r="D185" s="21" t="s">
        <v>24</v>
      </c>
      <c r="E185" s="22">
        <v>34352</v>
      </c>
      <c r="F185" s="21" t="s">
        <v>799</v>
      </c>
      <c r="G185" s="21" t="s">
        <v>871</v>
      </c>
      <c r="H185" s="21" t="s">
        <v>871</v>
      </c>
      <c r="I185" s="6" t="str">
        <f>VLOOKUP(CLEAN(F185),'World Bank Categories'!$B$4:$C$220,2,FALSE)</f>
        <v>Low income</v>
      </c>
      <c r="J185" s="21" t="s">
        <v>872</v>
      </c>
      <c r="K185" s="21" t="s">
        <v>29</v>
      </c>
      <c r="L185" s="21" t="s">
        <v>30</v>
      </c>
      <c r="M185" s="21" t="s">
        <v>873</v>
      </c>
      <c r="N185" s="54" t="s">
        <v>874</v>
      </c>
      <c r="O185" s="14" t="s">
        <v>301</v>
      </c>
      <c r="P185" s="21" t="s">
        <v>31</v>
      </c>
      <c r="Q185" s="9" t="s">
        <v>32</v>
      </c>
      <c r="R185" s="10"/>
      <c r="S185" s="25" t="s">
        <v>875</v>
      </c>
      <c r="T185" s="27">
        <v>34352</v>
      </c>
      <c r="U185" s="25" t="s">
        <v>872</v>
      </c>
      <c r="V185" s="25" t="s">
        <v>154</v>
      </c>
      <c r="W185" s="25"/>
    </row>
    <row r="186" spans="1:23" ht="22.5" customHeight="1">
      <c r="A186" s="20">
        <v>45982.071921296294</v>
      </c>
      <c r="B186" s="21" t="s">
        <v>876</v>
      </c>
      <c r="C186" s="38"/>
      <c r="D186" s="21" t="s">
        <v>45</v>
      </c>
      <c r="E186" s="22">
        <v>36583</v>
      </c>
      <c r="F186" s="21" t="s">
        <v>88</v>
      </c>
      <c r="G186" s="21" t="s">
        <v>877</v>
      </c>
      <c r="H186" s="21" t="s">
        <v>138</v>
      </c>
      <c r="I186" s="6" t="str">
        <f>VLOOKUP(CLEAN(F186),'World Bank Categories'!$B$4:$C$220,2,FALSE)</f>
        <v>Low income</v>
      </c>
      <c r="J186" s="21" t="s">
        <v>878</v>
      </c>
      <c r="K186" s="21" t="s">
        <v>39</v>
      </c>
      <c r="L186" s="21" t="s">
        <v>30</v>
      </c>
      <c r="M186" s="21"/>
      <c r="N186" s="21"/>
      <c r="O186" s="21"/>
      <c r="P186" s="21" t="s">
        <v>31</v>
      </c>
      <c r="Q186" s="9" t="s">
        <v>32</v>
      </c>
      <c r="R186" s="18"/>
      <c r="S186" s="25" t="s">
        <v>879</v>
      </c>
      <c r="T186" s="27">
        <v>36583</v>
      </c>
      <c r="U186" s="25" t="s">
        <v>878</v>
      </c>
      <c r="V186" s="25" t="s">
        <v>154</v>
      </c>
      <c r="W186" s="25"/>
    </row>
    <row r="187" spans="1:23" ht="22.5" customHeight="1">
      <c r="A187" s="20">
        <v>45982.332314814812</v>
      </c>
      <c r="B187" s="21" t="s">
        <v>880</v>
      </c>
      <c r="C187" s="38"/>
      <c r="D187" s="21" t="s">
        <v>24</v>
      </c>
      <c r="E187" s="22">
        <v>36258</v>
      </c>
      <c r="F187" s="21" t="s">
        <v>198</v>
      </c>
      <c r="G187" s="21" t="s">
        <v>881</v>
      </c>
      <c r="H187" s="21" t="s">
        <v>882</v>
      </c>
      <c r="I187" s="6" t="str">
        <f>VLOOKUP(CLEAN(F187),'World Bank Categories'!$B$4:$C$220,2,FALSE)</f>
        <v>Middle income</v>
      </c>
      <c r="J187" s="21" t="s">
        <v>883</v>
      </c>
      <c r="K187" s="21" t="s">
        <v>29</v>
      </c>
      <c r="L187" s="21" t="s">
        <v>30</v>
      </c>
      <c r="M187" s="21"/>
      <c r="N187" s="21"/>
      <c r="O187" s="21"/>
      <c r="P187" s="21" t="s">
        <v>31</v>
      </c>
      <c r="Q187" s="9" t="s">
        <v>32</v>
      </c>
      <c r="R187" s="10"/>
      <c r="S187" s="25" t="s">
        <v>880</v>
      </c>
      <c r="T187" s="27">
        <v>36258</v>
      </c>
      <c r="U187" s="25" t="s">
        <v>883</v>
      </c>
      <c r="V187" s="25" t="s">
        <v>80</v>
      </c>
      <c r="W187" s="25"/>
    </row>
    <row r="188" spans="1:23" ht="22.5" customHeight="1">
      <c r="A188" s="20">
        <v>45982.753576388888</v>
      </c>
      <c r="B188" s="21" t="s">
        <v>884</v>
      </c>
      <c r="C188" s="38"/>
      <c r="D188" s="21" t="s">
        <v>24</v>
      </c>
      <c r="E188" s="22">
        <v>32684</v>
      </c>
      <c r="F188" s="21" t="s">
        <v>422</v>
      </c>
      <c r="G188" s="21" t="s">
        <v>209</v>
      </c>
      <c r="H188" s="21" t="s">
        <v>885</v>
      </c>
      <c r="I188" s="6" t="str">
        <f>VLOOKUP(CLEAN(F188),'World Bank Categories'!$B$4:$C$220,2,FALSE)</f>
        <v>Middle income</v>
      </c>
      <c r="J188" s="21" t="s">
        <v>886</v>
      </c>
      <c r="K188" s="21" t="s">
        <v>39</v>
      </c>
      <c r="L188" s="21" t="s">
        <v>162</v>
      </c>
      <c r="M188" s="21"/>
      <c r="N188" s="21"/>
      <c r="O188" s="21"/>
      <c r="P188" s="21" t="s">
        <v>31</v>
      </c>
      <c r="Q188" s="9" t="s">
        <v>32</v>
      </c>
      <c r="R188" s="18" t="s">
        <v>33</v>
      </c>
      <c r="S188" s="25" t="s">
        <v>887</v>
      </c>
      <c r="T188" s="27">
        <v>32684</v>
      </c>
      <c r="U188" s="25" t="s">
        <v>886</v>
      </c>
      <c r="V188" s="25" t="s">
        <v>154</v>
      </c>
      <c r="W188" s="25"/>
    </row>
    <row r="189" spans="1:23" ht="22.5" customHeight="1">
      <c r="A189" s="28">
        <v>45983.003078703703</v>
      </c>
      <c r="B189" s="29" t="s">
        <v>888</v>
      </c>
      <c r="C189" s="45"/>
      <c r="D189" s="29" t="s">
        <v>45</v>
      </c>
      <c r="E189" s="30">
        <v>36851</v>
      </c>
      <c r="F189" s="21" t="s">
        <v>88</v>
      </c>
      <c r="G189" s="29" t="s">
        <v>491</v>
      </c>
      <c r="H189" s="29" t="s">
        <v>368</v>
      </c>
      <c r="I189" s="6" t="str">
        <f>VLOOKUP(CLEAN(F189),'World Bank Categories'!$B$4:$C$220,2,FALSE)</f>
        <v>Low income</v>
      </c>
      <c r="J189" s="29" t="s">
        <v>889</v>
      </c>
      <c r="K189" s="29" t="s">
        <v>29</v>
      </c>
      <c r="L189" s="29" t="s">
        <v>30</v>
      </c>
      <c r="M189" s="29"/>
      <c r="N189" s="29"/>
      <c r="O189" s="29"/>
      <c r="P189" s="29" t="s">
        <v>31</v>
      </c>
      <c r="Q189" s="9" t="s">
        <v>32</v>
      </c>
      <c r="R189" s="10"/>
      <c r="S189" s="25" t="s">
        <v>890</v>
      </c>
      <c r="T189" s="27">
        <v>36577</v>
      </c>
      <c r="U189" s="25" t="s">
        <v>889</v>
      </c>
      <c r="V189" s="25" t="s">
        <v>236</v>
      </c>
      <c r="W189" s="25"/>
    </row>
    <row r="190" spans="1:23" ht="22.5" customHeight="1">
      <c r="A190" s="20">
        <v>45983.262696759259</v>
      </c>
      <c r="B190" s="21" t="s">
        <v>891</v>
      </c>
      <c r="C190" s="21" t="s">
        <v>871</v>
      </c>
      <c r="D190" s="21" t="s">
        <v>24</v>
      </c>
      <c r="E190" s="22">
        <v>36630</v>
      </c>
      <c r="F190" s="21" t="s">
        <v>70</v>
      </c>
      <c r="G190" s="21" t="s">
        <v>892</v>
      </c>
      <c r="H190" s="21" t="s">
        <v>893</v>
      </c>
      <c r="I190" s="6" t="str">
        <f>VLOOKUP(CLEAN(F190),'World Bank Categories'!$B$4:$C$220,2,FALSE)</f>
        <v>Middle income</v>
      </c>
      <c r="J190" s="21" t="s">
        <v>894</v>
      </c>
      <c r="K190" s="21" t="s">
        <v>29</v>
      </c>
      <c r="L190" s="21" t="s">
        <v>30</v>
      </c>
      <c r="M190" s="21"/>
      <c r="N190" s="21"/>
      <c r="O190" s="21"/>
      <c r="P190" s="21" t="s">
        <v>31</v>
      </c>
      <c r="Q190" s="9" t="s">
        <v>32</v>
      </c>
      <c r="R190" s="18"/>
      <c r="S190" s="25" t="s">
        <v>891</v>
      </c>
      <c r="T190" s="27">
        <v>36630</v>
      </c>
      <c r="U190" s="25" t="s">
        <v>894</v>
      </c>
      <c r="V190" s="25" t="s">
        <v>80</v>
      </c>
      <c r="W190" s="25"/>
    </row>
    <row r="191" spans="1:23" ht="22.5" customHeight="1">
      <c r="A191" s="13">
        <v>45983.915866840282</v>
      </c>
      <c r="B191" s="14" t="s">
        <v>895</v>
      </c>
      <c r="C191" s="15"/>
      <c r="D191" s="14" t="s">
        <v>45</v>
      </c>
      <c r="E191" s="16">
        <v>37585</v>
      </c>
      <c r="F191" s="14" t="s">
        <v>64</v>
      </c>
      <c r="G191" s="14" t="s">
        <v>896</v>
      </c>
      <c r="H191" s="14" t="s">
        <v>897</v>
      </c>
      <c r="I191" s="6" t="str">
        <f>VLOOKUP(CLEAN(F191),'World Bank Categories'!$B$4:$C$220,2,FALSE)</f>
        <v>Middle income</v>
      </c>
      <c r="J191" s="14" t="s">
        <v>898</v>
      </c>
      <c r="K191" s="14" t="s">
        <v>29</v>
      </c>
      <c r="L191" s="14" t="s">
        <v>30</v>
      </c>
      <c r="M191" s="15"/>
      <c r="N191" s="14"/>
      <c r="O191" s="14"/>
      <c r="P191" s="14" t="s">
        <v>31</v>
      </c>
      <c r="Q191" s="9" t="s">
        <v>32</v>
      </c>
      <c r="R191" s="10"/>
      <c r="S191" s="19" t="s">
        <v>895</v>
      </c>
      <c r="T191" s="12"/>
      <c r="U191" s="12"/>
      <c r="V191" s="12"/>
      <c r="W191" s="12"/>
    </row>
    <row r="192" spans="1:23" ht="22.5" customHeight="1">
      <c r="A192" s="20">
        <v>45984.086539351854</v>
      </c>
      <c r="B192" s="21" t="s">
        <v>899</v>
      </c>
      <c r="C192" s="38"/>
      <c r="D192" s="21" t="s">
        <v>24</v>
      </c>
      <c r="E192" s="22">
        <v>36818</v>
      </c>
      <c r="F192" s="21" t="s">
        <v>227</v>
      </c>
      <c r="G192" s="21" t="s">
        <v>900</v>
      </c>
      <c r="H192" s="21" t="s">
        <v>901</v>
      </c>
      <c r="I192" s="6" t="str">
        <f>VLOOKUP(CLEAN(F192),'World Bank Categories'!$B$4:$C$220,2,FALSE)</f>
        <v>Middle income</v>
      </c>
      <c r="J192" s="21" t="s">
        <v>902</v>
      </c>
      <c r="K192" s="21" t="s">
        <v>39</v>
      </c>
      <c r="L192" s="21" t="s">
        <v>162</v>
      </c>
      <c r="M192" s="21"/>
      <c r="N192" s="21"/>
      <c r="O192" s="21"/>
      <c r="P192" s="21" t="s">
        <v>31</v>
      </c>
      <c r="Q192" s="9" t="s">
        <v>32</v>
      </c>
      <c r="R192" s="18"/>
      <c r="S192" s="25" t="s">
        <v>903</v>
      </c>
      <c r="T192" s="27">
        <v>36818</v>
      </c>
      <c r="U192" s="25" t="s">
        <v>902</v>
      </c>
      <c r="V192" s="25" t="s">
        <v>904</v>
      </c>
      <c r="W192" s="25"/>
    </row>
    <row r="193" spans="1:23" ht="22.5" customHeight="1">
      <c r="A193" s="20">
        <v>45984.227418981478</v>
      </c>
      <c r="B193" s="21" t="s">
        <v>905</v>
      </c>
      <c r="C193" s="21" t="s">
        <v>905</v>
      </c>
      <c r="D193" s="21" t="s">
        <v>45</v>
      </c>
      <c r="E193" s="22">
        <v>33434</v>
      </c>
      <c r="F193" s="21" t="s">
        <v>470</v>
      </c>
      <c r="G193" s="21" t="s">
        <v>906</v>
      </c>
      <c r="H193" s="21" t="s">
        <v>111</v>
      </c>
      <c r="I193" s="6" t="str">
        <f>VLOOKUP(CLEAN(F193),'World Bank Categories'!$B$4:$C$220,2,FALSE)</f>
        <v>Middle income</v>
      </c>
      <c r="J193" s="21" t="s">
        <v>907</v>
      </c>
      <c r="K193" s="21" t="s">
        <v>29</v>
      </c>
      <c r="L193" s="32">
        <v>46202</v>
      </c>
      <c r="M193" s="21"/>
      <c r="N193" s="21"/>
      <c r="O193" s="21"/>
      <c r="P193" s="21" t="s">
        <v>31</v>
      </c>
      <c r="Q193" s="9" t="s">
        <v>32</v>
      </c>
      <c r="R193" s="10" t="s">
        <v>33</v>
      </c>
      <c r="S193" s="25" t="s">
        <v>905</v>
      </c>
      <c r="T193" s="27">
        <v>33434</v>
      </c>
      <c r="U193" s="25" t="s">
        <v>907</v>
      </c>
      <c r="V193" s="25" t="s">
        <v>80</v>
      </c>
      <c r="W193" s="25"/>
    </row>
    <row r="194" spans="1:23" ht="22.5" customHeight="1">
      <c r="A194" s="20">
        <v>45984.624571759261</v>
      </c>
      <c r="B194" s="21" t="s">
        <v>908</v>
      </c>
      <c r="C194" s="38"/>
      <c r="D194" s="21" t="s">
        <v>24</v>
      </c>
      <c r="E194" s="22">
        <v>37776</v>
      </c>
      <c r="F194" s="21" t="s">
        <v>64</v>
      </c>
      <c r="G194" s="21" t="s">
        <v>909</v>
      </c>
      <c r="H194" s="21" t="s">
        <v>910</v>
      </c>
      <c r="I194" s="6" t="str">
        <f>VLOOKUP(CLEAN(F194),'World Bank Categories'!$B$4:$C$220,2,FALSE)</f>
        <v>Middle income</v>
      </c>
      <c r="J194" s="21" t="s">
        <v>911</v>
      </c>
      <c r="K194" s="21" t="s">
        <v>29</v>
      </c>
      <c r="L194" s="21" t="s">
        <v>30</v>
      </c>
      <c r="M194" s="21"/>
      <c r="N194" s="21"/>
      <c r="O194" s="21"/>
      <c r="P194" s="21" t="s">
        <v>31</v>
      </c>
      <c r="Q194" s="9" t="s">
        <v>32</v>
      </c>
      <c r="R194" s="18" t="s">
        <v>17</v>
      </c>
      <c r="S194" s="25" t="s">
        <v>912</v>
      </c>
      <c r="T194" s="27">
        <v>38142</v>
      </c>
      <c r="U194" s="25" t="s">
        <v>911</v>
      </c>
      <c r="V194" s="25" t="s">
        <v>114</v>
      </c>
      <c r="W194" s="25"/>
    </row>
    <row r="195" spans="1:23" ht="22.5" customHeight="1">
      <c r="A195" s="28">
        <v>45984.93440972222</v>
      </c>
      <c r="B195" s="29" t="s">
        <v>913</v>
      </c>
      <c r="C195" s="45"/>
      <c r="D195" s="29" t="s">
        <v>24</v>
      </c>
      <c r="E195" s="30">
        <v>37764</v>
      </c>
      <c r="F195" s="29" t="s">
        <v>83</v>
      </c>
      <c r="G195" s="29" t="s">
        <v>914</v>
      </c>
      <c r="H195" s="29" t="s">
        <v>915</v>
      </c>
      <c r="I195" s="6" t="str">
        <f>VLOOKUP(CLEAN(F195),'World Bank Categories'!$B$4:$C$220,2,FALSE)</f>
        <v>Low income</v>
      </c>
      <c r="J195" s="29" t="s">
        <v>916</v>
      </c>
      <c r="K195" s="29" t="s">
        <v>29</v>
      </c>
      <c r="L195" s="29" t="s">
        <v>30</v>
      </c>
      <c r="M195" s="29"/>
      <c r="N195" s="29"/>
      <c r="O195" s="29"/>
      <c r="P195" s="29" t="s">
        <v>31</v>
      </c>
      <c r="Q195" s="9" t="s">
        <v>32</v>
      </c>
      <c r="R195" s="10"/>
      <c r="S195" s="25" t="s">
        <v>913</v>
      </c>
      <c r="T195" s="27">
        <v>37764</v>
      </c>
      <c r="U195" s="25" t="s">
        <v>916</v>
      </c>
      <c r="V195" s="25" t="s">
        <v>80</v>
      </c>
      <c r="W195" s="25"/>
    </row>
    <row r="196" spans="1:23" ht="22.5" customHeight="1">
      <c r="A196" s="28">
        <v>45984.986701388887</v>
      </c>
      <c r="B196" s="29" t="s">
        <v>917</v>
      </c>
      <c r="C196" s="45"/>
      <c r="D196" s="29" t="s">
        <v>45</v>
      </c>
      <c r="E196" s="30">
        <v>31065</v>
      </c>
      <c r="F196" s="29" t="s">
        <v>612</v>
      </c>
      <c r="G196" s="29" t="s">
        <v>918</v>
      </c>
      <c r="H196" s="29" t="s">
        <v>919</v>
      </c>
      <c r="I196" s="6" t="str">
        <f>VLOOKUP(CLEAN(F196),'World Bank Categories'!$B$4:$C$220,2,FALSE)</f>
        <v>Low income</v>
      </c>
      <c r="J196" s="29" t="s">
        <v>920</v>
      </c>
      <c r="K196" s="29" t="s">
        <v>29</v>
      </c>
      <c r="L196" s="29" t="s">
        <v>30</v>
      </c>
      <c r="M196" s="29" t="s">
        <v>921</v>
      </c>
      <c r="N196" s="21" t="s">
        <v>922</v>
      </c>
      <c r="O196" s="21" t="s">
        <v>365</v>
      </c>
      <c r="P196" s="29" t="s">
        <v>31</v>
      </c>
      <c r="Q196" s="9" t="s">
        <v>32</v>
      </c>
      <c r="R196" s="18" t="s">
        <v>33</v>
      </c>
      <c r="S196" s="25" t="s">
        <v>917</v>
      </c>
      <c r="T196" s="27">
        <v>31065</v>
      </c>
      <c r="U196" s="25" t="s">
        <v>920</v>
      </c>
      <c r="V196" s="25" t="s">
        <v>80</v>
      </c>
      <c r="W196" s="25"/>
    </row>
    <row r="197" spans="1:23" ht="22.5" customHeight="1">
      <c r="A197" s="28">
        <v>45985.092604166668</v>
      </c>
      <c r="B197" s="29" t="s">
        <v>923</v>
      </c>
      <c r="C197" s="45"/>
      <c r="D197" s="29" t="s">
        <v>45</v>
      </c>
      <c r="E197" s="30">
        <v>37280</v>
      </c>
      <c r="F197" s="21" t="s">
        <v>88</v>
      </c>
      <c r="G197" s="29" t="s">
        <v>924</v>
      </c>
      <c r="H197" s="29" t="s">
        <v>785</v>
      </c>
      <c r="I197" s="6" t="str">
        <f>VLOOKUP(CLEAN(F197),'World Bank Categories'!$B$4:$C$220,2,FALSE)</f>
        <v>Low income</v>
      </c>
      <c r="J197" s="29" t="s">
        <v>925</v>
      </c>
      <c r="K197" s="29" t="s">
        <v>29</v>
      </c>
      <c r="L197" s="29" t="s">
        <v>30</v>
      </c>
      <c r="M197" s="29"/>
      <c r="N197" s="29"/>
      <c r="O197" s="29"/>
      <c r="P197" s="29" t="s">
        <v>31</v>
      </c>
      <c r="Q197" s="9" t="s">
        <v>32</v>
      </c>
      <c r="R197" s="10"/>
      <c r="S197" s="25" t="s">
        <v>923</v>
      </c>
      <c r="T197" s="27">
        <v>37280</v>
      </c>
      <c r="U197" s="25" t="s">
        <v>925</v>
      </c>
      <c r="V197" s="25" t="s">
        <v>80</v>
      </c>
      <c r="W197" s="25"/>
    </row>
    <row r="198" spans="1:23" ht="22.5" customHeight="1">
      <c r="A198" s="20">
        <v>45985.77716435185</v>
      </c>
      <c r="B198" s="21" t="s">
        <v>926</v>
      </c>
      <c r="C198" s="21" t="s">
        <v>927</v>
      </c>
      <c r="D198" s="21" t="s">
        <v>45</v>
      </c>
      <c r="E198" s="22">
        <v>36793</v>
      </c>
      <c r="F198" s="21" t="s">
        <v>64</v>
      </c>
      <c r="G198" s="21" t="s">
        <v>928</v>
      </c>
      <c r="H198" s="21" t="s">
        <v>929</v>
      </c>
      <c r="I198" s="6" t="str">
        <f>VLOOKUP(CLEAN(F198),'World Bank Categories'!$B$4:$C$220,2,FALSE)</f>
        <v>Middle income</v>
      </c>
      <c r="J198" s="21" t="s">
        <v>930</v>
      </c>
      <c r="K198" s="21" t="s">
        <v>29</v>
      </c>
      <c r="L198" s="21" t="s">
        <v>30</v>
      </c>
      <c r="M198" s="21"/>
      <c r="N198" s="21"/>
      <c r="O198" s="21"/>
      <c r="P198" s="21" t="s">
        <v>31</v>
      </c>
      <c r="Q198" s="9" t="s">
        <v>32</v>
      </c>
      <c r="R198" s="18" t="s">
        <v>33</v>
      </c>
      <c r="S198" s="25" t="s">
        <v>926</v>
      </c>
      <c r="T198" s="27">
        <v>36793</v>
      </c>
      <c r="U198" s="25" t="s">
        <v>930</v>
      </c>
      <c r="V198" s="25" t="s">
        <v>80</v>
      </c>
      <c r="W198" s="25"/>
    </row>
    <row r="199" spans="1:23" ht="22.5" customHeight="1">
      <c r="A199" s="28">
        <v>45985.852708333332</v>
      </c>
      <c r="B199" s="29" t="s">
        <v>931</v>
      </c>
      <c r="C199" s="29" t="s">
        <v>931</v>
      </c>
      <c r="D199" s="29" t="s">
        <v>24</v>
      </c>
      <c r="E199" s="30">
        <v>33868</v>
      </c>
      <c r="F199" s="21" t="s">
        <v>88</v>
      </c>
      <c r="G199" s="29" t="s">
        <v>932</v>
      </c>
      <c r="H199" s="29" t="s">
        <v>933</v>
      </c>
      <c r="I199" s="6" t="str">
        <f>VLOOKUP(CLEAN(F199),'World Bank Categories'!$B$4:$C$220,2,FALSE)</f>
        <v>Low income</v>
      </c>
      <c r="J199" s="29" t="s">
        <v>934</v>
      </c>
      <c r="K199" s="29" t="s">
        <v>29</v>
      </c>
      <c r="L199" s="29" t="s">
        <v>30</v>
      </c>
      <c r="M199" s="29"/>
      <c r="N199" s="29"/>
      <c r="O199" s="29"/>
      <c r="P199" s="29" t="s">
        <v>31</v>
      </c>
      <c r="Q199" s="9" t="s">
        <v>32</v>
      </c>
      <c r="R199" s="10" t="s">
        <v>33</v>
      </c>
      <c r="S199" s="25" t="s">
        <v>931</v>
      </c>
      <c r="T199" s="27">
        <v>33868</v>
      </c>
      <c r="U199" s="25" t="s">
        <v>934</v>
      </c>
      <c r="V199" s="25" t="s">
        <v>80</v>
      </c>
      <c r="W199" s="25"/>
    </row>
    <row r="200" spans="1:23" ht="22.5" customHeight="1">
      <c r="A200" s="20">
        <v>45986.637199074074</v>
      </c>
      <c r="B200" s="21" t="s">
        <v>935</v>
      </c>
      <c r="C200" s="38"/>
      <c r="D200" s="21" t="s">
        <v>45</v>
      </c>
      <c r="E200" s="22">
        <v>37957</v>
      </c>
      <c r="F200" s="21" t="s">
        <v>83</v>
      </c>
      <c r="G200" s="21" t="s">
        <v>936</v>
      </c>
      <c r="H200" s="21" t="s">
        <v>937</v>
      </c>
      <c r="I200" s="6" t="str">
        <f>VLOOKUP(CLEAN(F200),'World Bank Categories'!$B$4:$C$220,2,FALSE)</f>
        <v>Low income</v>
      </c>
      <c r="J200" s="21" t="s">
        <v>938</v>
      </c>
      <c r="K200" s="21" t="s">
        <v>29</v>
      </c>
      <c r="L200" s="32">
        <v>46203</v>
      </c>
      <c r="M200" s="21"/>
      <c r="N200" s="21"/>
      <c r="O200" s="21"/>
      <c r="P200" s="21" t="s">
        <v>31</v>
      </c>
      <c r="Q200" s="9" t="s">
        <v>32</v>
      </c>
      <c r="R200" s="18"/>
      <c r="S200" s="25" t="s">
        <v>939</v>
      </c>
      <c r="T200" s="27">
        <v>37957</v>
      </c>
      <c r="U200" s="25" t="s">
        <v>938</v>
      </c>
      <c r="V200" s="25" t="s">
        <v>80</v>
      </c>
      <c r="W200" s="25"/>
    </row>
    <row r="201" spans="1:23" ht="22.5" customHeight="1">
      <c r="A201" s="20">
        <v>45986.869039351855</v>
      </c>
      <c r="B201" s="21" t="s">
        <v>940</v>
      </c>
      <c r="C201" s="21" t="s">
        <v>941</v>
      </c>
      <c r="D201" s="21" t="s">
        <v>24</v>
      </c>
      <c r="E201" s="22">
        <v>35875</v>
      </c>
      <c r="F201" s="21" t="s">
        <v>380</v>
      </c>
      <c r="G201" s="21" t="s">
        <v>942</v>
      </c>
      <c r="H201" s="21" t="s">
        <v>943</v>
      </c>
      <c r="I201" s="6" t="str">
        <f>VLOOKUP(CLEAN(F201),'World Bank Categories'!$B$4:$C$220,2,FALSE)</f>
        <v>Low income</v>
      </c>
      <c r="J201" s="21" t="s">
        <v>944</v>
      </c>
      <c r="K201" s="21" t="s">
        <v>29</v>
      </c>
      <c r="L201" s="21" t="s">
        <v>30</v>
      </c>
      <c r="M201" s="21"/>
      <c r="N201" s="21"/>
      <c r="O201" s="21"/>
      <c r="P201" s="21" t="s">
        <v>31</v>
      </c>
      <c r="Q201" s="9" t="s">
        <v>32</v>
      </c>
      <c r="R201" s="10"/>
      <c r="S201" s="25" t="s">
        <v>940</v>
      </c>
      <c r="T201" s="27">
        <v>35875</v>
      </c>
      <c r="U201" s="25" t="s">
        <v>944</v>
      </c>
      <c r="V201" s="25" t="s">
        <v>80</v>
      </c>
      <c r="W201" s="25"/>
    </row>
    <row r="202" spans="1:23" ht="22.5" customHeight="1">
      <c r="A202" s="5">
        <v>45987.001865937498</v>
      </c>
      <c r="B202" s="6" t="s">
        <v>945</v>
      </c>
      <c r="C202" s="7"/>
      <c r="D202" s="6" t="s">
        <v>45</v>
      </c>
      <c r="E202" s="8">
        <v>33338</v>
      </c>
      <c r="F202" s="6" t="s">
        <v>380</v>
      </c>
      <c r="G202" s="6" t="s">
        <v>946</v>
      </c>
      <c r="H202" s="6" t="s">
        <v>947</v>
      </c>
      <c r="I202" s="6" t="str">
        <f>VLOOKUP(CLEAN(F202),'World Bank Categories'!$B$4:$C$220,2,FALSE)</f>
        <v>Low income</v>
      </c>
      <c r="J202" s="6" t="s">
        <v>948</v>
      </c>
      <c r="K202" s="6" t="s">
        <v>29</v>
      </c>
      <c r="L202" s="6" t="s">
        <v>30</v>
      </c>
      <c r="M202" s="7"/>
      <c r="N202" s="6"/>
      <c r="O202" s="6"/>
      <c r="P202" s="6" t="s">
        <v>31</v>
      </c>
      <c r="Q202" s="9" t="s">
        <v>32</v>
      </c>
      <c r="R202" s="18"/>
      <c r="S202" s="11" t="s">
        <v>949</v>
      </c>
      <c r="T202" s="12"/>
      <c r="U202" s="12"/>
      <c r="V202" s="12"/>
      <c r="W202" s="12"/>
    </row>
    <row r="203" spans="1:23" ht="22.5" customHeight="1">
      <c r="A203" s="20">
        <v>45988.082071759258</v>
      </c>
      <c r="B203" s="21" t="s">
        <v>950</v>
      </c>
      <c r="C203" s="38"/>
      <c r="D203" s="21" t="s">
        <v>24</v>
      </c>
      <c r="E203" s="22">
        <v>33908</v>
      </c>
      <c r="F203" s="21" t="s">
        <v>252</v>
      </c>
      <c r="G203" s="21" t="s">
        <v>209</v>
      </c>
      <c r="H203" s="21" t="s">
        <v>951</v>
      </c>
      <c r="I203" s="6" t="str">
        <f>VLOOKUP(CLEAN(F203),'World Bank Categories'!$B$4:$C$220,2,FALSE)</f>
        <v>Middle income</v>
      </c>
      <c r="J203" s="21" t="s">
        <v>952</v>
      </c>
      <c r="K203" s="21" t="s">
        <v>39</v>
      </c>
      <c r="L203" s="21" t="s">
        <v>953</v>
      </c>
      <c r="M203" s="21"/>
      <c r="N203" s="21"/>
      <c r="O203" s="21"/>
      <c r="P203" s="21" t="s">
        <v>31</v>
      </c>
      <c r="Q203" s="9" t="s">
        <v>32</v>
      </c>
      <c r="R203" s="10" t="s">
        <v>33</v>
      </c>
      <c r="S203" s="25" t="s">
        <v>950</v>
      </c>
      <c r="T203" s="27">
        <v>33908</v>
      </c>
      <c r="U203" s="25" t="s">
        <v>952</v>
      </c>
      <c r="V203" s="25" t="s">
        <v>80</v>
      </c>
      <c r="W203" s="25"/>
    </row>
    <row r="204" spans="1:23" ht="22.5" customHeight="1">
      <c r="A204" s="20">
        <v>45988.221620370372</v>
      </c>
      <c r="B204" s="21" t="s">
        <v>954</v>
      </c>
      <c r="C204" s="38"/>
      <c r="D204" s="21" t="s">
        <v>45</v>
      </c>
      <c r="E204" s="22">
        <v>17098</v>
      </c>
      <c r="F204" s="21" t="s">
        <v>955</v>
      </c>
      <c r="G204" s="21" t="s">
        <v>956</v>
      </c>
      <c r="H204" s="21" t="s">
        <v>957</v>
      </c>
      <c r="I204" s="6" t="str">
        <f>VLOOKUP(CLEAN(F204),'World Bank Categories'!$B$4:$C$220,2,FALSE)</f>
        <v>High income</v>
      </c>
      <c r="J204" s="21" t="s">
        <v>958</v>
      </c>
      <c r="K204" s="21" t="s">
        <v>29</v>
      </c>
      <c r="L204" s="21" t="s">
        <v>30</v>
      </c>
      <c r="M204" s="21" t="s">
        <v>959</v>
      </c>
      <c r="N204" s="21"/>
      <c r="O204" s="21"/>
      <c r="P204" s="21" t="s">
        <v>31</v>
      </c>
      <c r="Q204" s="9" t="s">
        <v>32</v>
      </c>
      <c r="R204" s="18" t="s">
        <v>43</v>
      </c>
      <c r="S204" s="25" t="s">
        <v>954</v>
      </c>
      <c r="T204" s="27">
        <v>17098</v>
      </c>
      <c r="U204" s="25" t="s">
        <v>958</v>
      </c>
      <c r="V204" s="25" t="s">
        <v>80</v>
      </c>
      <c r="W204" s="25"/>
    </row>
    <row r="205" spans="1:23" ht="22.5" customHeight="1">
      <c r="A205" s="20">
        <v>45988.603101851855</v>
      </c>
      <c r="B205" s="21" t="s">
        <v>960</v>
      </c>
      <c r="C205" s="38"/>
      <c r="D205" s="21" t="s">
        <v>45</v>
      </c>
      <c r="E205" s="22">
        <v>22235</v>
      </c>
      <c r="F205" s="21" t="s">
        <v>416</v>
      </c>
      <c r="G205" s="21" t="s">
        <v>209</v>
      </c>
      <c r="H205" s="21" t="s">
        <v>961</v>
      </c>
      <c r="I205" s="6" t="str">
        <f>VLOOKUP(CLEAN(F205),'World Bank Categories'!$B$4:$C$220,2,FALSE)</f>
        <v>Middle income</v>
      </c>
      <c r="J205" s="21" t="s">
        <v>962</v>
      </c>
      <c r="K205" s="21" t="s">
        <v>29</v>
      </c>
      <c r="L205" s="21" t="s">
        <v>30</v>
      </c>
      <c r="M205" s="21" t="s">
        <v>963</v>
      </c>
      <c r="N205" s="21"/>
      <c r="O205" s="21"/>
      <c r="P205" s="21" t="s">
        <v>31</v>
      </c>
      <c r="Q205" s="9" t="s">
        <v>32</v>
      </c>
      <c r="R205" s="10" t="s">
        <v>33</v>
      </c>
      <c r="S205" s="25" t="s">
        <v>960</v>
      </c>
      <c r="T205" s="27">
        <v>22235</v>
      </c>
      <c r="U205" s="25" t="s">
        <v>962</v>
      </c>
      <c r="V205" s="25" t="s">
        <v>80</v>
      </c>
      <c r="W205" s="25"/>
    </row>
    <row r="206" spans="1:23" ht="22.5" customHeight="1">
      <c r="A206" s="20">
        <v>45988.763622685183</v>
      </c>
      <c r="B206" s="21" t="s">
        <v>964</v>
      </c>
      <c r="C206" s="38"/>
      <c r="D206" s="21" t="s">
        <v>24</v>
      </c>
      <c r="E206" s="22">
        <v>31895</v>
      </c>
      <c r="F206" s="21" t="s">
        <v>475</v>
      </c>
      <c r="G206" s="21" t="s">
        <v>965</v>
      </c>
      <c r="H206" s="21" t="s">
        <v>966</v>
      </c>
      <c r="I206" s="6" t="str">
        <f>VLOOKUP(CLEAN(F206),'World Bank Categories'!$B$4:$C$220,2,FALSE)</f>
        <v>Middle income</v>
      </c>
      <c r="J206" s="21" t="s">
        <v>967</v>
      </c>
      <c r="K206" s="21" t="s">
        <v>29</v>
      </c>
      <c r="L206" s="21" t="s">
        <v>30</v>
      </c>
      <c r="M206" s="21" t="s">
        <v>968</v>
      </c>
      <c r="N206" s="21"/>
      <c r="O206" s="21"/>
      <c r="P206" s="21" t="s">
        <v>31</v>
      </c>
      <c r="Q206" s="9" t="s">
        <v>32</v>
      </c>
      <c r="R206" s="18"/>
      <c r="S206" s="25" t="s">
        <v>964</v>
      </c>
      <c r="T206" s="27">
        <v>31895</v>
      </c>
      <c r="U206" s="25" t="s">
        <v>967</v>
      </c>
      <c r="V206" s="25" t="s">
        <v>80</v>
      </c>
      <c r="W206" s="25"/>
    </row>
    <row r="207" spans="1:23" ht="22.5" customHeight="1">
      <c r="A207" s="50">
        <v>45989.189976851849</v>
      </c>
      <c r="B207" s="51" t="s">
        <v>969</v>
      </c>
      <c r="C207" s="52"/>
      <c r="D207" s="51" t="s">
        <v>45</v>
      </c>
      <c r="E207" s="53">
        <v>29659</v>
      </c>
      <c r="F207" s="51" t="s">
        <v>751</v>
      </c>
      <c r="G207" s="51" t="s">
        <v>970</v>
      </c>
      <c r="H207" s="51" t="s">
        <v>111</v>
      </c>
      <c r="I207" s="6" t="str">
        <f>VLOOKUP(CLEAN(F207),'World Bank Categories'!$B$4:$C$220,2,FALSE)</f>
        <v>Low income</v>
      </c>
      <c r="J207" s="51" t="s">
        <v>971</v>
      </c>
      <c r="K207" s="51" t="s">
        <v>29</v>
      </c>
      <c r="L207" s="51" t="s">
        <v>30</v>
      </c>
      <c r="M207" s="51" t="s">
        <v>972</v>
      </c>
      <c r="N207" s="21" t="s">
        <v>973</v>
      </c>
      <c r="O207" s="21" t="s">
        <v>365</v>
      </c>
      <c r="P207" s="51" t="s">
        <v>31</v>
      </c>
      <c r="Q207" s="9" t="s">
        <v>32</v>
      </c>
      <c r="R207" s="18" t="s">
        <v>33</v>
      </c>
      <c r="S207" s="25" t="s">
        <v>974</v>
      </c>
      <c r="T207" s="27">
        <v>29659</v>
      </c>
      <c r="U207" s="25" t="s">
        <v>971</v>
      </c>
      <c r="V207" s="25" t="s">
        <v>154</v>
      </c>
      <c r="W207" s="25"/>
    </row>
    <row r="208" spans="1:23" ht="22.5" customHeight="1">
      <c r="A208" s="20">
        <v>45989.837361111109</v>
      </c>
      <c r="B208" s="21" t="s">
        <v>975</v>
      </c>
      <c r="C208" s="38"/>
      <c r="D208" s="21" t="s">
        <v>45</v>
      </c>
      <c r="E208" s="22">
        <v>33593</v>
      </c>
      <c r="F208" s="21" t="s">
        <v>227</v>
      </c>
      <c r="G208" s="21" t="s">
        <v>976</v>
      </c>
      <c r="H208" s="21" t="s">
        <v>977</v>
      </c>
      <c r="I208" s="6" t="str">
        <f>VLOOKUP(CLEAN(F208),'World Bank Categories'!$B$4:$C$220,2,FALSE)</f>
        <v>Middle income</v>
      </c>
      <c r="J208" s="21" t="s">
        <v>978</v>
      </c>
      <c r="K208" s="21" t="s">
        <v>29</v>
      </c>
      <c r="L208" s="21" t="s">
        <v>30</v>
      </c>
      <c r="M208" s="21"/>
      <c r="N208" s="21"/>
      <c r="O208" s="21"/>
      <c r="P208" s="21" t="s">
        <v>31</v>
      </c>
      <c r="Q208" s="9" t="s">
        <v>32</v>
      </c>
      <c r="R208" s="10" t="s">
        <v>33</v>
      </c>
      <c r="S208" s="25" t="s">
        <v>975</v>
      </c>
      <c r="T208" s="27">
        <v>33593</v>
      </c>
      <c r="U208" s="25" t="s">
        <v>978</v>
      </c>
      <c r="V208" s="25" t="s">
        <v>80</v>
      </c>
      <c r="W208" s="25"/>
    </row>
    <row r="209" spans="1:23" ht="22.5" customHeight="1">
      <c r="A209" s="20">
        <v>45989.917847222219</v>
      </c>
      <c r="B209" s="21" t="s">
        <v>979</v>
      </c>
      <c r="C209" s="38"/>
      <c r="D209" s="21" t="s">
        <v>45</v>
      </c>
      <c r="E209" s="22">
        <v>37852</v>
      </c>
      <c r="F209" s="21" t="s">
        <v>980</v>
      </c>
      <c r="G209" s="21" t="s">
        <v>981</v>
      </c>
      <c r="H209" s="21" t="s">
        <v>138</v>
      </c>
      <c r="I209" s="6" t="str">
        <f>VLOOKUP(CLEAN(F209),'World Bank Categories'!$B$4:$C$220,2,FALSE)</f>
        <v>Middle income</v>
      </c>
      <c r="J209" s="21" t="s">
        <v>982</v>
      </c>
      <c r="K209" s="21" t="s">
        <v>39</v>
      </c>
      <c r="L209" s="21" t="s">
        <v>152</v>
      </c>
      <c r="M209" s="21" t="s">
        <v>983</v>
      </c>
      <c r="N209" s="21"/>
      <c r="O209" s="21"/>
      <c r="P209" s="21" t="s">
        <v>31</v>
      </c>
      <c r="Q209" s="9" t="s">
        <v>32</v>
      </c>
      <c r="R209" s="18" t="s">
        <v>33</v>
      </c>
      <c r="S209" s="25" t="s">
        <v>979</v>
      </c>
      <c r="T209" s="27">
        <v>37852</v>
      </c>
      <c r="U209" s="25" t="s">
        <v>982</v>
      </c>
      <c r="V209" s="25" t="s">
        <v>80</v>
      </c>
      <c r="W209" s="25"/>
    </row>
    <row r="210" spans="1:23" ht="22.5" customHeight="1">
      <c r="A210" s="20">
        <v>45989.920011574075</v>
      </c>
      <c r="B210" s="21" t="s">
        <v>984</v>
      </c>
      <c r="C210" s="38"/>
      <c r="D210" s="21" t="s">
        <v>45</v>
      </c>
      <c r="E210" s="22">
        <v>37875</v>
      </c>
      <c r="F210" s="21" t="s">
        <v>980</v>
      </c>
      <c r="G210" s="21" t="s">
        <v>985</v>
      </c>
      <c r="H210" s="21" t="s">
        <v>368</v>
      </c>
      <c r="I210" s="6" t="str">
        <f>VLOOKUP(CLEAN(F210),'World Bank Categories'!$B$4:$C$220,2,FALSE)</f>
        <v>Middle income</v>
      </c>
      <c r="J210" s="21" t="s">
        <v>986</v>
      </c>
      <c r="K210" s="21" t="s">
        <v>39</v>
      </c>
      <c r="L210" s="21" t="s">
        <v>152</v>
      </c>
      <c r="M210" s="21" t="s">
        <v>987</v>
      </c>
      <c r="N210" s="21"/>
      <c r="O210" s="21"/>
      <c r="P210" s="21" t="s">
        <v>31</v>
      </c>
      <c r="Q210" s="9" t="s">
        <v>32</v>
      </c>
      <c r="R210" s="10" t="s">
        <v>33</v>
      </c>
      <c r="S210" s="25" t="s">
        <v>988</v>
      </c>
      <c r="T210" s="27">
        <v>37875</v>
      </c>
      <c r="U210" s="25" t="s">
        <v>986</v>
      </c>
      <c r="V210" s="25" t="s">
        <v>80</v>
      </c>
      <c r="W210" s="25"/>
    </row>
    <row r="211" spans="1:23" ht="22.5" customHeight="1">
      <c r="A211" s="35">
        <v>45989.952928240738</v>
      </c>
      <c r="B211" s="36" t="s">
        <v>989</v>
      </c>
      <c r="C211" s="55"/>
      <c r="D211" s="36" t="s">
        <v>45</v>
      </c>
      <c r="E211" s="37">
        <v>38368</v>
      </c>
      <c r="F211" s="21" t="s">
        <v>980</v>
      </c>
      <c r="G211" s="36" t="s">
        <v>990</v>
      </c>
      <c r="H211" s="36" t="s">
        <v>991</v>
      </c>
      <c r="I211" s="6" t="str">
        <f>VLOOKUP(CLEAN(F211),'World Bank Categories'!$B$4:$C$220,2,FALSE)</f>
        <v>Middle income</v>
      </c>
      <c r="J211" s="36" t="s">
        <v>992</v>
      </c>
      <c r="K211" s="36" t="s">
        <v>39</v>
      </c>
      <c r="L211" s="36" t="s">
        <v>152</v>
      </c>
      <c r="M211" s="36"/>
      <c r="N211" s="36"/>
      <c r="O211" s="36"/>
      <c r="P211" s="36" t="s">
        <v>31</v>
      </c>
      <c r="Q211" s="9" t="s">
        <v>32</v>
      </c>
      <c r="R211" s="18" t="s">
        <v>33</v>
      </c>
      <c r="S211" s="25" t="s">
        <v>993</v>
      </c>
      <c r="T211" s="27">
        <v>38368</v>
      </c>
      <c r="U211" s="25" t="s">
        <v>992</v>
      </c>
      <c r="V211" s="25" t="s">
        <v>80</v>
      </c>
      <c r="W211" s="25"/>
    </row>
    <row r="212" spans="1:23" ht="22.5" customHeight="1">
      <c r="A212" s="20">
        <v>45989.953750000001</v>
      </c>
      <c r="B212" s="21" t="s">
        <v>994</v>
      </c>
      <c r="C212" s="38"/>
      <c r="D212" s="21" t="s">
        <v>24</v>
      </c>
      <c r="E212" s="22">
        <v>37925</v>
      </c>
      <c r="F212" s="21" t="s">
        <v>980</v>
      </c>
      <c r="G212" s="21" t="s">
        <v>995</v>
      </c>
      <c r="H212" s="21" t="s">
        <v>66</v>
      </c>
      <c r="I212" s="6" t="str">
        <f>VLOOKUP(CLEAN(F212),'World Bank Categories'!$B$4:$C$220,2,FALSE)</f>
        <v>Middle income</v>
      </c>
      <c r="J212" s="21" t="s">
        <v>996</v>
      </c>
      <c r="K212" s="21" t="s">
        <v>39</v>
      </c>
      <c r="L212" s="21" t="s">
        <v>152</v>
      </c>
      <c r="M212" s="21"/>
      <c r="N212" s="21"/>
      <c r="O212" s="21"/>
      <c r="P212" s="21" t="s">
        <v>31</v>
      </c>
      <c r="Q212" s="9" t="s">
        <v>32</v>
      </c>
      <c r="R212" s="10" t="s">
        <v>33</v>
      </c>
      <c r="S212" s="25" t="s">
        <v>997</v>
      </c>
      <c r="T212" s="27">
        <v>37925</v>
      </c>
      <c r="U212" s="25" t="s">
        <v>996</v>
      </c>
      <c r="V212" s="25" t="s">
        <v>154</v>
      </c>
      <c r="W212" s="25"/>
    </row>
    <row r="213" spans="1:23" ht="22.5" customHeight="1">
      <c r="A213" s="20">
        <v>45989.995046296295</v>
      </c>
      <c r="B213" s="21" t="s">
        <v>998</v>
      </c>
      <c r="C213" s="38"/>
      <c r="D213" s="21" t="s">
        <v>45</v>
      </c>
      <c r="E213" s="22">
        <v>36466</v>
      </c>
      <c r="F213" s="21" t="s">
        <v>980</v>
      </c>
      <c r="G213" s="21" t="s">
        <v>999</v>
      </c>
      <c r="H213" s="21" t="s">
        <v>368</v>
      </c>
      <c r="I213" s="6" t="str">
        <f>VLOOKUP(CLEAN(F213),'World Bank Categories'!$B$4:$C$220,2,FALSE)</f>
        <v>Middle income</v>
      </c>
      <c r="J213" s="21" t="s">
        <v>1000</v>
      </c>
      <c r="K213" s="21" t="s">
        <v>39</v>
      </c>
      <c r="L213" s="21" t="s">
        <v>621</v>
      </c>
      <c r="M213" s="21"/>
      <c r="N213" s="21"/>
      <c r="O213" s="21"/>
      <c r="P213" s="21" t="s">
        <v>31</v>
      </c>
      <c r="Q213" s="9" t="s">
        <v>32</v>
      </c>
      <c r="R213" s="18" t="s">
        <v>33</v>
      </c>
      <c r="S213" s="25" t="s">
        <v>1001</v>
      </c>
      <c r="T213" s="27">
        <v>36466</v>
      </c>
      <c r="U213" s="25" t="s">
        <v>1000</v>
      </c>
      <c r="V213" s="25" t="s">
        <v>80</v>
      </c>
      <c r="W213" s="25"/>
    </row>
    <row r="214" spans="1:23" ht="22.5" customHeight="1">
      <c r="A214" s="20">
        <v>45990.019178240742</v>
      </c>
      <c r="B214" s="21" t="s">
        <v>1002</v>
      </c>
      <c r="C214" s="38"/>
      <c r="D214" s="21" t="s">
        <v>24</v>
      </c>
      <c r="E214" s="22">
        <v>37495</v>
      </c>
      <c r="F214" s="21" t="s">
        <v>980</v>
      </c>
      <c r="G214" s="21" t="s">
        <v>985</v>
      </c>
      <c r="H214" s="21" t="s">
        <v>138</v>
      </c>
      <c r="I214" s="6" t="str">
        <f>VLOOKUP(CLEAN(F214),'World Bank Categories'!$B$4:$C$220,2,FALSE)</f>
        <v>Middle income</v>
      </c>
      <c r="J214" s="21" t="s">
        <v>1003</v>
      </c>
      <c r="K214" s="21" t="s">
        <v>39</v>
      </c>
      <c r="L214" s="21" t="s">
        <v>621</v>
      </c>
      <c r="M214" s="21"/>
      <c r="N214" s="21"/>
      <c r="O214" s="21"/>
      <c r="P214" s="21" t="s">
        <v>31</v>
      </c>
      <c r="Q214" s="9" t="s">
        <v>32</v>
      </c>
      <c r="R214" s="10" t="s">
        <v>33</v>
      </c>
      <c r="S214" s="25" t="s">
        <v>1002</v>
      </c>
      <c r="T214" s="27">
        <v>37495</v>
      </c>
      <c r="U214" s="25" t="s">
        <v>1003</v>
      </c>
      <c r="V214" s="25" t="s">
        <v>80</v>
      </c>
      <c r="W214" s="25"/>
    </row>
    <row r="215" spans="1:23" ht="22.5" customHeight="1">
      <c r="A215" s="20">
        <v>45990.201168981483</v>
      </c>
      <c r="B215" s="21" t="s">
        <v>1004</v>
      </c>
      <c r="C215" s="38"/>
      <c r="D215" s="21" t="s">
        <v>45</v>
      </c>
      <c r="E215" s="22">
        <v>32844</v>
      </c>
      <c r="F215" s="21" t="s">
        <v>346</v>
      </c>
      <c r="G215" s="21" t="s">
        <v>1005</v>
      </c>
      <c r="H215" s="21" t="s">
        <v>1006</v>
      </c>
      <c r="I215" s="6" t="str">
        <f>VLOOKUP(CLEAN(F215),'World Bank Categories'!$B$4:$C$220,2,FALSE)</f>
        <v>Middle income</v>
      </c>
      <c r="J215" s="21" t="s">
        <v>1007</v>
      </c>
      <c r="K215" s="21" t="s">
        <v>29</v>
      </c>
      <c r="L215" s="21" t="s">
        <v>30</v>
      </c>
      <c r="M215" s="21"/>
      <c r="N215" s="21"/>
      <c r="O215" s="21"/>
      <c r="P215" s="21" t="s">
        <v>31</v>
      </c>
      <c r="Q215" s="9" t="s">
        <v>32</v>
      </c>
      <c r="R215" s="18" t="s">
        <v>1008</v>
      </c>
      <c r="S215" s="25" t="s">
        <v>1009</v>
      </c>
      <c r="T215" s="27">
        <v>32844</v>
      </c>
      <c r="U215" s="25" t="s">
        <v>1010</v>
      </c>
      <c r="V215" s="25" t="s">
        <v>1011</v>
      </c>
      <c r="W215" s="25"/>
    </row>
    <row r="216" spans="1:23" ht="22.5" customHeight="1">
      <c r="A216" s="20">
        <v>45991.081053240741</v>
      </c>
      <c r="B216" s="21" t="s">
        <v>1012</v>
      </c>
      <c r="C216" s="38"/>
      <c r="D216" s="21" t="s">
        <v>24</v>
      </c>
      <c r="E216" s="22">
        <v>38619</v>
      </c>
      <c r="F216" s="21" t="s">
        <v>980</v>
      </c>
      <c r="G216" s="21" t="s">
        <v>1013</v>
      </c>
      <c r="H216" s="21" t="s">
        <v>1014</v>
      </c>
      <c r="I216" s="6" t="str">
        <f>VLOOKUP(CLEAN(F216),'World Bank Categories'!$B$4:$C$220,2,FALSE)</f>
        <v>Middle income</v>
      </c>
      <c r="J216" s="21" t="s">
        <v>1015</v>
      </c>
      <c r="K216" s="21" t="s">
        <v>39</v>
      </c>
      <c r="L216" s="21" t="s">
        <v>621</v>
      </c>
      <c r="M216" s="21" t="s">
        <v>1016</v>
      </c>
      <c r="N216" s="21"/>
      <c r="O216" s="21"/>
      <c r="P216" s="21" t="s">
        <v>31</v>
      </c>
      <c r="Q216" s="9" t="s">
        <v>32</v>
      </c>
      <c r="R216" s="10" t="s">
        <v>33</v>
      </c>
      <c r="S216" s="25" t="s">
        <v>1017</v>
      </c>
      <c r="T216" s="27">
        <v>38619</v>
      </c>
      <c r="U216" s="25" t="s">
        <v>1015</v>
      </c>
      <c r="V216" s="25" t="s">
        <v>80</v>
      </c>
      <c r="W216" s="25"/>
    </row>
    <row r="217" spans="1:23" ht="22.5" customHeight="1">
      <c r="A217" s="20">
        <v>45991.880393518521</v>
      </c>
      <c r="B217" s="21" t="s">
        <v>1018</v>
      </c>
      <c r="C217" s="21" t="s">
        <v>1019</v>
      </c>
      <c r="D217" s="21" t="s">
        <v>24</v>
      </c>
      <c r="E217" s="22">
        <v>38139</v>
      </c>
      <c r="F217" s="21" t="s">
        <v>980</v>
      </c>
      <c r="G217" s="21" t="s">
        <v>1020</v>
      </c>
      <c r="H217" s="21" t="s">
        <v>66</v>
      </c>
      <c r="I217" s="6" t="str">
        <f>VLOOKUP(CLEAN(F217),'World Bank Categories'!$B$4:$C$220,2,FALSE)</f>
        <v>Middle income</v>
      </c>
      <c r="J217" s="21" t="s">
        <v>1021</v>
      </c>
      <c r="K217" s="21" t="s">
        <v>39</v>
      </c>
      <c r="L217" s="21" t="s">
        <v>152</v>
      </c>
      <c r="M217" s="21" t="s">
        <v>1022</v>
      </c>
      <c r="N217" s="21"/>
      <c r="O217" s="21"/>
      <c r="P217" s="21" t="s">
        <v>31</v>
      </c>
      <c r="Q217" s="9" t="s">
        <v>32</v>
      </c>
      <c r="R217" s="18" t="s">
        <v>33</v>
      </c>
      <c r="S217" s="25" t="s">
        <v>1023</v>
      </c>
      <c r="T217" s="27">
        <v>38139</v>
      </c>
      <c r="U217" s="25" t="s">
        <v>1021</v>
      </c>
      <c r="V217" s="25" t="s">
        <v>154</v>
      </c>
      <c r="W217" s="25"/>
    </row>
    <row r="218" spans="1:23" ht="22.5" customHeight="1">
      <c r="A218" s="50">
        <v>45992.336111111108</v>
      </c>
      <c r="B218" s="51" t="s">
        <v>1024</v>
      </c>
      <c r="C218" s="51" t="s">
        <v>1025</v>
      </c>
      <c r="D218" s="51" t="s">
        <v>24</v>
      </c>
      <c r="E218" s="53">
        <v>35248</v>
      </c>
      <c r="F218" s="51" t="s">
        <v>198</v>
      </c>
      <c r="G218" s="51" t="s">
        <v>1026</v>
      </c>
      <c r="H218" s="51" t="s">
        <v>1027</v>
      </c>
      <c r="I218" s="6" t="str">
        <f>VLOOKUP(CLEAN(F218),'World Bank Categories'!$B$4:$C$220,2,FALSE)</f>
        <v>Middle income</v>
      </c>
      <c r="J218" s="51" t="s">
        <v>1028</v>
      </c>
      <c r="K218" s="51" t="s">
        <v>29</v>
      </c>
      <c r="L218" s="51" t="s">
        <v>30</v>
      </c>
      <c r="M218" s="51"/>
      <c r="N218" s="51"/>
      <c r="O218" s="51"/>
      <c r="P218" s="51" t="s">
        <v>31</v>
      </c>
      <c r="Q218" s="9" t="s">
        <v>32</v>
      </c>
      <c r="R218" s="10" t="s">
        <v>33</v>
      </c>
      <c r="S218" s="25" t="s">
        <v>1024</v>
      </c>
      <c r="T218" s="27">
        <v>35248</v>
      </c>
      <c r="U218" s="25" t="s">
        <v>1028</v>
      </c>
      <c r="V218" s="25" t="s">
        <v>80</v>
      </c>
      <c r="W218" s="25"/>
    </row>
    <row r="219" spans="1:23" ht="22.5" customHeight="1">
      <c r="A219" s="20">
        <v>45993.164479166669</v>
      </c>
      <c r="B219" s="21" t="s">
        <v>1029</v>
      </c>
      <c r="C219" s="38"/>
      <c r="D219" s="21" t="s">
        <v>45</v>
      </c>
      <c r="E219" s="22">
        <v>33281</v>
      </c>
      <c r="F219" s="21" t="s">
        <v>799</v>
      </c>
      <c r="G219" s="21" t="s">
        <v>1030</v>
      </c>
      <c r="H219" s="21" t="s">
        <v>1031</v>
      </c>
      <c r="I219" s="6" t="str">
        <f>VLOOKUP(CLEAN(F219),'World Bank Categories'!$B$4:$C$220,2,FALSE)</f>
        <v>Low income</v>
      </c>
      <c r="J219" s="21" t="s">
        <v>1032</v>
      </c>
      <c r="K219" s="21" t="s">
        <v>29</v>
      </c>
      <c r="L219" s="21" t="s">
        <v>30</v>
      </c>
      <c r="M219" s="21" t="s">
        <v>1033</v>
      </c>
      <c r="N219" s="56" t="s">
        <v>1034</v>
      </c>
      <c r="O219" s="56" t="s">
        <v>1035</v>
      </c>
      <c r="P219" s="21" t="s">
        <v>31</v>
      </c>
      <c r="Q219" s="9" t="s">
        <v>32</v>
      </c>
      <c r="R219" s="10"/>
      <c r="S219" s="25" t="s">
        <v>1036</v>
      </c>
      <c r="T219" s="27">
        <v>33281</v>
      </c>
      <c r="U219" s="25" t="s">
        <v>1032</v>
      </c>
      <c r="V219" s="25" t="s">
        <v>154</v>
      </c>
      <c r="W219" s="25"/>
    </row>
    <row r="220" spans="1:23" ht="22.5" customHeight="1">
      <c r="A220" s="50">
        <v>45993.611990740741</v>
      </c>
      <c r="B220" s="51" t="s">
        <v>1037</v>
      </c>
      <c r="C220" s="52"/>
      <c r="D220" s="51" t="s">
        <v>45</v>
      </c>
      <c r="E220" s="53">
        <v>24838</v>
      </c>
      <c r="F220" s="51" t="s">
        <v>1038</v>
      </c>
      <c r="G220" s="51" t="s">
        <v>1039</v>
      </c>
      <c r="H220" s="51" t="s">
        <v>1040</v>
      </c>
      <c r="I220" s="6" t="str">
        <f>VLOOKUP(CLEAN(F220),'World Bank Categories'!$B$4:$C$220,2,FALSE)</f>
        <v>Middle income</v>
      </c>
      <c r="J220" s="51" t="s">
        <v>1041</v>
      </c>
      <c r="K220" s="51" t="s">
        <v>1042</v>
      </c>
      <c r="L220" s="51" t="s">
        <v>162</v>
      </c>
      <c r="M220" s="51"/>
      <c r="N220" s="51"/>
      <c r="O220" s="51"/>
      <c r="P220" s="51" t="s">
        <v>31</v>
      </c>
      <c r="Q220" s="9" t="s">
        <v>32</v>
      </c>
      <c r="R220" s="18" t="s">
        <v>33</v>
      </c>
      <c r="S220" s="25" t="s">
        <v>1037</v>
      </c>
      <c r="T220" s="27">
        <v>24838</v>
      </c>
      <c r="U220" s="25" t="s">
        <v>1041</v>
      </c>
      <c r="V220" s="25" t="s">
        <v>80</v>
      </c>
      <c r="W220" s="25"/>
    </row>
    <row r="221" spans="1:23" ht="22.5" customHeight="1">
      <c r="A221" s="20">
        <v>45993.750011574077</v>
      </c>
      <c r="B221" s="21" t="s">
        <v>1043</v>
      </c>
      <c r="C221" s="38"/>
      <c r="D221" s="21" t="s">
        <v>45</v>
      </c>
      <c r="E221" s="22">
        <v>37591</v>
      </c>
      <c r="F221" s="21" t="s">
        <v>52</v>
      </c>
      <c r="G221" s="21" t="s">
        <v>1044</v>
      </c>
      <c r="H221" s="21" t="s">
        <v>1045</v>
      </c>
      <c r="I221" s="6" t="str">
        <f>VLOOKUP(CLEAN(F221),'World Bank Categories'!$B$4:$C$220,2,FALSE)</f>
        <v>Middle income</v>
      </c>
      <c r="J221" s="21" t="s">
        <v>1046</v>
      </c>
      <c r="K221" s="21" t="s">
        <v>29</v>
      </c>
      <c r="L221" s="21" t="s">
        <v>30</v>
      </c>
      <c r="M221" s="21"/>
      <c r="N221" s="21"/>
      <c r="O221" s="21"/>
      <c r="P221" s="21" t="s">
        <v>31</v>
      </c>
      <c r="Q221" s="9" t="s">
        <v>32</v>
      </c>
      <c r="R221" s="10"/>
      <c r="S221" s="25" t="s">
        <v>1047</v>
      </c>
      <c r="T221" s="27">
        <v>37591</v>
      </c>
      <c r="U221" s="25" t="s">
        <v>1046</v>
      </c>
      <c r="V221" s="25" t="s">
        <v>154</v>
      </c>
      <c r="W221" s="25"/>
    </row>
    <row r="222" spans="1:23" ht="22.5" customHeight="1">
      <c r="A222" s="20">
        <v>45993.840671296297</v>
      </c>
      <c r="B222" s="21" t="s">
        <v>1048</v>
      </c>
      <c r="C222" s="38"/>
      <c r="D222" s="21" t="s">
        <v>24</v>
      </c>
      <c r="E222" s="22">
        <v>34383</v>
      </c>
      <c r="F222" s="21" t="s">
        <v>88</v>
      </c>
      <c r="G222" s="21" t="s">
        <v>866</v>
      </c>
      <c r="H222" s="21" t="s">
        <v>1049</v>
      </c>
      <c r="I222" s="6" t="str">
        <f>VLOOKUP(CLEAN(F222),'World Bank Categories'!$B$4:$C$220,2,FALSE)</f>
        <v>Low income</v>
      </c>
      <c r="J222" s="21" t="s">
        <v>1050</v>
      </c>
      <c r="K222" s="21" t="s">
        <v>29</v>
      </c>
      <c r="L222" s="21" t="s">
        <v>30</v>
      </c>
      <c r="M222" s="21"/>
      <c r="N222" s="21"/>
      <c r="O222" s="21"/>
      <c r="P222" s="21" t="s">
        <v>31</v>
      </c>
      <c r="Q222" s="9" t="s">
        <v>32</v>
      </c>
      <c r="R222" s="18" t="s">
        <v>33</v>
      </c>
      <c r="S222" s="25" t="s">
        <v>1048</v>
      </c>
      <c r="T222" s="27">
        <v>34383</v>
      </c>
      <c r="U222" s="25" t="s">
        <v>1050</v>
      </c>
      <c r="V222" s="25" t="s">
        <v>80</v>
      </c>
      <c r="W222" s="25"/>
    </row>
    <row r="223" spans="1:23" ht="22.5" customHeight="1">
      <c r="A223" s="20">
        <v>45994.137314814812</v>
      </c>
      <c r="B223" s="21" t="s">
        <v>1051</v>
      </c>
      <c r="C223" s="21" t="s">
        <v>1052</v>
      </c>
      <c r="D223" s="21" t="s">
        <v>45</v>
      </c>
      <c r="E223" s="22">
        <v>30184</v>
      </c>
      <c r="F223" s="21" t="s">
        <v>1053</v>
      </c>
      <c r="G223" s="21" t="s">
        <v>1054</v>
      </c>
      <c r="H223" s="21" t="s">
        <v>1055</v>
      </c>
      <c r="I223" s="6" t="str">
        <f>VLOOKUP(CLEAN(F223),'World Bank Categories'!$B$4:$C$220,2,FALSE)</f>
        <v>High income</v>
      </c>
      <c r="J223" s="21" t="s">
        <v>1056</v>
      </c>
      <c r="K223" s="21" t="s">
        <v>39</v>
      </c>
      <c r="L223" s="21" t="s">
        <v>621</v>
      </c>
      <c r="M223" s="21"/>
      <c r="N223" s="21"/>
      <c r="O223" s="21"/>
      <c r="P223" s="21" t="s">
        <v>31</v>
      </c>
      <c r="Q223" s="9" t="s">
        <v>32</v>
      </c>
      <c r="R223" s="10" t="s">
        <v>33</v>
      </c>
      <c r="S223" s="25" t="s">
        <v>1057</v>
      </c>
      <c r="T223" s="27">
        <v>30184</v>
      </c>
      <c r="U223" s="25" t="s">
        <v>1056</v>
      </c>
      <c r="V223" s="25" t="s">
        <v>154</v>
      </c>
      <c r="W223" s="25"/>
    </row>
    <row r="224" spans="1:23" ht="22.5" customHeight="1">
      <c r="A224" s="20">
        <v>45994.188287037039</v>
      </c>
      <c r="B224" s="21" t="s">
        <v>1058</v>
      </c>
      <c r="C224" s="38"/>
      <c r="D224" s="21" t="s">
        <v>45</v>
      </c>
      <c r="E224" s="22">
        <v>29882</v>
      </c>
      <c r="F224" s="21" t="s">
        <v>380</v>
      </c>
      <c r="G224" s="21" t="s">
        <v>1059</v>
      </c>
      <c r="H224" s="21" t="s">
        <v>90</v>
      </c>
      <c r="I224" s="6" t="str">
        <f>VLOOKUP(CLEAN(F224),'World Bank Categories'!$B$4:$C$220,2,FALSE)</f>
        <v>Low income</v>
      </c>
      <c r="J224" s="21" t="s">
        <v>1060</v>
      </c>
      <c r="K224" s="21" t="s">
        <v>29</v>
      </c>
      <c r="L224" s="21" t="s">
        <v>30</v>
      </c>
      <c r="M224" s="21"/>
      <c r="N224" s="21"/>
      <c r="O224" s="21"/>
      <c r="P224" s="21" t="s">
        <v>31</v>
      </c>
      <c r="Q224" s="9" t="s">
        <v>32</v>
      </c>
      <c r="R224" s="18"/>
      <c r="S224" s="25" t="s">
        <v>1061</v>
      </c>
      <c r="T224" s="27">
        <v>29882</v>
      </c>
      <c r="U224" s="25" t="s">
        <v>1060</v>
      </c>
      <c r="V224" s="25" t="s">
        <v>154</v>
      </c>
      <c r="W224" s="25"/>
    </row>
    <row r="225" spans="1:23" ht="22.5" customHeight="1">
      <c r="A225" s="20">
        <v>45994.546724537038</v>
      </c>
      <c r="B225" s="21" t="s">
        <v>1062</v>
      </c>
      <c r="C225" s="38"/>
      <c r="D225" s="21" t="s">
        <v>24</v>
      </c>
      <c r="E225" s="22">
        <v>32386</v>
      </c>
      <c r="F225" s="21" t="s">
        <v>1063</v>
      </c>
      <c r="G225" s="21" t="s">
        <v>1064</v>
      </c>
      <c r="H225" s="21" t="s">
        <v>1065</v>
      </c>
      <c r="I225" s="6" t="str">
        <f>VLOOKUP(CLEAN(F225),'World Bank Categories'!$B$4:$C$220,2,FALSE)</f>
        <v>Middle income</v>
      </c>
      <c r="J225" s="21" t="s">
        <v>1066</v>
      </c>
      <c r="K225" s="21" t="s">
        <v>29</v>
      </c>
      <c r="L225" s="21" t="s">
        <v>162</v>
      </c>
      <c r="M225" s="21"/>
      <c r="N225" s="21"/>
      <c r="O225" s="21"/>
      <c r="P225" s="21" t="s">
        <v>31</v>
      </c>
      <c r="Q225" s="9" t="s">
        <v>32</v>
      </c>
      <c r="R225" s="10" t="s">
        <v>33</v>
      </c>
      <c r="S225" s="25" t="s">
        <v>1062</v>
      </c>
      <c r="T225" s="27">
        <v>32386</v>
      </c>
      <c r="U225" s="25" t="s">
        <v>1066</v>
      </c>
      <c r="V225" s="25" t="s">
        <v>80</v>
      </c>
      <c r="W225" s="25"/>
    </row>
    <row r="226" spans="1:23" ht="22.5" customHeight="1">
      <c r="A226" s="20">
        <v>45994.893842592595</v>
      </c>
      <c r="B226" s="21" t="s">
        <v>1067</v>
      </c>
      <c r="C226" s="38"/>
      <c r="D226" s="21" t="s">
        <v>45</v>
      </c>
      <c r="E226" s="22">
        <v>35708</v>
      </c>
      <c r="F226" s="21" t="s">
        <v>438</v>
      </c>
      <c r="G226" s="21" t="s">
        <v>1068</v>
      </c>
      <c r="H226" s="21" t="s">
        <v>1069</v>
      </c>
      <c r="I226" s="6" t="str">
        <f>VLOOKUP(CLEAN(F226),'World Bank Categories'!$B$4:$C$220,2,FALSE)</f>
        <v>Middle income</v>
      </c>
      <c r="J226" s="21" t="s">
        <v>1070</v>
      </c>
      <c r="K226" s="21" t="s">
        <v>39</v>
      </c>
      <c r="L226" s="21" t="s">
        <v>30</v>
      </c>
      <c r="M226" s="21"/>
      <c r="N226" s="21"/>
      <c r="O226" s="21"/>
      <c r="P226" s="21" t="s">
        <v>31</v>
      </c>
      <c r="Q226" s="9" t="s">
        <v>32</v>
      </c>
      <c r="R226" s="18" t="s">
        <v>33</v>
      </c>
      <c r="S226" s="25" t="s">
        <v>1067</v>
      </c>
      <c r="T226" s="27">
        <v>35708</v>
      </c>
      <c r="U226" s="25" t="s">
        <v>1070</v>
      </c>
      <c r="V226" s="25" t="s">
        <v>80</v>
      </c>
      <c r="W226" s="25"/>
    </row>
    <row r="227" spans="1:23" ht="22.5" customHeight="1">
      <c r="A227" s="20">
        <v>45994.995312500003</v>
      </c>
      <c r="B227" s="21" t="s">
        <v>1071</v>
      </c>
      <c r="C227" s="38"/>
      <c r="D227" s="21" t="s">
        <v>24</v>
      </c>
      <c r="E227" s="22">
        <v>38389</v>
      </c>
      <c r="F227" s="21" t="s">
        <v>980</v>
      </c>
      <c r="G227" s="21" t="s">
        <v>1072</v>
      </c>
      <c r="H227" s="21" t="s">
        <v>66</v>
      </c>
      <c r="I227" s="6" t="str">
        <f>VLOOKUP(CLEAN(F227),'World Bank Categories'!$B$4:$C$220,2,FALSE)</f>
        <v>Middle income</v>
      </c>
      <c r="J227" s="21" t="s">
        <v>1073</v>
      </c>
      <c r="K227" s="21" t="s">
        <v>39</v>
      </c>
      <c r="L227" s="21" t="s">
        <v>152</v>
      </c>
      <c r="M227" s="21"/>
      <c r="N227" s="21"/>
      <c r="O227" s="21"/>
      <c r="P227" s="21" t="s">
        <v>31</v>
      </c>
      <c r="Q227" s="9" t="s">
        <v>32</v>
      </c>
      <c r="R227" s="10" t="s">
        <v>33</v>
      </c>
      <c r="S227" s="25" t="s">
        <v>1071</v>
      </c>
      <c r="T227" s="27">
        <v>38389</v>
      </c>
      <c r="U227" s="25" t="s">
        <v>1073</v>
      </c>
      <c r="V227" s="25" t="s">
        <v>80</v>
      </c>
      <c r="W227" s="25"/>
    </row>
    <row r="228" spans="1:23" ht="22.5" customHeight="1">
      <c r="A228" s="20">
        <v>45994.998344907406</v>
      </c>
      <c r="B228" s="21" t="s">
        <v>1074</v>
      </c>
      <c r="C228" s="38"/>
      <c r="D228" s="21" t="s">
        <v>45</v>
      </c>
      <c r="E228" s="22">
        <v>38977</v>
      </c>
      <c r="F228" s="21" t="s">
        <v>980</v>
      </c>
      <c r="G228" s="21" t="s">
        <v>1075</v>
      </c>
      <c r="H228" s="21" t="s">
        <v>66</v>
      </c>
      <c r="I228" s="6" t="str">
        <f>VLOOKUP(CLEAN(F228),'World Bank Categories'!$B$4:$C$220,2,FALSE)</f>
        <v>Middle income</v>
      </c>
      <c r="J228" s="21" t="s">
        <v>1076</v>
      </c>
      <c r="K228" s="21" t="s">
        <v>39</v>
      </c>
      <c r="L228" s="21" t="s">
        <v>152</v>
      </c>
      <c r="M228" s="21"/>
      <c r="N228" s="21"/>
      <c r="O228" s="21"/>
      <c r="P228" s="21" t="s">
        <v>31</v>
      </c>
      <c r="Q228" s="42" t="s">
        <v>32</v>
      </c>
      <c r="R228" s="18" t="s">
        <v>33</v>
      </c>
      <c r="S228" s="25"/>
      <c r="T228" s="26"/>
      <c r="U228" s="25"/>
      <c r="V228" s="25"/>
      <c r="W228" s="25"/>
    </row>
    <row r="229" spans="1:23" ht="22.5" customHeight="1">
      <c r="A229" s="20">
        <v>45995.008425925924</v>
      </c>
      <c r="B229" s="21" t="s">
        <v>1077</v>
      </c>
      <c r="C229" s="38"/>
      <c r="D229" s="21" t="s">
        <v>24</v>
      </c>
      <c r="E229" s="22">
        <v>38508</v>
      </c>
      <c r="F229" s="21" t="s">
        <v>980</v>
      </c>
      <c r="G229" s="21" t="s">
        <v>1072</v>
      </c>
      <c r="H229" s="21" t="s">
        <v>66</v>
      </c>
      <c r="I229" s="6" t="str">
        <f>VLOOKUP(CLEAN(F229),'World Bank Categories'!$B$4:$C$220,2,FALSE)</f>
        <v>Middle income</v>
      </c>
      <c r="J229" s="21" t="s">
        <v>1078</v>
      </c>
      <c r="K229" s="21" t="s">
        <v>39</v>
      </c>
      <c r="L229" s="21" t="s">
        <v>152</v>
      </c>
      <c r="M229" s="21"/>
      <c r="N229" s="21"/>
      <c r="O229" s="21"/>
      <c r="P229" s="21" t="s">
        <v>31</v>
      </c>
      <c r="Q229" s="9" t="s">
        <v>32</v>
      </c>
      <c r="R229" s="10" t="s">
        <v>33</v>
      </c>
      <c r="S229" s="25" t="s">
        <v>1077</v>
      </c>
      <c r="T229" s="27">
        <v>38508</v>
      </c>
      <c r="U229" s="25" t="s">
        <v>1078</v>
      </c>
      <c r="V229" s="25" t="s">
        <v>80</v>
      </c>
      <c r="W229" s="25"/>
    </row>
    <row r="230" spans="1:23" ht="22.5" customHeight="1">
      <c r="A230" s="20">
        <v>45996.041030092594</v>
      </c>
      <c r="B230" s="21" t="s">
        <v>1079</v>
      </c>
      <c r="C230" s="38"/>
      <c r="D230" s="21" t="s">
        <v>45</v>
      </c>
      <c r="E230" s="22">
        <v>32733</v>
      </c>
      <c r="F230" s="21" t="s">
        <v>980</v>
      </c>
      <c r="G230" s="21" t="s">
        <v>1080</v>
      </c>
      <c r="H230" s="21" t="s">
        <v>90</v>
      </c>
      <c r="I230" s="6" t="str">
        <f>VLOOKUP(CLEAN(F230),'World Bank Categories'!$B$4:$C$220,2,FALSE)</f>
        <v>Middle income</v>
      </c>
      <c r="J230" s="21" t="s">
        <v>1081</v>
      </c>
      <c r="K230" s="21" t="s">
        <v>39</v>
      </c>
      <c r="L230" s="21" t="s">
        <v>621</v>
      </c>
      <c r="M230" s="21" t="s">
        <v>1082</v>
      </c>
      <c r="N230" s="34" t="s">
        <v>1083</v>
      </c>
      <c r="O230" s="21" t="s">
        <v>365</v>
      </c>
      <c r="P230" s="21" t="s">
        <v>31</v>
      </c>
      <c r="Q230" s="9" t="s">
        <v>32</v>
      </c>
      <c r="R230" s="18" t="s">
        <v>33</v>
      </c>
      <c r="S230" s="25" t="s">
        <v>1079</v>
      </c>
      <c r="T230" s="27">
        <v>32733</v>
      </c>
      <c r="U230" s="25" t="s">
        <v>1081</v>
      </c>
      <c r="V230" s="25" t="s">
        <v>80</v>
      </c>
      <c r="W230" s="25"/>
    </row>
    <row r="231" spans="1:23" ht="22.5" customHeight="1">
      <c r="A231" s="20">
        <v>45997.913298611114</v>
      </c>
      <c r="B231" s="21" t="s">
        <v>1084</v>
      </c>
      <c r="C231" s="38"/>
      <c r="D231" s="21" t="s">
        <v>45</v>
      </c>
      <c r="E231" s="22">
        <v>36956</v>
      </c>
      <c r="F231" s="21" t="s">
        <v>64</v>
      </c>
      <c r="G231" s="21" t="s">
        <v>1085</v>
      </c>
      <c r="H231" s="21" t="s">
        <v>54</v>
      </c>
      <c r="I231" s="6" t="str">
        <f>VLOOKUP(CLEAN(F231),'World Bank Categories'!$B$4:$C$220,2,FALSE)</f>
        <v>Middle income</v>
      </c>
      <c r="J231" s="21" t="s">
        <v>1086</v>
      </c>
      <c r="K231" s="21" t="s">
        <v>29</v>
      </c>
      <c r="L231" s="21" t="s">
        <v>30</v>
      </c>
      <c r="M231" s="21"/>
      <c r="N231" s="21"/>
      <c r="O231" s="21"/>
      <c r="P231" s="21" t="s">
        <v>31</v>
      </c>
      <c r="Q231" s="9" t="s">
        <v>32</v>
      </c>
      <c r="R231" s="10" t="s">
        <v>33</v>
      </c>
      <c r="S231" s="25" t="s">
        <v>1084</v>
      </c>
      <c r="T231" s="27">
        <v>36956</v>
      </c>
      <c r="U231" s="25" t="s">
        <v>1086</v>
      </c>
      <c r="V231" s="25" t="s">
        <v>80</v>
      </c>
      <c r="W231" s="25"/>
    </row>
    <row r="232" spans="1:23" ht="22.5" customHeight="1">
      <c r="A232" s="20">
        <v>45999.920925925922</v>
      </c>
      <c r="B232" s="21" t="s">
        <v>1087</v>
      </c>
      <c r="C232" s="21" t="s">
        <v>1088</v>
      </c>
      <c r="D232" s="21" t="s">
        <v>24</v>
      </c>
      <c r="E232" s="22">
        <v>37314</v>
      </c>
      <c r="F232" s="21" t="s">
        <v>1063</v>
      </c>
      <c r="G232" s="21" t="s">
        <v>1089</v>
      </c>
      <c r="H232" s="21" t="s">
        <v>1090</v>
      </c>
      <c r="I232" s="6" t="str">
        <f>VLOOKUP(CLEAN(F232),'World Bank Categories'!$B$4:$C$220,2,FALSE)</f>
        <v>Middle income</v>
      </c>
      <c r="J232" s="21" t="s">
        <v>1091</v>
      </c>
      <c r="K232" s="21" t="s">
        <v>29</v>
      </c>
      <c r="L232" s="21" t="s">
        <v>30</v>
      </c>
      <c r="M232" s="21"/>
      <c r="N232" s="21"/>
      <c r="O232" s="21"/>
      <c r="P232" s="21" t="s">
        <v>31</v>
      </c>
      <c r="Q232" s="9" t="s">
        <v>32</v>
      </c>
      <c r="R232" s="18" t="s">
        <v>33</v>
      </c>
      <c r="S232" s="25" t="s">
        <v>1087</v>
      </c>
      <c r="T232" s="27">
        <v>37314</v>
      </c>
      <c r="U232" s="25" t="s">
        <v>1091</v>
      </c>
      <c r="V232" s="25" t="s">
        <v>80</v>
      </c>
      <c r="W232" s="25"/>
    </row>
    <row r="233" spans="1:23" ht="22.5" customHeight="1">
      <c r="A233" s="20">
        <v>45999.960219907407</v>
      </c>
      <c r="B233" s="21" t="s">
        <v>1092</v>
      </c>
      <c r="C233" s="38"/>
      <c r="D233" s="21" t="s">
        <v>45</v>
      </c>
      <c r="E233" s="22">
        <v>37542</v>
      </c>
      <c r="F233" s="21" t="s">
        <v>1063</v>
      </c>
      <c r="G233" s="21" t="s">
        <v>1093</v>
      </c>
      <c r="H233" s="21" t="s">
        <v>66</v>
      </c>
      <c r="I233" s="6" t="str">
        <f>VLOOKUP(CLEAN(F233),'World Bank Categories'!$B$4:$C$220,2,FALSE)</f>
        <v>Middle income</v>
      </c>
      <c r="J233" s="21" t="s">
        <v>1094</v>
      </c>
      <c r="K233" s="21" t="s">
        <v>29</v>
      </c>
      <c r="L233" s="21" t="s">
        <v>30</v>
      </c>
      <c r="M233" s="21"/>
      <c r="N233" s="21"/>
      <c r="O233" s="21"/>
      <c r="P233" s="21" t="s">
        <v>31</v>
      </c>
      <c r="Q233" s="9" t="s">
        <v>32</v>
      </c>
      <c r="R233" s="10"/>
      <c r="S233" s="25" t="s">
        <v>1092</v>
      </c>
      <c r="T233" s="27">
        <v>37542</v>
      </c>
      <c r="U233" s="25" t="s">
        <v>1094</v>
      </c>
      <c r="V233" s="25" t="s">
        <v>80</v>
      </c>
      <c r="W233" s="25"/>
    </row>
    <row r="234" spans="1:23" ht="22.5" customHeight="1">
      <c r="A234" s="5">
        <v>46001.294196261573</v>
      </c>
      <c r="B234" s="6" t="s">
        <v>1095</v>
      </c>
      <c r="C234" s="7"/>
      <c r="D234" s="6" t="s">
        <v>24</v>
      </c>
      <c r="E234" s="8">
        <v>34048</v>
      </c>
      <c r="F234" s="6" t="s">
        <v>310</v>
      </c>
      <c r="G234" s="6" t="s">
        <v>1096</v>
      </c>
      <c r="H234" s="6" t="s">
        <v>1097</v>
      </c>
      <c r="I234" s="6" t="str">
        <f>VLOOKUP(CLEAN(F234),'World Bank Categories'!$B$4:$C$220,2,FALSE)</f>
        <v>High income</v>
      </c>
      <c r="J234" s="6" t="s">
        <v>1098</v>
      </c>
      <c r="K234" s="6" t="s">
        <v>29</v>
      </c>
      <c r="L234" s="6" t="s">
        <v>30</v>
      </c>
      <c r="M234" s="7"/>
      <c r="N234" s="6"/>
      <c r="O234" s="6"/>
      <c r="P234" s="6" t="s">
        <v>31</v>
      </c>
      <c r="Q234" s="9" t="s">
        <v>32</v>
      </c>
      <c r="R234" s="18" t="s">
        <v>33</v>
      </c>
      <c r="S234" s="11" t="s">
        <v>1095</v>
      </c>
      <c r="T234" s="12"/>
      <c r="U234" s="12"/>
      <c r="V234" s="12"/>
      <c r="W234" s="12"/>
    </row>
    <row r="235" spans="1:23" ht="22.5" customHeight="1">
      <c r="A235" s="20">
        <v>46001.703275462962</v>
      </c>
      <c r="B235" s="21" t="s">
        <v>1099</v>
      </c>
      <c r="C235" s="21" t="s">
        <v>1100</v>
      </c>
      <c r="D235" s="21" t="s">
        <v>24</v>
      </c>
      <c r="E235" s="22">
        <v>36638</v>
      </c>
      <c r="F235" s="21" t="s">
        <v>70</v>
      </c>
      <c r="G235" s="21" t="s">
        <v>71</v>
      </c>
      <c r="H235" s="21" t="s">
        <v>376</v>
      </c>
      <c r="I235" s="6" t="str">
        <f>VLOOKUP(CLEAN(F235),'World Bank Categories'!$B$4:$C$220,2,FALSE)</f>
        <v>Middle income</v>
      </c>
      <c r="J235" s="21" t="s">
        <v>1101</v>
      </c>
      <c r="K235" s="21" t="s">
        <v>29</v>
      </c>
      <c r="L235" s="21" t="s">
        <v>30</v>
      </c>
      <c r="M235" s="21"/>
      <c r="N235" s="21"/>
      <c r="O235" s="21"/>
      <c r="P235" s="21" t="s">
        <v>31</v>
      </c>
      <c r="Q235" s="9" t="s">
        <v>32</v>
      </c>
      <c r="R235" s="10" t="s">
        <v>33</v>
      </c>
      <c r="S235" s="25" t="s">
        <v>1099</v>
      </c>
      <c r="T235" s="27">
        <v>36638</v>
      </c>
      <c r="U235" s="25" t="s">
        <v>1101</v>
      </c>
      <c r="V235" s="25" t="s">
        <v>80</v>
      </c>
      <c r="W235" s="25"/>
    </row>
    <row r="236" spans="1:23" ht="22.5" customHeight="1">
      <c r="A236" s="20">
        <v>46001.911145833335</v>
      </c>
      <c r="B236" s="21" t="s">
        <v>1102</v>
      </c>
      <c r="C236" s="38"/>
      <c r="D236" s="21" t="s">
        <v>45</v>
      </c>
      <c r="E236" s="22">
        <v>34365</v>
      </c>
      <c r="F236" s="21" t="s">
        <v>380</v>
      </c>
      <c r="G236" s="21" t="s">
        <v>1103</v>
      </c>
      <c r="H236" s="21" t="s">
        <v>1104</v>
      </c>
      <c r="I236" s="6" t="str">
        <f>VLOOKUP(CLEAN(F236),'World Bank Categories'!$B$4:$C$220,2,FALSE)</f>
        <v>Low income</v>
      </c>
      <c r="J236" s="21" t="s">
        <v>1105</v>
      </c>
      <c r="K236" s="21" t="s">
        <v>29</v>
      </c>
      <c r="L236" s="21" t="s">
        <v>30</v>
      </c>
      <c r="M236" s="21"/>
      <c r="N236" s="21"/>
      <c r="O236" s="21"/>
      <c r="P236" s="21" t="s">
        <v>31</v>
      </c>
      <c r="Q236" s="9" t="s">
        <v>32</v>
      </c>
      <c r="R236" s="18"/>
      <c r="S236" s="25" t="s">
        <v>1102</v>
      </c>
      <c r="T236" s="27">
        <v>34365</v>
      </c>
      <c r="U236" s="25" t="s">
        <v>1105</v>
      </c>
      <c r="V236" s="25" t="s">
        <v>80</v>
      </c>
      <c r="W236" s="25"/>
    </row>
    <row r="237" spans="1:23" ht="22.5" customHeight="1">
      <c r="A237" s="20">
        <v>46002.060347222221</v>
      </c>
      <c r="B237" s="21" t="s">
        <v>1106</v>
      </c>
      <c r="C237" s="38"/>
      <c r="D237" s="21" t="s">
        <v>24</v>
      </c>
      <c r="E237" s="22">
        <v>34207</v>
      </c>
      <c r="F237" s="21" t="s">
        <v>1107</v>
      </c>
      <c r="G237" s="21" t="s">
        <v>1108</v>
      </c>
      <c r="H237" s="21" t="s">
        <v>1109</v>
      </c>
      <c r="I237" s="6" t="str">
        <f>VLOOKUP(CLEAN(F237),'World Bank Categories'!$B$4:$C$220,2,FALSE)</f>
        <v>Middle income</v>
      </c>
      <c r="J237" s="21" t="s">
        <v>1110</v>
      </c>
      <c r="K237" s="21" t="s">
        <v>29</v>
      </c>
      <c r="L237" s="21" t="s">
        <v>30</v>
      </c>
      <c r="M237" s="21"/>
      <c r="N237" s="21"/>
      <c r="O237" s="21"/>
      <c r="P237" s="21" t="s">
        <v>31</v>
      </c>
      <c r="Q237" s="9" t="s">
        <v>32</v>
      </c>
      <c r="R237" s="10" t="s">
        <v>33</v>
      </c>
      <c r="S237" s="25" t="s">
        <v>1106</v>
      </c>
      <c r="T237" s="27">
        <v>34207</v>
      </c>
      <c r="U237" s="25" t="s">
        <v>1110</v>
      </c>
      <c r="V237" s="25" t="s">
        <v>80</v>
      </c>
      <c r="W237" s="25"/>
    </row>
    <row r="238" spans="1:23" ht="22.5" customHeight="1">
      <c r="A238" s="20">
        <v>46002.060393518521</v>
      </c>
      <c r="B238" s="21" t="s">
        <v>1111</v>
      </c>
      <c r="C238" s="38"/>
      <c r="D238" s="21" t="s">
        <v>45</v>
      </c>
      <c r="E238" s="22">
        <v>36040</v>
      </c>
      <c r="F238" s="21" t="s">
        <v>1112</v>
      </c>
      <c r="G238" s="21" t="s">
        <v>1113</v>
      </c>
      <c r="H238" s="21" t="s">
        <v>1114</v>
      </c>
      <c r="I238" s="6" t="str">
        <f>VLOOKUP(CLEAN(F238),'World Bank Categories'!$B$4:$C$220,2,FALSE)</f>
        <v>Low income</v>
      </c>
      <c r="J238" s="21" t="s">
        <v>1115</v>
      </c>
      <c r="K238" s="21" t="s">
        <v>29</v>
      </c>
      <c r="L238" s="21" t="s">
        <v>30</v>
      </c>
      <c r="M238" s="21"/>
      <c r="N238" s="21"/>
      <c r="O238" s="21"/>
      <c r="P238" s="21" t="s">
        <v>31</v>
      </c>
      <c r="Q238" s="9" t="s">
        <v>32</v>
      </c>
      <c r="R238" s="18" t="s">
        <v>33</v>
      </c>
      <c r="S238" s="25" t="s">
        <v>1111</v>
      </c>
      <c r="T238" s="27">
        <v>35835</v>
      </c>
      <c r="U238" s="25" t="s">
        <v>1115</v>
      </c>
      <c r="V238" s="25" t="s">
        <v>236</v>
      </c>
      <c r="W238" s="25"/>
    </row>
    <row r="239" spans="1:23" ht="22.5" customHeight="1">
      <c r="A239" s="20">
        <v>46004.082199074073</v>
      </c>
      <c r="B239" s="21" t="s">
        <v>1116</v>
      </c>
      <c r="C239" s="38"/>
      <c r="D239" s="21" t="s">
        <v>45</v>
      </c>
      <c r="E239" s="22">
        <v>35243</v>
      </c>
      <c r="F239" s="21" t="s">
        <v>70</v>
      </c>
      <c r="G239" s="21" t="s">
        <v>77</v>
      </c>
      <c r="H239" s="21" t="s">
        <v>1117</v>
      </c>
      <c r="I239" s="6" t="str">
        <f>VLOOKUP(CLEAN(F239),'World Bank Categories'!$B$4:$C$220,2,FALSE)</f>
        <v>Middle income</v>
      </c>
      <c r="J239" s="21" t="s">
        <v>1118</v>
      </c>
      <c r="K239" s="21" t="s">
        <v>29</v>
      </c>
      <c r="L239" s="21" t="s">
        <v>30</v>
      </c>
      <c r="M239" s="21"/>
      <c r="N239" s="21"/>
      <c r="O239" s="21"/>
      <c r="P239" s="21" t="s">
        <v>31</v>
      </c>
      <c r="Q239" s="9" t="s">
        <v>32</v>
      </c>
      <c r="R239" s="10"/>
      <c r="S239" s="25" t="s">
        <v>1119</v>
      </c>
      <c r="T239" s="27">
        <v>35243</v>
      </c>
      <c r="U239" s="25" t="s">
        <v>1118</v>
      </c>
      <c r="V239" s="25" t="s">
        <v>154</v>
      </c>
      <c r="W239" s="25"/>
    </row>
    <row r="240" spans="1:23" ht="22.5" customHeight="1">
      <c r="A240" s="20">
        <v>46005.601759259262</v>
      </c>
      <c r="B240" s="21" t="s">
        <v>1120</v>
      </c>
      <c r="C240" s="21" t="s">
        <v>1121</v>
      </c>
      <c r="D240" s="21" t="s">
        <v>24</v>
      </c>
      <c r="E240" s="22">
        <v>32884</v>
      </c>
      <c r="F240" s="21" t="s">
        <v>380</v>
      </c>
      <c r="G240" s="21" t="s">
        <v>1122</v>
      </c>
      <c r="H240" s="21" t="s">
        <v>1123</v>
      </c>
      <c r="I240" s="6" t="str">
        <f>VLOOKUP(CLEAN(F240),'World Bank Categories'!$B$4:$C$220,2,FALSE)</f>
        <v>Low income</v>
      </c>
      <c r="J240" s="21" t="s">
        <v>1124</v>
      </c>
      <c r="K240" s="21" t="s">
        <v>29</v>
      </c>
      <c r="L240" s="21" t="s">
        <v>30</v>
      </c>
      <c r="M240" s="21" t="s">
        <v>1125</v>
      </c>
      <c r="N240" s="21"/>
      <c r="O240" s="21"/>
      <c r="P240" s="21" t="s">
        <v>31</v>
      </c>
      <c r="Q240" s="9" t="s">
        <v>32</v>
      </c>
      <c r="R240" s="18"/>
      <c r="S240" s="25" t="s">
        <v>1126</v>
      </c>
      <c r="T240" s="27">
        <v>32884</v>
      </c>
      <c r="U240" s="25" t="s">
        <v>1127</v>
      </c>
      <c r="V240" s="25" t="s">
        <v>101</v>
      </c>
      <c r="W240" s="25"/>
    </row>
    <row r="241" spans="1:23" ht="22.5" customHeight="1">
      <c r="A241" s="20">
        <v>46005.60796296296</v>
      </c>
      <c r="B241" s="21" t="s">
        <v>1128</v>
      </c>
      <c r="C241" s="21" t="s">
        <v>1129</v>
      </c>
      <c r="D241" s="21" t="s">
        <v>45</v>
      </c>
      <c r="E241" s="22">
        <v>31030</v>
      </c>
      <c r="F241" s="21" t="s">
        <v>380</v>
      </c>
      <c r="G241" s="21" t="s">
        <v>1130</v>
      </c>
      <c r="H241" s="21" t="s">
        <v>1123</v>
      </c>
      <c r="I241" s="6" t="str">
        <f>VLOOKUP(CLEAN(F241),'World Bank Categories'!$B$4:$C$220,2,FALSE)</f>
        <v>Low income</v>
      </c>
      <c r="J241" s="21" t="s">
        <v>1131</v>
      </c>
      <c r="K241" s="21" t="s">
        <v>29</v>
      </c>
      <c r="L241" s="21" t="s">
        <v>30</v>
      </c>
      <c r="M241" s="21" t="s">
        <v>1132</v>
      </c>
      <c r="N241" s="21"/>
      <c r="O241" s="21"/>
      <c r="P241" s="21" t="s">
        <v>31</v>
      </c>
      <c r="Q241" s="9" t="s">
        <v>32</v>
      </c>
      <c r="R241" s="10"/>
      <c r="S241" s="25" t="s">
        <v>1128</v>
      </c>
      <c r="T241" s="27">
        <v>31030</v>
      </c>
      <c r="U241" s="25" t="s">
        <v>1131</v>
      </c>
      <c r="V241" s="25" t="s">
        <v>80</v>
      </c>
      <c r="W241" s="25"/>
    </row>
    <row r="242" spans="1:23" ht="22.5" customHeight="1">
      <c r="A242" s="20">
        <v>46006.693368055552</v>
      </c>
      <c r="B242" s="21" t="s">
        <v>1133</v>
      </c>
      <c r="C242" s="38"/>
      <c r="D242" s="21" t="s">
        <v>45</v>
      </c>
      <c r="E242" s="22">
        <v>25932</v>
      </c>
      <c r="F242" s="21" t="s">
        <v>232</v>
      </c>
      <c r="G242" s="21" t="s">
        <v>1134</v>
      </c>
      <c r="H242" s="21" t="s">
        <v>1135</v>
      </c>
      <c r="I242" s="6" t="str">
        <f>VLOOKUP(CLEAN(F242),'World Bank Categories'!$B$4:$C$220,2,FALSE)</f>
        <v>Middle income</v>
      </c>
      <c r="J242" s="21" t="s">
        <v>1136</v>
      </c>
      <c r="K242" s="21" t="s">
        <v>29</v>
      </c>
      <c r="L242" s="21" t="s">
        <v>30</v>
      </c>
      <c r="M242" s="21"/>
      <c r="N242" s="21"/>
      <c r="O242" s="21"/>
      <c r="P242" s="21" t="s">
        <v>31</v>
      </c>
      <c r="Q242" s="9" t="s">
        <v>32</v>
      </c>
      <c r="R242" s="18" t="s">
        <v>33</v>
      </c>
      <c r="S242" s="25" t="s">
        <v>1137</v>
      </c>
      <c r="T242" s="27">
        <v>25932</v>
      </c>
      <c r="U242" s="25" t="s">
        <v>1136</v>
      </c>
      <c r="V242" s="25" t="s">
        <v>154</v>
      </c>
      <c r="W242" s="25"/>
    </row>
    <row r="243" spans="1:23" ht="22.5" customHeight="1">
      <c r="A243" s="20">
        <v>46007.604178240741</v>
      </c>
      <c r="B243" s="21" t="s">
        <v>1138</v>
      </c>
      <c r="C243" s="38"/>
      <c r="D243" s="21" t="s">
        <v>24</v>
      </c>
      <c r="E243" s="22">
        <v>36554</v>
      </c>
      <c r="F243" s="21" t="s">
        <v>70</v>
      </c>
      <c r="G243" s="21" t="s">
        <v>1139</v>
      </c>
      <c r="H243" s="21" t="s">
        <v>263</v>
      </c>
      <c r="I243" s="6" t="str">
        <f>VLOOKUP(CLEAN(F243),'World Bank Categories'!$B$4:$C$220,2,FALSE)</f>
        <v>Middle income</v>
      </c>
      <c r="J243" s="21" t="s">
        <v>1140</v>
      </c>
      <c r="K243" s="21" t="s">
        <v>29</v>
      </c>
      <c r="L243" s="21" t="s">
        <v>30</v>
      </c>
      <c r="M243" s="21"/>
      <c r="N243" s="21"/>
      <c r="O243" s="21"/>
      <c r="P243" s="21" t="s">
        <v>31</v>
      </c>
      <c r="Q243" s="9" t="s">
        <v>32</v>
      </c>
      <c r="R243" s="10" t="s">
        <v>33</v>
      </c>
      <c r="S243" s="25" t="s">
        <v>1141</v>
      </c>
      <c r="T243" s="27">
        <v>36554</v>
      </c>
      <c r="U243" s="25" t="s">
        <v>1140</v>
      </c>
      <c r="V243" s="25" t="s">
        <v>154</v>
      </c>
      <c r="W243" s="25"/>
    </row>
    <row r="244" spans="1:23" ht="22.5" customHeight="1">
      <c r="A244" s="20">
        <v>46007.604178240741</v>
      </c>
      <c r="B244" s="21" t="s">
        <v>1142</v>
      </c>
      <c r="C244" s="38"/>
      <c r="D244" s="21" t="s">
        <v>24</v>
      </c>
      <c r="E244" s="22">
        <v>37217</v>
      </c>
      <c r="F244" s="21" t="s">
        <v>70</v>
      </c>
      <c r="G244" s="21" t="s">
        <v>1143</v>
      </c>
      <c r="H244" s="21" t="s">
        <v>263</v>
      </c>
      <c r="I244" s="6" t="str">
        <f>VLOOKUP(CLEAN(F244),'World Bank Categories'!$B$4:$C$220,2,FALSE)</f>
        <v>Middle income</v>
      </c>
      <c r="J244" s="21" t="s">
        <v>1144</v>
      </c>
      <c r="K244" s="21" t="s">
        <v>29</v>
      </c>
      <c r="L244" s="21" t="s">
        <v>30</v>
      </c>
      <c r="M244" s="21"/>
      <c r="N244" s="21"/>
      <c r="O244" s="21"/>
      <c r="P244" s="21" t="s">
        <v>31</v>
      </c>
      <c r="Q244" s="9" t="s">
        <v>32</v>
      </c>
      <c r="R244" s="18"/>
      <c r="S244" s="25" t="s">
        <v>1145</v>
      </c>
      <c r="T244" s="27">
        <v>37217</v>
      </c>
      <c r="U244" s="25" t="s">
        <v>1144</v>
      </c>
      <c r="V244" s="25" t="s">
        <v>154</v>
      </c>
      <c r="W244" s="25"/>
    </row>
    <row r="245" spans="1:23" ht="22.5" customHeight="1">
      <c r="A245" s="46">
        <v>46007.891782407409</v>
      </c>
      <c r="B245" s="47" t="s">
        <v>1146</v>
      </c>
      <c r="C245" s="47" t="s">
        <v>1147</v>
      </c>
      <c r="D245" s="47" t="s">
        <v>24</v>
      </c>
      <c r="E245" s="49">
        <v>33954</v>
      </c>
      <c r="F245" s="47" t="s">
        <v>64</v>
      </c>
      <c r="G245" s="47" t="s">
        <v>1148</v>
      </c>
      <c r="H245" s="47" t="s">
        <v>186</v>
      </c>
      <c r="I245" s="6" t="str">
        <f>VLOOKUP(CLEAN(F245),'World Bank Categories'!$B$4:$C$220,2,FALSE)</f>
        <v>Middle income</v>
      </c>
      <c r="J245" s="47" t="s">
        <v>1149</v>
      </c>
      <c r="K245" s="47" t="s">
        <v>29</v>
      </c>
      <c r="L245" s="47" t="s">
        <v>30</v>
      </c>
      <c r="M245" s="47"/>
      <c r="N245" s="47"/>
      <c r="O245" s="47"/>
      <c r="P245" s="47" t="s">
        <v>31</v>
      </c>
      <c r="Q245" s="9" t="s">
        <v>32</v>
      </c>
      <c r="R245" s="10" t="s">
        <v>33</v>
      </c>
      <c r="S245" s="25" t="s">
        <v>1150</v>
      </c>
      <c r="T245" s="27">
        <v>33682</v>
      </c>
      <c r="U245" s="25" t="s">
        <v>1149</v>
      </c>
      <c r="V245" s="25" t="s">
        <v>114</v>
      </c>
      <c r="W245" s="25"/>
    </row>
    <row r="246" spans="1:23" ht="22.5" customHeight="1">
      <c r="A246" s="20">
        <v>46008.021018518521</v>
      </c>
      <c r="B246" s="21" t="s">
        <v>1151</v>
      </c>
      <c r="C246" s="38"/>
      <c r="D246" s="21" t="s">
        <v>24</v>
      </c>
      <c r="E246" s="22">
        <v>34513</v>
      </c>
      <c r="F246" s="21" t="s">
        <v>475</v>
      </c>
      <c r="G246" s="21" t="s">
        <v>1152</v>
      </c>
      <c r="H246" s="21" t="s">
        <v>276</v>
      </c>
      <c r="I246" s="6" t="str">
        <f>VLOOKUP(CLEAN(F246),'World Bank Categories'!$B$4:$C$220,2,FALSE)</f>
        <v>Middle income</v>
      </c>
      <c r="J246" s="21" t="s">
        <v>1153</v>
      </c>
      <c r="K246" s="21" t="s">
        <v>29</v>
      </c>
      <c r="L246" s="21" t="s">
        <v>30</v>
      </c>
      <c r="M246" s="21"/>
      <c r="N246" s="21"/>
      <c r="O246" s="21"/>
      <c r="P246" s="21" t="s">
        <v>31</v>
      </c>
      <c r="Q246" s="9" t="s">
        <v>32</v>
      </c>
      <c r="R246" s="18"/>
      <c r="S246" s="25" t="s">
        <v>1154</v>
      </c>
      <c r="T246" s="27">
        <v>34513</v>
      </c>
      <c r="U246" s="25" t="s">
        <v>1153</v>
      </c>
      <c r="V246" s="25" t="s">
        <v>154</v>
      </c>
      <c r="W246" s="25"/>
    </row>
    <row r="247" spans="1:23" ht="22.5" customHeight="1">
      <c r="A247" s="20">
        <v>46008.216574074075</v>
      </c>
      <c r="B247" s="21" t="s">
        <v>1155</v>
      </c>
      <c r="C247" s="38"/>
      <c r="D247" s="21" t="s">
        <v>45</v>
      </c>
      <c r="E247" s="22">
        <v>36733</v>
      </c>
      <c r="F247" s="21" t="s">
        <v>70</v>
      </c>
      <c r="G247" s="21" t="s">
        <v>1156</v>
      </c>
      <c r="H247" s="21" t="s">
        <v>98</v>
      </c>
      <c r="I247" s="6" t="str">
        <f>VLOOKUP(CLEAN(F247),'World Bank Categories'!$B$4:$C$220,2,FALSE)</f>
        <v>Middle income</v>
      </c>
      <c r="J247" s="21" t="s">
        <v>1157</v>
      </c>
      <c r="K247" s="21" t="s">
        <v>29</v>
      </c>
      <c r="L247" s="21" t="s">
        <v>30</v>
      </c>
      <c r="M247" s="21"/>
      <c r="N247" s="21"/>
      <c r="O247" s="21"/>
      <c r="P247" s="21" t="s">
        <v>31</v>
      </c>
      <c r="Q247" s="9" t="s">
        <v>32</v>
      </c>
      <c r="R247" s="10" t="s">
        <v>33</v>
      </c>
      <c r="S247" s="25" t="s">
        <v>1158</v>
      </c>
      <c r="T247" s="27">
        <v>36733</v>
      </c>
      <c r="U247" s="25" t="s">
        <v>1157</v>
      </c>
      <c r="V247" s="25" t="s">
        <v>1159</v>
      </c>
      <c r="W247" s="25"/>
    </row>
    <row r="248" spans="1:23" ht="22.5" customHeight="1">
      <c r="A248" s="13">
        <v>46008.480549826389</v>
      </c>
      <c r="B248" s="14" t="s">
        <v>1160</v>
      </c>
      <c r="C248" s="15"/>
      <c r="D248" s="14" t="s">
        <v>24</v>
      </c>
      <c r="E248" s="16">
        <v>37930</v>
      </c>
      <c r="F248" s="14" t="s">
        <v>52</v>
      </c>
      <c r="G248" s="14" t="s">
        <v>1161</v>
      </c>
      <c r="H248" s="14" t="s">
        <v>66</v>
      </c>
      <c r="I248" s="6" t="str">
        <f>VLOOKUP(CLEAN(F248),'World Bank Categories'!$B$4:$C$220,2,FALSE)</f>
        <v>Middle income</v>
      </c>
      <c r="J248" s="14" t="s">
        <v>1162</v>
      </c>
      <c r="K248" s="14" t="s">
        <v>29</v>
      </c>
      <c r="L248" s="14" t="s">
        <v>30</v>
      </c>
      <c r="M248" s="15"/>
      <c r="N248" s="14"/>
      <c r="O248" s="14"/>
      <c r="P248" s="14" t="s">
        <v>31</v>
      </c>
      <c r="Q248" s="9" t="s">
        <v>32</v>
      </c>
      <c r="R248" s="18"/>
      <c r="S248" s="19" t="s">
        <v>1163</v>
      </c>
      <c r="T248" s="12"/>
      <c r="U248" s="12"/>
      <c r="V248" s="12"/>
      <c r="W248" s="12"/>
    </row>
    <row r="249" spans="1:23" ht="22.5" customHeight="1">
      <c r="A249" s="5">
        <v>46008.896648263893</v>
      </c>
      <c r="B249" s="6" t="s">
        <v>1164</v>
      </c>
      <c r="C249" s="7"/>
      <c r="D249" s="6" t="s">
        <v>45</v>
      </c>
      <c r="E249" s="8">
        <v>35544</v>
      </c>
      <c r="F249" s="6" t="s">
        <v>380</v>
      </c>
      <c r="G249" s="6" t="s">
        <v>1165</v>
      </c>
      <c r="H249" s="6" t="s">
        <v>1166</v>
      </c>
      <c r="I249" s="6" t="str">
        <f>VLOOKUP(CLEAN(F249),'World Bank Categories'!$B$4:$C$220,2,FALSE)</f>
        <v>Low income</v>
      </c>
      <c r="J249" s="6" t="s">
        <v>1167</v>
      </c>
      <c r="K249" s="6" t="s">
        <v>29</v>
      </c>
      <c r="L249" s="6" t="s">
        <v>1168</v>
      </c>
      <c r="M249" s="7"/>
      <c r="N249" s="6"/>
      <c r="O249" s="6"/>
      <c r="P249" s="6" t="s">
        <v>31</v>
      </c>
      <c r="Q249" s="9" t="s">
        <v>32</v>
      </c>
      <c r="R249" s="10"/>
      <c r="S249" s="11" t="s">
        <v>1169</v>
      </c>
      <c r="T249" s="12"/>
      <c r="U249" s="12"/>
      <c r="V249" s="12"/>
      <c r="W249" s="12"/>
    </row>
    <row r="250" spans="1:23" ht="22.5" customHeight="1">
      <c r="A250" s="20">
        <v>46009.054027777776</v>
      </c>
      <c r="B250" s="21" t="s">
        <v>1170</v>
      </c>
      <c r="C250" s="38"/>
      <c r="D250" s="21" t="s">
        <v>24</v>
      </c>
      <c r="E250" s="22">
        <v>31289</v>
      </c>
      <c r="F250" s="21" t="s">
        <v>416</v>
      </c>
      <c r="G250" s="21" t="s">
        <v>1171</v>
      </c>
      <c r="H250" s="21" t="s">
        <v>1172</v>
      </c>
      <c r="I250" s="6" t="str">
        <f>VLOOKUP(CLEAN(F250),'World Bank Categories'!$B$4:$C$220,2,FALSE)</f>
        <v>Middle income</v>
      </c>
      <c r="J250" s="21" t="s">
        <v>1173</v>
      </c>
      <c r="K250" s="21" t="s">
        <v>39</v>
      </c>
      <c r="L250" s="21" t="s">
        <v>152</v>
      </c>
      <c r="M250" s="21"/>
      <c r="N250" s="21"/>
      <c r="O250" s="21"/>
      <c r="P250" s="21" t="s">
        <v>31</v>
      </c>
      <c r="Q250" s="9" t="s">
        <v>32</v>
      </c>
      <c r="R250" s="18" t="s">
        <v>33</v>
      </c>
      <c r="S250" s="25" t="s">
        <v>1170</v>
      </c>
      <c r="T250" s="27">
        <v>31289</v>
      </c>
      <c r="U250" s="25" t="s">
        <v>1173</v>
      </c>
      <c r="V250" s="25" t="s">
        <v>80</v>
      </c>
      <c r="W250" s="25"/>
    </row>
    <row r="251" spans="1:23" ht="22.5" customHeight="1">
      <c r="A251" s="20">
        <v>46009.056770833333</v>
      </c>
      <c r="B251" s="21" t="s">
        <v>1174</v>
      </c>
      <c r="C251" s="38"/>
      <c r="D251" s="21" t="s">
        <v>24</v>
      </c>
      <c r="E251" s="22">
        <v>32539</v>
      </c>
      <c r="F251" s="21" t="s">
        <v>416</v>
      </c>
      <c r="G251" s="21" t="s">
        <v>1175</v>
      </c>
      <c r="H251" s="21" t="s">
        <v>1176</v>
      </c>
      <c r="I251" s="6" t="str">
        <f>VLOOKUP(CLEAN(F251),'World Bank Categories'!$B$4:$C$220,2,FALSE)</f>
        <v>Middle income</v>
      </c>
      <c r="J251" s="21" t="s">
        <v>1177</v>
      </c>
      <c r="K251" s="21" t="s">
        <v>39</v>
      </c>
      <c r="L251" s="21" t="s">
        <v>152</v>
      </c>
      <c r="M251" s="21"/>
      <c r="N251" s="21"/>
      <c r="O251" s="21"/>
      <c r="P251" s="21" t="s">
        <v>31</v>
      </c>
      <c r="Q251" s="9" t="s">
        <v>32</v>
      </c>
      <c r="R251" s="10" t="s">
        <v>33</v>
      </c>
      <c r="S251" s="25" t="s">
        <v>1174</v>
      </c>
      <c r="T251" s="27">
        <v>32539</v>
      </c>
      <c r="U251" s="25" t="s">
        <v>1177</v>
      </c>
      <c r="V251" s="25" t="s">
        <v>80</v>
      </c>
      <c r="W251" s="25"/>
    </row>
    <row r="252" spans="1:23" ht="22.5" customHeight="1">
      <c r="A252" s="20">
        <v>46009.236643518518</v>
      </c>
      <c r="B252" s="21" t="s">
        <v>1178</v>
      </c>
      <c r="C252" s="38"/>
      <c r="D252" s="21" t="s">
        <v>24</v>
      </c>
      <c r="E252" s="22">
        <v>36568</v>
      </c>
      <c r="F252" s="21" t="s">
        <v>1179</v>
      </c>
      <c r="G252" s="21" t="s">
        <v>1180</v>
      </c>
      <c r="H252" s="21" t="s">
        <v>1181</v>
      </c>
      <c r="I252" s="6" t="str">
        <f>VLOOKUP(CLEAN(F252),'World Bank Categories'!$B$4:$C$220,2,FALSE)</f>
        <v>High income</v>
      </c>
      <c r="J252" s="21" t="s">
        <v>1182</v>
      </c>
      <c r="K252" s="21" t="s">
        <v>29</v>
      </c>
      <c r="L252" s="21" t="s">
        <v>30</v>
      </c>
      <c r="M252" s="21"/>
      <c r="N252" s="21"/>
      <c r="O252" s="21"/>
      <c r="P252" s="21" t="s">
        <v>31</v>
      </c>
      <c r="Q252" s="9" t="s">
        <v>32</v>
      </c>
      <c r="R252" s="18" t="s">
        <v>1183</v>
      </c>
      <c r="S252" s="25" t="s">
        <v>1178</v>
      </c>
      <c r="T252" s="27">
        <v>36568</v>
      </c>
      <c r="U252" s="25" t="s">
        <v>1182</v>
      </c>
      <c r="V252" s="25" t="s">
        <v>80</v>
      </c>
      <c r="W252" s="25"/>
    </row>
    <row r="253" spans="1:23" ht="22.5" customHeight="1">
      <c r="A253" s="20">
        <v>46009.378761574073</v>
      </c>
      <c r="B253" s="21" t="s">
        <v>1184</v>
      </c>
      <c r="C253" s="38"/>
      <c r="D253" s="21" t="s">
        <v>24</v>
      </c>
      <c r="E253" s="22">
        <v>37171</v>
      </c>
      <c r="F253" s="21" t="s">
        <v>64</v>
      </c>
      <c r="G253" s="21" t="s">
        <v>1185</v>
      </c>
      <c r="H253" s="21" t="s">
        <v>191</v>
      </c>
      <c r="I253" s="6" t="str">
        <f>VLOOKUP(CLEAN(F253),'World Bank Categories'!$B$4:$C$220,2,FALSE)</f>
        <v>Middle income</v>
      </c>
      <c r="J253" s="21" t="s">
        <v>1186</v>
      </c>
      <c r="K253" s="21" t="s">
        <v>39</v>
      </c>
      <c r="L253" s="21" t="s">
        <v>30</v>
      </c>
      <c r="M253" s="21"/>
      <c r="N253" s="21"/>
      <c r="O253" s="21"/>
      <c r="P253" s="21" t="s">
        <v>31</v>
      </c>
      <c r="Q253" s="9" t="s">
        <v>32</v>
      </c>
      <c r="R253" s="10"/>
      <c r="S253" s="25" t="s">
        <v>1184</v>
      </c>
      <c r="T253" s="27">
        <v>37171</v>
      </c>
      <c r="U253" s="25" t="s">
        <v>1186</v>
      </c>
      <c r="V253" s="25" t="s">
        <v>80</v>
      </c>
      <c r="W253" s="25"/>
    </row>
    <row r="254" spans="1:23" ht="22.5" customHeight="1">
      <c r="A254" s="20">
        <v>46009.3828587963</v>
      </c>
      <c r="B254" s="21" t="s">
        <v>1187</v>
      </c>
      <c r="C254" s="38"/>
      <c r="D254" s="21" t="s">
        <v>45</v>
      </c>
      <c r="E254" s="22">
        <v>37319</v>
      </c>
      <c r="F254" s="21" t="s">
        <v>1188</v>
      </c>
      <c r="G254" s="21" t="s">
        <v>1189</v>
      </c>
      <c r="H254" s="21" t="s">
        <v>138</v>
      </c>
      <c r="I254" s="6" t="str">
        <f>VLOOKUP(CLEAN(F254),'World Bank Categories'!$B$4:$C$220,2,FALSE)</f>
        <v>High income</v>
      </c>
      <c r="J254" s="21" t="s">
        <v>1190</v>
      </c>
      <c r="K254" s="21" t="s">
        <v>29</v>
      </c>
      <c r="L254" s="21" t="s">
        <v>30</v>
      </c>
      <c r="M254" s="21"/>
      <c r="N254" s="21"/>
      <c r="O254" s="21"/>
      <c r="P254" s="21" t="s">
        <v>31</v>
      </c>
      <c r="Q254" s="9" t="s">
        <v>32</v>
      </c>
      <c r="R254" s="18" t="s">
        <v>43</v>
      </c>
      <c r="S254" s="25" t="s">
        <v>1191</v>
      </c>
      <c r="T254" s="27">
        <v>37319</v>
      </c>
      <c r="U254" s="25" t="s">
        <v>1190</v>
      </c>
      <c r="V254" s="25" t="s">
        <v>1192</v>
      </c>
      <c r="W254" s="25"/>
    </row>
    <row r="255" spans="1:23" ht="22.5" customHeight="1">
      <c r="A255" s="20">
        <v>46009.764351851853</v>
      </c>
      <c r="B255" s="21" t="s">
        <v>1193</v>
      </c>
      <c r="C255" s="38"/>
      <c r="D255" s="21" t="s">
        <v>45</v>
      </c>
      <c r="E255" s="22">
        <v>21647</v>
      </c>
      <c r="F255" s="21" t="s">
        <v>1194</v>
      </c>
      <c r="G255" s="21" t="s">
        <v>1195</v>
      </c>
      <c r="H255" s="21" t="s">
        <v>186</v>
      </c>
      <c r="I255" s="6" t="str">
        <f>VLOOKUP(CLEAN(F255),'World Bank Categories'!$B$4:$C$220,2,FALSE)</f>
        <v>Middle income</v>
      </c>
      <c r="J255" s="21" t="s">
        <v>1196</v>
      </c>
      <c r="K255" s="21" t="s">
        <v>29</v>
      </c>
      <c r="L255" s="21" t="s">
        <v>30</v>
      </c>
      <c r="M255" s="21"/>
      <c r="N255" s="21"/>
      <c r="O255" s="21"/>
      <c r="P255" s="21" t="s">
        <v>31</v>
      </c>
      <c r="Q255" s="9" t="s">
        <v>32</v>
      </c>
      <c r="R255" s="10" t="s">
        <v>33</v>
      </c>
      <c r="S255" s="25" t="s">
        <v>1197</v>
      </c>
      <c r="T255" s="27">
        <v>21647</v>
      </c>
      <c r="U255" s="25" t="s">
        <v>1196</v>
      </c>
      <c r="V255" s="25" t="s">
        <v>80</v>
      </c>
      <c r="W255" s="25"/>
    </row>
    <row r="256" spans="1:23" ht="22.5" customHeight="1">
      <c r="A256" s="20">
        <v>46009.945509259262</v>
      </c>
      <c r="B256" s="21" t="s">
        <v>1198</v>
      </c>
      <c r="C256" s="38"/>
      <c r="D256" s="21" t="s">
        <v>24</v>
      </c>
      <c r="E256" s="22">
        <v>30376</v>
      </c>
      <c r="F256" s="21" t="s">
        <v>799</v>
      </c>
      <c r="G256" s="21" t="s">
        <v>1199</v>
      </c>
      <c r="H256" s="21" t="s">
        <v>795</v>
      </c>
      <c r="I256" s="6" t="str">
        <f>VLOOKUP(CLEAN(F256),'World Bank Categories'!$B$4:$C$220,2,FALSE)</f>
        <v>Low income</v>
      </c>
      <c r="J256" s="21" t="s">
        <v>1200</v>
      </c>
      <c r="K256" s="21" t="s">
        <v>29</v>
      </c>
      <c r="L256" s="21" t="s">
        <v>30</v>
      </c>
      <c r="M256" s="21"/>
      <c r="N256" s="21"/>
      <c r="O256" s="21"/>
      <c r="P256" s="21" t="s">
        <v>31</v>
      </c>
      <c r="Q256" s="9" t="s">
        <v>32</v>
      </c>
      <c r="R256" s="10" t="s">
        <v>33</v>
      </c>
      <c r="S256" s="25" t="s">
        <v>1198</v>
      </c>
      <c r="T256" s="27">
        <v>30376</v>
      </c>
      <c r="U256" s="25" t="s">
        <v>1200</v>
      </c>
      <c r="V256" s="25" t="s">
        <v>80</v>
      </c>
      <c r="W256" s="25"/>
    </row>
    <row r="257" spans="1:23" ht="22.5" customHeight="1">
      <c r="A257" s="20">
        <v>46009.976030092592</v>
      </c>
      <c r="B257" s="21" t="s">
        <v>1201</v>
      </c>
      <c r="C257" s="21" t="s">
        <v>1202</v>
      </c>
      <c r="D257" s="21" t="s">
        <v>45</v>
      </c>
      <c r="E257" s="22">
        <v>34334</v>
      </c>
      <c r="F257" s="21" t="s">
        <v>799</v>
      </c>
      <c r="G257" s="21" t="s">
        <v>1203</v>
      </c>
      <c r="H257" s="21" t="s">
        <v>1204</v>
      </c>
      <c r="I257" s="6" t="str">
        <f>VLOOKUP(CLEAN(F257),'World Bank Categories'!$B$4:$C$220,2,FALSE)</f>
        <v>Low income</v>
      </c>
      <c r="J257" s="21" t="s">
        <v>1205</v>
      </c>
      <c r="K257" s="21" t="s">
        <v>39</v>
      </c>
      <c r="L257" s="21" t="s">
        <v>30</v>
      </c>
      <c r="M257" s="21" t="s">
        <v>1206</v>
      </c>
      <c r="N257" s="17" t="s">
        <v>1207</v>
      </c>
      <c r="O257" s="21" t="s">
        <v>365</v>
      </c>
      <c r="P257" s="21" t="s">
        <v>31</v>
      </c>
      <c r="Q257" s="9" t="s">
        <v>32</v>
      </c>
      <c r="R257" s="18"/>
      <c r="S257" s="25" t="s">
        <v>1208</v>
      </c>
      <c r="T257" s="27">
        <v>34334</v>
      </c>
      <c r="U257" s="25" t="s">
        <v>1205</v>
      </c>
      <c r="V257" s="25" t="s">
        <v>316</v>
      </c>
      <c r="W257" s="25"/>
    </row>
    <row r="258" spans="1:23" ht="22.5" customHeight="1">
      <c r="A258" s="20">
        <v>46010.378530092596</v>
      </c>
      <c r="B258" s="21" t="s">
        <v>1209</v>
      </c>
      <c r="C258" s="21" t="s">
        <v>1210</v>
      </c>
      <c r="D258" s="21" t="s">
        <v>45</v>
      </c>
      <c r="E258" s="22">
        <v>33438</v>
      </c>
      <c r="F258" s="21" t="s">
        <v>198</v>
      </c>
      <c r="G258" s="21" t="s">
        <v>1211</v>
      </c>
      <c r="H258" s="21" t="s">
        <v>111</v>
      </c>
      <c r="I258" s="6" t="str">
        <f>VLOOKUP(CLEAN(F258),'World Bank Categories'!$B$4:$C$220,2,FALSE)</f>
        <v>Middle income</v>
      </c>
      <c r="J258" s="21" t="s">
        <v>1212</v>
      </c>
      <c r="K258" s="21" t="s">
        <v>29</v>
      </c>
      <c r="L258" s="21" t="s">
        <v>30</v>
      </c>
      <c r="M258" s="21"/>
      <c r="N258" s="21"/>
      <c r="O258" s="21"/>
      <c r="P258" s="21" t="s">
        <v>31</v>
      </c>
      <c r="Q258" s="9" t="s">
        <v>32</v>
      </c>
      <c r="R258" s="10"/>
      <c r="S258" s="25" t="s">
        <v>1209</v>
      </c>
      <c r="T258" s="27">
        <v>33469</v>
      </c>
      <c r="U258" s="25" t="s">
        <v>1212</v>
      </c>
      <c r="V258" s="25" t="s">
        <v>236</v>
      </c>
      <c r="W258" s="25"/>
    </row>
    <row r="259" spans="1:23" ht="22.5" customHeight="1">
      <c r="A259" s="20">
        <v>46010.746782407405</v>
      </c>
      <c r="B259" s="21" t="s">
        <v>1213</v>
      </c>
      <c r="C259" s="21" t="s">
        <v>1214</v>
      </c>
      <c r="D259" s="21" t="s">
        <v>45</v>
      </c>
      <c r="E259" s="22">
        <v>37167</v>
      </c>
      <c r="F259" s="21" t="s">
        <v>64</v>
      </c>
      <c r="G259" s="21" t="s">
        <v>1215</v>
      </c>
      <c r="H259" s="21" t="s">
        <v>66</v>
      </c>
      <c r="I259" s="6" t="str">
        <f>VLOOKUP(CLEAN(F259),'World Bank Categories'!$B$4:$C$220,2,FALSE)</f>
        <v>Middle income</v>
      </c>
      <c r="J259" s="21" t="s">
        <v>1216</v>
      </c>
      <c r="K259" s="21" t="s">
        <v>29</v>
      </c>
      <c r="L259" s="21" t="s">
        <v>30</v>
      </c>
      <c r="M259" s="21"/>
      <c r="N259" s="21"/>
      <c r="O259" s="21"/>
      <c r="P259" s="21" t="s">
        <v>31</v>
      </c>
      <c r="Q259" s="9" t="s">
        <v>32</v>
      </c>
      <c r="R259" s="18"/>
      <c r="S259" s="25" t="s">
        <v>1217</v>
      </c>
      <c r="T259" s="27">
        <v>37167</v>
      </c>
      <c r="U259" s="25" t="s">
        <v>1218</v>
      </c>
      <c r="V259" s="25" t="s">
        <v>154</v>
      </c>
      <c r="W259" s="25"/>
    </row>
    <row r="260" spans="1:23" ht="22.5" customHeight="1">
      <c r="A260" s="46">
        <v>46010.941296296296</v>
      </c>
      <c r="B260" s="47" t="s">
        <v>1219</v>
      </c>
      <c r="C260" s="48"/>
      <c r="D260" s="47" t="s">
        <v>45</v>
      </c>
      <c r="E260" s="49">
        <v>34966</v>
      </c>
      <c r="F260" s="21" t="s">
        <v>208</v>
      </c>
      <c r="G260" s="47" t="s">
        <v>1220</v>
      </c>
      <c r="H260" s="47" t="s">
        <v>186</v>
      </c>
      <c r="I260" s="6" t="str">
        <f>VLOOKUP(CLEAN(F260),'World Bank Categories'!$B$4:$C$220,2,FALSE)</f>
        <v>Low income</v>
      </c>
      <c r="J260" s="47" t="s">
        <v>1221</v>
      </c>
      <c r="K260" s="47" t="s">
        <v>29</v>
      </c>
      <c r="L260" s="47" t="s">
        <v>30</v>
      </c>
      <c r="M260" s="47"/>
      <c r="N260" s="47"/>
      <c r="O260" s="47"/>
      <c r="P260" s="47" t="s">
        <v>31</v>
      </c>
      <c r="Q260" s="9" t="s">
        <v>32</v>
      </c>
      <c r="R260" s="10"/>
      <c r="S260" s="25" t="s">
        <v>1219</v>
      </c>
      <c r="T260" s="27">
        <v>34966</v>
      </c>
      <c r="U260" s="25" t="s">
        <v>1222</v>
      </c>
      <c r="V260" s="25" t="s">
        <v>101</v>
      </c>
      <c r="W260" s="25"/>
    </row>
    <row r="261" spans="1:23" ht="22.5" customHeight="1">
      <c r="A261" s="20">
        <v>46011.046053240738</v>
      </c>
      <c r="B261" s="21" t="s">
        <v>1223</v>
      </c>
      <c r="C261" s="38"/>
      <c r="D261" s="21" t="s">
        <v>24</v>
      </c>
      <c r="E261" s="22">
        <v>37520</v>
      </c>
      <c r="F261" s="21" t="s">
        <v>64</v>
      </c>
      <c r="G261" s="21" t="s">
        <v>1224</v>
      </c>
      <c r="H261" s="21" t="s">
        <v>461</v>
      </c>
      <c r="I261" s="6" t="str">
        <f>VLOOKUP(CLEAN(F261),'World Bank Categories'!$B$4:$C$220,2,FALSE)</f>
        <v>Middle income</v>
      </c>
      <c r="J261" s="21" t="s">
        <v>1225</v>
      </c>
      <c r="K261" s="21" t="s">
        <v>29</v>
      </c>
      <c r="L261" s="21" t="s">
        <v>30</v>
      </c>
      <c r="M261" s="21"/>
      <c r="N261" s="21"/>
      <c r="O261" s="21"/>
      <c r="P261" s="21" t="s">
        <v>31</v>
      </c>
      <c r="Q261" s="9" t="s">
        <v>32</v>
      </c>
      <c r="R261" s="18"/>
      <c r="S261" s="25" t="s">
        <v>1226</v>
      </c>
      <c r="T261" s="27">
        <v>37520</v>
      </c>
      <c r="U261" s="25" t="s">
        <v>1225</v>
      </c>
      <c r="V261" s="25" t="s">
        <v>154</v>
      </c>
      <c r="W261" s="25"/>
    </row>
    <row r="262" spans="1:23" ht="22.5" customHeight="1">
      <c r="A262" s="20">
        <v>46011.587581018517</v>
      </c>
      <c r="B262" s="21" t="s">
        <v>1227</v>
      </c>
      <c r="C262" s="38"/>
      <c r="D262" s="21" t="s">
        <v>24</v>
      </c>
      <c r="E262" s="22">
        <v>31038</v>
      </c>
      <c r="F262" s="21" t="s">
        <v>52</v>
      </c>
      <c r="G262" s="21" t="s">
        <v>1228</v>
      </c>
      <c r="H262" s="21" t="s">
        <v>1229</v>
      </c>
      <c r="I262" s="6" t="str">
        <f>VLOOKUP(CLEAN(F262),'World Bank Categories'!$B$4:$C$220,2,FALSE)</f>
        <v>Middle income</v>
      </c>
      <c r="J262" s="21" t="s">
        <v>1230</v>
      </c>
      <c r="K262" s="21" t="s">
        <v>29</v>
      </c>
      <c r="L262" s="21" t="s">
        <v>30</v>
      </c>
      <c r="M262" s="21"/>
      <c r="N262" s="21"/>
      <c r="O262" s="21"/>
      <c r="P262" s="21" t="s">
        <v>31</v>
      </c>
      <c r="Q262" s="9" t="s">
        <v>32</v>
      </c>
      <c r="R262" s="10" t="s">
        <v>33</v>
      </c>
      <c r="S262" s="25" t="s">
        <v>1231</v>
      </c>
      <c r="T262" s="27">
        <v>31038</v>
      </c>
      <c r="U262" s="25" t="s">
        <v>1230</v>
      </c>
      <c r="V262" s="25" t="s">
        <v>154</v>
      </c>
      <c r="W262" s="25"/>
    </row>
    <row r="263" spans="1:23" ht="22.5" customHeight="1">
      <c r="A263" s="13">
        <v>46011.98028635417</v>
      </c>
      <c r="B263" s="14" t="s">
        <v>1232</v>
      </c>
      <c r="C263" s="14" t="s">
        <v>1233</v>
      </c>
      <c r="D263" s="14" t="s">
        <v>24</v>
      </c>
      <c r="E263" s="16">
        <v>34749</v>
      </c>
      <c r="F263" s="14" t="s">
        <v>297</v>
      </c>
      <c r="G263" s="14" t="s">
        <v>1234</v>
      </c>
      <c r="H263" s="14" t="s">
        <v>111</v>
      </c>
      <c r="I263" s="6" t="str">
        <f>VLOOKUP(CLEAN(F263),'World Bank Categories'!$B$4:$C$220,2,FALSE)</f>
        <v>Middle income</v>
      </c>
      <c r="J263" s="14" t="s">
        <v>1235</v>
      </c>
      <c r="K263" s="14" t="s">
        <v>29</v>
      </c>
      <c r="L263" s="14" t="s">
        <v>30</v>
      </c>
      <c r="M263" s="15"/>
      <c r="N263" s="14"/>
      <c r="O263" s="14"/>
      <c r="P263" s="14" t="s">
        <v>31</v>
      </c>
      <c r="Q263" s="9" t="s">
        <v>32</v>
      </c>
      <c r="R263" s="10"/>
      <c r="S263" s="19" t="s">
        <v>1236</v>
      </c>
      <c r="T263" s="12"/>
      <c r="U263" s="12"/>
      <c r="V263" s="12"/>
      <c r="W263" s="12"/>
    </row>
    <row r="264" spans="1:23" ht="22.5" hidden="1" customHeight="1">
      <c r="A264" s="20">
        <v>46012.20684027778</v>
      </c>
      <c r="B264" s="21" t="s">
        <v>1237</v>
      </c>
      <c r="C264" s="21" t="s">
        <v>1238</v>
      </c>
      <c r="D264" s="21" t="s">
        <v>24</v>
      </c>
      <c r="E264" s="22">
        <v>38586</v>
      </c>
      <c r="F264" s="21" t="s">
        <v>83</v>
      </c>
      <c r="G264" s="21" t="s">
        <v>1239</v>
      </c>
      <c r="H264" s="21" t="s">
        <v>368</v>
      </c>
      <c r="I264" s="6" t="str">
        <f>VLOOKUP(CLEAN(F264),'World Bank Categories'!$B$4:$C$220,2,FALSE)</f>
        <v>Low income</v>
      </c>
      <c r="J264" s="21" t="s">
        <v>1240</v>
      </c>
      <c r="K264" s="21" t="s">
        <v>39</v>
      </c>
      <c r="L264" s="21" t="s">
        <v>1241</v>
      </c>
      <c r="M264" s="21"/>
      <c r="N264" s="21"/>
      <c r="O264" s="21"/>
      <c r="P264" s="21" t="s">
        <v>31</v>
      </c>
      <c r="Q264" s="23" t="s">
        <v>56</v>
      </c>
      <c r="R264" s="24"/>
      <c r="S264" s="25"/>
      <c r="T264" s="26"/>
      <c r="U264" s="25"/>
      <c r="V264" s="25"/>
      <c r="W264" s="25"/>
    </row>
    <row r="265" spans="1:23" ht="22.5" customHeight="1">
      <c r="A265" s="20">
        <v>46012.209583333337</v>
      </c>
      <c r="B265" s="21" t="s">
        <v>1242</v>
      </c>
      <c r="C265" s="38"/>
      <c r="D265" s="21" t="s">
        <v>45</v>
      </c>
      <c r="E265" s="22">
        <v>37622</v>
      </c>
      <c r="F265" s="21" t="s">
        <v>83</v>
      </c>
      <c r="G265" s="21" t="s">
        <v>1243</v>
      </c>
      <c r="H265" s="21" t="s">
        <v>66</v>
      </c>
      <c r="I265" s="6" t="str">
        <f>VLOOKUP(CLEAN(F265),'World Bank Categories'!$B$4:$C$220,2,FALSE)</f>
        <v>Low income</v>
      </c>
      <c r="J265" s="21" t="s">
        <v>1244</v>
      </c>
      <c r="K265" s="21" t="s">
        <v>29</v>
      </c>
      <c r="L265" s="21" t="s">
        <v>30</v>
      </c>
      <c r="M265" s="21"/>
      <c r="N265" s="21"/>
      <c r="O265" s="21"/>
      <c r="P265" s="21" t="s">
        <v>31</v>
      </c>
      <c r="Q265" s="9" t="s">
        <v>32</v>
      </c>
      <c r="R265" s="18"/>
      <c r="S265" s="25" t="s">
        <v>1242</v>
      </c>
      <c r="T265" s="27">
        <v>37622</v>
      </c>
      <c r="U265" s="25" t="s">
        <v>1244</v>
      </c>
      <c r="V265" s="25" t="s">
        <v>80</v>
      </c>
      <c r="W265" s="25"/>
    </row>
    <row r="266" spans="1:23" ht="22.5" customHeight="1">
      <c r="A266" s="20">
        <v>46012.221122685187</v>
      </c>
      <c r="B266" s="21" t="s">
        <v>1245</v>
      </c>
      <c r="C266" s="38"/>
      <c r="D266" s="21" t="s">
        <v>45</v>
      </c>
      <c r="E266" s="22">
        <v>36282</v>
      </c>
      <c r="F266" s="21" t="s">
        <v>83</v>
      </c>
      <c r="G266" s="21" t="s">
        <v>123</v>
      </c>
      <c r="H266" s="21" t="s">
        <v>66</v>
      </c>
      <c r="I266" s="6" t="str">
        <f>VLOOKUP(CLEAN(F266),'World Bank Categories'!$B$4:$C$220,2,FALSE)</f>
        <v>Low income</v>
      </c>
      <c r="J266" s="21" t="s">
        <v>1246</v>
      </c>
      <c r="K266" s="21" t="s">
        <v>29</v>
      </c>
      <c r="L266" s="21" t="s">
        <v>30</v>
      </c>
      <c r="M266" s="21"/>
      <c r="N266" s="21"/>
      <c r="O266" s="21"/>
      <c r="P266" s="21" t="s">
        <v>31</v>
      </c>
      <c r="Q266" s="9" t="s">
        <v>32</v>
      </c>
      <c r="R266" s="10"/>
      <c r="S266" s="25" t="s">
        <v>1247</v>
      </c>
      <c r="T266" s="27">
        <v>36282</v>
      </c>
      <c r="U266" s="25" t="s">
        <v>1246</v>
      </c>
      <c r="V266" s="25" t="s">
        <v>80</v>
      </c>
      <c r="W266" s="25"/>
    </row>
    <row r="267" spans="1:23" ht="22.5" customHeight="1">
      <c r="A267" s="20">
        <v>46012.463217592594</v>
      </c>
      <c r="B267" s="21" t="s">
        <v>1248</v>
      </c>
      <c r="C267" s="21" t="s">
        <v>1248</v>
      </c>
      <c r="D267" s="21" t="s">
        <v>45</v>
      </c>
      <c r="E267" s="22">
        <v>34980</v>
      </c>
      <c r="F267" s="21" t="s">
        <v>1249</v>
      </c>
      <c r="G267" s="21" t="s">
        <v>1250</v>
      </c>
      <c r="H267" s="21" t="s">
        <v>418</v>
      </c>
      <c r="I267" s="6" t="str">
        <f>VLOOKUP(CLEAN(F267),'World Bank Categories'!$B$4:$C$220,2,FALSE)</f>
        <v>Middle income</v>
      </c>
      <c r="J267" s="21" t="s">
        <v>1251</v>
      </c>
      <c r="K267" s="21" t="s">
        <v>39</v>
      </c>
      <c r="L267" s="21" t="s">
        <v>152</v>
      </c>
      <c r="M267" s="21"/>
      <c r="N267" s="21"/>
      <c r="O267" s="21"/>
      <c r="P267" s="21" t="s">
        <v>31</v>
      </c>
      <c r="Q267" s="9" t="s">
        <v>32</v>
      </c>
      <c r="R267" s="18"/>
      <c r="S267" s="25" t="s">
        <v>1252</v>
      </c>
      <c r="T267" s="27">
        <v>34980</v>
      </c>
      <c r="U267" s="25" t="s">
        <v>1251</v>
      </c>
      <c r="V267" s="25" t="s">
        <v>80</v>
      </c>
      <c r="W267" s="25"/>
    </row>
    <row r="268" spans="1:23" ht="22.5" customHeight="1">
      <c r="A268" s="20">
        <v>46012.631203703706</v>
      </c>
      <c r="B268" s="21" t="s">
        <v>1253</v>
      </c>
      <c r="C268" s="38"/>
      <c r="D268" s="21" t="s">
        <v>45</v>
      </c>
      <c r="E268" s="22">
        <v>33045</v>
      </c>
      <c r="F268" s="21" t="s">
        <v>838</v>
      </c>
      <c r="G268" s="21" t="s">
        <v>1254</v>
      </c>
      <c r="H268" s="21" t="s">
        <v>66</v>
      </c>
      <c r="I268" s="6" t="str">
        <f>VLOOKUP(CLEAN(F268),'World Bank Categories'!$B$4:$C$220,2,FALSE)</f>
        <v>Middle income</v>
      </c>
      <c r="J268" s="21" t="s">
        <v>1255</v>
      </c>
      <c r="K268" s="21" t="s">
        <v>29</v>
      </c>
      <c r="L268" s="21" t="s">
        <v>30</v>
      </c>
      <c r="M268" s="21" t="s">
        <v>1256</v>
      </c>
      <c r="N268" s="21"/>
      <c r="O268" s="21"/>
      <c r="P268" s="21" t="s">
        <v>31</v>
      </c>
      <c r="Q268" s="42" t="s">
        <v>32</v>
      </c>
      <c r="R268" s="10"/>
      <c r="S268" s="25"/>
      <c r="T268" s="26"/>
      <c r="U268" s="25"/>
      <c r="V268" s="25"/>
      <c r="W268" s="25"/>
    </row>
    <row r="269" spans="1:23" ht="22.5" customHeight="1">
      <c r="A269" s="28">
        <v>46012.652037037034</v>
      </c>
      <c r="B269" s="29" t="s">
        <v>1257</v>
      </c>
      <c r="C269" s="45"/>
      <c r="D269" s="29" t="s">
        <v>24</v>
      </c>
      <c r="E269" s="30">
        <v>32980</v>
      </c>
      <c r="F269" s="29" t="s">
        <v>346</v>
      </c>
      <c r="G269" s="29" t="s">
        <v>1258</v>
      </c>
      <c r="H269" s="29" t="s">
        <v>1259</v>
      </c>
      <c r="I269" s="6" t="str">
        <f>VLOOKUP(CLEAN(F269),'World Bank Categories'!$B$4:$C$220,2,FALSE)</f>
        <v>Middle income</v>
      </c>
      <c r="J269" s="29" t="s">
        <v>1260</v>
      </c>
      <c r="K269" s="29" t="s">
        <v>29</v>
      </c>
      <c r="L269" s="29" t="s">
        <v>30</v>
      </c>
      <c r="M269" s="29" t="s">
        <v>1261</v>
      </c>
      <c r="N269" s="54" t="s">
        <v>1262</v>
      </c>
      <c r="O269" s="14" t="s">
        <v>301</v>
      </c>
      <c r="P269" s="29" t="s">
        <v>31</v>
      </c>
      <c r="Q269" s="9" t="s">
        <v>32</v>
      </c>
      <c r="R269" s="18" t="s">
        <v>33</v>
      </c>
      <c r="S269" s="25" t="s">
        <v>1257</v>
      </c>
      <c r="T269" s="27">
        <v>32980</v>
      </c>
      <c r="U269" s="25" t="s">
        <v>1260</v>
      </c>
      <c r="V269" s="25" t="s">
        <v>80</v>
      </c>
      <c r="W269" s="25"/>
    </row>
    <row r="270" spans="1:23" ht="22.5" customHeight="1">
      <c r="A270" s="20">
        <v>46012.736493055556</v>
      </c>
      <c r="B270" s="21" t="s">
        <v>1263</v>
      </c>
      <c r="C270" s="38"/>
      <c r="D270" s="21" t="s">
        <v>45</v>
      </c>
      <c r="E270" s="22">
        <v>36694</v>
      </c>
      <c r="F270" s="21" t="s">
        <v>70</v>
      </c>
      <c r="G270" s="21" t="s">
        <v>1264</v>
      </c>
      <c r="H270" s="21" t="s">
        <v>1265</v>
      </c>
      <c r="I270" s="6" t="str">
        <f>VLOOKUP(CLEAN(F270),'World Bank Categories'!$B$4:$C$220,2,FALSE)</f>
        <v>Middle income</v>
      </c>
      <c r="J270" s="21" t="s">
        <v>1266</v>
      </c>
      <c r="K270" s="21" t="s">
        <v>29</v>
      </c>
      <c r="L270" s="21" t="s">
        <v>30</v>
      </c>
      <c r="M270" s="21"/>
      <c r="N270" s="21"/>
      <c r="O270" s="21"/>
      <c r="P270" s="21" t="s">
        <v>31</v>
      </c>
      <c r="Q270" s="9" t="s">
        <v>32</v>
      </c>
      <c r="R270" s="10"/>
      <c r="S270" s="25" t="s">
        <v>1263</v>
      </c>
      <c r="T270" s="27">
        <v>36694</v>
      </c>
      <c r="U270" s="25" t="s">
        <v>1266</v>
      </c>
      <c r="V270" s="25" t="s">
        <v>80</v>
      </c>
      <c r="W270" s="25"/>
    </row>
    <row r="271" spans="1:23" ht="22.5" customHeight="1">
      <c r="A271" s="20">
        <v>46012.861087962963</v>
      </c>
      <c r="B271" s="21" t="s">
        <v>1267</v>
      </c>
      <c r="C271" s="38"/>
      <c r="D271" s="21" t="s">
        <v>24</v>
      </c>
      <c r="E271" s="22">
        <v>35802</v>
      </c>
      <c r="F271" s="21" t="s">
        <v>52</v>
      </c>
      <c r="G271" s="21" t="s">
        <v>1268</v>
      </c>
      <c r="H271" s="21" t="s">
        <v>1269</v>
      </c>
      <c r="I271" s="6" t="str">
        <f>VLOOKUP(CLEAN(F271),'World Bank Categories'!$B$4:$C$220,2,FALSE)</f>
        <v>Middle income</v>
      </c>
      <c r="J271" s="21" t="s">
        <v>1270</v>
      </c>
      <c r="K271" s="21" t="s">
        <v>39</v>
      </c>
      <c r="L271" s="21" t="s">
        <v>30</v>
      </c>
      <c r="M271" s="21"/>
      <c r="N271" s="21"/>
      <c r="O271" s="21"/>
      <c r="P271" s="21" t="s">
        <v>31</v>
      </c>
      <c r="Q271" s="9" t="s">
        <v>32</v>
      </c>
      <c r="R271" s="18"/>
      <c r="S271" s="25" t="s">
        <v>1267</v>
      </c>
      <c r="T271" s="27">
        <v>35802</v>
      </c>
      <c r="U271" s="25" t="s">
        <v>1270</v>
      </c>
      <c r="V271" s="25" t="s">
        <v>80</v>
      </c>
      <c r="W271" s="25"/>
    </row>
    <row r="272" spans="1:23" ht="22.5" customHeight="1">
      <c r="A272" s="20">
        <v>46012.938622685186</v>
      </c>
      <c r="B272" s="21" t="s">
        <v>1271</v>
      </c>
      <c r="C272" s="38"/>
      <c r="D272" s="21" t="s">
        <v>45</v>
      </c>
      <c r="E272" s="22">
        <v>33105</v>
      </c>
      <c r="F272" s="21" t="s">
        <v>1272</v>
      </c>
      <c r="G272" s="21" t="s">
        <v>1273</v>
      </c>
      <c r="H272" s="21" t="s">
        <v>1274</v>
      </c>
      <c r="I272" s="6" t="str">
        <f>VLOOKUP(CLEAN(F272),'World Bank Categories'!$B$4:$C$220,2,FALSE)</f>
        <v>Low income</v>
      </c>
      <c r="J272" s="21" t="s">
        <v>1275</v>
      </c>
      <c r="K272" s="21" t="s">
        <v>29</v>
      </c>
      <c r="L272" s="21" t="s">
        <v>30</v>
      </c>
      <c r="M272" s="21"/>
      <c r="N272" s="21"/>
      <c r="O272" s="21"/>
      <c r="P272" s="21" t="s">
        <v>31</v>
      </c>
      <c r="Q272" s="9" t="s">
        <v>32</v>
      </c>
      <c r="R272" s="10" t="s">
        <v>33</v>
      </c>
      <c r="S272" s="25" t="s">
        <v>1271</v>
      </c>
      <c r="T272" s="27">
        <v>33105</v>
      </c>
      <c r="U272" s="25" t="s">
        <v>1275</v>
      </c>
      <c r="V272" s="25" t="s">
        <v>80</v>
      </c>
      <c r="W272" s="25"/>
    </row>
    <row r="273" spans="1:23" ht="22.5" customHeight="1">
      <c r="A273" s="20">
        <v>46013.748796296299</v>
      </c>
      <c r="B273" s="21" t="s">
        <v>1276</v>
      </c>
      <c r="C273" s="38"/>
      <c r="D273" s="21" t="s">
        <v>45</v>
      </c>
      <c r="E273" s="22">
        <v>28068</v>
      </c>
      <c r="F273" s="21" t="s">
        <v>1277</v>
      </c>
      <c r="G273" s="21" t="s">
        <v>1278</v>
      </c>
      <c r="H273" s="21" t="s">
        <v>98</v>
      </c>
      <c r="I273" s="6" t="str">
        <f>VLOOKUP(CLEAN(F273),'World Bank Categories'!$B$4:$C$220,2,FALSE)</f>
        <v>Middle income</v>
      </c>
      <c r="J273" s="21" t="s">
        <v>1279</v>
      </c>
      <c r="K273" s="21" t="s">
        <v>29</v>
      </c>
      <c r="L273" s="21" t="s">
        <v>1280</v>
      </c>
      <c r="M273" s="21" t="s">
        <v>1281</v>
      </c>
      <c r="N273" s="21" t="s">
        <v>1282</v>
      </c>
      <c r="O273" s="6" t="s">
        <v>444</v>
      </c>
      <c r="P273" s="21" t="s">
        <v>31</v>
      </c>
      <c r="Q273" s="9" t="s">
        <v>32</v>
      </c>
      <c r="R273" s="18" t="s">
        <v>33</v>
      </c>
      <c r="S273" s="25" t="s">
        <v>1276</v>
      </c>
      <c r="T273" s="27">
        <v>28068</v>
      </c>
      <c r="U273" s="25" t="s">
        <v>1279</v>
      </c>
      <c r="V273" s="25" t="s">
        <v>80</v>
      </c>
      <c r="W273" s="25"/>
    </row>
    <row r="274" spans="1:23" ht="22.5" customHeight="1">
      <c r="A274" s="20">
        <v>46013.891273148147</v>
      </c>
      <c r="B274" s="21" t="s">
        <v>1283</v>
      </c>
      <c r="C274" s="38"/>
      <c r="D274" s="21" t="s">
        <v>24</v>
      </c>
      <c r="E274" s="22">
        <v>36333</v>
      </c>
      <c r="F274" s="21" t="s">
        <v>52</v>
      </c>
      <c r="G274" s="21" t="s">
        <v>1161</v>
      </c>
      <c r="H274" s="21" t="s">
        <v>368</v>
      </c>
      <c r="I274" s="6" t="str">
        <f>VLOOKUP(CLEAN(F274),'World Bank Categories'!$B$4:$C$220,2,FALSE)</f>
        <v>Middle income</v>
      </c>
      <c r="J274" s="21" t="s">
        <v>1284</v>
      </c>
      <c r="K274" s="21" t="s">
        <v>39</v>
      </c>
      <c r="L274" s="21" t="s">
        <v>30</v>
      </c>
      <c r="M274" s="21"/>
      <c r="N274" s="21"/>
      <c r="O274" s="21"/>
      <c r="P274" s="21" t="s">
        <v>31</v>
      </c>
      <c r="Q274" s="9" t="s">
        <v>32</v>
      </c>
      <c r="R274" s="10"/>
      <c r="S274" s="25" t="s">
        <v>1285</v>
      </c>
      <c r="T274" s="27">
        <v>36333</v>
      </c>
      <c r="U274" s="25" t="s">
        <v>1284</v>
      </c>
      <c r="V274" s="25" t="s">
        <v>154</v>
      </c>
      <c r="W274" s="25"/>
    </row>
    <row r="275" spans="1:23" ht="22.5" customHeight="1">
      <c r="A275" s="20">
        <v>46014.264710648145</v>
      </c>
      <c r="B275" s="21" t="s">
        <v>1286</v>
      </c>
      <c r="C275" s="38"/>
      <c r="D275" s="21" t="s">
        <v>24</v>
      </c>
      <c r="E275" s="22">
        <v>37952</v>
      </c>
      <c r="F275" s="21" t="s">
        <v>83</v>
      </c>
      <c r="G275" s="21" t="s">
        <v>123</v>
      </c>
      <c r="H275" s="21" t="s">
        <v>66</v>
      </c>
      <c r="I275" s="6" t="str">
        <f>VLOOKUP(CLEAN(F275),'World Bank Categories'!$B$4:$C$220,2,FALSE)</f>
        <v>Low income</v>
      </c>
      <c r="J275" s="21" t="s">
        <v>1287</v>
      </c>
      <c r="K275" s="21" t="s">
        <v>29</v>
      </c>
      <c r="L275" s="21" t="s">
        <v>30</v>
      </c>
      <c r="M275" s="21"/>
      <c r="N275" s="21"/>
      <c r="O275" s="21"/>
      <c r="P275" s="21" t="s">
        <v>31</v>
      </c>
      <c r="Q275" s="9" t="s">
        <v>32</v>
      </c>
      <c r="R275" s="10"/>
      <c r="S275" s="25" t="s">
        <v>1286</v>
      </c>
      <c r="T275" s="27">
        <v>37952</v>
      </c>
      <c r="U275" s="25" t="s">
        <v>1287</v>
      </c>
      <c r="V275" s="25" t="s">
        <v>80</v>
      </c>
      <c r="W275" s="25"/>
    </row>
    <row r="276" spans="1:23" ht="22.5" hidden="1" customHeight="1">
      <c r="A276" s="20">
        <v>46014.310243055559</v>
      </c>
      <c r="B276" s="21" t="s">
        <v>1288</v>
      </c>
      <c r="C276" s="21" t="s">
        <v>1289</v>
      </c>
      <c r="D276" s="21" t="s">
        <v>24</v>
      </c>
      <c r="E276" s="22">
        <v>38356</v>
      </c>
      <c r="F276" s="21" t="s">
        <v>83</v>
      </c>
      <c r="G276" s="21" t="s">
        <v>1290</v>
      </c>
      <c r="H276" s="21" t="s">
        <v>368</v>
      </c>
      <c r="I276" s="6" t="str">
        <f>VLOOKUP(CLEAN(F276),'World Bank Categories'!$B$4:$C$220,2,FALSE)</f>
        <v>Low income</v>
      </c>
      <c r="J276" s="21" t="s">
        <v>1291</v>
      </c>
      <c r="K276" s="21" t="s">
        <v>29</v>
      </c>
      <c r="L276" s="21" t="s">
        <v>30</v>
      </c>
      <c r="M276" s="21"/>
      <c r="N276" s="21"/>
      <c r="O276" s="21"/>
      <c r="P276" s="21" t="s">
        <v>31</v>
      </c>
      <c r="Q276" s="23" t="s">
        <v>56</v>
      </c>
      <c r="R276" s="24"/>
      <c r="S276" s="25"/>
      <c r="T276" s="26"/>
      <c r="U276" s="25"/>
      <c r="V276" s="25"/>
      <c r="W276" s="25"/>
    </row>
    <row r="277" spans="1:23" ht="22.5" customHeight="1">
      <c r="A277" s="20">
        <v>46014.312222222223</v>
      </c>
      <c r="B277" s="21" t="s">
        <v>1292</v>
      </c>
      <c r="C277" s="21" t="s">
        <v>1293</v>
      </c>
      <c r="D277" s="21" t="s">
        <v>45</v>
      </c>
      <c r="E277" s="22">
        <v>38455</v>
      </c>
      <c r="F277" s="21" t="s">
        <v>83</v>
      </c>
      <c r="G277" s="21" t="s">
        <v>123</v>
      </c>
      <c r="H277" s="21" t="s">
        <v>66</v>
      </c>
      <c r="I277" s="6" t="str">
        <f>VLOOKUP(CLEAN(F277),'World Bank Categories'!$B$4:$C$220,2,FALSE)</f>
        <v>Low income</v>
      </c>
      <c r="J277" s="21" t="s">
        <v>1294</v>
      </c>
      <c r="K277" s="21" t="s">
        <v>29</v>
      </c>
      <c r="L277" s="21" t="s">
        <v>30</v>
      </c>
      <c r="M277" s="21"/>
      <c r="N277" s="21"/>
      <c r="O277" s="21"/>
      <c r="P277" s="21" t="s">
        <v>31</v>
      </c>
      <c r="Q277" s="9" t="s">
        <v>32</v>
      </c>
      <c r="R277" s="18" t="s">
        <v>33</v>
      </c>
      <c r="S277" s="25" t="s">
        <v>1295</v>
      </c>
      <c r="T277" s="27">
        <v>38455</v>
      </c>
      <c r="U277" s="25" t="s">
        <v>1294</v>
      </c>
      <c r="V277" s="25" t="s">
        <v>154</v>
      </c>
      <c r="W277" s="25"/>
    </row>
    <row r="278" spans="1:23" ht="22.5" hidden="1" customHeight="1">
      <c r="A278" s="20">
        <v>46014.314027777778</v>
      </c>
      <c r="B278" s="21" t="s">
        <v>1296</v>
      </c>
      <c r="C278" s="21" t="s">
        <v>1297</v>
      </c>
      <c r="D278" s="21" t="s">
        <v>24</v>
      </c>
      <c r="E278" s="22">
        <v>38512</v>
      </c>
      <c r="F278" s="21" t="s">
        <v>83</v>
      </c>
      <c r="G278" s="21" t="s">
        <v>1298</v>
      </c>
      <c r="H278" s="21" t="s">
        <v>368</v>
      </c>
      <c r="I278" s="6" t="str">
        <f>VLOOKUP(CLEAN(F278),'World Bank Categories'!$B$4:$C$220,2,FALSE)</f>
        <v>Low income</v>
      </c>
      <c r="J278" s="21" t="s">
        <v>1299</v>
      </c>
      <c r="K278" s="21" t="s">
        <v>29</v>
      </c>
      <c r="L278" s="21" t="s">
        <v>30</v>
      </c>
      <c r="M278" s="21"/>
      <c r="N278" s="21"/>
      <c r="O278" s="21"/>
      <c r="P278" s="21" t="s">
        <v>31</v>
      </c>
      <c r="Q278" s="23" t="s">
        <v>56</v>
      </c>
      <c r="R278" s="24"/>
      <c r="S278" s="25"/>
      <c r="T278" s="26"/>
      <c r="U278" s="25"/>
      <c r="V278" s="25"/>
      <c r="W278" s="25"/>
    </row>
    <row r="279" spans="1:23" ht="22.5" customHeight="1">
      <c r="A279" s="20">
        <v>46014.57917824074</v>
      </c>
      <c r="B279" s="21" t="s">
        <v>1300</v>
      </c>
      <c r="C279" s="38"/>
      <c r="D279" s="21" t="s">
        <v>24</v>
      </c>
      <c r="E279" s="22">
        <v>34091</v>
      </c>
      <c r="F279" s="21" t="s">
        <v>1301</v>
      </c>
      <c r="G279" s="21" t="s">
        <v>1302</v>
      </c>
      <c r="H279" s="21" t="s">
        <v>1303</v>
      </c>
      <c r="I279" s="6" t="str">
        <f>VLOOKUP(CLEAN(F279),'World Bank Categories'!$B$4:$C$220,2,FALSE)</f>
        <v>Middle income</v>
      </c>
      <c r="J279" s="21" t="s">
        <v>1304</v>
      </c>
      <c r="K279" s="21" t="s">
        <v>39</v>
      </c>
      <c r="L279" s="21" t="s">
        <v>30</v>
      </c>
      <c r="M279" s="21"/>
      <c r="N279" s="21"/>
      <c r="O279" s="21"/>
      <c r="P279" s="21" t="s">
        <v>31</v>
      </c>
      <c r="Q279" s="9" t="s">
        <v>32</v>
      </c>
      <c r="R279" s="10" t="s">
        <v>33</v>
      </c>
      <c r="S279" s="25" t="s">
        <v>1300</v>
      </c>
      <c r="T279" s="27">
        <v>34091</v>
      </c>
      <c r="U279" s="25" t="s">
        <v>1304</v>
      </c>
      <c r="V279" s="25" t="s">
        <v>80</v>
      </c>
      <c r="W279" s="25"/>
    </row>
    <row r="280" spans="1:23" ht="22.5" customHeight="1">
      <c r="A280" s="28">
        <v>46014.724317129629</v>
      </c>
      <c r="B280" s="29" t="s">
        <v>1305</v>
      </c>
      <c r="C280" s="45"/>
      <c r="D280" s="29" t="s">
        <v>45</v>
      </c>
      <c r="E280" s="30">
        <v>38131</v>
      </c>
      <c r="F280" s="29" t="s">
        <v>83</v>
      </c>
      <c r="G280" s="29" t="s">
        <v>262</v>
      </c>
      <c r="H280" s="29" t="s">
        <v>90</v>
      </c>
      <c r="I280" s="6" t="str">
        <f>VLOOKUP(CLEAN(F280),'World Bank Categories'!$B$4:$C$220,2,FALSE)</f>
        <v>Low income</v>
      </c>
      <c r="J280" s="29" t="s">
        <v>1306</v>
      </c>
      <c r="K280" s="29" t="s">
        <v>29</v>
      </c>
      <c r="L280" s="29" t="s">
        <v>30</v>
      </c>
      <c r="M280" s="29"/>
      <c r="N280" s="29"/>
      <c r="O280" s="29"/>
      <c r="P280" s="29" t="s">
        <v>31</v>
      </c>
      <c r="Q280" s="9" t="s">
        <v>32</v>
      </c>
      <c r="R280" s="18"/>
      <c r="S280" s="25" t="s">
        <v>1307</v>
      </c>
      <c r="T280" s="27">
        <v>38132</v>
      </c>
      <c r="U280" s="25" t="s">
        <v>1306</v>
      </c>
      <c r="V280" s="25" t="s">
        <v>114</v>
      </c>
      <c r="W280" s="25"/>
    </row>
    <row r="281" spans="1:23" ht="22.5" customHeight="1">
      <c r="A281" s="20">
        <v>46014.751782407409</v>
      </c>
      <c r="B281" s="21" t="s">
        <v>1308</v>
      </c>
      <c r="C281" s="21" t="s">
        <v>1308</v>
      </c>
      <c r="D281" s="21" t="s">
        <v>24</v>
      </c>
      <c r="E281" s="22">
        <v>34719</v>
      </c>
      <c r="F281" s="21" t="s">
        <v>297</v>
      </c>
      <c r="G281" s="21" t="s">
        <v>1309</v>
      </c>
      <c r="H281" s="21" t="s">
        <v>1310</v>
      </c>
      <c r="I281" s="6" t="str">
        <f>VLOOKUP(CLEAN(F281),'World Bank Categories'!$B$4:$C$220,2,FALSE)</f>
        <v>Middle income</v>
      </c>
      <c r="J281" s="21" t="s">
        <v>1311</v>
      </c>
      <c r="K281" s="21" t="s">
        <v>39</v>
      </c>
      <c r="L281" s="21" t="s">
        <v>30</v>
      </c>
      <c r="M281" s="21" t="s">
        <v>1312</v>
      </c>
      <c r="N281" s="21"/>
      <c r="O281" s="21"/>
      <c r="P281" s="21" t="s">
        <v>31</v>
      </c>
      <c r="Q281" s="9" t="s">
        <v>32</v>
      </c>
      <c r="R281" s="10"/>
      <c r="S281" s="25" t="s">
        <v>1308</v>
      </c>
      <c r="T281" s="27">
        <v>34719</v>
      </c>
      <c r="U281" s="25" t="s">
        <v>1311</v>
      </c>
      <c r="V281" s="25" t="s">
        <v>80</v>
      </c>
      <c r="W281" s="25"/>
    </row>
    <row r="282" spans="1:23" ht="22.5" hidden="1" customHeight="1">
      <c r="A282" s="20">
        <v>46014.806203703702</v>
      </c>
      <c r="B282" s="21" t="s">
        <v>1313</v>
      </c>
      <c r="C282" s="38"/>
      <c r="D282" s="21" t="s">
        <v>24</v>
      </c>
      <c r="E282" s="22">
        <v>35909</v>
      </c>
      <c r="F282" s="21" t="s">
        <v>83</v>
      </c>
      <c r="G282" s="21" t="s">
        <v>262</v>
      </c>
      <c r="H282" s="21" t="s">
        <v>90</v>
      </c>
      <c r="I282" s="6" t="str">
        <f>VLOOKUP(CLEAN(F282),'World Bank Categories'!$B$4:$C$220,2,FALSE)</f>
        <v>Low income</v>
      </c>
      <c r="J282" s="21" t="s">
        <v>1314</v>
      </c>
      <c r="K282" s="21" t="s">
        <v>29</v>
      </c>
      <c r="L282" s="21" t="s">
        <v>30</v>
      </c>
      <c r="M282" s="21"/>
      <c r="N282" s="21"/>
      <c r="O282" s="21"/>
      <c r="P282" s="21" t="s">
        <v>31</v>
      </c>
      <c r="Q282" s="23" t="s">
        <v>56</v>
      </c>
      <c r="R282" s="24"/>
      <c r="S282" s="25"/>
      <c r="T282" s="26"/>
      <c r="U282" s="25"/>
      <c r="V282" s="25"/>
      <c r="W282" s="25"/>
    </row>
    <row r="283" spans="1:23" ht="22.5" customHeight="1">
      <c r="A283" s="20">
        <v>46014.877974537034</v>
      </c>
      <c r="B283" s="21" t="s">
        <v>1315</v>
      </c>
      <c r="C283" s="38"/>
      <c r="D283" s="21" t="s">
        <v>24</v>
      </c>
      <c r="E283" s="22">
        <v>22759</v>
      </c>
      <c r="F283" s="21" t="s">
        <v>1316</v>
      </c>
      <c r="G283" s="21" t="s">
        <v>1317</v>
      </c>
      <c r="H283" s="21" t="s">
        <v>1318</v>
      </c>
      <c r="I283" s="6" t="str">
        <f>VLOOKUP(CLEAN(F283),'World Bank Categories'!$B$4:$C$220,2,FALSE)</f>
        <v>Low income</v>
      </c>
      <c r="J283" s="21" t="s">
        <v>1319</v>
      </c>
      <c r="K283" s="21" t="s">
        <v>39</v>
      </c>
      <c r="L283" s="21" t="s">
        <v>30</v>
      </c>
      <c r="M283" s="41"/>
      <c r="N283" s="21"/>
      <c r="O283" s="21"/>
      <c r="P283" s="21" t="s">
        <v>31</v>
      </c>
      <c r="Q283" s="9" t="s">
        <v>32</v>
      </c>
      <c r="R283" s="18" t="s">
        <v>33</v>
      </c>
      <c r="S283" s="25" t="s">
        <v>1320</v>
      </c>
      <c r="T283" s="27">
        <v>22759</v>
      </c>
      <c r="U283" s="25" t="s">
        <v>1319</v>
      </c>
      <c r="V283" s="25" t="s">
        <v>80</v>
      </c>
      <c r="W283" s="25"/>
    </row>
    <row r="284" spans="1:23" ht="22.5" customHeight="1">
      <c r="A284" s="20">
        <v>46015.010312500002</v>
      </c>
      <c r="B284" s="21" t="s">
        <v>1321</v>
      </c>
      <c r="C284" s="38"/>
      <c r="D284" s="21" t="s">
        <v>24</v>
      </c>
      <c r="E284" s="22">
        <v>32915</v>
      </c>
      <c r="F284" s="21" t="s">
        <v>1272</v>
      </c>
      <c r="G284" s="21" t="s">
        <v>1322</v>
      </c>
      <c r="H284" s="21" t="s">
        <v>368</v>
      </c>
      <c r="I284" s="6" t="str">
        <f>VLOOKUP(CLEAN(F284),'World Bank Categories'!$B$4:$C$220,2,FALSE)</f>
        <v>Low income</v>
      </c>
      <c r="J284" s="21" t="s">
        <v>1323</v>
      </c>
      <c r="K284" s="21" t="s">
        <v>29</v>
      </c>
      <c r="L284" s="21" t="s">
        <v>1324</v>
      </c>
      <c r="M284" s="21"/>
      <c r="N284" s="21"/>
      <c r="O284" s="21"/>
      <c r="P284" s="21" t="s">
        <v>31</v>
      </c>
      <c r="Q284" s="9" t="s">
        <v>32</v>
      </c>
      <c r="R284" s="10"/>
      <c r="S284" s="25" t="s">
        <v>1325</v>
      </c>
      <c r="T284" s="27">
        <v>32915</v>
      </c>
      <c r="U284" s="25" t="s">
        <v>1323</v>
      </c>
      <c r="V284" s="25" t="s">
        <v>80</v>
      </c>
      <c r="W284" s="25"/>
    </row>
    <row r="285" spans="1:23" ht="22.5" customHeight="1">
      <c r="A285" s="28">
        <v>46015.010671296295</v>
      </c>
      <c r="B285" s="29" t="s">
        <v>1326</v>
      </c>
      <c r="C285" s="29" t="s">
        <v>1327</v>
      </c>
      <c r="D285" s="29" t="s">
        <v>24</v>
      </c>
      <c r="E285" s="30">
        <v>38467</v>
      </c>
      <c r="F285" s="29" t="s">
        <v>232</v>
      </c>
      <c r="G285" s="29" t="s">
        <v>1328</v>
      </c>
      <c r="H285" s="29" t="s">
        <v>138</v>
      </c>
      <c r="I285" s="6" t="str">
        <f>VLOOKUP(CLEAN(F285),'World Bank Categories'!$B$4:$C$220,2,FALSE)</f>
        <v>Middle income</v>
      </c>
      <c r="J285" s="29" t="s">
        <v>1329</v>
      </c>
      <c r="K285" s="29" t="s">
        <v>29</v>
      </c>
      <c r="L285" s="29" t="s">
        <v>162</v>
      </c>
      <c r="M285" s="29"/>
      <c r="N285" s="29"/>
      <c r="O285" s="29"/>
      <c r="P285" s="29" t="s">
        <v>31</v>
      </c>
      <c r="Q285" s="9" t="s">
        <v>32</v>
      </c>
      <c r="R285" s="18"/>
      <c r="S285" s="25" t="s">
        <v>1330</v>
      </c>
      <c r="T285" s="27">
        <v>38467</v>
      </c>
      <c r="U285" s="25" t="s">
        <v>1329</v>
      </c>
      <c r="V285" s="25" t="s">
        <v>316</v>
      </c>
      <c r="W285" s="25"/>
    </row>
    <row r="286" spans="1:23" ht="22.5" customHeight="1">
      <c r="A286" s="20">
        <v>46015.102384259262</v>
      </c>
      <c r="B286" s="21" t="s">
        <v>1331</v>
      </c>
      <c r="C286" s="38"/>
      <c r="D286" s="21" t="s">
        <v>24</v>
      </c>
      <c r="E286" s="22">
        <v>35053</v>
      </c>
      <c r="F286" s="21" t="s">
        <v>52</v>
      </c>
      <c r="G286" s="21" t="s">
        <v>1332</v>
      </c>
      <c r="H286" s="21" t="s">
        <v>156</v>
      </c>
      <c r="I286" s="6" t="str">
        <f>VLOOKUP(CLEAN(F286),'World Bank Categories'!$B$4:$C$220,2,FALSE)</f>
        <v>Middle income</v>
      </c>
      <c r="J286" s="21" t="s">
        <v>1333</v>
      </c>
      <c r="K286" s="21" t="s">
        <v>29</v>
      </c>
      <c r="L286" s="21" t="s">
        <v>30</v>
      </c>
      <c r="M286" s="21"/>
      <c r="N286" s="21"/>
      <c r="O286" s="21"/>
      <c r="P286" s="21" t="s">
        <v>31</v>
      </c>
      <c r="Q286" s="9" t="s">
        <v>32</v>
      </c>
      <c r="R286" s="10" t="s">
        <v>43</v>
      </c>
      <c r="S286" s="25" t="s">
        <v>1331</v>
      </c>
      <c r="T286" s="27">
        <v>35053</v>
      </c>
      <c r="U286" s="25" t="s">
        <v>1333</v>
      </c>
      <c r="V286" s="25" t="s">
        <v>80</v>
      </c>
      <c r="W286" s="25"/>
    </row>
    <row r="287" spans="1:23" ht="22.5" customHeight="1">
      <c r="A287" s="20">
        <v>46015.335729166669</v>
      </c>
      <c r="B287" s="21" t="s">
        <v>1334</v>
      </c>
      <c r="C287" s="38"/>
      <c r="D287" s="21" t="s">
        <v>45</v>
      </c>
      <c r="E287" s="22">
        <v>37530</v>
      </c>
      <c r="F287" s="21" t="s">
        <v>1335</v>
      </c>
      <c r="G287" s="21" t="s">
        <v>1336</v>
      </c>
      <c r="H287" s="21" t="s">
        <v>66</v>
      </c>
      <c r="I287" s="6" t="str">
        <f>VLOOKUP(CLEAN(F287),'World Bank Categories'!$B$4:$C$220,2,FALSE)</f>
        <v>High income</v>
      </c>
      <c r="J287" s="21" t="s">
        <v>1337</v>
      </c>
      <c r="K287" s="21" t="s">
        <v>29</v>
      </c>
      <c r="L287" s="21" t="s">
        <v>30</v>
      </c>
      <c r="M287" s="21"/>
      <c r="N287" s="21"/>
      <c r="O287" s="21"/>
      <c r="P287" s="21" t="s">
        <v>31</v>
      </c>
      <c r="Q287" s="9" t="s">
        <v>32</v>
      </c>
      <c r="R287" s="18" t="s">
        <v>33</v>
      </c>
      <c r="S287" s="25" t="s">
        <v>1334</v>
      </c>
      <c r="T287" s="27">
        <v>37530</v>
      </c>
      <c r="U287" s="25" t="s">
        <v>1337</v>
      </c>
      <c r="V287" s="25" t="s">
        <v>80</v>
      </c>
      <c r="W287" s="25"/>
    </row>
    <row r="288" spans="1:23" ht="22.5" customHeight="1">
      <c r="A288" s="20">
        <v>46015.628229166665</v>
      </c>
      <c r="B288" s="21" t="s">
        <v>1338</v>
      </c>
      <c r="C288" s="38"/>
      <c r="D288" s="21" t="s">
        <v>45</v>
      </c>
      <c r="E288" s="22">
        <v>37441</v>
      </c>
      <c r="F288" s="21" t="s">
        <v>438</v>
      </c>
      <c r="G288" s="21" t="s">
        <v>1339</v>
      </c>
      <c r="H288" s="21" t="s">
        <v>138</v>
      </c>
      <c r="I288" s="6" t="str">
        <f>VLOOKUP(CLEAN(F288),'World Bank Categories'!$B$4:$C$220,2,FALSE)</f>
        <v>Middle income</v>
      </c>
      <c r="J288" s="21" t="s">
        <v>1340</v>
      </c>
      <c r="K288" s="21" t="s">
        <v>29</v>
      </c>
      <c r="L288" s="21" t="s">
        <v>30</v>
      </c>
      <c r="M288" s="21"/>
      <c r="N288" s="21"/>
      <c r="O288" s="21"/>
      <c r="P288" s="21" t="s">
        <v>31</v>
      </c>
      <c r="Q288" s="9" t="s">
        <v>32</v>
      </c>
      <c r="R288" s="10"/>
      <c r="S288" s="25" t="s">
        <v>1338</v>
      </c>
      <c r="T288" s="27">
        <v>37441</v>
      </c>
      <c r="U288" s="25" t="s">
        <v>1340</v>
      </c>
      <c r="V288" s="25" t="s">
        <v>80</v>
      </c>
      <c r="W288" s="25"/>
    </row>
    <row r="289" spans="1:23" ht="22.5" customHeight="1">
      <c r="A289" s="20">
        <v>46015.772731481484</v>
      </c>
      <c r="B289" s="21" t="s">
        <v>1341</v>
      </c>
      <c r="C289" s="38"/>
      <c r="D289" s="21" t="s">
        <v>24</v>
      </c>
      <c r="E289" s="22">
        <v>35790</v>
      </c>
      <c r="F289" s="21" t="s">
        <v>52</v>
      </c>
      <c r="G289" s="21" t="s">
        <v>1342</v>
      </c>
      <c r="H289" s="21" t="s">
        <v>1343</v>
      </c>
      <c r="I289" s="6" t="str">
        <f>VLOOKUP(CLEAN(F289),'World Bank Categories'!$B$4:$C$220,2,FALSE)</f>
        <v>Middle income</v>
      </c>
      <c r="J289" s="21" t="s">
        <v>1344</v>
      </c>
      <c r="K289" s="21" t="s">
        <v>39</v>
      </c>
      <c r="L289" s="32">
        <v>46202</v>
      </c>
      <c r="M289" s="21"/>
      <c r="N289" s="21"/>
      <c r="O289" s="21"/>
      <c r="P289" s="21" t="s">
        <v>31</v>
      </c>
      <c r="Q289" s="9" t="s">
        <v>32</v>
      </c>
      <c r="R289" s="18" t="s">
        <v>33</v>
      </c>
      <c r="S289" s="25" t="s">
        <v>1341</v>
      </c>
      <c r="T289" s="27">
        <v>35790</v>
      </c>
      <c r="U289" s="25" t="s">
        <v>1344</v>
      </c>
      <c r="V289" s="25" t="s">
        <v>80</v>
      </c>
      <c r="W289" s="25"/>
    </row>
    <row r="290" spans="1:23" ht="22.5" customHeight="1">
      <c r="A290" s="20">
        <v>46015.906504629631</v>
      </c>
      <c r="B290" s="21" t="s">
        <v>1345</v>
      </c>
      <c r="C290" s="38"/>
      <c r="D290" s="21" t="s">
        <v>24</v>
      </c>
      <c r="E290" s="22">
        <v>34001</v>
      </c>
      <c r="F290" s="21" t="s">
        <v>198</v>
      </c>
      <c r="G290" s="21" t="s">
        <v>1346</v>
      </c>
      <c r="H290" s="21" t="s">
        <v>1347</v>
      </c>
      <c r="I290" s="6" t="str">
        <f>VLOOKUP(CLEAN(F290),'World Bank Categories'!$B$4:$C$220,2,FALSE)</f>
        <v>Middle income</v>
      </c>
      <c r="J290" s="21" t="s">
        <v>1348</v>
      </c>
      <c r="K290" s="21" t="s">
        <v>29</v>
      </c>
      <c r="L290" s="21" t="s">
        <v>30</v>
      </c>
      <c r="M290" s="21"/>
      <c r="N290" s="21"/>
      <c r="O290" s="21"/>
      <c r="P290" s="21" t="s">
        <v>31</v>
      </c>
      <c r="Q290" s="9" t="s">
        <v>32</v>
      </c>
      <c r="R290" s="10" t="s">
        <v>33</v>
      </c>
      <c r="S290" s="25" t="s">
        <v>1345</v>
      </c>
      <c r="T290" s="27">
        <v>34001</v>
      </c>
      <c r="U290" s="25" t="s">
        <v>1348</v>
      </c>
      <c r="V290" s="25" t="s">
        <v>80</v>
      </c>
      <c r="W290" s="25"/>
    </row>
    <row r="291" spans="1:23" ht="22.5" customHeight="1">
      <c r="A291" s="20">
        <v>46016.165625000001</v>
      </c>
      <c r="B291" s="21" t="s">
        <v>1349</v>
      </c>
      <c r="C291" s="38"/>
      <c r="D291" s="21" t="s">
        <v>45</v>
      </c>
      <c r="E291" s="22">
        <v>28859</v>
      </c>
      <c r="F291" s="21" t="s">
        <v>1272</v>
      </c>
      <c r="G291" s="21" t="s">
        <v>1350</v>
      </c>
      <c r="H291" s="21" t="s">
        <v>66</v>
      </c>
      <c r="I291" s="6" t="str">
        <f>VLOOKUP(CLEAN(F291),'World Bank Categories'!$B$4:$C$220,2,FALSE)</f>
        <v>Low income</v>
      </c>
      <c r="J291" s="21" t="s">
        <v>1351</v>
      </c>
      <c r="K291" s="21" t="s">
        <v>29</v>
      </c>
      <c r="L291" s="32">
        <v>46202</v>
      </c>
      <c r="M291" s="21"/>
      <c r="N291" s="21"/>
      <c r="O291" s="21"/>
      <c r="P291" s="21" t="s">
        <v>31</v>
      </c>
      <c r="Q291" s="9" t="s">
        <v>32</v>
      </c>
      <c r="R291" s="10"/>
      <c r="S291" s="25" t="s">
        <v>1349</v>
      </c>
      <c r="T291" s="27">
        <v>28859</v>
      </c>
      <c r="U291" s="25" t="s">
        <v>1351</v>
      </c>
      <c r="V291" s="25" t="s">
        <v>80</v>
      </c>
      <c r="W291" s="25"/>
    </row>
    <row r="292" spans="1:23" ht="22.5" customHeight="1">
      <c r="A292" s="20">
        <v>46016.259050925924</v>
      </c>
      <c r="B292" s="21" t="s">
        <v>1352</v>
      </c>
      <c r="C292" s="38"/>
      <c r="D292" s="21" t="s">
        <v>45</v>
      </c>
      <c r="E292" s="22">
        <v>35415</v>
      </c>
      <c r="F292" s="21" t="s">
        <v>64</v>
      </c>
      <c r="G292" s="21" t="s">
        <v>1353</v>
      </c>
      <c r="H292" s="21" t="s">
        <v>186</v>
      </c>
      <c r="I292" s="6" t="str">
        <f>VLOOKUP(CLEAN(F292),'World Bank Categories'!$B$4:$C$220,2,FALSE)</f>
        <v>Middle income</v>
      </c>
      <c r="J292" s="21" t="s">
        <v>1354</v>
      </c>
      <c r="K292" s="21" t="s">
        <v>29</v>
      </c>
      <c r="L292" s="21" t="s">
        <v>30</v>
      </c>
      <c r="M292" s="21"/>
      <c r="N292" s="21"/>
      <c r="O292" s="21"/>
      <c r="P292" s="21" t="s">
        <v>31</v>
      </c>
      <c r="Q292" s="9" t="s">
        <v>32</v>
      </c>
      <c r="R292" s="18"/>
      <c r="S292" s="25" t="s">
        <v>1355</v>
      </c>
      <c r="T292" s="27">
        <v>35415</v>
      </c>
      <c r="U292" s="25" t="s">
        <v>1354</v>
      </c>
      <c r="V292" s="25" t="s">
        <v>154</v>
      </c>
      <c r="W292" s="25"/>
    </row>
    <row r="293" spans="1:23" ht="22.5" customHeight="1">
      <c r="A293" s="20">
        <v>46017.499490740738</v>
      </c>
      <c r="B293" s="21" t="s">
        <v>1356</v>
      </c>
      <c r="C293" s="38"/>
      <c r="D293" s="21" t="s">
        <v>24</v>
      </c>
      <c r="E293" s="22">
        <v>37458</v>
      </c>
      <c r="F293" s="21" t="s">
        <v>1357</v>
      </c>
      <c r="G293" s="21" t="s">
        <v>394</v>
      </c>
      <c r="H293" s="21" t="s">
        <v>1358</v>
      </c>
      <c r="I293" s="6" t="str">
        <f>VLOOKUP(CLEAN(F293),'World Bank Categories'!$B$4:$C$220,2,FALSE)</f>
        <v>High income</v>
      </c>
      <c r="J293" s="21" t="s">
        <v>1359</v>
      </c>
      <c r="K293" s="21" t="s">
        <v>29</v>
      </c>
      <c r="L293" s="21" t="s">
        <v>30</v>
      </c>
      <c r="M293" s="21"/>
      <c r="N293" s="21"/>
      <c r="O293" s="21"/>
      <c r="P293" s="21" t="s">
        <v>31</v>
      </c>
      <c r="Q293" s="9" t="s">
        <v>32</v>
      </c>
      <c r="R293" s="10" t="s">
        <v>43</v>
      </c>
      <c r="S293" s="25" t="s">
        <v>1360</v>
      </c>
      <c r="T293" s="27">
        <v>37458</v>
      </c>
      <c r="U293" s="25" t="s">
        <v>1359</v>
      </c>
      <c r="V293" s="25" t="s">
        <v>463</v>
      </c>
      <c r="W293" s="25"/>
    </row>
    <row r="294" spans="1:23" ht="22.5" customHeight="1">
      <c r="A294" s="20">
        <v>46017.703888888886</v>
      </c>
      <c r="B294" s="21" t="s">
        <v>1361</v>
      </c>
      <c r="C294" s="21" t="s">
        <v>871</v>
      </c>
      <c r="D294" s="21" t="s">
        <v>24</v>
      </c>
      <c r="E294" s="22">
        <v>37734</v>
      </c>
      <c r="F294" s="21" t="s">
        <v>1362</v>
      </c>
      <c r="G294" s="21" t="s">
        <v>1363</v>
      </c>
      <c r="H294" s="21" t="s">
        <v>66</v>
      </c>
      <c r="I294" s="6" t="str">
        <f>VLOOKUP(CLEAN(F294),'World Bank Categories'!$B$4:$C$220,2,FALSE)</f>
        <v>Middle income</v>
      </c>
      <c r="J294" s="21" t="s">
        <v>1364</v>
      </c>
      <c r="K294" s="21" t="s">
        <v>29</v>
      </c>
      <c r="L294" s="21" t="s">
        <v>30</v>
      </c>
      <c r="M294" s="21"/>
      <c r="N294" s="21"/>
      <c r="O294" s="21"/>
      <c r="P294" s="21" t="s">
        <v>31</v>
      </c>
      <c r="Q294" s="9" t="s">
        <v>32</v>
      </c>
      <c r="R294" s="18"/>
      <c r="S294" s="25" t="s">
        <v>1361</v>
      </c>
      <c r="T294" s="27">
        <v>37734</v>
      </c>
      <c r="U294" s="25" t="s">
        <v>1364</v>
      </c>
      <c r="V294" s="25" t="s">
        <v>80</v>
      </c>
      <c r="W294" s="25"/>
    </row>
    <row r="295" spans="1:23" ht="22.5" hidden="1" customHeight="1">
      <c r="A295" s="20">
        <v>46017.943229166667</v>
      </c>
      <c r="B295" s="21" t="s">
        <v>1365</v>
      </c>
      <c r="C295" s="38"/>
      <c r="D295" s="21" t="s">
        <v>45</v>
      </c>
      <c r="E295" s="22">
        <v>38214</v>
      </c>
      <c r="F295" s="21" t="s">
        <v>980</v>
      </c>
      <c r="G295" s="21" t="s">
        <v>1013</v>
      </c>
      <c r="H295" s="21" t="s">
        <v>138</v>
      </c>
      <c r="I295" s="6" t="str">
        <f>VLOOKUP(CLEAN(F295),'World Bank Categories'!$B$4:$C$220,2,FALSE)</f>
        <v>Middle income</v>
      </c>
      <c r="J295" s="21" t="s">
        <v>1366</v>
      </c>
      <c r="K295" s="21" t="s">
        <v>39</v>
      </c>
      <c r="L295" s="21" t="s">
        <v>152</v>
      </c>
      <c r="M295" s="21"/>
      <c r="N295" s="21"/>
      <c r="O295" s="21"/>
      <c r="P295" s="21" t="s">
        <v>31</v>
      </c>
      <c r="Q295" s="23" t="s">
        <v>56</v>
      </c>
      <c r="R295" s="24"/>
      <c r="S295" s="25"/>
      <c r="T295" s="26"/>
      <c r="U295" s="25"/>
      <c r="V295" s="25"/>
      <c r="W295" s="25"/>
    </row>
    <row r="296" spans="1:23" ht="22.5" customHeight="1">
      <c r="A296" s="20">
        <v>46017.943622685183</v>
      </c>
      <c r="B296" s="21" t="s">
        <v>1367</v>
      </c>
      <c r="C296" s="38"/>
      <c r="D296" s="21" t="s">
        <v>24</v>
      </c>
      <c r="E296" s="22">
        <v>36742</v>
      </c>
      <c r="F296" s="21" t="s">
        <v>980</v>
      </c>
      <c r="G296" s="21" t="s">
        <v>1020</v>
      </c>
      <c r="H296" s="21" t="s">
        <v>368</v>
      </c>
      <c r="I296" s="6" t="str">
        <f>VLOOKUP(CLEAN(F296),'World Bank Categories'!$B$4:$C$220,2,FALSE)</f>
        <v>Middle income</v>
      </c>
      <c r="J296" s="21" t="s">
        <v>1368</v>
      </c>
      <c r="K296" s="21" t="s">
        <v>39</v>
      </c>
      <c r="L296" s="21" t="s">
        <v>152</v>
      </c>
      <c r="M296" s="21"/>
      <c r="N296" s="21"/>
      <c r="O296" s="21"/>
      <c r="P296" s="21" t="s">
        <v>31</v>
      </c>
      <c r="Q296" s="9" t="s">
        <v>32</v>
      </c>
      <c r="R296" s="18" t="s">
        <v>33</v>
      </c>
      <c r="S296" s="25" t="s">
        <v>1367</v>
      </c>
      <c r="T296" s="27">
        <v>36742</v>
      </c>
      <c r="U296" s="25" t="s">
        <v>1368</v>
      </c>
      <c r="V296" s="25" t="s">
        <v>80</v>
      </c>
      <c r="W296" s="25"/>
    </row>
    <row r="297" spans="1:23" ht="22.5" hidden="1" customHeight="1">
      <c r="A297" s="20">
        <v>46017.945104166669</v>
      </c>
      <c r="B297" s="21" t="s">
        <v>1369</v>
      </c>
      <c r="C297" s="38"/>
      <c r="D297" s="21" t="s">
        <v>45</v>
      </c>
      <c r="E297" s="22">
        <v>38492</v>
      </c>
      <c r="F297" s="21" t="s">
        <v>980</v>
      </c>
      <c r="G297" s="21" t="s">
        <v>1013</v>
      </c>
      <c r="H297" s="21" t="s">
        <v>368</v>
      </c>
      <c r="I297" s="6" t="str">
        <f>VLOOKUP(CLEAN(F297),'World Bank Categories'!$B$4:$C$220,2,FALSE)</f>
        <v>Middle income</v>
      </c>
      <c r="J297" s="21" t="s">
        <v>1370</v>
      </c>
      <c r="K297" s="21" t="s">
        <v>39</v>
      </c>
      <c r="L297" s="21" t="s">
        <v>152</v>
      </c>
      <c r="M297" s="21"/>
      <c r="N297" s="21"/>
      <c r="O297" s="21"/>
      <c r="P297" s="21" t="s">
        <v>31</v>
      </c>
      <c r="Q297" s="23" t="s">
        <v>56</v>
      </c>
      <c r="R297" s="24"/>
      <c r="S297" s="25"/>
      <c r="T297" s="26"/>
      <c r="U297" s="25"/>
      <c r="V297" s="25"/>
      <c r="W297" s="25"/>
    </row>
    <row r="298" spans="1:23" ht="22.5" customHeight="1">
      <c r="A298" s="13">
        <v>46018.179594212968</v>
      </c>
      <c r="B298" s="14" t="s">
        <v>1371</v>
      </c>
      <c r="C298" s="15"/>
      <c r="D298" s="14" t="s">
        <v>24</v>
      </c>
      <c r="E298" s="16">
        <v>37865</v>
      </c>
      <c r="F298" s="14" t="s">
        <v>1357</v>
      </c>
      <c r="G298" s="14" t="s">
        <v>394</v>
      </c>
      <c r="H298" s="14" t="s">
        <v>138</v>
      </c>
      <c r="I298" s="6" t="str">
        <f>VLOOKUP(CLEAN(F298),'World Bank Categories'!$B$4:$C$220,2,FALSE)</f>
        <v>High income</v>
      </c>
      <c r="J298" s="14" t="s">
        <v>1372</v>
      </c>
      <c r="K298" s="14" t="s">
        <v>29</v>
      </c>
      <c r="L298" s="14" t="s">
        <v>30</v>
      </c>
      <c r="M298" s="15"/>
      <c r="N298" s="14"/>
      <c r="O298" s="14"/>
      <c r="P298" s="14" t="s">
        <v>31</v>
      </c>
      <c r="Q298" s="9" t="s">
        <v>32</v>
      </c>
      <c r="R298" s="10" t="s">
        <v>43</v>
      </c>
      <c r="S298" s="19" t="s">
        <v>1373</v>
      </c>
      <c r="T298" s="12"/>
      <c r="U298" s="12"/>
      <c r="V298" s="12"/>
      <c r="W298" s="12"/>
    </row>
    <row r="299" spans="1:23" ht="22.5" customHeight="1">
      <c r="A299" s="20">
        <v>46018.255462962959</v>
      </c>
      <c r="B299" s="21" t="s">
        <v>1374</v>
      </c>
      <c r="C299" s="38"/>
      <c r="D299" s="21" t="s">
        <v>24</v>
      </c>
      <c r="E299" s="22">
        <v>37761</v>
      </c>
      <c r="F299" s="21" t="s">
        <v>64</v>
      </c>
      <c r="G299" s="21" t="s">
        <v>1375</v>
      </c>
      <c r="H299" s="21" t="s">
        <v>461</v>
      </c>
      <c r="I299" s="6" t="str">
        <f>VLOOKUP(CLEAN(F299),'World Bank Categories'!$B$4:$C$220,2,FALSE)</f>
        <v>Middle income</v>
      </c>
      <c r="J299" s="21" t="s">
        <v>1376</v>
      </c>
      <c r="K299" s="21" t="s">
        <v>29</v>
      </c>
      <c r="L299" s="21" t="s">
        <v>30</v>
      </c>
      <c r="M299" s="21"/>
      <c r="N299" s="21"/>
      <c r="O299" s="21"/>
      <c r="P299" s="21" t="s">
        <v>31</v>
      </c>
      <c r="Q299" s="9" t="s">
        <v>32</v>
      </c>
      <c r="R299" s="18" t="s">
        <v>33</v>
      </c>
      <c r="S299" s="25" t="s">
        <v>1374</v>
      </c>
      <c r="T299" s="27">
        <v>37761</v>
      </c>
      <c r="U299" s="25" t="s">
        <v>1376</v>
      </c>
      <c r="V299" s="25" t="s">
        <v>80</v>
      </c>
      <c r="W299" s="25"/>
    </row>
    <row r="300" spans="1:23" ht="22.5" customHeight="1">
      <c r="A300" s="20">
        <v>46018.823310185187</v>
      </c>
      <c r="B300" s="21" t="s">
        <v>1377</v>
      </c>
      <c r="C300" s="21" t="s">
        <v>1378</v>
      </c>
      <c r="D300" s="21" t="s">
        <v>45</v>
      </c>
      <c r="E300" s="22">
        <v>37994</v>
      </c>
      <c r="F300" s="21" t="s">
        <v>70</v>
      </c>
      <c r="G300" s="21" t="s">
        <v>1379</v>
      </c>
      <c r="H300" s="21" t="s">
        <v>368</v>
      </c>
      <c r="I300" s="6" t="str">
        <f>VLOOKUP(CLEAN(F300),'World Bank Categories'!$B$4:$C$220,2,FALSE)</f>
        <v>Middle income</v>
      </c>
      <c r="J300" s="21" t="s">
        <v>1380</v>
      </c>
      <c r="K300" s="21" t="s">
        <v>39</v>
      </c>
      <c r="L300" s="21" t="s">
        <v>30</v>
      </c>
      <c r="M300" s="21"/>
      <c r="N300" s="21"/>
      <c r="O300" s="21"/>
      <c r="P300" s="21" t="s">
        <v>31</v>
      </c>
      <c r="Q300" s="9" t="s">
        <v>32</v>
      </c>
      <c r="R300" s="10"/>
      <c r="S300" s="25" t="s">
        <v>1377</v>
      </c>
      <c r="T300" s="27">
        <v>37994</v>
      </c>
      <c r="U300" s="25" t="s">
        <v>1380</v>
      </c>
      <c r="V300" s="25" t="s">
        <v>80</v>
      </c>
      <c r="W300" s="25"/>
    </row>
    <row r="301" spans="1:23" ht="22.5" customHeight="1">
      <c r="A301" s="20">
        <v>46019.127627314818</v>
      </c>
      <c r="B301" s="21" t="s">
        <v>1381</v>
      </c>
      <c r="C301" s="21" t="s">
        <v>1382</v>
      </c>
      <c r="D301" s="21" t="s">
        <v>45</v>
      </c>
      <c r="E301" s="22">
        <v>37259</v>
      </c>
      <c r="F301" s="21" t="s">
        <v>208</v>
      </c>
      <c r="G301" s="21" t="s">
        <v>1383</v>
      </c>
      <c r="H301" s="21" t="s">
        <v>1384</v>
      </c>
      <c r="I301" s="6" t="str">
        <f>VLOOKUP(CLEAN(F301),'World Bank Categories'!$B$4:$C$220,2,FALSE)</f>
        <v>Low income</v>
      </c>
      <c r="J301" s="21" t="s">
        <v>1385</v>
      </c>
      <c r="K301" s="21" t="s">
        <v>29</v>
      </c>
      <c r="L301" s="21" t="s">
        <v>30</v>
      </c>
      <c r="M301" s="21"/>
      <c r="N301" s="21"/>
      <c r="O301" s="21"/>
      <c r="P301" s="21" t="s">
        <v>31</v>
      </c>
      <c r="Q301" s="9" t="s">
        <v>32</v>
      </c>
      <c r="R301" s="18"/>
      <c r="S301" s="25" t="s">
        <v>1381</v>
      </c>
      <c r="T301" s="27">
        <v>37259</v>
      </c>
      <c r="U301" s="25" t="s">
        <v>1385</v>
      </c>
      <c r="V301" s="25" t="s">
        <v>80</v>
      </c>
      <c r="W301" s="25"/>
    </row>
    <row r="302" spans="1:23" ht="22.5" customHeight="1">
      <c r="A302" s="20">
        <v>46019.448113425926</v>
      </c>
      <c r="B302" s="21" t="s">
        <v>1386</v>
      </c>
      <c r="C302" s="38"/>
      <c r="D302" s="21" t="s">
        <v>24</v>
      </c>
      <c r="E302" s="22">
        <v>30435</v>
      </c>
      <c r="F302" s="21" t="s">
        <v>1387</v>
      </c>
      <c r="G302" s="21" t="s">
        <v>209</v>
      </c>
      <c r="H302" s="21" t="s">
        <v>1388</v>
      </c>
      <c r="I302" s="6" t="str">
        <f>VLOOKUP(CLEAN(F302),'World Bank Categories'!$B$4:$C$220,2,FALSE)</f>
        <v>Middle income</v>
      </c>
      <c r="J302" s="21" t="s">
        <v>1389</v>
      </c>
      <c r="K302" s="21" t="s">
        <v>39</v>
      </c>
      <c r="L302" s="21" t="s">
        <v>30</v>
      </c>
      <c r="M302" s="21"/>
      <c r="N302" s="21"/>
      <c r="O302" s="21"/>
      <c r="P302" s="21" t="s">
        <v>31</v>
      </c>
      <c r="Q302" s="9" t="s">
        <v>32</v>
      </c>
      <c r="R302" s="10" t="s">
        <v>33</v>
      </c>
      <c r="S302" s="25" t="s">
        <v>1386</v>
      </c>
      <c r="T302" s="27">
        <v>30435</v>
      </c>
      <c r="U302" s="25" t="s">
        <v>1389</v>
      </c>
      <c r="V302" s="25" t="s">
        <v>80</v>
      </c>
      <c r="W302" s="25"/>
    </row>
    <row r="303" spans="1:23" ht="22.5" customHeight="1">
      <c r="A303" s="28">
        <v>46019.495625000003</v>
      </c>
      <c r="B303" s="29" t="s">
        <v>1390</v>
      </c>
      <c r="C303" s="45"/>
      <c r="D303" s="29" t="s">
        <v>24</v>
      </c>
      <c r="E303" s="30">
        <v>37441</v>
      </c>
      <c r="F303" s="29" t="s">
        <v>64</v>
      </c>
      <c r="G303" s="29" t="s">
        <v>1391</v>
      </c>
      <c r="H303" s="29" t="s">
        <v>1238</v>
      </c>
      <c r="I303" s="6" t="str">
        <f>VLOOKUP(CLEAN(F303),'World Bank Categories'!$B$4:$C$220,2,FALSE)</f>
        <v>Middle income</v>
      </c>
      <c r="J303" s="29" t="s">
        <v>1392</v>
      </c>
      <c r="K303" s="29" t="s">
        <v>29</v>
      </c>
      <c r="L303" s="29" t="s">
        <v>30</v>
      </c>
      <c r="M303" s="29"/>
      <c r="N303" s="29"/>
      <c r="O303" s="29"/>
      <c r="P303" s="29" t="s">
        <v>31</v>
      </c>
      <c r="Q303" s="9" t="s">
        <v>32</v>
      </c>
      <c r="R303" s="18"/>
      <c r="S303" s="25" t="s">
        <v>1390</v>
      </c>
      <c r="T303" s="27">
        <v>37441</v>
      </c>
      <c r="U303" s="25" t="s">
        <v>1392</v>
      </c>
      <c r="V303" s="25" t="s">
        <v>80</v>
      </c>
      <c r="W303" s="25"/>
    </row>
    <row r="304" spans="1:23" ht="22.5" customHeight="1">
      <c r="A304" s="20">
        <v>46019.814305555556</v>
      </c>
      <c r="B304" s="21" t="s">
        <v>1393</v>
      </c>
      <c r="C304" s="38"/>
      <c r="D304" s="21" t="s">
        <v>24</v>
      </c>
      <c r="E304" s="22">
        <v>35223</v>
      </c>
      <c r="F304" s="21" t="s">
        <v>52</v>
      </c>
      <c r="G304" s="21" t="s">
        <v>1394</v>
      </c>
      <c r="H304" s="21" t="s">
        <v>530</v>
      </c>
      <c r="I304" s="6" t="str">
        <f>VLOOKUP(CLEAN(F304),'World Bank Categories'!$B$4:$C$220,2,FALSE)</f>
        <v>Middle income</v>
      </c>
      <c r="J304" s="21" t="s">
        <v>1395</v>
      </c>
      <c r="K304" s="21" t="s">
        <v>29</v>
      </c>
      <c r="L304" s="21" t="s">
        <v>30</v>
      </c>
      <c r="M304" s="21"/>
      <c r="N304" s="21"/>
      <c r="O304" s="21"/>
      <c r="P304" s="21" t="s">
        <v>31</v>
      </c>
      <c r="Q304" s="9" t="s">
        <v>32</v>
      </c>
      <c r="R304" s="10" t="s">
        <v>43</v>
      </c>
      <c r="S304" s="25" t="s">
        <v>1396</v>
      </c>
      <c r="T304" s="27">
        <v>35223</v>
      </c>
      <c r="U304" s="25" t="s">
        <v>1395</v>
      </c>
      <c r="V304" s="25" t="s">
        <v>154</v>
      </c>
      <c r="W304" s="25"/>
    </row>
    <row r="305" spans="1:23" ht="22.5" customHeight="1">
      <c r="A305" s="20">
        <v>46019.824212962965</v>
      </c>
      <c r="B305" s="21" t="s">
        <v>1397</v>
      </c>
      <c r="C305" s="38"/>
      <c r="D305" s="21" t="s">
        <v>24</v>
      </c>
      <c r="E305" s="22">
        <v>37216</v>
      </c>
      <c r="F305" s="21" t="s">
        <v>232</v>
      </c>
      <c r="G305" s="21" t="s">
        <v>1398</v>
      </c>
      <c r="H305" s="21" t="s">
        <v>1399</v>
      </c>
      <c r="I305" s="6" t="str">
        <f>VLOOKUP(CLEAN(F305),'World Bank Categories'!$B$4:$C$220,2,FALSE)</f>
        <v>Middle income</v>
      </c>
      <c r="J305" s="21" t="s">
        <v>1400</v>
      </c>
      <c r="K305" s="21" t="s">
        <v>29</v>
      </c>
      <c r="L305" s="21" t="s">
        <v>162</v>
      </c>
      <c r="M305" s="21"/>
      <c r="N305" s="21"/>
      <c r="O305" s="21"/>
      <c r="P305" s="21" t="s">
        <v>31</v>
      </c>
      <c r="Q305" s="9" t="s">
        <v>32</v>
      </c>
      <c r="R305" s="18"/>
      <c r="S305" s="25" t="s">
        <v>1401</v>
      </c>
      <c r="T305" s="27">
        <v>37216</v>
      </c>
      <c r="U305" s="25" t="s">
        <v>1400</v>
      </c>
      <c r="V305" s="25" t="s">
        <v>80</v>
      </c>
      <c r="W305" s="25"/>
    </row>
    <row r="306" spans="1:23" ht="22.5" customHeight="1">
      <c r="A306" s="20">
        <v>46020.02071759259</v>
      </c>
      <c r="B306" s="21" t="s">
        <v>1402</v>
      </c>
      <c r="C306" s="38"/>
      <c r="D306" s="21" t="s">
        <v>24</v>
      </c>
      <c r="E306" s="22">
        <v>37597</v>
      </c>
      <c r="F306" s="21" t="s">
        <v>1335</v>
      </c>
      <c r="G306" s="21" t="s">
        <v>1403</v>
      </c>
      <c r="H306" s="21" t="s">
        <v>160</v>
      </c>
      <c r="I306" s="6" t="str">
        <f>VLOOKUP(CLEAN(F306),'World Bank Categories'!$B$4:$C$220,2,FALSE)</f>
        <v>High income</v>
      </c>
      <c r="J306" s="21" t="s">
        <v>1404</v>
      </c>
      <c r="K306" s="21" t="s">
        <v>29</v>
      </c>
      <c r="L306" s="32">
        <v>46202</v>
      </c>
      <c r="M306" s="21"/>
      <c r="N306" s="21"/>
      <c r="O306" s="21"/>
      <c r="P306" s="21" t="s">
        <v>31</v>
      </c>
      <c r="Q306" s="9" t="s">
        <v>32</v>
      </c>
      <c r="R306" s="10" t="s">
        <v>33</v>
      </c>
      <c r="S306" s="25" t="s">
        <v>1402</v>
      </c>
      <c r="T306" s="27">
        <v>37597</v>
      </c>
      <c r="U306" s="25" t="s">
        <v>1404</v>
      </c>
      <c r="V306" s="25" t="s">
        <v>80</v>
      </c>
      <c r="W306" s="25"/>
    </row>
    <row r="307" spans="1:23" ht="22.5" customHeight="1">
      <c r="A307" s="20">
        <v>46020.150856481479</v>
      </c>
      <c r="B307" s="21" t="s">
        <v>1405</v>
      </c>
      <c r="C307" s="38"/>
      <c r="D307" s="21" t="s">
        <v>45</v>
      </c>
      <c r="E307" s="22">
        <v>34964</v>
      </c>
      <c r="F307" s="21" t="s">
        <v>799</v>
      </c>
      <c r="G307" s="21" t="s">
        <v>1406</v>
      </c>
      <c r="H307" s="21" t="s">
        <v>1407</v>
      </c>
      <c r="I307" s="6" t="str">
        <f>VLOOKUP(CLEAN(F307),'World Bank Categories'!$B$4:$C$220,2,FALSE)</f>
        <v>Low income</v>
      </c>
      <c r="J307" s="21" t="s">
        <v>1408</v>
      </c>
      <c r="K307" s="21" t="s">
        <v>29</v>
      </c>
      <c r="L307" s="21" t="s">
        <v>30</v>
      </c>
      <c r="M307" s="21"/>
      <c r="N307" s="21"/>
      <c r="O307" s="21"/>
      <c r="P307" s="21" t="s">
        <v>31</v>
      </c>
      <c r="Q307" s="9" t="s">
        <v>32</v>
      </c>
      <c r="R307" s="18" t="s">
        <v>33</v>
      </c>
      <c r="S307" s="25" t="s">
        <v>1405</v>
      </c>
      <c r="T307" s="27">
        <v>34964</v>
      </c>
      <c r="U307" s="25" t="s">
        <v>1408</v>
      </c>
      <c r="V307" s="25" t="s">
        <v>80</v>
      </c>
      <c r="W307" s="25"/>
    </row>
    <row r="308" spans="1:23" ht="22.5" customHeight="1">
      <c r="A308" s="28">
        <v>46020.151226851849</v>
      </c>
      <c r="B308" s="29" t="s">
        <v>1409</v>
      </c>
      <c r="C308" s="45"/>
      <c r="D308" s="29" t="s">
        <v>45</v>
      </c>
      <c r="E308" s="30">
        <v>28912</v>
      </c>
      <c r="F308" s="29" t="s">
        <v>380</v>
      </c>
      <c r="G308" s="29" t="s">
        <v>1410</v>
      </c>
      <c r="H308" s="29" t="s">
        <v>1411</v>
      </c>
      <c r="I308" s="6" t="str">
        <f>VLOOKUP(CLEAN(F308),'World Bank Categories'!$B$4:$C$220,2,FALSE)</f>
        <v>Low income</v>
      </c>
      <c r="J308" s="29" t="s">
        <v>1412</v>
      </c>
      <c r="K308" s="29" t="s">
        <v>29</v>
      </c>
      <c r="L308" s="29" t="s">
        <v>30</v>
      </c>
      <c r="M308" s="29" t="s">
        <v>1413</v>
      </c>
      <c r="N308" s="29"/>
      <c r="O308" s="29"/>
      <c r="P308" s="29" t="s">
        <v>31</v>
      </c>
      <c r="Q308" s="9" t="s">
        <v>32</v>
      </c>
      <c r="R308" s="10"/>
      <c r="S308" s="25" t="s">
        <v>1414</v>
      </c>
      <c r="T308" s="27">
        <v>28912</v>
      </c>
      <c r="U308" s="25" t="s">
        <v>1412</v>
      </c>
      <c r="V308" s="25" t="s">
        <v>80</v>
      </c>
      <c r="W308" s="25"/>
    </row>
    <row r="309" spans="1:23" ht="22.5" customHeight="1">
      <c r="A309" s="20">
        <v>46020.19332175926</v>
      </c>
      <c r="B309" s="21" t="s">
        <v>1415</v>
      </c>
      <c r="C309" s="38"/>
      <c r="D309" s="21" t="s">
        <v>24</v>
      </c>
      <c r="E309" s="22">
        <v>35440</v>
      </c>
      <c r="F309" s="21" t="s">
        <v>52</v>
      </c>
      <c r="G309" s="21" t="s">
        <v>1416</v>
      </c>
      <c r="H309" s="21" t="s">
        <v>738</v>
      </c>
      <c r="I309" s="6" t="str">
        <f>VLOOKUP(CLEAN(F309),'World Bank Categories'!$B$4:$C$220,2,FALSE)</f>
        <v>Middle income</v>
      </c>
      <c r="J309" s="21" t="s">
        <v>1417</v>
      </c>
      <c r="K309" s="21" t="s">
        <v>29</v>
      </c>
      <c r="L309" s="21" t="s">
        <v>30</v>
      </c>
      <c r="M309" s="21"/>
      <c r="N309" s="21"/>
      <c r="O309" s="21"/>
      <c r="P309" s="21" t="s">
        <v>31</v>
      </c>
      <c r="Q309" s="9" t="s">
        <v>32</v>
      </c>
      <c r="R309" s="18" t="s">
        <v>33</v>
      </c>
      <c r="S309" s="25" t="s">
        <v>1415</v>
      </c>
      <c r="T309" s="27">
        <v>35440</v>
      </c>
      <c r="U309" s="25" t="s">
        <v>1417</v>
      </c>
      <c r="V309" s="25" t="s">
        <v>80</v>
      </c>
      <c r="W309" s="25"/>
    </row>
    <row r="310" spans="1:23" ht="22.5" customHeight="1">
      <c r="A310" s="20">
        <v>46020.224675925929</v>
      </c>
      <c r="B310" s="21" t="s">
        <v>1418</v>
      </c>
      <c r="C310" s="38"/>
      <c r="D310" s="21" t="s">
        <v>45</v>
      </c>
      <c r="E310" s="22">
        <v>37764</v>
      </c>
      <c r="F310" s="21" t="s">
        <v>208</v>
      </c>
      <c r="G310" s="21" t="s">
        <v>1419</v>
      </c>
      <c r="H310" s="21" t="s">
        <v>48</v>
      </c>
      <c r="I310" s="6" t="str">
        <f>VLOOKUP(CLEAN(F310),'World Bank Categories'!$B$4:$C$220,2,FALSE)</f>
        <v>Low income</v>
      </c>
      <c r="J310" s="21" t="s">
        <v>1420</v>
      </c>
      <c r="K310" s="21" t="s">
        <v>29</v>
      </c>
      <c r="L310" s="21" t="s">
        <v>30</v>
      </c>
      <c r="M310" s="21"/>
      <c r="N310" s="21"/>
      <c r="O310" s="21"/>
      <c r="P310" s="21" t="s">
        <v>31</v>
      </c>
      <c r="Q310" s="9" t="s">
        <v>32</v>
      </c>
      <c r="R310" s="10"/>
      <c r="S310" s="25" t="s">
        <v>1418</v>
      </c>
      <c r="T310" s="27">
        <v>37764</v>
      </c>
      <c r="U310" s="25" t="s">
        <v>1420</v>
      </c>
      <c r="V310" s="25" t="s">
        <v>80</v>
      </c>
      <c r="W310" s="25"/>
    </row>
    <row r="311" spans="1:23" ht="22.5" customHeight="1">
      <c r="A311" s="20">
        <v>46020.30872685185</v>
      </c>
      <c r="B311" s="21" t="s">
        <v>1421</v>
      </c>
      <c r="C311" s="38"/>
      <c r="D311" s="21" t="s">
        <v>45</v>
      </c>
      <c r="E311" s="57">
        <v>34168</v>
      </c>
      <c r="F311" s="21" t="s">
        <v>274</v>
      </c>
      <c r="G311" s="21" t="s">
        <v>1422</v>
      </c>
      <c r="H311" s="21" t="s">
        <v>1423</v>
      </c>
      <c r="I311" s="6" t="str">
        <f>VLOOKUP(CLEAN(F311),'World Bank Categories'!$B$4:$C$220,2,FALSE)</f>
        <v>Middle income</v>
      </c>
      <c r="J311" s="21" t="s">
        <v>1424</v>
      </c>
      <c r="K311" s="21" t="s">
        <v>39</v>
      </c>
      <c r="L311" s="21" t="s">
        <v>162</v>
      </c>
      <c r="M311" s="21"/>
      <c r="N311" s="21"/>
      <c r="O311" s="21"/>
      <c r="P311" s="21" t="s">
        <v>31</v>
      </c>
      <c r="Q311" s="9" t="s">
        <v>32</v>
      </c>
      <c r="R311" s="18"/>
      <c r="S311" s="25" t="s">
        <v>1425</v>
      </c>
      <c r="T311" s="27">
        <v>34168</v>
      </c>
      <c r="U311" s="25" t="s">
        <v>1424</v>
      </c>
      <c r="V311" s="25" t="s">
        <v>80</v>
      </c>
      <c r="W311" s="25"/>
    </row>
    <row r="312" spans="1:23" ht="22.5" customHeight="1">
      <c r="A312" s="20">
        <v>46020.428333333337</v>
      </c>
      <c r="B312" s="21" t="s">
        <v>1426</v>
      </c>
      <c r="C312" s="38"/>
      <c r="D312" s="21" t="s">
        <v>45</v>
      </c>
      <c r="E312" s="22">
        <v>33649</v>
      </c>
      <c r="F312" s="21" t="s">
        <v>1427</v>
      </c>
      <c r="G312" s="21" t="s">
        <v>1428</v>
      </c>
      <c r="H312" s="21" t="s">
        <v>1429</v>
      </c>
      <c r="I312" s="6" t="str">
        <f>VLOOKUP(CLEAN(F312),'World Bank Categories'!$B$4:$C$220,2,FALSE)</f>
        <v>Low income</v>
      </c>
      <c r="J312" s="21" t="s">
        <v>1430</v>
      </c>
      <c r="K312" s="21" t="s">
        <v>29</v>
      </c>
      <c r="L312" s="21" t="s">
        <v>1431</v>
      </c>
      <c r="M312" s="21"/>
      <c r="N312" s="21"/>
      <c r="O312" s="21"/>
      <c r="P312" s="21" t="s">
        <v>31</v>
      </c>
      <c r="Q312" s="9" t="s">
        <v>32</v>
      </c>
      <c r="R312" s="10" t="s">
        <v>33</v>
      </c>
      <c r="S312" s="25" t="s">
        <v>1432</v>
      </c>
      <c r="T312" s="27">
        <v>33649</v>
      </c>
      <c r="U312" s="25" t="s">
        <v>1430</v>
      </c>
      <c r="V312" s="25" t="s">
        <v>154</v>
      </c>
      <c r="W312" s="25"/>
    </row>
    <row r="313" spans="1:23" ht="22.5" customHeight="1">
      <c r="A313" s="20">
        <v>46020.688252314816</v>
      </c>
      <c r="B313" s="21" t="s">
        <v>1433</v>
      </c>
      <c r="C313" s="38"/>
      <c r="D313" s="21" t="s">
        <v>24</v>
      </c>
      <c r="E313" s="57" t="s">
        <v>1434</v>
      </c>
      <c r="F313" s="21" t="s">
        <v>35</v>
      </c>
      <c r="G313" s="21" t="s">
        <v>1435</v>
      </c>
      <c r="H313" s="21" t="s">
        <v>943</v>
      </c>
      <c r="I313" s="6" t="str">
        <f>VLOOKUP(CLEAN(F313),'World Bank Categories'!$B$4:$C$220,2,FALSE)</f>
        <v>Middle income</v>
      </c>
      <c r="J313" s="21" t="s">
        <v>1436</v>
      </c>
      <c r="K313" s="21" t="s">
        <v>29</v>
      </c>
      <c r="L313" s="32">
        <v>46202</v>
      </c>
      <c r="M313" s="21" t="s">
        <v>1437</v>
      </c>
      <c r="N313" s="21"/>
      <c r="O313" s="21"/>
      <c r="P313" s="21" t="s">
        <v>31</v>
      </c>
      <c r="Q313" s="9" t="s">
        <v>32</v>
      </c>
      <c r="R313" s="18" t="s">
        <v>43</v>
      </c>
      <c r="S313" s="25" t="s">
        <v>1433</v>
      </c>
      <c r="T313" s="27">
        <v>28603</v>
      </c>
      <c r="U313" s="25" t="s">
        <v>1438</v>
      </c>
      <c r="V313" s="25" t="s">
        <v>236</v>
      </c>
      <c r="W313" s="25"/>
    </row>
    <row r="314" spans="1:23" ht="22.5" customHeight="1">
      <c r="A314" s="20">
        <v>46020.793796296297</v>
      </c>
      <c r="B314" s="21" t="s">
        <v>1439</v>
      </c>
      <c r="C314" s="38"/>
      <c r="D314" s="21" t="s">
        <v>24</v>
      </c>
      <c r="E314" s="22">
        <v>35906</v>
      </c>
      <c r="F314" s="21" t="s">
        <v>208</v>
      </c>
      <c r="G314" s="21" t="s">
        <v>1419</v>
      </c>
      <c r="H314" s="21" t="s">
        <v>1440</v>
      </c>
      <c r="I314" s="6" t="str">
        <f>VLOOKUP(CLEAN(F314),'World Bank Categories'!$B$4:$C$220,2,FALSE)</f>
        <v>Low income</v>
      </c>
      <c r="J314" s="21" t="s">
        <v>1441</v>
      </c>
      <c r="K314" s="21" t="s">
        <v>39</v>
      </c>
      <c r="L314" s="21" t="s">
        <v>162</v>
      </c>
      <c r="M314" s="21"/>
      <c r="N314" s="21"/>
      <c r="O314" s="21"/>
      <c r="P314" s="21" t="s">
        <v>31</v>
      </c>
      <c r="Q314" s="9" t="s">
        <v>32</v>
      </c>
      <c r="R314" s="10"/>
      <c r="S314" s="25" t="s">
        <v>1442</v>
      </c>
      <c r="T314" s="27">
        <v>35906</v>
      </c>
      <c r="U314" s="25" t="s">
        <v>1441</v>
      </c>
      <c r="V314" s="25" t="s">
        <v>154</v>
      </c>
      <c r="W314" s="25"/>
    </row>
    <row r="315" spans="1:23" ht="22.5" customHeight="1">
      <c r="A315" s="5">
        <v>46020.823621111107</v>
      </c>
      <c r="B315" s="6" t="s">
        <v>1443</v>
      </c>
      <c r="C315" s="6" t="s">
        <v>1444</v>
      </c>
      <c r="D315" s="6" t="s">
        <v>45</v>
      </c>
      <c r="E315" s="8">
        <v>33835</v>
      </c>
      <c r="F315" s="6" t="s">
        <v>1053</v>
      </c>
      <c r="G315" s="6" t="s">
        <v>1445</v>
      </c>
      <c r="H315" s="6" t="s">
        <v>1446</v>
      </c>
      <c r="I315" s="6" t="str">
        <f>VLOOKUP(CLEAN(F315),'World Bank Categories'!$B$4:$C$220,2,FALSE)</f>
        <v>High income</v>
      </c>
      <c r="J315" s="6" t="s">
        <v>1447</v>
      </c>
      <c r="K315" s="6" t="s">
        <v>29</v>
      </c>
      <c r="L315" s="6" t="s">
        <v>162</v>
      </c>
      <c r="M315" s="7"/>
      <c r="N315" s="6"/>
      <c r="O315" s="6"/>
      <c r="P315" s="6" t="s">
        <v>31</v>
      </c>
      <c r="Q315" s="9" t="s">
        <v>32</v>
      </c>
      <c r="R315" s="18" t="s">
        <v>43</v>
      </c>
      <c r="S315" s="11" t="s">
        <v>1443</v>
      </c>
      <c r="T315" s="12"/>
      <c r="U315" s="12"/>
      <c r="V315" s="12"/>
      <c r="W315" s="12"/>
    </row>
    <row r="316" spans="1:23" ht="22.5" customHeight="1">
      <c r="A316" s="13">
        <v>46020.858076666671</v>
      </c>
      <c r="B316" s="14" t="s">
        <v>1448</v>
      </c>
      <c r="C316" s="15"/>
      <c r="D316" s="14" t="s">
        <v>24</v>
      </c>
      <c r="E316" s="16">
        <v>36954</v>
      </c>
      <c r="F316" s="14" t="s">
        <v>1449</v>
      </c>
      <c r="G316" s="14" t="s">
        <v>1450</v>
      </c>
      <c r="H316" s="14" t="s">
        <v>1451</v>
      </c>
      <c r="I316" s="6" t="str">
        <f>VLOOKUP(CLEAN(F316),'World Bank Categories'!$B$4:$C$220,2,FALSE)</f>
        <v>Middle income</v>
      </c>
      <c r="J316" s="14" t="s">
        <v>1452</v>
      </c>
      <c r="K316" s="14" t="s">
        <v>29</v>
      </c>
      <c r="L316" s="14" t="s">
        <v>162</v>
      </c>
      <c r="M316" s="15"/>
      <c r="N316" s="14"/>
      <c r="O316" s="14"/>
      <c r="P316" s="14" t="s">
        <v>31</v>
      </c>
      <c r="Q316" s="9" t="s">
        <v>32</v>
      </c>
      <c r="R316" s="10"/>
      <c r="S316" s="19" t="s">
        <v>1448</v>
      </c>
      <c r="T316" s="12"/>
      <c r="U316" s="12"/>
      <c r="V316" s="12"/>
      <c r="W316" s="12"/>
    </row>
    <row r="317" spans="1:23" ht="22.5" customHeight="1">
      <c r="A317" s="35">
        <v>46020.960474537038</v>
      </c>
      <c r="B317" s="36" t="s">
        <v>1453</v>
      </c>
      <c r="C317" s="36" t="s">
        <v>1454</v>
      </c>
      <c r="D317" s="36" t="s">
        <v>45</v>
      </c>
      <c r="E317" s="37">
        <v>35687</v>
      </c>
      <c r="F317" s="21" t="s">
        <v>1427</v>
      </c>
      <c r="G317" s="36" t="s">
        <v>1455</v>
      </c>
      <c r="H317" s="36" t="s">
        <v>1456</v>
      </c>
      <c r="I317" s="6" t="str">
        <f>VLOOKUP(CLEAN(F317),'World Bank Categories'!$B$4:$C$220,2,FALSE)</f>
        <v>Low income</v>
      </c>
      <c r="J317" s="36" t="s">
        <v>1457</v>
      </c>
      <c r="K317" s="36" t="s">
        <v>29</v>
      </c>
      <c r="L317" s="58">
        <v>46207</v>
      </c>
      <c r="M317" s="36"/>
      <c r="N317" s="36"/>
      <c r="O317" s="36"/>
      <c r="P317" s="36" t="s">
        <v>31</v>
      </c>
      <c r="Q317" s="9" t="s">
        <v>32</v>
      </c>
      <c r="R317" s="18"/>
      <c r="S317" s="25" t="s">
        <v>1458</v>
      </c>
      <c r="T317" s="27">
        <v>35687</v>
      </c>
      <c r="U317" s="25" t="s">
        <v>1457</v>
      </c>
      <c r="V317" s="25" t="s">
        <v>316</v>
      </c>
      <c r="W317" s="25"/>
    </row>
    <row r="318" spans="1:23" ht="22.5" customHeight="1">
      <c r="A318" s="20">
        <v>46021.017557870371</v>
      </c>
      <c r="B318" s="21" t="s">
        <v>1459</v>
      </c>
      <c r="C318" s="38"/>
      <c r="D318" s="21" t="s">
        <v>45</v>
      </c>
      <c r="E318" s="22">
        <v>37131</v>
      </c>
      <c r="F318" s="21" t="s">
        <v>475</v>
      </c>
      <c r="G318" s="21" t="s">
        <v>476</v>
      </c>
      <c r="H318" s="21" t="s">
        <v>48</v>
      </c>
      <c r="I318" s="6" t="str">
        <f>VLOOKUP(CLEAN(F318),'World Bank Categories'!$B$4:$C$220,2,FALSE)</f>
        <v>Middle income</v>
      </c>
      <c r="J318" s="21" t="s">
        <v>1460</v>
      </c>
      <c r="K318" s="21" t="s">
        <v>29</v>
      </c>
      <c r="L318" s="21" t="s">
        <v>30</v>
      </c>
      <c r="M318" s="21"/>
      <c r="N318" s="21"/>
      <c r="O318" s="21"/>
      <c r="P318" s="21" t="s">
        <v>31</v>
      </c>
      <c r="Q318" s="9" t="s">
        <v>32</v>
      </c>
      <c r="R318" s="10" t="s">
        <v>43</v>
      </c>
      <c r="S318" s="25" t="s">
        <v>1459</v>
      </c>
      <c r="T318" s="27">
        <v>37131</v>
      </c>
      <c r="U318" s="25" t="s">
        <v>1460</v>
      </c>
      <c r="V318" s="25" t="s">
        <v>80</v>
      </c>
      <c r="W318" s="25"/>
    </row>
    <row r="319" spans="1:23" ht="22.5" customHeight="1">
      <c r="A319" s="20">
        <v>46021.026064814818</v>
      </c>
      <c r="B319" s="21" t="s">
        <v>1461</v>
      </c>
      <c r="C319" s="38"/>
      <c r="D319" s="21" t="s">
        <v>45</v>
      </c>
      <c r="E319" s="22">
        <v>37622</v>
      </c>
      <c r="F319" s="21" t="s">
        <v>980</v>
      </c>
      <c r="G319" s="21" t="s">
        <v>1462</v>
      </c>
      <c r="H319" s="21" t="s">
        <v>66</v>
      </c>
      <c r="I319" s="6" t="str">
        <f>VLOOKUP(CLEAN(F319),'World Bank Categories'!$B$4:$C$220,2,FALSE)</f>
        <v>Middle income</v>
      </c>
      <c r="J319" s="21" t="s">
        <v>1463</v>
      </c>
      <c r="K319" s="21" t="s">
        <v>29</v>
      </c>
      <c r="L319" s="21" t="s">
        <v>30</v>
      </c>
      <c r="M319" s="21"/>
      <c r="N319" s="21"/>
      <c r="O319" s="21"/>
      <c r="P319" s="21" t="s">
        <v>31</v>
      </c>
      <c r="Q319" s="9" t="s">
        <v>32</v>
      </c>
      <c r="R319" s="18" t="s">
        <v>33</v>
      </c>
      <c r="S319" s="25" t="s">
        <v>1464</v>
      </c>
      <c r="T319" s="27">
        <v>37622</v>
      </c>
      <c r="U319" s="25" t="s">
        <v>1463</v>
      </c>
      <c r="V319" s="25" t="s">
        <v>80</v>
      </c>
      <c r="W319" s="25"/>
    </row>
    <row r="320" spans="1:23" ht="22.5" customHeight="1">
      <c r="A320" s="28">
        <v>46021.198553240742</v>
      </c>
      <c r="B320" s="29" t="s">
        <v>1465</v>
      </c>
      <c r="C320" s="45"/>
      <c r="D320" s="29" t="s">
        <v>24</v>
      </c>
      <c r="E320" s="30">
        <v>36828</v>
      </c>
      <c r="F320" s="29" t="s">
        <v>346</v>
      </c>
      <c r="G320" s="29" t="s">
        <v>1466</v>
      </c>
      <c r="H320" s="29" t="s">
        <v>368</v>
      </c>
      <c r="I320" s="6" t="str">
        <f>VLOOKUP(CLEAN(F320),'World Bank Categories'!$B$4:$C$220,2,FALSE)</f>
        <v>Middle income</v>
      </c>
      <c r="J320" s="29" t="s">
        <v>1467</v>
      </c>
      <c r="K320" s="29" t="s">
        <v>29</v>
      </c>
      <c r="L320" s="29" t="s">
        <v>30</v>
      </c>
      <c r="M320" s="29"/>
      <c r="N320" s="29"/>
      <c r="O320" s="29"/>
      <c r="P320" s="29" t="s">
        <v>31</v>
      </c>
      <c r="Q320" s="9" t="s">
        <v>32</v>
      </c>
      <c r="R320" s="18"/>
      <c r="S320" s="25" t="s">
        <v>1468</v>
      </c>
      <c r="T320" s="27">
        <v>36828</v>
      </c>
      <c r="U320" s="25" t="s">
        <v>1467</v>
      </c>
      <c r="V320" s="25" t="s">
        <v>154</v>
      </c>
      <c r="W320" s="25"/>
    </row>
    <row r="321" spans="1:23" ht="22.5" customHeight="1">
      <c r="A321" s="20">
        <v>46021.200810185182</v>
      </c>
      <c r="B321" s="21" t="s">
        <v>1469</v>
      </c>
      <c r="C321" s="21" t="s">
        <v>1470</v>
      </c>
      <c r="D321" s="21" t="s">
        <v>24</v>
      </c>
      <c r="E321" s="22">
        <v>34039</v>
      </c>
      <c r="F321" s="21" t="s">
        <v>252</v>
      </c>
      <c r="G321" s="21" t="s">
        <v>1471</v>
      </c>
      <c r="H321" s="21" t="s">
        <v>1472</v>
      </c>
      <c r="I321" s="6" t="str">
        <f>VLOOKUP(CLEAN(F321),'World Bank Categories'!$B$4:$C$220,2,FALSE)</f>
        <v>Middle income</v>
      </c>
      <c r="J321" s="21" t="s">
        <v>1473</v>
      </c>
      <c r="K321" s="21" t="s">
        <v>39</v>
      </c>
      <c r="L321" s="21" t="s">
        <v>30</v>
      </c>
      <c r="M321" s="21"/>
      <c r="N321" s="21"/>
      <c r="O321" s="21"/>
      <c r="P321" s="21" t="s">
        <v>31</v>
      </c>
      <c r="Q321" s="9" t="s">
        <v>32</v>
      </c>
      <c r="R321" s="10" t="s">
        <v>33</v>
      </c>
      <c r="S321" s="25" t="s">
        <v>1474</v>
      </c>
      <c r="T321" s="27">
        <v>34039</v>
      </c>
      <c r="U321" s="25" t="s">
        <v>1473</v>
      </c>
      <c r="V321" s="25" t="s">
        <v>463</v>
      </c>
      <c r="W321" s="25"/>
    </row>
    <row r="322" spans="1:23" ht="22.5" customHeight="1">
      <c r="A322" s="46">
        <v>46021.203750000001</v>
      </c>
      <c r="B322" s="47" t="s">
        <v>1475</v>
      </c>
      <c r="C322" s="47" t="s">
        <v>1476</v>
      </c>
      <c r="D322" s="47" t="s">
        <v>24</v>
      </c>
      <c r="E322" s="49">
        <v>37434</v>
      </c>
      <c r="F322" s="47" t="s">
        <v>346</v>
      </c>
      <c r="G322" s="47" t="s">
        <v>1477</v>
      </c>
      <c r="H322" s="47" t="s">
        <v>66</v>
      </c>
      <c r="I322" s="6" t="str">
        <f>VLOOKUP(CLEAN(F322),'World Bank Categories'!$B$4:$C$220,2,FALSE)</f>
        <v>Middle income</v>
      </c>
      <c r="J322" s="47" t="s">
        <v>1478</v>
      </c>
      <c r="K322" s="47" t="s">
        <v>29</v>
      </c>
      <c r="L322" s="47" t="s">
        <v>30</v>
      </c>
      <c r="M322" s="47"/>
      <c r="N322" s="47"/>
      <c r="O322" s="47"/>
      <c r="P322" s="47" t="s">
        <v>31</v>
      </c>
      <c r="Q322" s="9" t="s">
        <v>32</v>
      </c>
      <c r="R322" s="18"/>
      <c r="S322" s="25" t="s">
        <v>1479</v>
      </c>
      <c r="T322" s="27">
        <v>37434</v>
      </c>
      <c r="U322" s="25" t="s">
        <v>1478</v>
      </c>
      <c r="V322" s="25" t="s">
        <v>154</v>
      </c>
      <c r="W322" s="25"/>
    </row>
    <row r="323" spans="1:23" ht="22.5" customHeight="1">
      <c r="A323" s="35">
        <v>46021.205740740741</v>
      </c>
      <c r="B323" s="36" t="s">
        <v>1480</v>
      </c>
      <c r="C323" s="55"/>
      <c r="D323" s="36" t="s">
        <v>45</v>
      </c>
      <c r="E323" s="37">
        <v>37296</v>
      </c>
      <c r="F323" s="36" t="s">
        <v>346</v>
      </c>
      <c r="G323" s="36" t="s">
        <v>1481</v>
      </c>
      <c r="H323" s="36" t="s">
        <v>368</v>
      </c>
      <c r="I323" s="6" t="str">
        <f>VLOOKUP(CLEAN(F323),'World Bank Categories'!$B$4:$C$220,2,FALSE)</f>
        <v>Middle income</v>
      </c>
      <c r="J323" s="36" t="s">
        <v>1482</v>
      </c>
      <c r="K323" s="36" t="s">
        <v>29</v>
      </c>
      <c r="L323" s="36" t="s">
        <v>30</v>
      </c>
      <c r="M323" s="36"/>
      <c r="N323" s="36"/>
      <c r="O323" s="36"/>
      <c r="P323" s="36" t="s">
        <v>31</v>
      </c>
      <c r="Q323" s="9" t="s">
        <v>32</v>
      </c>
      <c r="R323" s="10"/>
      <c r="S323" s="25" t="s">
        <v>1483</v>
      </c>
      <c r="T323" s="27">
        <v>37296</v>
      </c>
      <c r="U323" s="25" t="s">
        <v>1482</v>
      </c>
      <c r="V323" s="25" t="s">
        <v>80</v>
      </c>
      <c r="W323" s="25"/>
    </row>
    <row r="324" spans="1:23" ht="22.5" customHeight="1">
      <c r="A324" s="20">
        <v>46021.207002314812</v>
      </c>
      <c r="B324" s="21" t="s">
        <v>1484</v>
      </c>
      <c r="C324" s="38"/>
      <c r="D324" s="21" t="s">
        <v>45</v>
      </c>
      <c r="E324" s="22">
        <v>33521</v>
      </c>
      <c r="F324" s="21" t="s">
        <v>416</v>
      </c>
      <c r="G324" s="21" t="s">
        <v>1485</v>
      </c>
      <c r="H324" s="21" t="s">
        <v>247</v>
      </c>
      <c r="I324" s="6" t="str">
        <f>VLOOKUP(CLEAN(F324),'World Bank Categories'!$B$4:$C$220,2,FALSE)</f>
        <v>Middle income</v>
      </c>
      <c r="J324" s="21" t="s">
        <v>1486</v>
      </c>
      <c r="K324" s="21" t="s">
        <v>39</v>
      </c>
      <c r="L324" s="21" t="s">
        <v>152</v>
      </c>
      <c r="M324" s="21"/>
      <c r="N324" s="21"/>
      <c r="O324" s="21"/>
      <c r="P324" s="21" t="s">
        <v>31</v>
      </c>
      <c r="Q324" s="9" t="s">
        <v>32</v>
      </c>
      <c r="R324" s="18" t="s">
        <v>33</v>
      </c>
      <c r="S324" s="25" t="s">
        <v>1487</v>
      </c>
      <c r="T324" s="27">
        <v>33521</v>
      </c>
      <c r="U324" s="25" t="s">
        <v>1486</v>
      </c>
      <c r="V324" s="25" t="s">
        <v>154</v>
      </c>
      <c r="W324" s="25"/>
    </row>
    <row r="325" spans="1:23" ht="22.5" customHeight="1">
      <c r="A325" s="28">
        <v>46021.279374999998</v>
      </c>
      <c r="B325" s="29" t="s">
        <v>1488</v>
      </c>
      <c r="C325" s="29" t="s">
        <v>1489</v>
      </c>
      <c r="D325" s="29" t="s">
        <v>24</v>
      </c>
      <c r="E325" s="30">
        <v>36963</v>
      </c>
      <c r="F325" s="29" t="s">
        <v>346</v>
      </c>
      <c r="G325" s="29" t="s">
        <v>1490</v>
      </c>
      <c r="H325" s="29" t="s">
        <v>368</v>
      </c>
      <c r="I325" s="6" t="str">
        <f>VLOOKUP(CLEAN(F325),'World Bank Categories'!$B$4:$C$220,2,FALSE)</f>
        <v>Middle income</v>
      </c>
      <c r="J325" s="29" t="s">
        <v>1491</v>
      </c>
      <c r="K325" s="29" t="s">
        <v>29</v>
      </c>
      <c r="L325" s="29" t="s">
        <v>30</v>
      </c>
      <c r="M325" s="29"/>
      <c r="N325" s="29"/>
      <c r="O325" s="29"/>
      <c r="P325" s="29" t="s">
        <v>31</v>
      </c>
      <c r="Q325" s="9" t="s">
        <v>32</v>
      </c>
      <c r="R325" s="10"/>
      <c r="S325" s="25" t="s">
        <v>1492</v>
      </c>
      <c r="T325" s="27">
        <v>36963</v>
      </c>
      <c r="U325" s="25" t="s">
        <v>1491</v>
      </c>
      <c r="V325" s="25" t="s">
        <v>80</v>
      </c>
      <c r="W325" s="25"/>
    </row>
    <row r="326" spans="1:23" ht="22.5" customHeight="1">
      <c r="A326" s="13">
        <v>46021.536461759257</v>
      </c>
      <c r="B326" s="14" t="s">
        <v>1493</v>
      </c>
      <c r="C326" s="15"/>
      <c r="D326" s="14" t="s">
        <v>45</v>
      </c>
      <c r="E326" s="16">
        <v>31679</v>
      </c>
      <c r="F326" s="14" t="s">
        <v>52</v>
      </c>
      <c r="G326" s="14" t="s">
        <v>1494</v>
      </c>
      <c r="H326" s="14" t="s">
        <v>1006</v>
      </c>
      <c r="I326" s="6" t="str">
        <f>VLOOKUP(CLEAN(F326),'World Bank Categories'!$B$4:$C$220,2,FALSE)</f>
        <v>Middle income</v>
      </c>
      <c r="J326" s="14" t="s">
        <v>1495</v>
      </c>
      <c r="K326" s="14" t="s">
        <v>29</v>
      </c>
      <c r="L326" s="14" t="s">
        <v>30</v>
      </c>
      <c r="M326" s="15"/>
      <c r="N326" s="14"/>
      <c r="O326" s="14"/>
      <c r="P326" s="14" t="s">
        <v>31</v>
      </c>
      <c r="Q326" s="9" t="s">
        <v>32</v>
      </c>
      <c r="R326" s="18"/>
      <c r="S326" s="19" t="s">
        <v>1493</v>
      </c>
      <c r="T326" s="12"/>
      <c r="U326" s="12"/>
      <c r="V326" s="12"/>
      <c r="W326" s="12"/>
    </row>
    <row r="327" spans="1:23" ht="22.5" customHeight="1">
      <c r="A327" s="20">
        <v>46021.602430555555</v>
      </c>
      <c r="B327" s="21" t="s">
        <v>1496</v>
      </c>
      <c r="C327" s="38"/>
      <c r="D327" s="21" t="s">
        <v>45</v>
      </c>
      <c r="E327" s="22">
        <v>37869</v>
      </c>
      <c r="F327" s="21" t="s">
        <v>980</v>
      </c>
      <c r="G327" s="21" t="s">
        <v>1497</v>
      </c>
      <c r="H327" s="21" t="s">
        <v>368</v>
      </c>
      <c r="I327" s="6" t="str">
        <f>VLOOKUP(CLEAN(F327),'World Bank Categories'!$B$4:$C$220,2,FALSE)</f>
        <v>Middle income</v>
      </c>
      <c r="J327" s="21" t="s">
        <v>1498</v>
      </c>
      <c r="K327" s="21" t="s">
        <v>39</v>
      </c>
      <c r="L327" s="21" t="s">
        <v>152</v>
      </c>
      <c r="M327" s="21"/>
      <c r="N327" s="21"/>
      <c r="O327" s="21"/>
      <c r="P327" s="21" t="s">
        <v>31</v>
      </c>
      <c r="Q327" s="9" t="s">
        <v>32</v>
      </c>
      <c r="R327" s="10"/>
      <c r="S327" s="25" t="s">
        <v>1496</v>
      </c>
      <c r="T327" s="27">
        <v>37869</v>
      </c>
      <c r="U327" s="25" t="s">
        <v>1498</v>
      </c>
      <c r="V327" s="25" t="s">
        <v>80</v>
      </c>
      <c r="W327" s="25"/>
    </row>
    <row r="328" spans="1:23" ht="22.5" customHeight="1">
      <c r="A328" s="20">
        <v>46021.660543981481</v>
      </c>
      <c r="B328" s="21" t="s">
        <v>1499</v>
      </c>
      <c r="C328" s="38"/>
      <c r="D328" s="21" t="s">
        <v>45</v>
      </c>
      <c r="E328" s="22">
        <v>35871</v>
      </c>
      <c r="F328" s="21" t="s">
        <v>980</v>
      </c>
      <c r="G328" s="21" t="s">
        <v>1500</v>
      </c>
      <c r="H328" s="21" t="s">
        <v>1501</v>
      </c>
      <c r="I328" s="6" t="str">
        <f>VLOOKUP(CLEAN(F328),'World Bank Categories'!$B$4:$C$220,2,FALSE)</f>
        <v>Middle income</v>
      </c>
      <c r="J328" s="21" t="s">
        <v>1502</v>
      </c>
      <c r="K328" s="21" t="s">
        <v>29</v>
      </c>
      <c r="L328" s="21" t="s">
        <v>30</v>
      </c>
      <c r="M328" s="21"/>
      <c r="N328" s="21"/>
      <c r="O328" s="21"/>
      <c r="P328" s="21" t="s">
        <v>31</v>
      </c>
      <c r="Q328" s="9" t="s">
        <v>32</v>
      </c>
      <c r="R328" s="18" t="s">
        <v>33</v>
      </c>
      <c r="S328" s="25" t="s">
        <v>1499</v>
      </c>
      <c r="T328" s="27">
        <v>35871</v>
      </c>
      <c r="U328" s="25" t="s">
        <v>1502</v>
      </c>
      <c r="V328" s="25" t="s">
        <v>80</v>
      </c>
      <c r="W328" s="25"/>
    </row>
    <row r="329" spans="1:23" ht="22.5" customHeight="1">
      <c r="A329" s="20">
        <v>46021.703020833331</v>
      </c>
      <c r="B329" s="21" t="s">
        <v>1503</v>
      </c>
      <c r="C329" s="38"/>
      <c r="D329" s="21" t="s">
        <v>24</v>
      </c>
      <c r="E329" s="22">
        <v>45782</v>
      </c>
      <c r="F329" s="21" t="s">
        <v>980</v>
      </c>
      <c r="G329" s="21" t="s">
        <v>1504</v>
      </c>
      <c r="H329" s="21" t="s">
        <v>66</v>
      </c>
      <c r="I329" s="6" t="str">
        <f>VLOOKUP(CLEAN(F329),'World Bank Categories'!$B$4:$C$220,2,FALSE)</f>
        <v>Middle income</v>
      </c>
      <c r="J329" s="21" t="s">
        <v>1505</v>
      </c>
      <c r="K329" s="21" t="s">
        <v>29</v>
      </c>
      <c r="L329" s="21" t="s">
        <v>30</v>
      </c>
      <c r="M329" s="21"/>
      <c r="N329" s="21"/>
      <c r="O329" s="21"/>
      <c r="P329" s="21" t="s">
        <v>31</v>
      </c>
      <c r="Q329" s="9" t="s">
        <v>32</v>
      </c>
      <c r="R329" s="10" t="s">
        <v>33</v>
      </c>
      <c r="S329" s="25" t="s">
        <v>1503</v>
      </c>
      <c r="T329" s="27">
        <v>36651</v>
      </c>
      <c r="U329" s="25" t="s">
        <v>1506</v>
      </c>
      <c r="V329" s="25" t="s">
        <v>1507</v>
      </c>
      <c r="W329" s="25"/>
    </row>
    <row r="330" spans="1:23" ht="22.5" customHeight="1">
      <c r="A330" s="20">
        <v>46021.725277777776</v>
      </c>
      <c r="B330" s="21" t="s">
        <v>1508</v>
      </c>
      <c r="C330" s="21" t="s">
        <v>1508</v>
      </c>
      <c r="D330" s="21" t="s">
        <v>24</v>
      </c>
      <c r="E330" s="22">
        <v>38404</v>
      </c>
      <c r="F330" s="21" t="s">
        <v>1362</v>
      </c>
      <c r="G330" s="21" t="s">
        <v>1509</v>
      </c>
      <c r="H330" s="21" t="s">
        <v>66</v>
      </c>
      <c r="I330" s="6" t="str">
        <f>VLOOKUP(CLEAN(F330),'World Bank Categories'!$B$4:$C$220,2,FALSE)</f>
        <v>Middle income</v>
      </c>
      <c r="J330" s="21" t="s">
        <v>1510</v>
      </c>
      <c r="K330" s="21" t="s">
        <v>29</v>
      </c>
      <c r="L330" s="21" t="s">
        <v>30</v>
      </c>
      <c r="M330" s="21"/>
      <c r="N330" s="21"/>
      <c r="O330" s="21"/>
      <c r="P330" s="21" t="s">
        <v>31</v>
      </c>
      <c r="Q330" s="9" t="s">
        <v>32</v>
      </c>
      <c r="R330" s="18" t="s">
        <v>33</v>
      </c>
      <c r="S330" s="25" t="s">
        <v>1508</v>
      </c>
      <c r="T330" s="27">
        <v>38404</v>
      </c>
      <c r="U330" s="25" t="s">
        <v>1510</v>
      </c>
      <c r="V330" s="25" t="s">
        <v>80</v>
      </c>
      <c r="W330" s="25"/>
    </row>
    <row r="331" spans="1:23" ht="22.5" customHeight="1">
      <c r="A331" s="5">
        <v>46021.779096157406</v>
      </c>
      <c r="B331" s="6" t="s">
        <v>1511</v>
      </c>
      <c r="C331" s="7"/>
      <c r="D331" s="6" t="s">
        <v>45</v>
      </c>
      <c r="E331" s="8">
        <v>31717</v>
      </c>
      <c r="F331" s="6" t="s">
        <v>274</v>
      </c>
      <c r="G331" s="6" t="s">
        <v>1512</v>
      </c>
      <c r="H331" s="6" t="s">
        <v>1513</v>
      </c>
      <c r="I331" s="6" t="str">
        <f>VLOOKUP(CLEAN(F331),'World Bank Categories'!$B$4:$C$220,2,FALSE)</f>
        <v>Middle income</v>
      </c>
      <c r="J331" s="6" t="s">
        <v>1514</v>
      </c>
      <c r="K331" s="6" t="s">
        <v>29</v>
      </c>
      <c r="L331" s="6" t="s">
        <v>30</v>
      </c>
      <c r="M331" s="7"/>
      <c r="N331" s="6"/>
      <c r="O331" s="6"/>
      <c r="P331" s="6" t="s">
        <v>31</v>
      </c>
      <c r="Q331" s="9" t="s">
        <v>32</v>
      </c>
      <c r="R331" s="10" t="s">
        <v>33</v>
      </c>
      <c r="S331" s="11" t="s">
        <v>1511</v>
      </c>
      <c r="T331" s="12"/>
      <c r="U331" s="12"/>
      <c r="V331" s="12"/>
      <c r="W331" s="12"/>
    </row>
    <row r="332" spans="1:23" ht="22.5" customHeight="1">
      <c r="A332" s="28">
        <v>46021.809664351851</v>
      </c>
      <c r="B332" s="29" t="s">
        <v>1515</v>
      </c>
      <c r="C332" s="45"/>
      <c r="D332" s="29" t="s">
        <v>45</v>
      </c>
      <c r="E332" s="30">
        <v>36135</v>
      </c>
      <c r="F332" s="21" t="s">
        <v>70</v>
      </c>
      <c r="G332" s="29" t="s">
        <v>1516</v>
      </c>
      <c r="H332" s="29" t="s">
        <v>1517</v>
      </c>
      <c r="I332" s="6" t="str">
        <f>VLOOKUP(CLEAN(F332),'World Bank Categories'!$B$4:$C$220,2,FALSE)</f>
        <v>Middle income</v>
      </c>
      <c r="J332" s="29" t="s">
        <v>1518</v>
      </c>
      <c r="K332" s="29" t="s">
        <v>29</v>
      </c>
      <c r="L332" s="29" t="s">
        <v>30</v>
      </c>
      <c r="M332" s="29"/>
      <c r="N332" s="29"/>
      <c r="O332" s="29"/>
      <c r="P332" s="29" t="s">
        <v>31</v>
      </c>
      <c r="Q332" s="9" t="s">
        <v>32</v>
      </c>
      <c r="R332" s="18"/>
      <c r="S332" s="25" t="s">
        <v>1515</v>
      </c>
      <c r="T332" s="27">
        <v>36135</v>
      </c>
      <c r="U332" s="25" t="s">
        <v>1518</v>
      </c>
      <c r="V332" s="25" t="s">
        <v>80</v>
      </c>
      <c r="W332" s="25"/>
    </row>
    <row r="333" spans="1:23" ht="22.5" customHeight="1">
      <c r="A333" s="20">
        <v>46021.904548611114</v>
      </c>
      <c r="B333" s="21" t="s">
        <v>1519</v>
      </c>
      <c r="C333" s="38"/>
      <c r="D333" s="21" t="s">
        <v>45</v>
      </c>
      <c r="E333" s="22">
        <v>30425</v>
      </c>
      <c r="F333" s="21" t="s">
        <v>274</v>
      </c>
      <c r="G333" s="21" t="s">
        <v>1520</v>
      </c>
      <c r="H333" s="21" t="s">
        <v>1521</v>
      </c>
      <c r="I333" s="6" t="str">
        <f>VLOOKUP(CLEAN(F333),'World Bank Categories'!$B$4:$C$220,2,FALSE)</f>
        <v>Middle income</v>
      </c>
      <c r="J333" s="21" t="s">
        <v>1522</v>
      </c>
      <c r="K333" s="21" t="s">
        <v>29</v>
      </c>
      <c r="L333" s="21" t="s">
        <v>30</v>
      </c>
      <c r="M333" s="21"/>
      <c r="N333" s="21"/>
      <c r="O333" s="21"/>
      <c r="P333" s="21" t="s">
        <v>31</v>
      </c>
      <c r="Q333" s="9" t="s">
        <v>32</v>
      </c>
      <c r="R333" s="10" t="s">
        <v>33</v>
      </c>
      <c r="S333" s="25" t="s">
        <v>1519</v>
      </c>
      <c r="T333" s="27">
        <v>30425</v>
      </c>
      <c r="U333" s="25" t="s">
        <v>1522</v>
      </c>
      <c r="V333" s="25" t="s">
        <v>80</v>
      </c>
      <c r="W333" s="25"/>
    </row>
    <row r="334" spans="1:23" ht="22.5" customHeight="1">
      <c r="A334" s="46">
        <v>46021.929826388892</v>
      </c>
      <c r="B334" s="47" t="s">
        <v>1523</v>
      </c>
      <c r="C334" s="47" t="s">
        <v>1524</v>
      </c>
      <c r="D334" s="47" t="s">
        <v>45</v>
      </c>
      <c r="E334" s="49">
        <v>35123</v>
      </c>
      <c r="F334" s="47" t="s">
        <v>980</v>
      </c>
      <c r="G334" s="47" t="s">
        <v>1013</v>
      </c>
      <c r="H334" s="47" t="s">
        <v>66</v>
      </c>
      <c r="I334" s="6" t="str">
        <f>VLOOKUP(CLEAN(F334),'World Bank Categories'!$B$4:$C$220,2,FALSE)</f>
        <v>Middle income</v>
      </c>
      <c r="J334" s="47" t="s">
        <v>1525</v>
      </c>
      <c r="K334" s="47" t="s">
        <v>39</v>
      </c>
      <c r="L334" s="47" t="s">
        <v>621</v>
      </c>
      <c r="M334" s="47"/>
      <c r="N334" s="47"/>
      <c r="O334" s="47"/>
      <c r="P334" s="47" t="s">
        <v>31</v>
      </c>
      <c r="Q334" s="9" t="s">
        <v>32</v>
      </c>
      <c r="R334" s="18" t="s">
        <v>33</v>
      </c>
      <c r="S334" s="25" t="s">
        <v>1523</v>
      </c>
      <c r="T334" s="27">
        <v>35123</v>
      </c>
      <c r="U334" s="25" t="s">
        <v>1525</v>
      </c>
      <c r="V334" s="25" t="s">
        <v>80</v>
      </c>
      <c r="W334" s="25"/>
    </row>
    <row r="335" spans="1:23" ht="22.5" customHeight="1">
      <c r="A335" s="20">
        <v>46021.989988425928</v>
      </c>
      <c r="B335" s="21" t="s">
        <v>1526</v>
      </c>
      <c r="C335" s="38"/>
      <c r="D335" s="21" t="s">
        <v>24</v>
      </c>
      <c r="E335" s="22">
        <v>33794</v>
      </c>
      <c r="F335" s="21" t="s">
        <v>227</v>
      </c>
      <c r="G335" s="21" t="s">
        <v>1527</v>
      </c>
      <c r="H335" s="21" t="s">
        <v>1528</v>
      </c>
      <c r="I335" s="6" t="str">
        <f>VLOOKUP(CLEAN(F335),'World Bank Categories'!$B$4:$C$220,2,FALSE)</f>
        <v>Middle income</v>
      </c>
      <c r="J335" s="21" t="s">
        <v>1529</v>
      </c>
      <c r="K335" s="21" t="s">
        <v>29</v>
      </c>
      <c r="L335" s="21" t="s">
        <v>30</v>
      </c>
      <c r="M335" s="21" t="s">
        <v>1530</v>
      </c>
      <c r="N335" s="21" t="s">
        <v>1531</v>
      </c>
      <c r="O335" s="14" t="s">
        <v>301</v>
      </c>
      <c r="P335" s="21" t="s">
        <v>31</v>
      </c>
      <c r="Q335" s="9" t="s">
        <v>32</v>
      </c>
      <c r="R335" s="18" t="s">
        <v>33</v>
      </c>
      <c r="S335" s="25" t="s">
        <v>1526</v>
      </c>
      <c r="T335" s="27">
        <v>33794</v>
      </c>
      <c r="U335" s="25" t="s">
        <v>1529</v>
      </c>
      <c r="V335" s="25" t="s">
        <v>80</v>
      </c>
      <c r="W335" s="25"/>
    </row>
    <row r="336" spans="1:23" ht="22.5" customHeight="1">
      <c r="A336" s="20">
        <v>46021.993414351855</v>
      </c>
      <c r="B336" s="21" t="s">
        <v>1532</v>
      </c>
      <c r="C336" s="38"/>
      <c r="D336" s="21" t="s">
        <v>24</v>
      </c>
      <c r="E336" s="22">
        <v>36284</v>
      </c>
      <c r="F336" s="21" t="s">
        <v>70</v>
      </c>
      <c r="G336" s="21" t="s">
        <v>1533</v>
      </c>
      <c r="H336" s="21" t="s">
        <v>1534</v>
      </c>
      <c r="I336" s="6" t="str">
        <f>VLOOKUP(CLEAN(F336),'World Bank Categories'!$B$4:$C$220,2,FALSE)</f>
        <v>Middle income</v>
      </c>
      <c r="J336" s="21" t="s">
        <v>1535</v>
      </c>
      <c r="K336" s="21" t="s">
        <v>29</v>
      </c>
      <c r="L336" s="21" t="s">
        <v>30</v>
      </c>
      <c r="M336" s="21" t="s">
        <v>1536</v>
      </c>
      <c r="N336" s="21"/>
      <c r="O336" s="21"/>
      <c r="P336" s="21" t="s">
        <v>31</v>
      </c>
      <c r="Q336" s="9" t="s">
        <v>32</v>
      </c>
      <c r="R336" s="10"/>
      <c r="S336" s="25" t="s">
        <v>1532</v>
      </c>
      <c r="T336" s="27">
        <v>36284</v>
      </c>
      <c r="U336" s="25" t="s">
        <v>1535</v>
      </c>
      <c r="V336" s="25" t="s">
        <v>80</v>
      </c>
      <c r="W336" s="25"/>
    </row>
    <row r="337" spans="1:23" ht="22.5" customHeight="1">
      <c r="A337" s="13">
        <v>46022.042395601849</v>
      </c>
      <c r="B337" s="14" t="s">
        <v>1537</v>
      </c>
      <c r="C337" s="15"/>
      <c r="D337" s="14" t="s">
        <v>45</v>
      </c>
      <c r="E337" s="16">
        <v>37717</v>
      </c>
      <c r="F337" s="14" t="s">
        <v>64</v>
      </c>
      <c r="G337" s="14" t="s">
        <v>1538</v>
      </c>
      <c r="H337" s="14" t="s">
        <v>138</v>
      </c>
      <c r="I337" s="6" t="str">
        <f>VLOOKUP(CLEAN(F337),'World Bank Categories'!$B$4:$C$220,2,FALSE)</f>
        <v>Middle income</v>
      </c>
      <c r="J337" s="14" t="s">
        <v>1539</v>
      </c>
      <c r="K337" s="14" t="s">
        <v>29</v>
      </c>
      <c r="L337" s="14" t="s">
        <v>162</v>
      </c>
      <c r="M337" s="15"/>
      <c r="N337" s="14"/>
      <c r="O337" s="14"/>
      <c r="P337" s="14" t="s">
        <v>31</v>
      </c>
      <c r="Q337" s="9" t="s">
        <v>32</v>
      </c>
      <c r="R337" s="18"/>
      <c r="S337" s="19" t="s">
        <v>1540</v>
      </c>
      <c r="T337" s="12"/>
      <c r="U337" s="12"/>
      <c r="V337" s="12"/>
      <c r="W337" s="12"/>
    </row>
    <row r="338" spans="1:23" ht="22.5" hidden="1" customHeight="1">
      <c r="A338" s="20">
        <v>46022.153796296298</v>
      </c>
      <c r="B338" s="21" t="s">
        <v>1541</v>
      </c>
      <c r="C338" s="38"/>
      <c r="D338" s="21" t="s">
        <v>24</v>
      </c>
      <c r="E338" s="22">
        <v>38421</v>
      </c>
      <c r="F338" s="21" t="s">
        <v>232</v>
      </c>
      <c r="G338" s="21" t="s">
        <v>1542</v>
      </c>
      <c r="H338" s="21" t="s">
        <v>90</v>
      </c>
      <c r="I338" s="6" t="str">
        <f>VLOOKUP(CLEAN(F338),'World Bank Categories'!$B$4:$C$220,2,FALSE)</f>
        <v>Middle income</v>
      </c>
      <c r="J338" s="21" t="s">
        <v>1543</v>
      </c>
      <c r="K338" s="21" t="s">
        <v>29</v>
      </c>
      <c r="L338" s="21" t="s">
        <v>162</v>
      </c>
      <c r="M338" s="21"/>
      <c r="N338" s="21"/>
      <c r="O338" s="21"/>
      <c r="P338" s="21" t="s">
        <v>31</v>
      </c>
      <c r="Q338" s="23" t="s">
        <v>56</v>
      </c>
      <c r="R338" s="24"/>
      <c r="S338" s="25"/>
      <c r="T338" s="26"/>
      <c r="U338" s="25"/>
      <c r="V338" s="25"/>
      <c r="W338" s="25"/>
    </row>
    <row r="339" spans="1:23" ht="22.5" customHeight="1">
      <c r="A339" s="20">
        <v>46022.165266203701</v>
      </c>
      <c r="B339" s="21" t="s">
        <v>1544</v>
      </c>
      <c r="C339" s="38"/>
      <c r="D339" s="21" t="s">
        <v>45</v>
      </c>
      <c r="E339" s="22">
        <v>38578</v>
      </c>
      <c r="F339" s="21" t="s">
        <v>83</v>
      </c>
      <c r="G339" s="21" t="s">
        <v>1545</v>
      </c>
      <c r="H339" s="21" t="s">
        <v>66</v>
      </c>
      <c r="I339" s="6" t="str">
        <f>VLOOKUP(CLEAN(F339),'World Bank Categories'!$B$4:$C$220,2,FALSE)</f>
        <v>Low income</v>
      </c>
      <c r="J339" s="21" t="s">
        <v>1546</v>
      </c>
      <c r="K339" s="21" t="s">
        <v>29</v>
      </c>
      <c r="L339" s="21" t="s">
        <v>30</v>
      </c>
      <c r="M339" s="21"/>
      <c r="N339" s="21"/>
      <c r="O339" s="21"/>
      <c r="P339" s="21" t="s">
        <v>31</v>
      </c>
      <c r="Q339" s="9" t="s">
        <v>32</v>
      </c>
      <c r="R339" s="10"/>
      <c r="S339" s="25" t="s">
        <v>1547</v>
      </c>
      <c r="T339" s="27">
        <v>38578</v>
      </c>
      <c r="U339" s="25" t="s">
        <v>1546</v>
      </c>
      <c r="V339" s="25" t="s">
        <v>154</v>
      </c>
      <c r="W339" s="25"/>
    </row>
    <row r="340" spans="1:23" ht="22.5" customHeight="1">
      <c r="A340" s="46">
        <v>46022.286446759259</v>
      </c>
      <c r="B340" s="47" t="s">
        <v>1548</v>
      </c>
      <c r="C340" s="48"/>
      <c r="D340" s="47" t="s">
        <v>45</v>
      </c>
      <c r="E340" s="49">
        <v>36291</v>
      </c>
      <c r="F340" s="47" t="s">
        <v>1549</v>
      </c>
      <c r="G340" s="47" t="s">
        <v>84</v>
      </c>
      <c r="H340" s="47" t="s">
        <v>1550</v>
      </c>
      <c r="I340" s="6" t="str">
        <f>VLOOKUP(CLEAN(F340),'World Bank Categories'!$B$4:$C$220,2,FALSE)</f>
        <v>Low income</v>
      </c>
      <c r="J340" s="47" t="s">
        <v>1551</v>
      </c>
      <c r="K340" s="47" t="s">
        <v>29</v>
      </c>
      <c r="L340" s="47" t="s">
        <v>30</v>
      </c>
      <c r="M340" s="47"/>
      <c r="N340" s="47"/>
      <c r="O340" s="47"/>
      <c r="P340" s="47" t="s">
        <v>31</v>
      </c>
      <c r="Q340" s="9" t="s">
        <v>32</v>
      </c>
      <c r="R340" s="18"/>
      <c r="S340" s="25" t="s">
        <v>1552</v>
      </c>
      <c r="T340" s="27">
        <v>36291</v>
      </c>
      <c r="U340" s="25" t="s">
        <v>1551</v>
      </c>
      <c r="V340" s="25" t="s">
        <v>154</v>
      </c>
      <c r="W340" s="25"/>
    </row>
    <row r="341" spans="1:23" ht="22.5" customHeight="1">
      <c r="A341" s="46">
        <v>46022.298796296294</v>
      </c>
      <c r="B341" s="47" t="s">
        <v>1553</v>
      </c>
      <c r="C341" s="48"/>
      <c r="D341" s="47" t="s">
        <v>24</v>
      </c>
      <c r="E341" s="49">
        <v>37213</v>
      </c>
      <c r="F341" s="21" t="s">
        <v>88</v>
      </c>
      <c r="G341" s="47" t="s">
        <v>1554</v>
      </c>
      <c r="H341" s="47" t="s">
        <v>1555</v>
      </c>
      <c r="I341" s="6" t="str">
        <f>VLOOKUP(CLEAN(F341),'World Bank Categories'!$B$4:$C$220,2,FALSE)</f>
        <v>Low income</v>
      </c>
      <c r="J341" s="47" t="s">
        <v>1556</v>
      </c>
      <c r="K341" s="47" t="s">
        <v>29</v>
      </c>
      <c r="L341" s="47" t="s">
        <v>30</v>
      </c>
      <c r="M341" s="47"/>
      <c r="N341" s="47"/>
      <c r="O341" s="47"/>
      <c r="P341" s="47" t="s">
        <v>31</v>
      </c>
      <c r="Q341" s="9" t="s">
        <v>32</v>
      </c>
      <c r="R341" s="10"/>
      <c r="S341" s="25" t="s">
        <v>1553</v>
      </c>
      <c r="T341" s="27">
        <v>37213</v>
      </c>
      <c r="U341" s="25" t="s">
        <v>1556</v>
      </c>
      <c r="V341" s="25" t="s">
        <v>80</v>
      </c>
      <c r="W341" s="25"/>
    </row>
    <row r="342" spans="1:23" ht="22.5" customHeight="1">
      <c r="A342" s="46">
        <v>46022.304710648146</v>
      </c>
      <c r="B342" s="47" t="s">
        <v>1557</v>
      </c>
      <c r="C342" s="48"/>
      <c r="D342" s="47" t="s">
        <v>24</v>
      </c>
      <c r="E342" s="49">
        <v>34921</v>
      </c>
      <c r="F342" s="47" t="s">
        <v>751</v>
      </c>
      <c r="G342" s="47" t="s">
        <v>1558</v>
      </c>
      <c r="H342" s="47" t="s">
        <v>1559</v>
      </c>
      <c r="I342" s="6" t="str">
        <f>VLOOKUP(CLEAN(F342),'World Bank Categories'!$B$4:$C$220,2,FALSE)</f>
        <v>Low income</v>
      </c>
      <c r="J342" s="47" t="s">
        <v>1560</v>
      </c>
      <c r="K342" s="47" t="s">
        <v>29</v>
      </c>
      <c r="L342" s="47" t="s">
        <v>30</v>
      </c>
      <c r="M342" s="59"/>
      <c r="N342" s="47"/>
      <c r="O342" s="47"/>
      <c r="P342" s="47" t="s">
        <v>31</v>
      </c>
      <c r="Q342" s="9" t="s">
        <v>32</v>
      </c>
      <c r="R342" s="18" t="s">
        <v>33</v>
      </c>
      <c r="S342" s="25" t="s">
        <v>1557</v>
      </c>
      <c r="T342" s="27">
        <v>34921</v>
      </c>
      <c r="U342" s="25" t="s">
        <v>1560</v>
      </c>
      <c r="V342" s="25" t="s">
        <v>80</v>
      </c>
      <c r="W342" s="25"/>
    </row>
    <row r="343" spans="1:23" ht="22.5" customHeight="1">
      <c r="A343" s="20">
        <v>46022.307395833333</v>
      </c>
      <c r="B343" s="21" t="s">
        <v>1561</v>
      </c>
      <c r="C343" s="38"/>
      <c r="D343" s="21" t="s">
        <v>24</v>
      </c>
      <c r="E343" s="22">
        <v>36177</v>
      </c>
      <c r="F343" s="21" t="s">
        <v>751</v>
      </c>
      <c r="G343" s="21" t="s">
        <v>1562</v>
      </c>
      <c r="H343" s="21" t="s">
        <v>943</v>
      </c>
      <c r="I343" s="6" t="str">
        <f>VLOOKUP(CLEAN(F343),'World Bank Categories'!$B$4:$C$220,2,FALSE)</f>
        <v>Low income</v>
      </c>
      <c r="J343" s="21" t="s">
        <v>1563</v>
      </c>
      <c r="K343" s="21" t="s">
        <v>29</v>
      </c>
      <c r="L343" s="21" t="s">
        <v>30</v>
      </c>
      <c r="M343" s="21"/>
      <c r="N343" s="21"/>
      <c r="O343" s="21"/>
      <c r="P343" s="21" t="s">
        <v>31</v>
      </c>
      <c r="Q343" s="9" t="s">
        <v>32</v>
      </c>
      <c r="R343" s="10" t="s">
        <v>33</v>
      </c>
      <c r="S343" s="25" t="s">
        <v>1564</v>
      </c>
      <c r="T343" s="27">
        <v>36177</v>
      </c>
      <c r="U343" s="25" t="s">
        <v>1563</v>
      </c>
      <c r="V343" s="25" t="s">
        <v>154</v>
      </c>
      <c r="W343" s="25"/>
    </row>
    <row r="344" spans="1:23" ht="22.5" customHeight="1">
      <c r="A344" s="20">
        <v>46022.475474537037</v>
      </c>
      <c r="B344" s="21" t="s">
        <v>1565</v>
      </c>
      <c r="C344" s="38"/>
      <c r="D344" s="21" t="s">
        <v>24</v>
      </c>
      <c r="E344" s="22">
        <v>37841</v>
      </c>
      <c r="F344" s="21" t="s">
        <v>980</v>
      </c>
      <c r="G344" s="21" t="s">
        <v>985</v>
      </c>
      <c r="H344" s="21" t="s">
        <v>368</v>
      </c>
      <c r="I344" s="6" t="str">
        <f>VLOOKUP(CLEAN(F344),'World Bank Categories'!$B$4:$C$220,2,FALSE)</f>
        <v>Middle income</v>
      </c>
      <c r="J344" s="21" t="s">
        <v>1566</v>
      </c>
      <c r="K344" s="21" t="s">
        <v>39</v>
      </c>
      <c r="L344" s="21" t="s">
        <v>152</v>
      </c>
      <c r="M344" s="21"/>
      <c r="N344" s="21"/>
      <c r="O344" s="21"/>
      <c r="P344" s="21" t="s">
        <v>31</v>
      </c>
      <c r="Q344" s="9" t="s">
        <v>32</v>
      </c>
      <c r="R344" s="18" t="s">
        <v>33</v>
      </c>
      <c r="S344" s="25" t="s">
        <v>1565</v>
      </c>
      <c r="T344" s="27">
        <v>37841</v>
      </c>
      <c r="U344" s="25" t="s">
        <v>1566</v>
      </c>
      <c r="V344" s="25" t="s">
        <v>80</v>
      </c>
      <c r="W344" s="25"/>
    </row>
    <row r="345" spans="1:23" ht="22.5" customHeight="1">
      <c r="A345" s="5">
        <v>46022.476327951386</v>
      </c>
      <c r="B345" s="6" t="s">
        <v>1567</v>
      </c>
      <c r="C345" s="7"/>
      <c r="D345" s="6" t="s">
        <v>45</v>
      </c>
      <c r="E345" s="8">
        <v>28103</v>
      </c>
      <c r="F345" s="6" t="s">
        <v>652</v>
      </c>
      <c r="G345" s="6" t="s">
        <v>1568</v>
      </c>
      <c r="H345" s="6" t="s">
        <v>1569</v>
      </c>
      <c r="I345" s="6" t="str">
        <f>VLOOKUP(CLEAN(F345),'World Bank Categories'!$B$4:$C$220,2,FALSE)</f>
        <v>Middle income</v>
      </c>
      <c r="J345" s="6" t="s">
        <v>1570</v>
      </c>
      <c r="K345" s="6" t="s">
        <v>29</v>
      </c>
      <c r="L345" s="6" t="s">
        <v>30</v>
      </c>
      <c r="M345" s="7"/>
      <c r="N345" s="6"/>
      <c r="O345" s="6"/>
      <c r="P345" s="6" t="s">
        <v>31</v>
      </c>
      <c r="Q345" s="9" t="s">
        <v>32</v>
      </c>
      <c r="R345" s="10"/>
      <c r="S345" s="11" t="s">
        <v>1567</v>
      </c>
      <c r="T345" s="12"/>
      <c r="U345" s="12"/>
      <c r="V345" s="12"/>
      <c r="W345" s="12"/>
    </row>
    <row r="346" spans="1:23" ht="22.5" customHeight="1">
      <c r="A346" s="20">
        <v>46022.57402777778</v>
      </c>
      <c r="B346" s="21" t="s">
        <v>1571</v>
      </c>
      <c r="C346" s="38"/>
      <c r="D346" s="21" t="s">
        <v>45</v>
      </c>
      <c r="E346" s="22">
        <v>26548</v>
      </c>
      <c r="F346" s="21" t="s">
        <v>1572</v>
      </c>
      <c r="G346" s="21" t="s">
        <v>209</v>
      </c>
      <c r="H346" s="21" t="s">
        <v>1573</v>
      </c>
      <c r="I346" s="6" t="str">
        <f>VLOOKUP(CLEAN(F346),'World Bank Categories'!$B$4:$C$220,2,FALSE)</f>
        <v>High income</v>
      </c>
      <c r="J346" s="21" t="s">
        <v>1574</v>
      </c>
      <c r="K346" s="21" t="s">
        <v>39</v>
      </c>
      <c r="L346" s="21" t="s">
        <v>162</v>
      </c>
      <c r="M346" s="21" t="s">
        <v>1575</v>
      </c>
      <c r="N346" s="21"/>
      <c r="O346" s="21"/>
      <c r="P346" s="21" t="s">
        <v>31</v>
      </c>
      <c r="Q346" s="9" t="s">
        <v>32</v>
      </c>
      <c r="R346" s="10" t="s">
        <v>33</v>
      </c>
      <c r="S346" s="25" t="s">
        <v>1576</v>
      </c>
      <c r="T346" s="27">
        <v>26548</v>
      </c>
      <c r="U346" s="25" t="s">
        <v>1574</v>
      </c>
      <c r="V346" s="25" t="s">
        <v>154</v>
      </c>
      <c r="W346" s="25"/>
    </row>
    <row r="347" spans="1:23" ht="22.5" customHeight="1">
      <c r="A347" s="20">
        <v>46022.706516203703</v>
      </c>
      <c r="B347" s="21" t="s">
        <v>1577</v>
      </c>
      <c r="C347" s="38"/>
      <c r="D347" s="21" t="s">
        <v>45</v>
      </c>
      <c r="E347" s="22">
        <v>36305</v>
      </c>
      <c r="F347" s="21" t="s">
        <v>208</v>
      </c>
      <c r="G347" s="21" t="s">
        <v>1578</v>
      </c>
      <c r="H347" s="21" t="s">
        <v>276</v>
      </c>
      <c r="I347" s="6" t="str">
        <f>VLOOKUP(CLEAN(F347),'World Bank Categories'!$B$4:$C$220,2,FALSE)</f>
        <v>Low income</v>
      </c>
      <c r="J347" s="21" t="s">
        <v>1579</v>
      </c>
      <c r="K347" s="21" t="s">
        <v>29</v>
      </c>
      <c r="L347" s="21" t="s">
        <v>30</v>
      </c>
      <c r="M347" s="21"/>
      <c r="N347" s="21"/>
      <c r="O347" s="21"/>
      <c r="P347" s="21" t="s">
        <v>31</v>
      </c>
      <c r="Q347" s="9" t="s">
        <v>32</v>
      </c>
      <c r="R347" s="18"/>
      <c r="S347" s="25" t="s">
        <v>1580</v>
      </c>
      <c r="T347" s="27">
        <v>36305</v>
      </c>
      <c r="U347" s="25" t="s">
        <v>1579</v>
      </c>
      <c r="V347" s="25" t="s">
        <v>80</v>
      </c>
      <c r="W347" s="25"/>
    </row>
    <row r="348" spans="1:23" ht="22.5" customHeight="1">
      <c r="A348" s="20">
        <v>46022.748981481483</v>
      </c>
      <c r="B348" s="21" t="s">
        <v>1581</v>
      </c>
      <c r="C348" s="38"/>
      <c r="D348" s="21" t="s">
        <v>45</v>
      </c>
      <c r="E348" s="22">
        <v>32515</v>
      </c>
      <c r="F348" s="21" t="s">
        <v>980</v>
      </c>
      <c r="G348" s="21" t="s">
        <v>1080</v>
      </c>
      <c r="H348" s="21" t="s">
        <v>1582</v>
      </c>
      <c r="I348" s="6" t="str">
        <f>VLOOKUP(CLEAN(F348),'World Bank Categories'!$B$4:$C$220,2,FALSE)</f>
        <v>Middle income</v>
      </c>
      <c r="J348" s="21" t="s">
        <v>1583</v>
      </c>
      <c r="K348" s="21" t="s">
        <v>39</v>
      </c>
      <c r="L348" s="21" t="s">
        <v>152</v>
      </c>
      <c r="M348" s="21"/>
      <c r="N348" s="21"/>
      <c r="O348" s="21"/>
      <c r="P348" s="21" t="s">
        <v>31</v>
      </c>
      <c r="Q348" s="9" t="s">
        <v>32</v>
      </c>
      <c r="R348" s="10" t="s">
        <v>33</v>
      </c>
      <c r="S348" s="25" t="s">
        <v>1584</v>
      </c>
      <c r="T348" s="27">
        <v>32515</v>
      </c>
      <c r="U348" s="25" t="s">
        <v>1583</v>
      </c>
      <c r="V348" s="25" t="s">
        <v>154</v>
      </c>
      <c r="W348" s="25"/>
    </row>
    <row r="349" spans="1:23" ht="22.5" customHeight="1">
      <c r="A349" s="20">
        <v>46022.751805555556</v>
      </c>
      <c r="B349" s="21" t="s">
        <v>1585</v>
      </c>
      <c r="C349" s="21" t="s">
        <v>1586</v>
      </c>
      <c r="D349" s="21" t="s">
        <v>24</v>
      </c>
      <c r="E349" s="22">
        <v>33802</v>
      </c>
      <c r="F349" s="21" t="s">
        <v>980</v>
      </c>
      <c r="G349" s="21" t="s">
        <v>1587</v>
      </c>
      <c r="H349" s="21" t="s">
        <v>1588</v>
      </c>
      <c r="I349" s="6" t="str">
        <f>VLOOKUP(CLEAN(F349),'World Bank Categories'!$B$4:$C$220,2,FALSE)</f>
        <v>Middle income</v>
      </c>
      <c r="J349" s="21" t="s">
        <v>1583</v>
      </c>
      <c r="K349" s="21" t="s">
        <v>39</v>
      </c>
      <c r="L349" s="21" t="s">
        <v>152</v>
      </c>
      <c r="M349" s="21" t="s">
        <v>1589</v>
      </c>
      <c r="N349" s="17" t="s">
        <v>1590</v>
      </c>
      <c r="O349" s="6" t="s">
        <v>444</v>
      </c>
      <c r="P349" s="21" t="s">
        <v>31</v>
      </c>
      <c r="Q349" s="9" t="s">
        <v>32</v>
      </c>
      <c r="R349" s="18" t="s">
        <v>33</v>
      </c>
      <c r="S349" s="25" t="s">
        <v>1591</v>
      </c>
      <c r="T349" s="27">
        <v>33802</v>
      </c>
      <c r="U349" s="25" t="s">
        <v>1583</v>
      </c>
      <c r="V349" s="25" t="s">
        <v>316</v>
      </c>
      <c r="W349" s="25"/>
    </row>
    <row r="350" spans="1:23" ht="22.5" customHeight="1">
      <c r="A350" s="13">
        <v>46022.787485104171</v>
      </c>
      <c r="B350" s="14" t="s">
        <v>1592</v>
      </c>
      <c r="C350" s="15"/>
      <c r="D350" s="14" t="s">
        <v>45</v>
      </c>
      <c r="E350" s="16">
        <v>34716</v>
      </c>
      <c r="F350" s="14" t="s">
        <v>1593</v>
      </c>
      <c r="G350" s="14" t="s">
        <v>1594</v>
      </c>
      <c r="H350" s="14" t="s">
        <v>1595</v>
      </c>
      <c r="I350" s="6" t="str">
        <f>VLOOKUP(CLEAN(F350),'World Bank Categories'!$B$4:$C$220,2,FALSE)</f>
        <v>High income</v>
      </c>
      <c r="J350" s="14" t="s">
        <v>1596</v>
      </c>
      <c r="K350" s="14" t="s">
        <v>29</v>
      </c>
      <c r="L350" s="14" t="s">
        <v>30</v>
      </c>
      <c r="M350" s="15"/>
      <c r="N350" s="14"/>
      <c r="O350" s="14"/>
      <c r="P350" s="14" t="s">
        <v>31</v>
      </c>
      <c r="Q350" s="9" t="s">
        <v>32</v>
      </c>
      <c r="R350" s="10" t="s">
        <v>33</v>
      </c>
      <c r="S350" s="19" t="s">
        <v>1597</v>
      </c>
      <c r="T350" s="12"/>
      <c r="U350" s="12"/>
      <c r="V350" s="12"/>
      <c r="W350" s="12"/>
    </row>
    <row r="351" spans="1:23" ht="22.5" customHeight="1">
      <c r="A351" s="20">
        <v>46022.810127314813</v>
      </c>
      <c r="B351" s="21" t="s">
        <v>1598</v>
      </c>
      <c r="C351" s="38"/>
      <c r="D351" s="21" t="s">
        <v>45</v>
      </c>
      <c r="E351" s="22">
        <v>34193</v>
      </c>
      <c r="F351" s="21" t="s">
        <v>64</v>
      </c>
      <c r="G351" s="21" t="s">
        <v>1599</v>
      </c>
      <c r="H351" s="21" t="s">
        <v>1600</v>
      </c>
      <c r="I351" s="6" t="str">
        <f>VLOOKUP(CLEAN(F351),'World Bank Categories'!$B$4:$C$220,2,FALSE)</f>
        <v>Middle income</v>
      </c>
      <c r="J351" s="21" t="s">
        <v>1601</v>
      </c>
      <c r="K351" s="21" t="s">
        <v>29</v>
      </c>
      <c r="L351" s="21" t="s">
        <v>30</v>
      </c>
      <c r="M351" s="21"/>
      <c r="N351" s="21"/>
      <c r="O351" s="21"/>
      <c r="P351" s="21" t="s">
        <v>31</v>
      </c>
      <c r="Q351" s="9" t="s">
        <v>32</v>
      </c>
      <c r="R351" s="18" t="s">
        <v>33</v>
      </c>
      <c r="S351" s="25" t="s">
        <v>1602</v>
      </c>
      <c r="T351" s="27">
        <v>34193</v>
      </c>
      <c r="U351" s="25" t="s">
        <v>1601</v>
      </c>
      <c r="V351" s="25" t="s">
        <v>154</v>
      </c>
      <c r="W351" s="25"/>
    </row>
    <row r="352" spans="1:23" ht="22.5" customHeight="1">
      <c r="A352" s="20">
        <v>46022.829918981479</v>
      </c>
      <c r="B352" s="21" t="s">
        <v>1603</v>
      </c>
      <c r="C352" s="38"/>
      <c r="D352" s="21" t="s">
        <v>24</v>
      </c>
      <c r="E352" s="22">
        <v>36640</v>
      </c>
      <c r="F352" s="21" t="s">
        <v>70</v>
      </c>
      <c r="G352" s="21" t="s">
        <v>1604</v>
      </c>
      <c r="H352" s="21" t="s">
        <v>1605</v>
      </c>
      <c r="I352" s="6" t="str">
        <f>VLOOKUP(CLEAN(F352),'World Bank Categories'!$B$4:$C$220,2,FALSE)</f>
        <v>Middle income</v>
      </c>
      <c r="J352" s="21" t="s">
        <v>1606</v>
      </c>
      <c r="K352" s="21" t="s">
        <v>39</v>
      </c>
      <c r="L352" s="21" t="s">
        <v>30</v>
      </c>
      <c r="M352" s="21"/>
      <c r="N352" s="21"/>
      <c r="O352" s="21"/>
      <c r="P352" s="21" t="s">
        <v>31</v>
      </c>
      <c r="Q352" s="9" t="s">
        <v>32</v>
      </c>
      <c r="R352" s="10" t="s">
        <v>33</v>
      </c>
      <c r="S352" s="25" t="s">
        <v>1607</v>
      </c>
      <c r="T352" s="27">
        <v>36640</v>
      </c>
      <c r="U352" s="25" t="s">
        <v>1606</v>
      </c>
      <c r="V352" s="25" t="s">
        <v>154</v>
      </c>
      <c r="W352" s="25"/>
    </row>
    <row r="353" spans="1:23" ht="22.5" customHeight="1">
      <c r="A353" s="20">
        <v>46022.859351851854</v>
      </c>
      <c r="B353" s="21" t="s">
        <v>1608</v>
      </c>
      <c r="C353" s="38"/>
      <c r="D353" s="21" t="s">
        <v>45</v>
      </c>
      <c r="E353" s="22">
        <v>37485</v>
      </c>
      <c r="F353" s="21" t="s">
        <v>486</v>
      </c>
      <c r="G353" s="21" t="s">
        <v>1609</v>
      </c>
      <c r="H353" s="21" t="s">
        <v>1610</v>
      </c>
      <c r="I353" s="6" t="str">
        <f>VLOOKUP(CLEAN(F353),'World Bank Categories'!$B$4:$C$220,2,FALSE)</f>
        <v>High income</v>
      </c>
      <c r="J353" s="21" t="s">
        <v>1611</v>
      </c>
      <c r="K353" s="21" t="s">
        <v>29</v>
      </c>
      <c r="L353" s="21" t="s">
        <v>30</v>
      </c>
      <c r="M353" s="21"/>
      <c r="N353" s="21"/>
      <c r="O353" s="21"/>
      <c r="P353" s="21" t="s">
        <v>31</v>
      </c>
      <c r="Q353" s="9" t="s">
        <v>32</v>
      </c>
      <c r="R353" s="18" t="s">
        <v>33</v>
      </c>
      <c r="S353" s="25" t="s">
        <v>1608</v>
      </c>
      <c r="T353" s="27">
        <v>37485</v>
      </c>
      <c r="U353" s="25" t="s">
        <v>1611</v>
      </c>
      <c r="V353" s="25" t="s">
        <v>80</v>
      </c>
      <c r="W353" s="25"/>
    </row>
    <row r="354" spans="1:23" ht="22.5" customHeight="1">
      <c r="A354" s="20">
        <v>46022.892071759263</v>
      </c>
      <c r="B354" s="21" t="s">
        <v>1612</v>
      </c>
      <c r="C354" s="38"/>
      <c r="D354" s="21" t="s">
        <v>24</v>
      </c>
      <c r="E354" s="22">
        <v>33796</v>
      </c>
      <c r="F354" s="21" t="s">
        <v>980</v>
      </c>
      <c r="G354" s="21" t="s">
        <v>1613</v>
      </c>
      <c r="H354" s="21" t="s">
        <v>1614</v>
      </c>
      <c r="I354" s="6" t="str">
        <f>VLOOKUP(CLEAN(F354),'World Bank Categories'!$B$4:$C$220,2,FALSE)</f>
        <v>Middle income</v>
      </c>
      <c r="J354" s="21" t="s">
        <v>1615</v>
      </c>
      <c r="K354" s="21" t="s">
        <v>39</v>
      </c>
      <c r="L354" s="21" t="s">
        <v>152</v>
      </c>
      <c r="M354" s="21" t="s">
        <v>1616</v>
      </c>
      <c r="N354" s="21"/>
      <c r="O354" s="21"/>
      <c r="P354" s="21" t="s">
        <v>31</v>
      </c>
      <c r="Q354" s="9" t="s">
        <v>32</v>
      </c>
      <c r="R354" s="10" t="s">
        <v>33</v>
      </c>
      <c r="S354" s="25" t="s">
        <v>1612</v>
      </c>
      <c r="T354" s="27">
        <v>33796</v>
      </c>
      <c r="U354" s="25" t="s">
        <v>1615</v>
      </c>
      <c r="V354" s="25" t="s">
        <v>80</v>
      </c>
      <c r="W354" s="25"/>
    </row>
    <row r="355" spans="1:23" ht="22.5" customHeight="1">
      <c r="A355" s="20">
        <v>46022.911192129628</v>
      </c>
      <c r="B355" s="21" t="s">
        <v>1617</v>
      </c>
      <c r="C355" s="38"/>
      <c r="D355" s="21" t="s">
        <v>45</v>
      </c>
      <c r="E355" s="22">
        <v>26568</v>
      </c>
      <c r="F355" s="21" t="s">
        <v>416</v>
      </c>
      <c r="G355" s="21" t="s">
        <v>1618</v>
      </c>
      <c r="H355" s="21" t="s">
        <v>1619</v>
      </c>
      <c r="I355" s="6" t="str">
        <f>VLOOKUP(CLEAN(F355),'World Bank Categories'!$B$4:$C$220,2,FALSE)</f>
        <v>Middle income</v>
      </c>
      <c r="J355" s="21" t="s">
        <v>1620</v>
      </c>
      <c r="K355" s="21" t="s">
        <v>29</v>
      </c>
      <c r="L355" s="21" t="s">
        <v>30</v>
      </c>
      <c r="M355" s="21"/>
      <c r="N355" s="21"/>
      <c r="O355" s="21"/>
      <c r="P355" s="21" t="s">
        <v>31</v>
      </c>
      <c r="Q355" s="9" t="s">
        <v>32</v>
      </c>
      <c r="R355" s="18" t="s">
        <v>33</v>
      </c>
      <c r="S355" s="25" t="s">
        <v>1617</v>
      </c>
      <c r="T355" s="27">
        <v>26568</v>
      </c>
      <c r="U355" s="25" t="s">
        <v>1620</v>
      </c>
      <c r="V355" s="25" t="s">
        <v>80</v>
      </c>
      <c r="W355" s="25"/>
    </row>
    <row r="356" spans="1:23" ht="22.5" customHeight="1">
      <c r="A356" s="20">
        <v>46022.918819444443</v>
      </c>
      <c r="B356" s="21" t="s">
        <v>1621</v>
      </c>
      <c r="C356" s="38"/>
      <c r="D356" s="21" t="s">
        <v>24</v>
      </c>
      <c r="E356" s="22">
        <v>35628</v>
      </c>
      <c r="F356" s="21" t="s">
        <v>751</v>
      </c>
      <c r="G356" s="21" t="s">
        <v>209</v>
      </c>
      <c r="H356" s="21" t="s">
        <v>1622</v>
      </c>
      <c r="I356" s="6" t="str">
        <f>VLOOKUP(CLEAN(F356),'World Bank Categories'!$B$4:$C$220,2,FALSE)</f>
        <v>Low income</v>
      </c>
      <c r="J356" s="21" t="s">
        <v>1623</v>
      </c>
      <c r="K356" s="21" t="s">
        <v>29</v>
      </c>
      <c r="L356" s="21" t="s">
        <v>30</v>
      </c>
      <c r="M356" s="21"/>
      <c r="N356" s="21"/>
      <c r="O356" s="21"/>
      <c r="P356" s="21" t="s">
        <v>31</v>
      </c>
      <c r="Q356" s="9" t="s">
        <v>32</v>
      </c>
      <c r="R356" s="10"/>
      <c r="S356" s="25" t="s">
        <v>1621</v>
      </c>
      <c r="T356" s="27">
        <v>35628</v>
      </c>
      <c r="U356" s="25" t="s">
        <v>1623</v>
      </c>
      <c r="V356" s="25" t="s">
        <v>80</v>
      </c>
      <c r="W356" s="25"/>
    </row>
    <row r="357" spans="1:23" ht="22.5" customHeight="1">
      <c r="A357" s="28">
        <v>46022.918877314813</v>
      </c>
      <c r="B357" s="29" t="s">
        <v>1624</v>
      </c>
      <c r="C357" s="45"/>
      <c r="D357" s="29" t="s">
        <v>45</v>
      </c>
      <c r="E357" s="30">
        <v>33287</v>
      </c>
      <c r="F357" s="21" t="s">
        <v>980</v>
      </c>
      <c r="G357" s="29" t="s">
        <v>1625</v>
      </c>
      <c r="H357" s="29" t="s">
        <v>111</v>
      </c>
      <c r="I357" s="6" t="str">
        <f>VLOOKUP(CLEAN(F357),'World Bank Categories'!$B$4:$C$220,2,FALSE)</f>
        <v>Middle income</v>
      </c>
      <c r="J357" s="29" t="s">
        <v>1626</v>
      </c>
      <c r="K357" s="29" t="s">
        <v>39</v>
      </c>
      <c r="L357" s="31">
        <v>46205</v>
      </c>
      <c r="M357" s="29"/>
      <c r="N357" s="29"/>
      <c r="O357" s="29"/>
      <c r="P357" s="29" t="s">
        <v>31</v>
      </c>
      <c r="Q357" s="9" t="s">
        <v>32</v>
      </c>
      <c r="R357" s="18" t="s">
        <v>33</v>
      </c>
      <c r="S357" s="25" t="s">
        <v>1624</v>
      </c>
      <c r="T357" s="27">
        <v>33287</v>
      </c>
      <c r="U357" s="25" t="s">
        <v>1626</v>
      </c>
      <c r="V357" s="25" t="s">
        <v>80</v>
      </c>
      <c r="W357" s="25"/>
    </row>
    <row r="358" spans="1:23" ht="22.5" customHeight="1">
      <c r="A358" s="20">
        <v>46022.944398148145</v>
      </c>
      <c r="B358" s="21" t="s">
        <v>1627</v>
      </c>
      <c r="C358" s="38"/>
      <c r="D358" s="21" t="s">
        <v>45</v>
      </c>
      <c r="E358" s="22">
        <v>36046</v>
      </c>
      <c r="F358" s="21" t="s">
        <v>64</v>
      </c>
      <c r="G358" s="21" t="s">
        <v>1628</v>
      </c>
      <c r="H358" s="21" t="s">
        <v>90</v>
      </c>
      <c r="I358" s="6" t="str">
        <f>VLOOKUP(CLEAN(F358),'World Bank Categories'!$B$4:$C$220,2,FALSE)</f>
        <v>Middle income</v>
      </c>
      <c r="J358" s="21" t="s">
        <v>1629</v>
      </c>
      <c r="K358" s="21" t="s">
        <v>29</v>
      </c>
      <c r="L358" s="21" t="s">
        <v>30</v>
      </c>
      <c r="M358" s="21"/>
      <c r="N358" s="21"/>
      <c r="O358" s="21"/>
      <c r="P358" s="21" t="s">
        <v>31</v>
      </c>
      <c r="Q358" s="9" t="s">
        <v>32</v>
      </c>
      <c r="R358" s="10"/>
      <c r="S358" s="25" t="s">
        <v>1630</v>
      </c>
      <c r="T358" s="27">
        <v>36046</v>
      </c>
      <c r="U358" s="25" t="s">
        <v>1629</v>
      </c>
      <c r="V358" s="25" t="s">
        <v>80</v>
      </c>
      <c r="W358" s="25"/>
    </row>
    <row r="359" spans="1:23" ht="22.5" customHeight="1">
      <c r="A359" s="20">
        <v>46022.953217592592</v>
      </c>
      <c r="B359" s="21" t="s">
        <v>1631</v>
      </c>
      <c r="C359" s="38"/>
      <c r="D359" s="21" t="s">
        <v>45</v>
      </c>
      <c r="E359" s="22">
        <v>34306</v>
      </c>
      <c r="F359" s="21" t="s">
        <v>1427</v>
      </c>
      <c r="G359" s="21" t="s">
        <v>1632</v>
      </c>
      <c r="H359" s="21" t="s">
        <v>1633</v>
      </c>
      <c r="I359" s="6" t="str">
        <f>VLOOKUP(CLEAN(F359),'World Bank Categories'!$B$4:$C$220,2,FALSE)</f>
        <v>Low income</v>
      </c>
      <c r="J359" s="21" t="s">
        <v>1634</v>
      </c>
      <c r="K359" s="21" t="s">
        <v>29</v>
      </c>
      <c r="L359" s="21" t="s">
        <v>30</v>
      </c>
      <c r="M359" s="21"/>
      <c r="N359" s="21"/>
      <c r="O359" s="21"/>
      <c r="P359" s="21" t="s">
        <v>31</v>
      </c>
      <c r="Q359" s="9" t="s">
        <v>32</v>
      </c>
      <c r="R359" s="18"/>
      <c r="S359" s="25" t="s">
        <v>1635</v>
      </c>
      <c r="T359" s="27">
        <v>34306</v>
      </c>
      <c r="U359" s="25" t="s">
        <v>1634</v>
      </c>
      <c r="V359" s="25" t="s">
        <v>316</v>
      </c>
      <c r="W359" s="25"/>
    </row>
    <row r="360" spans="1:23" ht="22.5" customHeight="1">
      <c r="A360" s="20">
        <v>46022.962546296294</v>
      </c>
      <c r="B360" s="21" t="s">
        <v>1636</v>
      </c>
      <c r="C360" s="21" t="s">
        <v>1637</v>
      </c>
      <c r="D360" s="21" t="s">
        <v>24</v>
      </c>
      <c r="E360" s="22">
        <v>35640</v>
      </c>
      <c r="F360" s="21" t="s">
        <v>799</v>
      </c>
      <c r="G360" s="21" t="s">
        <v>1638</v>
      </c>
      <c r="H360" s="21" t="s">
        <v>1639</v>
      </c>
      <c r="I360" s="6" t="str">
        <f>VLOOKUP(CLEAN(F360),'World Bank Categories'!$B$4:$C$220,2,FALSE)</f>
        <v>Low income</v>
      </c>
      <c r="J360" s="21" t="s">
        <v>1640</v>
      </c>
      <c r="K360" s="21" t="s">
        <v>39</v>
      </c>
      <c r="L360" s="21" t="s">
        <v>30</v>
      </c>
      <c r="M360" s="21"/>
      <c r="N360" s="21"/>
      <c r="O360" s="21"/>
      <c r="P360" s="21" t="s">
        <v>31</v>
      </c>
      <c r="Q360" s="9" t="s">
        <v>32</v>
      </c>
      <c r="R360" s="10" t="s">
        <v>33</v>
      </c>
      <c r="S360" s="25" t="s">
        <v>1641</v>
      </c>
      <c r="T360" s="27">
        <v>35640</v>
      </c>
      <c r="U360" s="25" t="s">
        <v>1640</v>
      </c>
      <c r="V360" s="25" t="s">
        <v>316</v>
      </c>
      <c r="W360" s="25"/>
    </row>
    <row r="361" spans="1:23" ht="22.5" customHeight="1">
      <c r="A361" s="20">
        <v>46022.983715277776</v>
      </c>
      <c r="B361" s="21" t="s">
        <v>1642</v>
      </c>
      <c r="C361" s="38"/>
      <c r="D361" s="21" t="s">
        <v>45</v>
      </c>
      <c r="E361" s="22">
        <v>27918</v>
      </c>
      <c r="F361" s="21" t="s">
        <v>64</v>
      </c>
      <c r="G361" s="21" t="s">
        <v>1599</v>
      </c>
      <c r="H361" s="21" t="s">
        <v>1643</v>
      </c>
      <c r="I361" s="6" t="str">
        <f>VLOOKUP(CLEAN(F361),'World Bank Categories'!$B$4:$C$220,2,FALSE)</f>
        <v>Middle income</v>
      </c>
      <c r="J361" s="21" t="s">
        <v>1644</v>
      </c>
      <c r="K361" s="21" t="s">
        <v>29</v>
      </c>
      <c r="L361" s="21" t="s">
        <v>30</v>
      </c>
      <c r="M361" s="21"/>
      <c r="N361" s="21"/>
      <c r="O361" s="21"/>
      <c r="P361" s="21" t="s">
        <v>31</v>
      </c>
      <c r="Q361" s="9" t="s">
        <v>32</v>
      </c>
      <c r="R361" s="18" t="s">
        <v>17</v>
      </c>
      <c r="S361" s="25" t="s">
        <v>1645</v>
      </c>
      <c r="T361" s="27">
        <v>27918</v>
      </c>
      <c r="U361" s="25" t="s">
        <v>1644</v>
      </c>
      <c r="V361" s="25" t="s">
        <v>154</v>
      </c>
      <c r="W361" s="25"/>
    </row>
    <row r="362" spans="1:23" ht="22.5" customHeight="1">
      <c r="A362" s="20">
        <v>46022.993402777778</v>
      </c>
      <c r="B362" s="21" t="s">
        <v>1646</v>
      </c>
      <c r="C362" s="38"/>
      <c r="D362" s="21" t="s">
        <v>24</v>
      </c>
      <c r="E362" s="22">
        <v>36415</v>
      </c>
      <c r="F362" s="21" t="s">
        <v>208</v>
      </c>
      <c r="G362" s="21" t="s">
        <v>1228</v>
      </c>
      <c r="H362" s="21" t="s">
        <v>111</v>
      </c>
      <c r="I362" s="6" t="str">
        <f>VLOOKUP(CLEAN(F362),'World Bank Categories'!$B$4:$C$220,2,FALSE)</f>
        <v>Low income</v>
      </c>
      <c r="J362" s="21" t="s">
        <v>1647</v>
      </c>
      <c r="K362" s="21" t="s">
        <v>39</v>
      </c>
      <c r="L362" s="21" t="s">
        <v>30</v>
      </c>
      <c r="M362" s="21"/>
      <c r="N362" s="21"/>
      <c r="O362" s="21"/>
      <c r="P362" s="21" t="s">
        <v>31</v>
      </c>
      <c r="Q362" s="9" t="s">
        <v>32</v>
      </c>
      <c r="R362" s="10"/>
      <c r="S362" s="25" t="s">
        <v>1648</v>
      </c>
      <c r="T362" s="27">
        <v>36415</v>
      </c>
      <c r="U362" s="25" t="s">
        <v>1647</v>
      </c>
      <c r="V362" s="25" t="s">
        <v>154</v>
      </c>
      <c r="W362" s="25"/>
    </row>
    <row r="363" spans="1:23" ht="22.5" customHeight="1">
      <c r="A363" s="20">
        <v>46023.061585648145</v>
      </c>
      <c r="B363" s="21" t="s">
        <v>1649</v>
      </c>
      <c r="C363" s="38"/>
      <c r="D363" s="21" t="s">
        <v>24</v>
      </c>
      <c r="E363" s="22">
        <v>36331</v>
      </c>
      <c r="F363" s="21" t="s">
        <v>70</v>
      </c>
      <c r="G363" s="21" t="s">
        <v>1379</v>
      </c>
      <c r="H363" s="21" t="s">
        <v>1650</v>
      </c>
      <c r="I363" s="6" t="str">
        <f>VLOOKUP(CLEAN(F363),'World Bank Categories'!$B$4:$C$220,2,FALSE)</f>
        <v>Middle income</v>
      </c>
      <c r="J363" s="21" t="s">
        <v>1651</v>
      </c>
      <c r="K363" s="21" t="s">
        <v>39</v>
      </c>
      <c r="L363" s="21" t="s">
        <v>30</v>
      </c>
      <c r="M363" s="21"/>
      <c r="N363" s="21"/>
      <c r="O363" s="21"/>
      <c r="P363" s="21" t="s">
        <v>31</v>
      </c>
      <c r="Q363" s="9" t="s">
        <v>32</v>
      </c>
      <c r="R363" s="18"/>
      <c r="S363" s="25" t="s">
        <v>1652</v>
      </c>
      <c r="T363" s="27">
        <v>36331</v>
      </c>
      <c r="U363" s="25" t="s">
        <v>1651</v>
      </c>
      <c r="V363" s="25" t="s">
        <v>80</v>
      </c>
      <c r="W363" s="25"/>
    </row>
    <row r="364" spans="1:23" ht="22.5" customHeight="1">
      <c r="A364" s="20">
        <v>46023.099398148152</v>
      </c>
      <c r="B364" s="21" t="s">
        <v>1653</v>
      </c>
      <c r="C364" s="38"/>
      <c r="D364" s="21" t="s">
        <v>24</v>
      </c>
      <c r="E364" s="22">
        <v>31644</v>
      </c>
      <c r="F364" s="21" t="s">
        <v>227</v>
      </c>
      <c r="G364" s="21" t="s">
        <v>1654</v>
      </c>
      <c r="H364" s="21" t="s">
        <v>1655</v>
      </c>
      <c r="I364" s="6" t="str">
        <f>VLOOKUP(CLEAN(F364),'World Bank Categories'!$B$4:$C$220,2,FALSE)</f>
        <v>Middle income</v>
      </c>
      <c r="J364" s="21" t="s">
        <v>1656</v>
      </c>
      <c r="K364" s="21" t="s">
        <v>39</v>
      </c>
      <c r="L364" s="21" t="s">
        <v>30</v>
      </c>
      <c r="M364" s="21" t="s">
        <v>1657</v>
      </c>
      <c r="N364" s="21" t="s">
        <v>1658</v>
      </c>
      <c r="O364" s="21" t="s">
        <v>1659</v>
      </c>
      <c r="P364" s="21" t="s">
        <v>31</v>
      </c>
      <c r="Q364" s="9" t="s">
        <v>32</v>
      </c>
      <c r="R364" s="10" t="s">
        <v>33</v>
      </c>
      <c r="S364" s="25" t="s">
        <v>1653</v>
      </c>
      <c r="T364" s="27">
        <v>31644</v>
      </c>
      <c r="U364" s="25" t="s">
        <v>1656</v>
      </c>
      <c r="V364" s="25" t="s">
        <v>80</v>
      </c>
      <c r="W364" s="25"/>
    </row>
    <row r="365" spans="1:23" ht="22.5" customHeight="1">
      <c r="A365" s="20">
        <v>46023.110474537039</v>
      </c>
      <c r="B365" s="21" t="s">
        <v>1660</v>
      </c>
      <c r="C365" s="38"/>
      <c r="D365" s="21" t="s">
        <v>24</v>
      </c>
      <c r="E365" s="22">
        <v>30733</v>
      </c>
      <c r="F365" s="21" t="s">
        <v>70</v>
      </c>
      <c r="G365" s="21" t="s">
        <v>1661</v>
      </c>
      <c r="H365" s="21" t="s">
        <v>1662</v>
      </c>
      <c r="I365" s="6" t="str">
        <f>VLOOKUP(CLEAN(F365),'World Bank Categories'!$B$4:$C$220,2,FALSE)</f>
        <v>Middle income</v>
      </c>
      <c r="J365" s="21" t="s">
        <v>1663</v>
      </c>
      <c r="K365" s="21" t="s">
        <v>29</v>
      </c>
      <c r="L365" s="21" t="s">
        <v>30</v>
      </c>
      <c r="M365" s="21"/>
      <c r="N365" s="21"/>
      <c r="O365" s="21"/>
      <c r="P365" s="21" t="s">
        <v>31</v>
      </c>
      <c r="Q365" s="9" t="s">
        <v>32</v>
      </c>
      <c r="R365" s="18"/>
      <c r="S365" s="25" t="s">
        <v>1660</v>
      </c>
      <c r="T365" s="27">
        <v>46020</v>
      </c>
      <c r="U365" s="25" t="s">
        <v>1663</v>
      </c>
      <c r="V365" s="25" t="s">
        <v>236</v>
      </c>
      <c r="W365" s="25"/>
    </row>
    <row r="366" spans="1:23" ht="22.5" customHeight="1">
      <c r="A366" s="35">
        <v>46023.112592592595</v>
      </c>
      <c r="B366" s="36" t="s">
        <v>1664</v>
      </c>
      <c r="C366" s="36" t="s">
        <v>1665</v>
      </c>
      <c r="D366" s="36" t="s">
        <v>45</v>
      </c>
      <c r="E366" s="37">
        <v>29294</v>
      </c>
      <c r="F366" s="21" t="s">
        <v>70</v>
      </c>
      <c r="G366" s="36" t="s">
        <v>1666</v>
      </c>
      <c r="H366" s="36" t="s">
        <v>1667</v>
      </c>
      <c r="I366" s="6" t="str">
        <f>VLOOKUP(CLEAN(F366),'World Bank Categories'!$B$4:$C$220,2,FALSE)</f>
        <v>Middle income</v>
      </c>
      <c r="J366" s="36" t="s">
        <v>1668</v>
      </c>
      <c r="K366" s="36" t="s">
        <v>29</v>
      </c>
      <c r="L366" s="36" t="s">
        <v>30</v>
      </c>
      <c r="M366" s="36"/>
      <c r="N366" s="36"/>
      <c r="O366" s="36"/>
      <c r="P366" s="36" t="s">
        <v>31</v>
      </c>
      <c r="Q366" s="9" t="s">
        <v>32</v>
      </c>
      <c r="R366" s="10"/>
      <c r="S366" s="25" t="s">
        <v>1669</v>
      </c>
      <c r="T366" s="27">
        <v>29294</v>
      </c>
      <c r="U366" s="25" t="s">
        <v>1668</v>
      </c>
      <c r="V366" s="25" t="s">
        <v>1670</v>
      </c>
      <c r="W366" s="25"/>
    </row>
    <row r="367" spans="1:23" ht="22.5" customHeight="1">
      <c r="A367" s="5">
        <v>46023.131120543985</v>
      </c>
      <c r="B367" s="6" t="s">
        <v>1671</v>
      </c>
      <c r="C367" s="7"/>
      <c r="D367" s="6" t="s">
        <v>45</v>
      </c>
      <c r="E367" s="8">
        <v>34448</v>
      </c>
      <c r="F367" s="6" t="s">
        <v>332</v>
      </c>
      <c r="G367" s="6" t="s">
        <v>1672</v>
      </c>
      <c r="H367" s="6" t="s">
        <v>1673</v>
      </c>
      <c r="I367" s="6" t="str">
        <f>VLOOKUP(CLEAN(F367),'World Bank Categories'!$B$4:$C$220,2,FALSE)</f>
        <v>High income</v>
      </c>
      <c r="J367" s="6" t="s">
        <v>1674</v>
      </c>
      <c r="K367" s="6" t="s">
        <v>29</v>
      </c>
      <c r="L367" s="6" t="s">
        <v>30</v>
      </c>
      <c r="M367" s="7"/>
      <c r="N367" s="6"/>
      <c r="O367" s="6"/>
      <c r="P367" s="6" t="s">
        <v>31</v>
      </c>
      <c r="Q367" s="9" t="s">
        <v>32</v>
      </c>
      <c r="R367" s="18"/>
      <c r="S367" s="11" t="s">
        <v>1671</v>
      </c>
      <c r="T367" s="12"/>
      <c r="U367" s="12"/>
      <c r="V367" s="12"/>
      <c r="W367" s="12"/>
    </row>
    <row r="368" spans="1:23" ht="22.5" customHeight="1">
      <c r="A368" s="46">
        <v>46023.142557870371</v>
      </c>
      <c r="B368" s="47" t="s">
        <v>1675</v>
      </c>
      <c r="C368" s="48"/>
      <c r="D368" s="47" t="s">
        <v>24</v>
      </c>
      <c r="E368" s="49">
        <v>28817</v>
      </c>
      <c r="F368" s="21" t="s">
        <v>208</v>
      </c>
      <c r="G368" s="47" t="s">
        <v>1676</v>
      </c>
      <c r="H368" s="47" t="s">
        <v>1677</v>
      </c>
      <c r="I368" s="6" t="str">
        <f>VLOOKUP(CLEAN(F368),'World Bank Categories'!$B$4:$C$220,2,FALSE)</f>
        <v>Low income</v>
      </c>
      <c r="J368" s="47" t="s">
        <v>1678</v>
      </c>
      <c r="K368" s="47" t="s">
        <v>39</v>
      </c>
      <c r="L368" s="47" t="s">
        <v>152</v>
      </c>
      <c r="M368" s="47"/>
      <c r="N368" s="47"/>
      <c r="O368" s="47"/>
      <c r="P368" s="47" t="s">
        <v>31</v>
      </c>
      <c r="Q368" s="9" t="s">
        <v>32</v>
      </c>
      <c r="R368" s="10" t="s">
        <v>33</v>
      </c>
      <c r="S368" s="25" t="s">
        <v>1679</v>
      </c>
      <c r="T368" s="27">
        <v>28817</v>
      </c>
      <c r="U368" s="25" t="s">
        <v>1678</v>
      </c>
      <c r="V368" s="25" t="s">
        <v>154</v>
      </c>
      <c r="W368" s="25"/>
    </row>
    <row r="369" spans="1:23" ht="22.5" customHeight="1">
      <c r="A369" s="13">
        <v>46023.145213761571</v>
      </c>
      <c r="B369" s="14" t="s">
        <v>1680</v>
      </c>
      <c r="C369" s="15"/>
      <c r="D369" s="14" t="s">
        <v>24</v>
      </c>
      <c r="E369" s="16">
        <v>36509</v>
      </c>
      <c r="F369" s="14" t="s">
        <v>64</v>
      </c>
      <c r="G369" s="14" t="s">
        <v>1681</v>
      </c>
      <c r="H369" s="14" t="s">
        <v>1682</v>
      </c>
      <c r="I369" s="6" t="str">
        <f>VLOOKUP(CLEAN(F369),'World Bank Categories'!$B$4:$C$220,2,FALSE)</f>
        <v>Middle income</v>
      </c>
      <c r="J369" s="14" t="s">
        <v>1683</v>
      </c>
      <c r="K369" s="14" t="s">
        <v>39</v>
      </c>
      <c r="L369" s="14" t="s">
        <v>162</v>
      </c>
      <c r="M369" s="15"/>
      <c r="N369" s="14"/>
      <c r="O369" s="14"/>
      <c r="P369" s="14" t="s">
        <v>31</v>
      </c>
      <c r="Q369" s="9" t="s">
        <v>32</v>
      </c>
      <c r="R369" s="18"/>
      <c r="S369" s="19" t="s">
        <v>1684</v>
      </c>
      <c r="T369" s="12"/>
      <c r="U369" s="12"/>
      <c r="V369" s="12"/>
      <c r="W369" s="12"/>
    </row>
    <row r="370" spans="1:23" ht="22.5" customHeight="1">
      <c r="A370" s="20">
        <v>46023.172615740739</v>
      </c>
      <c r="B370" s="21" t="s">
        <v>1685</v>
      </c>
      <c r="C370" s="38"/>
      <c r="D370" s="21" t="s">
        <v>45</v>
      </c>
      <c r="E370" s="22">
        <v>37569</v>
      </c>
      <c r="F370" s="21" t="s">
        <v>208</v>
      </c>
      <c r="G370" s="21" t="s">
        <v>521</v>
      </c>
      <c r="H370" s="21" t="s">
        <v>90</v>
      </c>
      <c r="I370" s="6" t="str">
        <f>VLOOKUP(CLEAN(F370),'World Bank Categories'!$B$4:$C$220,2,FALSE)</f>
        <v>Low income</v>
      </c>
      <c r="J370" s="21" t="s">
        <v>1686</v>
      </c>
      <c r="K370" s="21" t="s">
        <v>29</v>
      </c>
      <c r="L370" s="21" t="s">
        <v>30</v>
      </c>
      <c r="M370" s="21"/>
      <c r="N370" s="21"/>
      <c r="O370" s="21"/>
      <c r="P370" s="21" t="s">
        <v>31</v>
      </c>
      <c r="Q370" s="9" t="s">
        <v>32</v>
      </c>
      <c r="R370" s="10"/>
      <c r="S370" s="25" t="s">
        <v>1685</v>
      </c>
      <c r="T370" s="27">
        <v>37569</v>
      </c>
      <c r="U370" s="25" t="s">
        <v>1687</v>
      </c>
      <c r="V370" s="25" t="s">
        <v>101</v>
      </c>
      <c r="W370" s="25"/>
    </row>
    <row r="371" spans="1:23" ht="22.5" customHeight="1">
      <c r="A371" s="20">
        <v>46023.175671296296</v>
      </c>
      <c r="B371" s="21" t="s">
        <v>1688</v>
      </c>
      <c r="C371" s="21" t="s">
        <v>1689</v>
      </c>
      <c r="D371" s="21" t="s">
        <v>45</v>
      </c>
      <c r="E371" s="22">
        <v>35326</v>
      </c>
      <c r="F371" s="21" t="s">
        <v>1690</v>
      </c>
      <c r="G371" s="21" t="s">
        <v>186</v>
      </c>
      <c r="H371" s="21" t="s">
        <v>186</v>
      </c>
      <c r="I371" s="6" t="str">
        <f>VLOOKUP(CLEAN(F371),'World Bank Categories'!$B$4:$C$220,2,FALSE)</f>
        <v>Middle income</v>
      </c>
      <c r="J371" s="21" t="s">
        <v>1691</v>
      </c>
      <c r="K371" s="21" t="s">
        <v>39</v>
      </c>
      <c r="L371" s="21" t="s">
        <v>1324</v>
      </c>
      <c r="M371" s="21"/>
      <c r="N371" s="21"/>
      <c r="O371" s="21"/>
      <c r="P371" s="21" t="s">
        <v>31</v>
      </c>
      <c r="Q371" s="9" t="s">
        <v>32</v>
      </c>
      <c r="R371" s="18"/>
      <c r="S371" s="25" t="s">
        <v>1688</v>
      </c>
      <c r="T371" s="27">
        <v>36056</v>
      </c>
      <c r="U371" s="25" t="s">
        <v>1691</v>
      </c>
      <c r="V371" s="25" t="s">
        <v>236</v>
      </c>
      <c r="W371" s="25"/>
    </row>
    <row r="372" spans="1:23" ht="22.5" customHeight="1">
      <c r="A372" s="28">
        <v>46023.200138888889</v>
      </c>
      <c r="B372" s="29" t="s">
        <v>1692</v>
      </c>
      <c r="C372" s="29" t="s">
        <v>1693</v>
      </c>
      <c r="D372" s="29" t="s">
        <v>24</v>
      </c>
      <c r="E372" s="30">
        <v>30682</v>
      </c>
      <c r="F372" s="21" t="s">
        <v>1690</v>
      </c>
      <c r="G372" s="29" t="s">
        <v>1694</v>
      </c>
      <c r="H372" s="29" t="s">
        <v>1695</v>
      </c>
      <c r="I372" s="6" t="str">
        <f>VLOOKUP(CLEAN(F372),'World Bank Categories'!$B$4:$C$220,2,FALSE)</f>
        <v>Middle income</v>
      </c>
      <c r="J372" s="29" t="s">
        <v>1696</v>
      </c>
      <c r="K372" s="29" t="s">
        <v>39</v>
      </c>
      <c r="L372" s="29" t="s">
        <v>30</v>
      </c>
      <c r="M372" s="29"/>
      <c r="N372" s="29"/>
      <c r="O372" s="29"/>
      <c r="P372" s="29" t="s">
        <v>31</v>
      </c>
      <c r="Q372" s="9" t="s">
        <v>32</v>
      </c>
      <c r="R372" s="10" t="s">
        <v>33</v>
      </c>
      <c r="S372" s="25" t="s">
        <v>1697</v>
      </c>
      <c r="T372" s="27">
        <v>30682</v>
      </c>
      <c r="U372" s="25" t="s">
        <v>1696</v>
      </c>
      <c r="V372" s="25" t="s">
        <v>154</v>
      </c>
      <c r="W372" s="25"/>
    </row>
    <row r="373" spans="1:23" ht="22.5" customHeight="1">
      <c r="A373" s="20">
        <v>46023.206435185188</v>
      </c>
      <c r="B373" s="21" t="s">
        <v>1698</v>
      </c>
      <c r="C373" s="38"/>
      <c r="D373" s="21" t="s">
        <v>24</v>
      </c>
      <c r="E373" s="22">
        <v>37791</v>
      </c>
      <c r="F373" s="21" t="s">
        <v>208</v>
      </c>
      <c r="G373" s="21" t="s">
        <v>460</v>
      </c>
      <c r="H373" s="21" t="s">
        <v>578</v>
      </c>
      <c r="I373" s="6" t="str">
        <f>VLOOKUP(CLEAN(F373),'World Bank Categories'!$B$4:$C$220,2,FALSE)</f>
        <v>Low income</v>
      </c>
      <c r="J373" s="21" t="s">
        <v>1699</v>
      </c>
      <c r="K373" s="21" t="s">
        <v>39</v>
      </c>
      <c r="L373" s="21" t="s">
        <v>30</v>
      </c>
      <c r="M373" s="21"/>
      <c r="N373" s="21"/>
      <c r="O373" s="21"/>
      <c r="P373" s="21" t="s">
        <v>31</v>
      </c>
      <c r="Q373" s="9" t="s">
        <v>32</v>
      </c>
      <c r="R373" s="18"/>
      <c r="S373" s="25" t="s">
        <v>1698</v>
      </c>
      <c r="T373" s="27">
        <v>37791</v>
      </c>
      <c r="U373" s="25" t="s">
        <v>1699</v>
      </c>
      <c r="V373" s="25" t="s">
        <v>80</v>
      </c>
      <c r="W373" s="25"/>
    </row>
    <row r="374" spans="1:23" ht="22.5" customHeight="1">
      <c r="A374" s="20">
        <v>46023.222500000003</v>
      </c>
      <c r="B374" s="21" t="s">
        <v>1700</v>
      </c>
      <c r="C374" s="38"/>
      <c r="D374" s="21" t="s">
        <v>45</v>
      </c>
      <c r="E374" s="22">
        <v>20739</v>
      </c>
      <c r="F374" s="21" t="s">
        <v>203</v>
      </c>
      <c r="G374" s="21" t="s">
        <v>1701</v>
      </c>
      <c r="H374" s="21" t="s">
        <v>1702</v>
      </c>
      <c r="I374" s="6" t="str">
        <f>VLOOKUP(CLEAN(F374),'World Bank Categories'!$B$4:$C$220,2,FALSE)</f>
        <v>Middle income</v>
      </c>
      <c r="J374" s="21" t="s">
        <v>1703</v>
      </c>
      <c r="K374" s="21" t="s">
        <v>39</v>
      </c>
      <c r="L374" s="21" t="s">
        <v>162</v>
      </c>
      <c r="M374" s="21"/>
      <c r="N374" s="21"/>
      <c r="O374" s="21"/>
      <c r="P374" s="21" t="s">
        <v>31</v>
      </c>
      <c r="Q374" s="9" t="s">
        <v>32</v>
      </c>
      <c r="R374" s="10"/>
      <c r="S374" s="25" t="s">
        <v>1700</v>
      </c>
      <c r="T374" s="27">
        <v>20739</v>
      </c>
      <c r="U374" s="25" t="s">
        <v>1703</v>
      </c>
      <c r="V374" s="25" t="s">
        <v>80</v>
      </c>
      <c r="W374" s="25"/>
    </row>
    <row r="375" spans="1:23" ht="22.5" customHeight="1">
      <c r="A375" s="20">
        <v>46024.283773148149</v>
      </c>
      <c r="B375" s="21" t="s">
        <v>1704</v>
      </c>
      <c r="C375" s="38"/>
      <c r="D375" s="21" t="s">
        <v>24</v>
      </c>
      <c r="E375" s="22">
        <v>36648</v>
      </c>
      <c r="F375" s="21" t="s">
        <v>208</v>
      </c>
      <c r="G375" s="21" t="s">
        <v>1705</v>
      </c>
      <c r="H375" s="21" t="s">
        <v>66</v>
      </c>
      <c r="I375" s="6" t="str">
        <f>VLOOKUP(CLEAN(F375),'World Bank Categories'!$B$4:$C$220,2,FALSE)</f>
        <v>Low income</v>
      </c>
      <c r="J375" s="21" t="s">
        <v>1706</v>
      </c>
      <c r="K375" s="21" t="s">
        <v>29</v>
      </c>
      <c r="L375" s="21" t="s">
        <v>30</v>
      </c>
      <c r="M375" s="21"/>
      <c r="N375" s="21"/>
      <c r="O375" s="21"/>
      <c r="P375" s="21" t="s">
        <v>31</v>
      </c>
      <c r="Q375" s="9" t="s">
        <v>32</v>
      </c>
      <c r="R375" s="18"/>
      <c r="S375" s="25" t="s">
        <v>1704</v>
      </c>
      <c r="T375" s="27">
        <v>36648</v>
      </c>
      <c r="U375" s="25" t="s">
        <v>1706</v>
      </c>
      <c r="V375" s="25" t="s">
        <v>80</v>
      </c>
      <c r="W375" s="25"/>
    </row>
    <row r="376" spans="1:23" ht="22.5" customHeight="1">
      <c r="A376" s="20">
        <v>46024.641712962963</v>
      </c>
      <c r="B376" s="21" t="s">
        <v>1707</v>
      </c>
      <c r="C376" s="38"/>
      <c r="D376" s="21" t="s">
        <v>24</v>
      </c>
      <c r="E376" s="22">
        <v>36513</v>
      </c>
      <c r="F376" s="21" t="s">
        <v>227</v>
      </c>
      <c r="G376" s="21" t="s">
        <v>1708</v>
      </c>
      <c r="H376" s="21" t="s">
        <v>1709</v>
      </c>
      <c r="I376" s="6" t="str">
        <f>VLOOKUP(CLEAN(F376),'World Bank Categories'!$B$4:$C$220,2,FALSE)</f>
        <v>Middle income</v>
      </c>
      <c r="J376" s="21" t="s">
        <v>1710</v>
      </c>
      <c r="K376" s="21" t="s">
        <v>29</v>
      </c>
      <c r="L376" s="21" t="s">
        <v>152</v>
      </c>
      <c r="M376" s="21"/>
      <c r="N376" s="21"/>
      <c r="O376" s="21"/>
      <c r="P376" s="21" t="s">
        <v>31</v>
      </c>
      <c r="Q376" s="9" t="s">
        <v>32</v>
      </c>
      <c r="R376" s="10" t="s">
        <v>43</v>
      </c>
      <c r="S376" s="25" t="s">
        <v>1711</v>
      </c>
      <c r="T376" s="27">
        <v>36513</v>
      </c>
      <c r="U376" s="25" t="s">
        <v>1710</v>
      </c>
      <c r="V376" s="25" t="s">
        <v>80</v>
      </c>
      <c r="W376" s="25"/>
    </row>
    <row r="377" spans="1:23" ht="22.5" customHeight="1">
      <c r="A377" s="50">
        <v>46024.920520833337</v>
      </c>
      <c r="B377" s="51" t="s">
        <v>1712</v>
      </c>
      <c r="C377" s="52"/>
      <c r="D377" s="51" t="s">
        <v>24</v>
      </c>
      <c r="E377" s="53">
        <v>37639</v>
      </c>
      <c r="F377" s="51" t="s">
        <v>64</v>
      </c>
      <c r="G377" s="51" t="s">
        <v>1713</v>
      </c>
      <c r="H377" s="51" t="s">
        <v>160</v>
      </c>
      <c r="I377" s="6" t="str">
        <f>VLOOKUP(CLEAN(F377),'World Bank Categories'!$B$4:$C$220,2,FALSE)</f>
        <v>Middle income</v>
      </c>
      <c r="J377" s="51" t="s">
        <v>1714</v>
      </c>
      <c r="K377" s="51" t="s">
        <v>29</v>
      </c>
      <c r="L377" s="51" t="s">
        <v>30</v>
      </c>
      <c r="M377" s="51"/>
      <c r="N377" s="51"/>
      <c r="O377" s="51"/>
      <c r="P377" s="51" t="s">
        <v>31</v>
      </c>
      <c r="Q377" s="9" t="s">
        <v>32</v>
      </c>
      <c r="R377" s="10" t="s">
        <v>43</v>
      </c>
      <c r="S377" s="25" t="s">
        <v>1712</v>
      </c>
      <c r="T377" s="27">
        <v>37639</v>
      </c>
      <c r="U377" s="25" t="s">
        <v>1714</v>
      </c>
      <c r="V377" s="25" t="s">
        <v>80</v>
      </c>
      <c r="W377" s="25"/>
    </row>
    <row r="378" spans="1:23" ht="22.5" customHeight="1">
      <c r="A378" s="20">
        <v>46025.151712962965</v>
      </c>
      <c r="B378" s="21" t="s">
        <v>1715</v>
      </c>
      <c r="C378" s="38"/>
      <c r="D378" s="21" t="s">
        <v>24</v>
      </c>
      <c r="E378" s="22">
        <v>37301</v>
      </c>
      <c r="F378" s="21" t="s">
        <v>208</v>
      </c>
      <c r="G378" s="21" t="s">
        <v>1716</v>
      </c>
      <c r="H378" s="21" t="s">
        <v>66</v>
      </c>
      <c r="I378" s="6" t="str">
        <f>VLOOKUP(CLEAN(F378),'World Bank Categories'!$B$4:$C$220,2,FALSE)</f>
        <v>Low income</v>
      </c>
      <c r="J378" s="21" t="s">
        <v>1717</v>
      </c>
      <c r="K378" s="21" t="s">
        <v>39</v>
      </c>
      <c r="L378" s="21" t="s">
        <v>30</v>
      </c>
      <c r="M378" s="21"/>
      <c r="N378" s="21"/>
      <c r="O378" s="21"/>
      <c r="P378" s="21" t="s">
        <v>31</v>
      </c>
      <c r="Q378" s="9" t="s">
        <v>32</v>
      </c>
      <c r="R378" s="10"/>
      <c r="S378" s="25" t="s">
        <v>1718</v>
      </c>
      <c r="T378" s="27">
        <v>37301</v>
      </c>
      <c r="U378" s="25" t="s">
        <v>1717</v>
      </c>
      <c r="V378" s="25" t="s">
        <v>154</v>
      </c>
      <c r="W378" s="25"/>
    </row>
    <row r="379" spans="1:23" ht="22.5" customHeight="1">
      <c r="A379" s="20">
        <v>46025.270324074074</v>
      </c>
      <c r="B379" s="21" t="s">
        <v>1719</v>
      </c>
      <c r="C379" s="38"/>
      <c r="D379" s="21" t="s">
        <v>45</v>
      </c>
      <c r="E379" s="22">
        <v>36900</v>
      </c>
      <c r="F379" s="21" t="s">
        <v>208</v>
      </c>
      <c r="G379" s="21" t="s">
        <v>1720</v>
      </c>
      <c r="H379" s="21" t="s">
        <v>191</v>
      </c>
      <c r="I379" s="6" t="str">
        <f>VLOOKUP(CLEAN(F379),'World Bank Categories'!$B$4:$C$220,2,FALSE)</f>
        <v>Low income</v>
      </c>
      <c r="J379" s="21" t="s">
        <v>1721</v>
      </c>
      <c r="K379" s="21" t="s">
        <v>39</v>
      </c>
      <c r="L379" s="21" t="s">
        <v>30</v>
      </c>
      <c r="M379" s="21"/>
      <c r="N379" s="21"/>
      <c r="O379" s="21"/>
      <c r="P379" s="21" t="s">
        <v>31</v>
      </c>
      <c r="Q379" s="9" t="s">
        <v>32</v>
      </c>
      <c r="R379" s="18"/>
      <c r="S379" s="25" t="s">
        <v>1722</v>
      </c>
      <c r="T379" s="27">
        <v>36900</v>
      </c>
      <c r="U379" s="25" t="s">
        <v>1721</v>
      </c>
      <c r="V379" s="25" t="s">
        <v>80</v>
      </c>
      <c r="W379" s="25"/>
    </row>
    <row r="380" spans="1:23" ht="22.5" customHeight="1">
      <c r="A380" s="20">
        <v>46025.653402777774</v>
      </c>
      <c r="B380" s="21" t="s">
        <v>1723</v>
      </c>
      <c r="C380" s="38"/>
      <c r="D380" s="21" t="s">
        <v>45</v>
      </c>
      <c r="E380" s="22">
        <v>36763</v>
      </c>
      <c r="F380" s="21" t="s">
        <v>208</v>
      </c>
      <c r="G380" s="21" t="s">
        <v>456</v>
      </c>
      <c r="H380" s="21" t="s">
        <v>191</v>
      </c>
      <c r="I380" s="6" t="str">
        <f>VLOOKUP(CLEAN(F380),'World Bank Categories'!$B$4:$C$220,2,FALSE)</f>
        <v>Low income</v>
      </c>
      <c r="J380" s="21" t="s">
        <v>1724</v>
      </c>
      <c r="K380" s="21" t="s">
        <v>39</v>
      </c>
      <c r="L380" s="21" t="s">
        <v>30</v>
      </c>
      <c r="M380" s="21"/>
      <c r="N380" s="21"/>
      <c r="O380" s="21"/>
      <c r="P380" s="21" t="s">
        <v>31</v>
      </c>
      <c r="Q380" s="9" t="s">
        <v>32</v>
      </c>
      <c r="R380" s="10"/>
      <c r="S380" s="25" t="s">
        <v>1725</v>
      </c>
      <c r="T380" s="27">
        <v>36763</v>
      </c>
      <c r="U380" s="25" t="s">
        <v>1724</v>
      </c>
      <c r="V380" s="25" t="s">
        <v>80</v>
      </c>
      <c r="W380" s="25"/>
    </row>
    <row r="381" spans="1:23" ht="22.5" customHeight="1">
      <c r="A381" s="20">
        <v>46026.852337962962</v>
      </c>
      <c r="B381" s="21" t="s">
        <v>1726</v>
      </c>
      <c r="C381" s="38"/>
      <c r="D381" s="21" t="s">
        <v>45</v>
      </c>
      <c r="E381" s="22">
        <v>32470</v>
      </c>
      <c r="F381" s="21" t="s">
        <v>1727</v>
      </c>
      <c r="G381" s="21" t="s">
        <v>1728</v>
      </c>
      <c r="H381" s="21" t="s">
        <v>1729</v>
      </c>
      <c r="I381" s="6" t="str">
        <f>VLOOKUP(CLEAN(F381),'World Bank Categories'!$B$4:$C$220,2,FALSE)</f>
        <v>Low income</v>
      </c>
      <c r="J381" s="21" t="s">
        <v>1730</v>
      </c>
      <c r="K381" s="21" t="s">
        <v>29</v>
      </c>
      <c r="L381" s="21" t="s">
        <v>30</v>
      </c>
      <c r="M381" s="21"/>
      <c r="N381" s="21"/>
      <c r="O381" s="21"/>
      <c r="P381" s="21" t="s">
        <v>31</v>
      </c>
      <c r="Q381" s="9" t="s">
        <v>32</v>
      </c>
      <c r="R381" s="18"/>
      <c r="S381" s="25" t="s">
        <v>1731</v>
      </c>
      <c r="T381" s="27">
        <v>32470</v>
      </c>
      <c r="U381" s="25" t="s">
        <v>1730</v>
      </c>
      <c r="V381" s="25" t="s">
        <v>154</v>
      </c>
      <c r="W381" s="25"/>
    </row>
    <row r="382" spans="1:23" ht="22.5" customHeight="1">
      <c r="A382" s="20">
        <v>46027.649351851855</v>
      </c>
      <c r="B382" s="21" t="s">
        <v>1732</v>
      </c>
      <c r="C382" s="38"/>
      <c r="D382" s="21" t="s">
        <v>24</v>
      </c>
      <c r="E382" s="22">
        <v>29511</v>
      </c>
      <c r="F382" s="21" t="s">
        <v>245</v>
      </c>
      <c r="G382" s="21" t="s">
        <v>1733</v>
      </c>
      <c r="H382" s="21" t="s">
        <v>1734</v>
      </c>
      <c r="I382" s="6" t="str">
        <f>VLOOKUP(CLEAN(F382),'World Bank Categories'!$B$4:$C$220,2,FALSE)</f>
        <v>Middle income</v>
      </c>
      <c r="J382" s="21" t="s">
        <v>1735</v>
      </c>
      <c r="K382" s="21" t="s">
        <v>29</v>
      </c>
      <c r="L382" s="21" t="s">
        <v>30</v>
      </c>
      <c r="M382" s="21" t="s">
        <v>1736</v>
      </c>
      <c r="N382" s="21"/>
      <c r="O382" s="21"/>
      <c r="P382" s="21" t="s">
        <v>31</v>
      </c>
      <c r="Q382" s="9" t="s">
        <v>32</v>
      </c>
      <c r="R382" s="10"/>
      <c r="S382" s="25" t="s">
        <v>1737</v>
      </c>
      <c r="T382" s="27">
        <v>29511</v>
      </c>
      <c r="U382" s="25" t="s">
        <v>1735</v>
      </c>
      <c r="V382" s="25" t="s">
        <v>154</v>
      </c>
      <c r="W382" s="25"/>
    </row>
    <row r="383" spans="1:23" ht="22.5" customHeight="1">
      <c r="A383" s="20">
        <v>46027.786365740743</v>
      </c>
      <c r="B383" s="21" t="s">
        <v>1738</v>
      </c>
      <c r="C383" s="38"/>
      <c r="D383" s="21" t="s">
        <v>24</v>
      </c>
      <c r="E383" s="22">
        <v>28601</v>
      </c>
      <c r="F383" s="21" t="s">
        <v>245</v>
      </c>
      <c r="G383" s="21" t="s">
        <v>1739</v>
      </c>
      <c r="H383" s="21" t="s">
        <v>1740</v>
      </c>
      <c r="I383" s="6" t="str">
        <f>VLOOKUP(CLEAN(F383),'World Bank Categories'!$B$4:$C$220,2,FALSE)</f>
        <v>Middle income</v>
      </c>
      <c r="J383" s="21" t="s">
        <v>1741</v>
      </c>
      <c r="K383" s="21" t="s">
        <v>29</v>
      </c>
      <c r="L383" s="21" t="s">
        <v>30</v>
      </c>
      <c r="M383" s="21" t="s">
        <v>1742</v>
      </c>
      <c r="N383" s="21"/>
      <c r="O383" s="21"/>
      <c r="P383" s="21" t="s">
        <v>31</v>
      </c>
      <c r="Q383" s="9" t="s">
        <v>32</v>
      </c>
      <c r="R383" s="18" t="s">
        <v>43</v>
      </c>
      <c r="S383" s="25" t="s">
        <v>1743</v>
      </c>
      <c r="T383" s="27">
        <v>28601</v>
      </c>
      <c r="U383" s="25" t="s">
        <v>1741</v>
      </c>
      <c r="V383" s="25" t="s">
        <v>154</v>
      </c>
      <c r="W383" s="25"/>
    </row>
    <row r="384" spans="1:23" ht="22.5" customHeight="1">
      <c r="A384" s="20">
        <v>46027.909479166665</v>
      </c>
      <c r="B384" s="21" t="s">
        <v>1744</v>
      </c>
      <c r="C384" s="38"/>
      <c r="D384" s="21" t="s">
        <v>24</v>
      </c>
      <c r="E384" s="22">
        <v>36703</v>
      </c>
      <c r="F384" s="21" t="s">
        <v>1745</v>
      </c>
      <c r="G384" s="21" t="s">
        <v>1746</v>
      </c>
      <c r="H384" s="21" t="s">
        <v>1747</v>
      </c>
      <c r="I384" s="6" t="str">
        <f>VLOOKUP(CLEAN(F384),'World Bank Categories'!$B$4:$C$220,2,FALSE)</f>
        <v>High income</v>
      </c>
      <c r="J384" s="21" t="s">
        <v>1748</v>
      </c>
      <c r="K384" s="21" t="s">
        <v>29</v>
      </c>
      <c r="L384" s="21" t="s">
        <v>30</v>
      </c>
      <c r="M384" s="21"/>
      <c r="N384" s="21"/>
      <c r="O384" s="21"/>
      <c r="P384" s="21" t="s">
        <v>31</v>
      </c>
      <c r="Q384" s="9" t="s">
        <v>32</v>
      </c>
      <c r="R384" s="10" t="s">
        <v>33</v>
      </c>
      <c r="S384" s="25" t="s">
        <v>1749</v>
      </c>
      <c r="T384" s="27">
        <v>36703</v>
      </c>
      <c r="U384" s="25" t="s">
        <v>1748</v>
      </c>
      <c r="V384" s="25" t="s">
        <v>80</v>
      </c>
      <c r="W384" s="25"/>
    </row>
    <row r="385" spans="1:23" ht="22.5" customHeight="1">
      <c r="A385" s="5">
        <v>46028.210281724532</v>
      </c>
      <c r="B385" s="6" t="s">
        <v>1750</v>
      </c>
      <c r="C385" s="7"/>
      <c r="D385" s="6" t="s">
        <v>24</v>
      </c>
      <c r="E385" s="8">
        <v>38217</v>
      </c>
      <c r="F385" s="6" t="s">
        <v>64</v>
      </c>
      <c r="G385" s="6" t="s">
        <v>1751</v>
      </c>
      <c r="H385" s="6" t="s">
        <v>138</v>
      </c>
      <c r="I385" s="6" t="str">
        <f>VLOOKUP(CLEAN(F385),'World Bank Categories'!$B$4:$C$220,2,FALSE)</f>
        <v>Middle income</v>
      </c>
      <c r="J385" s="6" t="s">
        <v>1752</v>
      </c>
      <c r="K385" s="6" t="s">
        <v>29</v>
      </c>
      <c r="L385" s="6" t="s">
        <v>30</v>
      </c>
      <c r="M385" s="7"/>
      <c r="N385" s="6"/>
      <c r="O385" s="6"/>
      <c r="P385" s="6" t="s">
        <v>31</v>
      </c>
      <c r="Q385" s="9" t="s">
        <v>32</v>
      </c>
      <c r="R385" s="18"/>
      <c r="S385" s="11" t="s">
        <v>1753</v>
      </c>
      <c r="T385" s="12"/>
      <c r="U385" s="12"/>
      <c r="V385" s="12"/>
      <c r="W385" s="12"/>
    </row>
    <row r="386" spans="1:23" ht="22.5" customHeight="1">
      <c r="A386" s="20">
        <v>46028.642916666664</v>
      </c>
      <c r="B386" s="21" t="s">
        <v>1754</v>
      </c>
      <c r="C386" s="38"/>
      <c r="D386" s="21" t="s">
        <v>45</v>
      </c>
      <c r="E386" s="22">
        <v>35391</v>
      </c>
      <c r="F386" s="21" t="s">
        <v>297</v>
      </c>
      <c r="G386" s="21" t="s">
        <v>1755</v>
      </c>
      <c r="H386" s="21" t="s">
        <v>1756</v>
      </c>
      <c r="I386" s="6" t="str">
        <f>VLOOKUP(CLEAN(F386),'World Bank Categories'!$B$4:$C$220,2,FALSE)</f>
        <v>Middle income</v>
      </c>
      <c r="J386" s="21" t="s">
        <v>1757</v>
      </c>
      <c r="K386" s="21" t="s">
        <v>29</v>
      </c>
      <c r="L386" s="21" t="s">
        <v>621</v>
      </c>
      <c r="M386" s="21" t="s">
        <v>1758</v>
      </c>
      <c r="N386" s="21"/>
      <c r="O386" s="21"/>
      <c r="P386" s="21" t="s">
        <v>31</v>
      </c>
      <c r="Q386" s="9" t="s">
        <v>32</v>
      </c>
      <c r="R386" s="10"/>
      <c r="S386" s="25" t="s">
        <v>1759</v>
      </c>
      <c r="T386" s="27">
        <v>35391</v>
      </c>
      <c r="U386" s="25" t="s">
        <v>1757</v>
      </c>
      <c r="V386" s="25" t="s">
        <v>316</v>
      </c>
      <c r="W386" s="25"/>
    </row>
    <row r="387" spans="1:23" ht="22.5" customHeight="1">
      <c r="A387" s="20">
        <v>46028.649305555555</v>
      </c>
      <c r="B387" s="21" t="s">
        <v>1760</v>
      </c>
      <c r="C387" s="21" t="s">
        <v>1761</v>
      </c>
      <c r="D387" s="21" t="s">
        <v>24</v>
      </c>
      <c r="E387" s="22">
        <v>30817</v>
      </c>
      <c r="F387" s="21" t="s">
        <v>416</v>
      </c>
      <c r="G387" s="21" t="s">
        <v>1762</v>
      </c>
      <c r="H387" s="21" t="s">
        <v>1763</v>
      </c>
      <c r="I387" s="6" t="str">
        <f>VLOOKUP(CLEAN(F387),'World Bank Categories'!$B$4:$C$220,2,FALSE)</f>
        <v>Middle income</v>
      </c>
      <c r="J387" s="21" t="s">
        <v>1764</v>
      </c>
      <c r="K387" s="21" t="s">
        <v>39</v>
      </c>
      <c r="L387" s="21" t="s">
        <v>162</v>
      </c>
      <c r="M387" s="21"/>
      <c r="N387" s="21"/>
      <c r="O387" s="21"/>
      <c r="P387" s="21" t="s">
        <v>31</v>
      </c>
      <c r="Q387" s="9" t="s">
        <v>32</v>
      </c>
      <c r="R387" s="60" t="s">
        <v>33</v>
      </c>
      <c r="S387" s="25" t="s">
        <v>1765</v>
      </c>
      <c r="T387" s="27">
        <v>30817</v>
      </c>
      <c r="U387" s="61" t="s">
        <v>1766</v>
      </c>
      <c r="V387" s="25" t="s">
        <v>1767</v>
      </c>
      <c r="W387" s="25"/>
    </row>
    <row r="388" spans="1:23" ht="22.5" hidden="1" customHeight="1">
      <c r="A388" s="13">
        <v>46028.833552511569</v>
      </c>
      <c r="B388" s="14" t="s">
        <v>1768</v>
      </c>
      <c r="C388" s="14" t="s">
        <v>1769</v>
      </c>
      <c r="D388" s="14" t="s">
        <v>45</v>
      </c>
      <c r="E388" s="16">
        <v>26199</v>
      </c>
      <c r="F388" s="14" t="s">
        <v>1770</v>
      </c>
      <c r="G388" s="14" t="s">
        <v>1771</v>
      </c>
      <c r="H388" s="14" t="s">
        <v>1772</v>
      </c>
      <c r="I388" s="6" t="str">
        <f>VLOOKUP(CLEAN(F388),'World Bank Categories'!$B$4:$C$220,2,FALSE)</f>
        <v>Middle income</v>
      </c>
      <c r="J388" s="14" t="s">
        <v>1773</v>
      </c>
      <c r="K388" s="14" t="s">
        <v>29</v>
      </c>
      <c r="L388" s="14" t="s">
        <v>30</v>
      </c>
      <c r="M388" s="15"/>
      <c r="N388" s="14"/>
      <c r="O388" s="14"/>
      <c r="P388" s="14" t="s">
        <v>31</v>
      </c>
      <c r="Q388" s="23" t="s">
        <v>56</v>
      </c>
      <c r="R388" s="24"/>
      <c r="S388" s="15"/>
      <c r="T388" s="12"/>
      <c r="U388" s="12"/>
      <c r="V388" s="12"/>
      <c r="W388" s="12"/>
    </row>
    <row r="389" spans="1:23" ht="22.5" customHeight="1">
      <c r="A389" s="20">
        <v>46029.174733796295</v>
      </c>
      <c r="B389" s="21" t="s">
        <v>1774</v>
      </c>
      <c r="C389" s="38"/>
      <c r="D389" s="21" t="s">
        <v>45</v>
      </c>
      <c r="E389" s="22">
        <v>34179</v>
      </c>
      <c r="F389" s="21" t="s">
        <v>232</v>
      </c>
      <c r="G389" s="21" t="s">
        <v>1775</v>
      </c>
      <c r="H389" s="21" t="s">
        <v>186</v>
      </c>
      <c r="I389" s="6" t="str">
        <f>VLOOKUP(CLEAN(F389),'World Bank Categories'!$B$4:$C$220,2,FALSE)</f>
        <v>Middle income</v>
      </c>
      <c r="J389" s="21" t="s">
        <v>1776</v>
      </c>
      <c r="K389" s="21" t="s">
        <v>39</v>
      </c>
      <c r="L389" s="21" t="s">
        <v>621</v>
      </c>
      <c r="M389" s="21" t="s">
        <v>1777</v>
      </c>
      <c r="N389" s="21"/>
      <c r="O389" s="21"/>
      <c r="P389" s="21" t="s">
        <v>31</v>
      </c>
      <c r="Q389" s="9" t="s">
        <v>32</v>
      </c>
      <c r="R389" s="10" t="s">
        <v>43</v>
      </c>
      <c r="S389" s="25" t="s">
        <v>1774</v>
      </c>
      <c r="T389" s="27">
        <v>34179</v>
      </c>
      <c r="U389" s="25" t="s">
        <v>1776</v>
      </c>
      <c r="V389" s="25" t="s">
        <v>80</v>
      </c>
      <c r="W389" s="25"/>
    </row>
    <row r="390" spans="1:23" ht="22.5" customHeight="1">
      <c r="A390" s="5">
        <v>46029.311366087961</v>
      </c>
      <c r="B390" s="6" t="s">
        <v>1778</v>
      </c>
      <c r="C390" s="7"/>
      <c r="D390" s="6" t="s">
        <v>24</v>
      </c>
      <c r="E390" s="8">
        <v>37258</v>
      </c>
      <c r="F390" s="6" t="s">
        <v>475</v>
      </c>
      <c r="G390" s="6" t="s">
        <v>1779</v>
      </c>
      <c r="H390" s="6" t="s">
        <v>138</v>
      </c>
      <c r="I390" s="6" t="str">
        <f>VLOOKUP(CLEAN(F390),'World Bank Categories'!$B$4:$C$220,2,FALSE)</f>
        <v>Middle income</v>
      </c>
      <c r="J390" s="6" t="s">
        <v>1780</v>
      </c>
      <c r="K390" s="6" t="s">
        <v>29</v>
      </c>
      <c r="L390" s="6" t="s">
        <v>30</v>
      </c>
      <c r="M390" s="7"/>
      <c r="N390" s="6"/>
      <c r="O390" s="6"/>
      <c r="P390" s="6" t="s">
        <v>31</v>
      </c>
      <c r="Q390" s="9" t="s">
        <v>32</v>
      </c>
      <c r="R390" s="18"/>
      <c r="S390" s="11" t="s">
        <v>1781</v>
      </c>
      <c r="T390" s="12"/>
      <c r="U390" s="12"/>
      <c r="V390" s="12"/>
      <c r="W390" s="12"/>
    </row>
    <row r="391" spans="1:23" ht="22.5" customHeight="1">
      <c r="A391" s="50">
        <v>46030.14162037037</v>
      </c>
      <c r="B391" s="51" t="s">
        <v>1782</v>
      </c>
      <c r="C391" s="52"/>
      <c r="D391" s="51" t="s">
        <v>24</v>
      </c>
      <c r="E391" s="53">
        <v>36903</v>
      </c>
      <c r="F391" s="21" t="s">
        <v>208</v>
      </c>
      <c r="G391" s="51" t="s">
        <v>702</v>
      </c>
      <c r="H391" s="51" t="s">
        <v>66</v>
      </c>
      <c r="I391" s="6" t="str">
        <f>VLOOKUP(CLEAN(F391),'World Bank Categories'!$B$4:$C$220,2,FALSE)</f>
        <v>Low income</v>
      </c>
      <c r="J391" s="51" t="s">
        <v>1783</v>
      </c>
      <c r="K391" s="51" t="s">
        <v>39</v>
      </c>
      <c r="L391" s="51" t="s">
        <v>30</v>
      </c>
      <c r="M391" s="51"/>
      <c r="N391" s="51"/>
      <c r="O391" s="51"/>
      <c r="P391" s="51" t="s">
        <v>31</v>
      </c>
      <c r="Q391" s="9" t="s">
        <v>32</v>
      </c>
      <c r="R391" s="10"/>
      <c r="S391" s="25" t="s">
        <v>1782</v>
      </c>
      <c r="T391" s="27">
        <v>36903</v>
      </c>
      <c r="U391" s="25" t="s">
        <v>1783</v>
      </c>
      <c r="V391" s="25" t="s">
        <v>80</v>
      </c>
      <c r="W391" s="25"/>
    </row>
    <row r="392" spans="1:23" ht="22.5" customHeight="1">
      <c r="A392" s="20">
        <v>46030.285532407404</v>
      </c>
      <c r="B392" s="21" t="s">
        <v>1784</v>
      </c>
      <c r="C392" s="38"/>
      <c r="D392" s="21" t="s">
        <v>24</v>
      </c>
      <c r="E392" s="22">
        <v>31724</v>
      </c>
      <c r="F392" s="21" t="s">
        <v>227</v>
      </c>
      <c r="G392" s="21" t="s">
        <v>1785</v>
      </c>
      <c r="H392" s="21" t="s">
        <v>66</v>
      </c>
      <c r="I392" s="6" t="str">
        <f>VLOOKUP(CLEAN(F392),'World Bank Categories'!$B$4:$C$220,2,FALSE)</f>
        <v>Middle income</v>
      </c>
      <c r="J392" s="21" t="s">
        <v>1786</v>
      </c>
      <c r="K392" s="21" t="s">
        <v>29</v>
      </c>
      <c r="L392" s="21" t="s">
        <v>30</v>
      </c>
      <c r="M392" s="21"/>
      <c r="N392" s="21"/>
      <c r="O392" s="21"/>
      <c r="P392" s="21" t="s">
        <v>31</v>
      </c>
      <c r="Q392" s="9" t="s">
        <v>32</v>
      </c>
      <c r="R392" s="18" t="s">
        <v>43</v>
      </c>
      <c r="S392" s="25" t="s">
        <v>1784</v>
      </c>
      <c r="T392" s="27">
        <v>31724</v>
      </c>
      <c r="U392" s="25" t="s">
        <v>1786</v>
      </c>
      <c r="V392" s="25" t="s">
        <v>80</v>
      </c>
      <c r="W392" s="25"/>
    </row>
    <row r="393" spans="1:23" ht="22.5" customHeight="1">
      <c r="A393" s="20">
        <v>46030.645844907405</v>
      </c>
      <c r="B393" s="21" t="s">
        <v>1787</v>
      </c>
      <c r="C393" s="38"/>
      <c r="D393" s="21" t="s">
        <v>45</v>
      </c>
      <c r="E393" s="22">
        <v>33521</v>
      </c>
      <c r="F393" s="21" t="s">
        <v>1788</v>
      </c>
      <c r="G393" s="21" t="s">
        <v>1789</v>
      </c>
      <c r="H393" s="21" t="s">
        <v>1790</v>
      </c>
      <c r="I393" s="6" t="str">
        <f>VLOOKUP(CLEAN(F393),'World Bank Categories'!$B$4:$C$220,2,FALSE)</f>
        <v>Low income</v>
      </c>
      <c r="J393" s="21" t="s">
        <v>1791</v>
      </c>
      <c r="K393" s="21" t="s">
        <v>29</v>
      </c>
      <c r="L393" s="32">
        <v>46202</v>
      </c>
      <c r="M393" s="21"/>
      <c r="N393" s="21"/>
      <c r="O393" s="21"/>
      <c r="P393" s="21" t="s">
        <v>31</v>
      </c>
      <c r="Q393" s="9" t="s">
        <v>32</v>
      </c>
      <c r="R393" s="10" t="s">
        <v>33</v>
      </c>
      <c r="S393" s="25" t="s">
        <v>1787</v>
      </c>
      <c r="T393" s="27">
        <v>33521</v>
      </c>
      <c r="U393" s="25" t="s">
        <v>1791</v>
      </c>
      <c r="V393" s="25" t="s">
        <v>80</v>
      </c>
      <c r="W393" s="25"/>
    </row>
    <row r="394" spans="1:23" ht="22.5" customHeight="1">
      <c r="A394" s="28">
        <v>46031.707824074074</v>
      </c>
      <c r="B394" s="29" t="s">
        <v>1792</v>
      </c>
      <c r="C394" s="29" t="s">
        <v>871</v>
      </c>
      <c r="D394" s="29" t="s">
        <v>45</v>
      </c>
      <c r="E394" s="30">
        <v>28098</v>
      </c>
      <c r="F394" s="29" t="s">
        <v>1793</v>
      </c>
      <c r="G394" s="29" t="s">
        <v>1794</v>
      </c>
      <c r="H394" s="29" t="s">
        <v>111</v>
      </c>
      <c r="I394" s="6" t="str">
        <f>VLOOKUP(CLEAN(F394),'World Bank Categories'!$B$4:$C$220,2,FALSE)</f>
        <v>Middle income</v>
      </c>
      <c r="J394" s="29" t="s">
        <v>1795</v>
      </c>
      <c r="K394" s="29" t="s">
        <v>29</v>
      </c>
      <c r="L394" s="29" t="s">
        <v>30</v>
      </c>
      <c r="M394" s="29" t="s">
        <v>1796</v>
      </c>
      <c r="N394" s="29"/>
      <c r="O394" s="29"/>
      <c r="P394" s="29" t="s">
        <v>31</v>
      </c>
      <c r="Q394" s="9" t="s">
        <v>32</v>
      </c>
      <c r="R394" s="18" t="s">
        <v>33</v>
      </c>
      <c r="S394" s="25" t="s">
        <v>1797</v>
      </c>
      <c r="T394" s="27">
        <v>28098</v>
      </c>
      <c r="U394" s="25" t="s">
        <v>1795</v>
      </c>
      <c r="V394" s="25" t="s">
        <v>80</v>
      </c>
      <c r="W394" s="25"/>
    </row>
    <row r="395" spans="1:23" ht="22.5" customHeight="1">
      <c r="A395" s="20">
        <v>46031.874525462961</v>
      </c>
      <c r="B395" s="21" t="s">
        <v>1798</v>
      </c>
      <c r="C395" s="38"/>
      <c r="D395" s="21" t="s">
        <v>24</v>
      </c>
      <c r="E395" s="22">
        <v>33249</v>
      </c>
      <c r="F395" s="21" t="s">
        <v>732</v>
      </c>
      <c r="G395" s="21" t="s">
        <v>1799</v>
      </c>
      <c r="H395" s="21" t="s">
        <v>111</v>
      </c>
      <c r="I395" s="6" t="str">
        <f>VLOOKUP(CLEAN(F395),'World Bank Categories'!$B$4:$C$220,2,FALSE)</f>
        <v>Middle income</v>
      </c>
      <c r="J395" s="21" t="s">
        <v>1800</v>
      </c>
      <c r="K395" s="21" t="s">
        <v>39</v>
      </c>
      <c r="L395" s="21" t="s">
        <v>30</v>
      </c>
      <c r="M395" s="21"/>
      <c r="N395" s="21"/>
      <c r="O395" s="21"/>
      <c r="P395" s="21" t="s">
        <v>31</v>
      </c>
      <c r="Q395" s="9" t="s">
        <v>32</v>
      </c>
      <c r="R395" s="10"/>
      <c r="S395" s="25" t="s">
        <v>1801</v>
      </c>
      <c r="T395" s="27">
        <v>33249</v>
      </c>
      <c r="U395" s="25" t="s">
        <v>1800</v>
      </c>
      <c r="V395" s="25" t="s">
        <v>80</v>
      </c>
      <c r="W395" s="25"/>
    </row>
    <row r="396" spans="1:23" ht="22.5" customHeight="1">
      <c r="A396" s="20">
        <v>46032.182673611111</v>
      </c>
      <c r="B396" s="21" t="s">
        <v>1802</v>
      </c>
      <c r="C396" s="21" t="s">
        <v>1802</v>
      </c>
      <c r="D396" s="21" t="s">
        <v>45</v>
      </c>
      <c r="E396" s="22">
        <v>37505</v>
      </c>
      <c r="F396" s="21" t="s">
        <v>208</v>
      </c>
      <c r="G396" s="21" t="s">
        <v>702</v>
      </c>
      <c r="H396" s="21" t="s">
        <v>66</v>
      </c>
      <c r="I396" s="6" t="str">
        <f>VLOOKUP(CLEAN(F396),'World Bank Categories'!$B$4:$C$220,2,FALSE)</f>
        <v>Low income</v>
      </c>
      <c r="J396" s="21" t="s">
        <v>1803</v>
      </c>
      <c r="K396" s="21" t="s">
        <v>29</v>
      </c>
      <c r="L396" s="21" t="s">
        <v>30</v>
      </c>
      <c r="M396" s="21"/>
      <c r="N396" s="21"/>
      <c r="O396" s="21"/>
      <c r="P396" s="21" t="s">
        <v>31</v>
      </c>
      <c r="Q396" s="9" t="s">
        <v>32</v>
      </c>
      <c r="R396" s="18"/>
      <c r="S396" s="25" t="s">
        <v>1802</v>
      </c>
      <c r="T396" s="27">
        <v>37505</v>
      </c>
      <c r="U396" s="25" t="s">
        <v>1803</v>
      </c>
      <c r="V396" s="25" t="s">
        <v>80</v>
      </c>
      <c r="W396" s="25"/>
    </row>
    <row r="397" spans="1:23" ht="22.5" customHeight="1">
      <c r="A397" s="20">
        <v>46034.835868055554</v>
      </c>
      <c r="B397" s="21" t="s">
        <v>1804</v>
      </c>
      <c r="C397" s="21" t="s">
        <v>1805</v>
      </c>
      <c r="D397" s="21" t="s">
        <v>45</v>
      </c>
      <c r="E397" s="22">
        <v>34308</v>
      </c>
      <c r="F397" s="21" t="s">
        <v>88</v>
      </c>
      <c r="G397" s="21" t="s">
        <v>1806</v>
      </c>
      <c r="H397" s="21" t="s">
        <v>738</v>
      </c>
      <c r="I397" s="6" t="str">
        <f>VLOOKUP(CLEAN(F397),'World Bank Categories'!$B$4:$C$220,2,FALSE)</f>
        <v>Low income</v>
      </c>
      <c r="J397" s="21" t="s">
        <v>1807</v>
      </c>
      <c r="K397" s="21" t="s">
        <v>29</v>
      </c>
      <c r="L397" s="21" t="s">
        <v>241</v>
      </c>
      <c r="M397" s="21"/>
      <c r="N397" s="21"/>
      <c r="O397" s="21"/>
      <c r="P397" s="21" t="s">
        <v>31</v>
      </c>
      <c r="Q397" s="9" t="s">
        <v>32</v>
      </c>
      <c r="R397" s="10" t="s">
        <v>43</v>
      </c>
      <c r="S397" s="25" t="s">
        <v>1804</v>
      </c>
      <c r="T397" s="27">
        <v>34308</v>
      </c>
      <c r="U397" s="25" t="s">
        <v>1807</v>
      </c>
      <c r="V397" s="25" t="s">
        <v>80</v>
      </c>
      <c r="W397" s="25"/>
    </row>
    <row r="398" spans="1:23" ht="22.5" customHeight="1">
      <c r="A398" s="20">
        <v>46035.955578703702</v>
      </c>
      <c r="B398" s="21" t="s">
        <v>1808</v>
      </c>
      <c r="C398" s="38"/>
      <c r="D398" s="21" t="s">
        <v>24</v>
      </c>
      <c r="E398" s="22">
        <v>37615</v>
      </c>
      <c r="F398" s="21" t="s">
        <v>208</v>
      </c>
      <c r="G398" s="21" t="s">
        <v>1809</v>
      </c>
      <c r="H398" s="21" t="s">
        <v>368</v>
      </c>
      <c r="I398" s="6" t="str">
        <f>VLOOKUP(CLEAN(F398),'World Bank Categories'!$B$4:$C$220,2,FALSE)</f>
        <v>Low income</v>
      </c>
      <c r="J398" s="21" t="s">
        <v>1810</v>
      </c>
      <c r="K398" s="21" t="s">
        <v>29</v>
      </c>
      <c r="L398" s="21" t="s">
        <v>30</v>
      </c>
      <c r="M398" s="21"/>
      <c r="N398" s="21"/>
      <c r="O398" s="21"/>
      <c r="P398" s="21" t="s">
        <v>31</v>
      </c>
      <c r="Q398" s="9" t="s">
        <v>32</v>
      </c>
      <c r="R398" s="10"/>
      <c r="S398" s="25" t="s">
        <v>1808</v>
      </c>
      <c r="T398" s="27">
        <v>37615</v>
      </c>
      <c r="U398" s="25" t="s">
        <v>1810</v>
      </c>
      <c r="V398" s="25" t="s">
        <v>80</v>
      </c>
      <c r="W398" s="25"/>
    </row>
    <row r="399" spans="1:23" ht="22.5" customHeight="1">
      <c r="A399" s="50">
        <v>46036.194340277776</v>
      </c>
      <c r="B399" s="51" t="s">
        <v>1811</v>
      </c>
      <c r="C399" s="52"/>
      <c r="D399" s="51" t="s">
        <v>45</v>
      </c>
      <c r="E399" s="53">
        <v>37541</v>
      </c>
      <c r="F399" s="51" t="s">
        <v>310</v>
      </c>
      <c r="G399" s="51" t="s">
        <v>1812</v>
      </c>
      <c r="H399" s="51" t="s">
        <v>160</v>
      </c>
      <c r="I399" s="6" t="str">
        <f>VLOOKUP(CLEAN(F399),'World Bank Categories'!$B$4:$C$220,2,FALSE)</f>
        <v>High income</v>
      </c>
      <c r="J399" s="51" t="s">
        <v>1813</v>
      </c>
      <c r="K399" s="51" t="s">
        <v>29</v>
      </c>
      <c r="L399" s="51" t="s">
        <v>30</v>
      </c>
      <c r="M399" s="51"/>
      <c r="N399" s="51"/>
      <c r="O399" s="51"/>
      <c r="P399" s="51" t="s">
        <v>31</v>
      </c>
      <c r="Q399" s="9" t="s">
        <v>32</v>
      </c>
      <c r="R399" s="18" t="s">
        <v>33</v>
      </c>
      <c r="S399" s="25" t="s">
        <v>1814</v>
      </c>
      <c r="T399" s="27">
        <v>37541</v>
      </c>
      <c r="U399" s="25" t="s">
        <v>1813</v>
      </c>
      <c r="V399" s="25" t="s">
        <v>1815</v>
      </c>
      <c r="W399" s="25"/>
    </row>
    <row r="400" spans="1:23" ht="22.5" customHeight="1">
      <c r="A400" s="20">
        <v>46036.462164351855</v>
      </c>
      <c r="B400" s="21" t="s">
        <v>1816</v>
      </c>
      <c r="C400" s="38"/>
      <c r="D400" s="21" t="s">
        <v>45</v>
      </c>
      <c r="E400" s="22">
        <v>38177</v>
      </c>
      <c r="F400" s="21" t="s">
        <v>198</v>
      </c>
      <c r="G400" s="21" t="s">
        <v>1817</v>
      </c>
      <c r="H400" s="21" t="s">
        <v>1818</v>
      </c>
      <c r="I400" s="6" t="str">
        <f>VLOOKUP(CLEAN(F400),'World Bank Categories'!$B$4:$C$220,2,FALSE)</f>
        <v>Middle income</v>
      </c>
      <c r="J400" s="21" t="s">
        <v>1819</v>
      </c>
      <c r="K400" s="21" t="s">
        <v>29</v>
      </c>
      <c r="L400" s="21" t="s">
        <v>30</v>
      </c>
      <c r="M400" s="21"/>
      <c r="N400" s="21"/>
      <c r="O400" s="21"/>
      <c r="P400" s="21" t="s">
        <v>31</v>
      </c>
      <c r="Q400" s="9" t="s">
        <v>32</v>
      </c>
      <c r="R400" s="18" t="s">
        <v>33</v>
      </c>
      <c r="S400" s="25" t="s">
        <v>1816</v>
      </c>
      <c r="T400" s="27">
        <v>38177</v>
      </c>
      <c r="U400" s="25" t="s">
        <v>1819</v>
      </c>
      <c r="V400" s="25" t="s">
        <v>80</v>
      </c>
      <c r="W400" s="25"/>
    </row>
    <row r="401" spans="1:23" ht="22.5" customHeight="1">
      <c r="A401" s="20">
        <v>46036.474131944444</v>
      </c>
      <c r="B401" s="21" t="s">
        <v>1820</v>
      </c>
      <c r="C401" s="38"/>
      <c r="D401" s="21" t="s">
        <v>45</v>
      </c>
      <c r="E401" s="22">
        <v>34163</v>
      </c>
      <c r="F401" s="21" t="s">
        <v>198</v>
      </c>
      <c r="G401" s="21" t="s">
        <v>1821</v>
      </c>
      <c r="H401" s="21" t="s">
        <v>111</v>
      </c>
      <c r="I401" s="6" t="str">
        <f>VLOOKUP(CLEAN(F401),'World Bank Categories'!$B$4:$C$220,2,FALSE)</f>
        <v>Middle income</v>
      </c>
      <c r="J401" s="21" t="s">
        <v>1822</v>
      </c>
      <c r="K401" s="21" t="s">
        <v>29</v>
      </c>
      <c r="L401" s="21" t="s">
        <v>30</v>
      </c>
      <c r="M401" s="21"/>
      <c r="N401" s="21"/>
      <c r="O401" s="21"/>
      <c r="P401" s="21" t="s">
        <v>31</v>
      </c>
      <c r="Q401" s="9" t="s">
        <v>32</v>
      </c>
      <c r="R401" s="10" t="s">
        <v>33</v>
      </c>
      <c r="S401" s="25" t="s">
        <v>1823</v>
      </c>
      <c r="T401" s="27">
        <v>34163</v>
      </c>
      <c r="U401" s="25" t="s">
        <v>1822</v>
      </c>
      <c r="V401" s="25" t="s">
        <v>80</v>
      </c>
      <c r="W401" s="25"/>
    </row>
    <row r="402" spans="1:23" ht="22.5" hidden="1" customHeight="1">
      <c r="A402" s="20">
        <v>46037.353252314817</v>
      </c>
      <c r="B402" s="21" t="s">
        <v>1824</v>
      </c>
      <c r="C402" s="21" t="s">
        <v>1825</v>
      </c>
      <c r="D402" s="21" t="s">
        <v>24</v>
      </c>
      <c r="E402" s="22">
        <v>37538</v>
      </c>
      <c r="F402" s="21" t="s">
        <v>83</v>
      </c>
      <c r="G402" s="21" t="s">
        <v>1545</v>
      </c>
      <c r="H402" s="21" t="s">
        <v>160</v>
      </c>
      <c r="I402" s="6" t="str">
        <f>VLOOKUP(CLEAN(F402),'World Bank Categories'!$B$4:$C$220,2,FALSE)</f>
        <v>Low income</v>
      </c>
      <c r="J402" s="21" t="s">
        <v>1826</v>
      </c>
      <c r="K402" s="21" t="s">
        <v>39</v>
      </c>
      <c r="L402" s="21" t="s">
        <v>621</v>
      </c>
      <c r="M402" s="21"/>
      <c r="N402" s="21"/>
      <c r="O402" s="21"/>
      <c r="P402" s="21" t="s">
        <v>31</v>
      </c>
      <c r="Q402" s="23" t="s">
        <v>56</v>
      </c>
      <c r="R402" s="24"/>
      <c r="S402" s="25"/>
      <c r="T402" s="26"/>
      <c r="U402" s="25"/>
      <c r="V402" s="25"/>
      <c r="W402" s="25"/>
    </row>
    <row r="403" spans="1:23" ht="22.5" customHeight="1">
      <c r="A403" s="20">
        <v>46037.537766203706</v>
      </c>
      <c r="B403" s="21" t="s">
        <v>1827</v>
      </c>
      <c r="C403" s="38"/>
      <c r="D403" s="21" t="s">
        <v>45</v>
      </c>
      <c r="E403" s="22">
        <v>27957</v>
      </c>
      <c r="F403" s="21" t="s">
        <v>416</v>
      </c>
      <c r="G403" s="21" t="s">
        <v>1828</v>
      </c>
      <c r="H403" s="21" t="s">
        <v>1829</v>
      </c>
      <c r="I403" s="6" t="str">
        <f>VLOOKUP(CLEAN(F403),'World Bank Categories'!$B$4:$C$220,2,FALSE)</f>
        <v>Middle income</v>
      </c>
      <c r="J403" s="21" t="s">
        <v>1830</v>
      </c>
      <c r="K403" s="21" t="s">
        <v>29</v>
      </c>
      <c r="L403" s="21" t="s">
        <v>30</v>
      </c>
      <c r="M403" s="21"/>
      <c r="N403" s="21"/>
      <c r="O403" s="21"/>
      <c r="P403" s="21" t="s">
        <v>31</v>
      </c>
      <c r="Q403" s="9" t="s">
        <v>32</v>
      </c>
      <c r="R403" s="10" t="s">
        <v>33</v>
      </c>
      <c r="S403" s="25" t="s">
        <v>1831</v>
      </c>
      <c r="T403" s="27">
        <v>27957</v>
      </c>
      <c r="U403" s="25" t="s">
        <v>1832</v>
      </c>
      <c r="V403" s="25" t="s">
        <v>80</v>
      </c>
      <c r="W403" s="25"/>
    </row>
    <row r="404" spans="1:23" ht="22.5" customHeight="1">
      <c r="A404" s="20">
        <v>46038.401076388887</v>
      </c>
      <c r="B404" s="21" t="s">
        <v>1833</v>
      </c>
      <c r="C404" s="38"/>
      <c r="D404" s="21" t="s">
        <v>24</v>
      </c>
      <c r="E404" s="22">
        <v>22296</v>
      </c>
      <c r="F404" s="21" t="s">
        <v>1834</v>
      </c>
      <c r="G404" s="21" t="s">
        <v>1835</v>
      </c>
      <c r="H404" s="21" t="s">
        <v>1836</v>
      </c>
      <c r="I404" s="6" t="str">
        <f>VLOOKUP(CLEAN(F404),'World Bank Categories'!$B$4:$C$220,2,FALSE)</f>
        <v>Middle income</v>
      </c>
      <c r="J404" s="21" t="s">
        <v>1837</v>
      </c>
      <c r="K404" s="21" t="s">
        <v>29</v>
      </c>
      <c r="L404" s="21" t="s">
        <v>162</v>
      </c>
      <c r="M404" s="21"/>
      <c r="N404" s="21"/>
      <c r="O404" s="21"/>
      <c r="P404" s="21" t="s">
        <v>31</v>
      </c>
      <c r="Q404" s="9" t="s">
        <v>32</v>
      </c>
      <c r="R404" s="18" t="s">
        <v>33</v>
      </c>
      <c r="S404" s="25" t="s">
        <v>1838</v>
      </c>
      <c r="T404" s="27">
        <v>22296</v>
      </c>
      <c r="U404" s="25" t="s">
        <v>1837</v>
      </c>
      <c r="V404" s="25" t="s">
        <v>154</v>
      </c>
      <c r="W404" s="25"/>
    </row>
    <row r="405" spans="1:23" ht="22.5" customHeight="1">
      <c r="A405" s="20">
        <v>46038.503981481481</v>
      </c>
      <c r="B405" s="21" t="s">
        <v>1839</v>
      </c>
      <c r="C405" s="38"/>
      <c r="D405" s="21" t="s">
        <v>24</v>
      </c>
      <c r="E405" s="22">
        <v>36205</v>
      </c>
      <c r="F405" s="21" t="s">
        <v>198</v>
      </c>
      <c r="G405" s="21" t="s">
        <v>1840</v>
      </c>
      <c r="H405" s="21" t="s">
        <v>1841</v>
      </c>
      <c r="I405" s="6" t="str">
        <f>VLOOKUP(CLEAN(F405),'World Bank Categories'!$B$4:$C$220,2,FALSE)</f>
        <v>Middle income</v>
      </c>
      <c r="J405" s="21" t="s">
        <v>1842</v>
      </c>
      <c r="K405" s="21" t="s">
        <v>29</v>
      </c>
      <c r="L405" s="21" t="s">
        <v>30</v>
      </c>
      <c r="M405" s="21"/>
      <c r="N405" s="21"/>
      <c r="O405" s="21"/>
      <c r="P405" s="21" t="s">
        <v>31</v>
      </c>
      <c r="Q405" s="9" t="s">
        <v>32</v>
      </c>
      <c r="R405" s="10" t="s">
        <v>33</v>
      </c>
      <c r="S405" s="25" t="s">
        <v>1843</v>
      </c>
      <c r="T405" s="27">
        <v>36205</v>
      </c>
      <c r="U405" s="25" t="s">
        <v>1842</v>
      </c>
      <c r="V405" s="25" t="s">
        <v>80</v>
      </c>
      <c r="W405" s="25"/>
    </row>
    <row r="406" spans="1:23" ht="22.5" customHeight="1">
      <c r="A406" s="13">
        <v>46039.934555925924</v>
      </c>
      <c r="B406" s="14" t="s">
        <v>1844</v>
      </c>
      <c r="C406" s="15"/>
      <c r="D406" s="14" t="s">
        <v>24</v>
      </c>
      <c r="E406" s="16">
        <v>30243</v>
      </c>
      <c r="F406" s="14" t="s">
        <v>227</v>
      </c>
      <c r="G406" s="14" t="s">
        <v>1845</v>
      </c>
      <c r="H406" s="14" t="s">
        <v>1756</v>
      </c>
      <c r="I406" s="6" t="str">
        <f>VLOOKUP(CLEAN(F406),'World Bank Categories'!$B$4:$C$220,2,FALSE)</f>
        <v>Middle income</v>
      </c>
      <c r="J406" s="14" t="s">
        <v>1846</v>
      </c>
      <c r="K406" s="14" t="s">
        <v>29</v>
      </c>
      <c r="L406" s="14" t="s">
        <v>30</v>
      </c>
      <c r="M406" s="15"/>
      <c r="N406" s="14"/>
      <c r="O406" s="14"/>
      <c r="P406" s="14" t="s">
        <v>31</v>
      </c>
      <c r="Q406" s="9" t="s">
        <v>32</v>
      </c>
      <c r="R406" s="18" t="s">
        <v>43</v>
      </c>
      <c r="S406" s="19" t="s">
        <v>1847</v>
      </c>
      <c r="T406" s="12"/>
      <c r="U406" s="12"/>
      <c r="V406" s="12"/>
      <c r="W406" s="12"/>
    </row>
    <row r="407" spans="1:23" ht="22.5" customHeight="1">
      <c r="A407" s="20">
        <v>46040.083715277775</v>
      </c>
      <c r="B407" s="21" t="s">
        <v>1848</v>
      </c>
      <c r="C407" s="38"/>
      <c r="D407" s="21" t="s">
        <v>24</v>
      </c>
      <c r="E407" s="22">
        <v>24976</v>
      </c>
      <c r="F407" s="21" t="s">
        <v>198</v>
      </c>
      <c r="G407" s="21" t="s">
        <v>1849</v>
      </c>
      <c r="H407" s="21" t="s">
        <v>1850</v>
      </c>
      <c r="I407" s="6" t="str">
        <f>VLOOKUP(CLEAN(F407),'World Bank Categories'!$B$4:$C$220,2,FALSE)</f>
        <v>Middle income</v>
      </c>
      <c r="J407" s="21" t="s">
        <v>1851</v>
      </c>
      <c r="K407" s="21" t="s">
        <v>39</v>
      </c>
      <c r="L407" s="21" t="s">
        <v>30</v>
      </c>
      <c r="M407" s="21"/>
      <c r="N407" s="21"/>
      <c r="O407" s="21"/>
      <c r="P407" s="21" t="s">
        <v>31</v>
      </c>
      <c r="Q407" s="9" t="s">
        <v>32</v>
      </c>
      <c r="R407" s="10"/>
      <c r="S407" s="25" t="s">
        <v>1848</v>
      </c>
      <c r="T407" s="27">
        <v>24976</v>
      </c>
      <c r="U407" s="25" t="s">
        <v>1851</v>
      </c>
      <c r="V407" s="25" t="s">
        <v>80</v>
      </c>
      <c r="W407" s="25"/>
    </row>
    <row r="408" spans="1:23" ht="22.5" customHeight="1">
      <c r="A408" s="20">
        <v>46040.357349537036</v>
      </c>
      <c r="B408" s="21" t="s">
        <v>1852</v>
      </c>
      <c r="C408" s="38"/>
      <c r="D408" s="21" t="s">
        <v>24</v>
      </c>
      <c r="E408" s="22">
        <v>29681</v>
      </c>
      <c r="F408" s="21" t="s">
        <v>198</v>
      </c>
      <c r="G408" s="21" t="s">
        <v>1853</v>
      </c>
      <c r="H408" s="21" t="s">
        <v>1854</v>
      </c>
      <c r="I408" s="6" t="str">
        <f>VLOOKUP(CLEAN(F408),'World Bank Categories'!$B$4:$C$220,2,FALSE)</f>
        <v>Middle income</v>
      </c>
      <c r="J408" s="21" t="s">
        <v>1855</v>
      </c>
      <c r="K408" s="21" t="s">
        <v>29</v>
      </c>
      <c r="L408" s="21" t="s">
        <v>30</v>
      </c>
      <c r="M408" s="21"/>
      <c r="N408" s="21"/>
      <c r="O408" s="21"/>
      <c r="P408" s="21" t="s">
        <v>31</v>
      </c>
      <c r="Q408" s="9" t="s">
        <v>32</v>
      </c>
      <c r="R408" s="18"/>
      <c r="S408" s="25" t="s">
        <v>1856</v>
      </c>
      <c r="T408" s="27">
        <v>29681</v>
      </c>
      <c r="U408" s="25" t="s">
        <v>1855</v>
      </c>
      <c r="V408" s="25" t="s">
        <v>80</v>
      </c>
      <c r="W408" s="25"/>
    </row>
    <row r="409" spans="1:23" ht="22.5" customHeight="1">
      <c r="A409" s="28">
        <v>46040.917222222219</v>
      </c>
      <c r="B409" s="29" t="s">
        <v>1857</v>
      </c>
      <c r="C409" s="29" t="s">
        <v>1858</v>
      </c>
      <c r="D409" s="29" t="s">
        <v>24</v>
      </c>
      <c r="E409" s="30">
        <v>36056</v>
      </c>
      <c r="F409" s="29" t="s">
        <v>198</v>
      </c>
      <c r="G409" s="29" t="s">
        <v>1859</v>
      </c>
      <c r="H409" s="29" t="s">
        <v>111</v>
      </c>
      <c r="I409" s="6" t="str">
        <f>VLOOKUP(CLEAN(F409),'World Bank Categories'!$B$4:$C$220,2,FALSE)</f>
        <v>Middle income</v>
      </c>
      <c r="J409" s="29" t="s">
        <v>1860</v>
      </c>
      <c r="K409" s="29" t="s">
        <v>29</v>
      </c>
      <c r="L409" s="29" t="s">
        <v>162</v>
      </c>
      <c r="M409" s="29"/>
      <c r="N409" s="29"/>
      <c r="O409" s="29"/>
      <c r="P409" s="29" t="s">
        <v>31</v>
      </c>
      <c r="Q409" s="9" t="s">
        <v>32</v>
      </c>
      <c r="R409" s="10" t="s">
        <v>43</v>
      </c>
      <c r="S409" s="25" t="s">
        <v>1861</v>
      </c>
      <c r="T409" s="27">
        <v>36056</v>
      </c>
      <c r="U409" s="25" t="s">
        <v>1860</v>
      </c>
      <c r="V409" s="25" t="s">
        <v>80</v>
      </c>
      <c r="W409" s="25"/>
    </row>
    <row r="410" spans="1:23" ht="22.5" customHeight="1">
      <c r="A410" s="20">
        <v>46041.788530092592</v>
      </c>
      <c r="B410" s="21" t="s">
        <v>1862</v>
      </c>
      <c r="C410" s="38"/>
      <c r="D410" s="21" t="s">
        <v>24</v>
      </c>
      <c r="E410" s="22">
        <v>36767</v>
      </c>
      <c r="F410" s="21" t="s">
        <v>64</v>
      </c>
      <c r="G410" s="21" t="s">
        <v>1863</v>
      </c>
      <c r="H410" s="21" t="s">
        <v>1864</v>
      </c>
      <c r="I410" s="6" t="str">
        <f>VLOOKUP(CLEAN(F410),'World Bank Categories'!$B$4:$C$220,2,FALSE)</f>
        <v>Middle income</v>
      </c>
      <c r="J410" s="21" t="s">
        <v>1865</v>
      </c>
      <c r="K410" s="21" t="s">
        <v>29</v>
      </c>
      <c r="L410" s="21" t="s">
        <v>30</v>
      </c>
      <c r="M410" s="21"/>
      <c r="N410" s="21"/>
      <c r="O410" s="21"/>
      <c r="P410" s="21" t="s">
        <v>31</v>
      </c>
      <c r="Q410" s="9" t="s">
        <v>32</v>
      </c>
      <c r="R410" s="18"/>
      <c r="S410" s="25" t="s">
        <v>1866</v>
      </c>
      <c r="T410" s="27">
        <v>36767</v>
      </c>
      <c r="U410" s="25" t="s">
        <v>1865</v>
      </c>
      <c r="V410" s="25" t="s">
        <v>1867</v>
      </c>
      <c r="W410" s="25"/>
    </row>
    <row r="411" spans="1:23" ht="22.5" customHeight="1">
      <c r="A411" s="20">
        <v>46041.915810185186</v>
      </c>
      <c r="B411" s="21" t="s">
        <v>1868</v>
      </c>
      <c r="C411" s="38"/>
      <c r="D411" s="21" t="s">
        <v>45</v>
      </c>
      <c r="E411" s="22">
        <v>38604</v>
      </c>
      <c r="F411" s="21" t="s">
        <v>70</v>
      </c>
      <c r="G411" s="21" t="s">
        <v>1869</v>
      </c>
      <c r="H411" s="21" t="s">
        <v>1870</v>
      </c>
      <c r="I411" s="6" t="str">
        <f>VLOOKUP(CLEAN(F411),'World Bank Categories'!$B$4:$C$220,2,FALSE)</f>
        <v>Middle income</v>
      </c>
      <c r="J411" s="21" t="s">
        <v>1871</v>
      </c>
      <c r="K411" s="21" t="s">
        <v>29</v>
      </c>
      <c r="L411" s="32">
        <v>46202</v>
      </c>
      <c r="M411" s="21"/>
      <c r="N411" s="21"/>
      <c r="O411" s="21"/>
      <c r="P411" s="21" t="s">
        <v>31</v>
      </c>
      <c r="Q411" s="9" t="s">
        <v>32</v>
      </c>
      <c r="R411" s="18"/>
      <c r="S411" s="25" t="s">
        <v>1872</v>
      </c>
      <c r="T411" s="27">
        <v>38604</v>
      </c>
      <c r="U411" s="25" t="s">
        <v>1871</v>
      </c>
      <c r="V411" s="25" t="s">
        <v>316</v>
      </c>
      <c r="W411" s="25"/>
    </row>
    <row r="412" spans="1:23" ht="22.5" customHeight="1">
      <c r="A412" s="20">
        <v>46042.005740740744</v>
      </c>
      <c r="B412" s="21" t="s">
        <v>1873</v>
      </c>
      <c r="C412" s="38"/>
      <c r="D412" s="21" t="s">
        <v>24</v>
      </c>
      <c r="E412" s="22">
        <v>37259</v>
      </c>
      <c r="F412" s="21" t="s">
        <v>198</v>
      </c>
      <c r="G412" s="21" t="s">
        <v>1874</v>
      </c>
      <c r="H412" s="21" t="s">
        <v>1875</v>
      </c>
      <c r="I412" s="6" t="str">
        <f>VLOOKUP(CLEAN(F412),'World Bank Categories'!$B$4:$C$220,2,FALSE)</f>
        <v>Middle income</v>
      </c>
      <c r="J412" s="21" t="s">
        <v>1876</v>
      </c>
      <c r="K412" s="21" t="s">
        <v>29</v>
      </c>
      <c r="L412" s="21" t="s">
        <v>30</v>
      </c>
      <c r="M412" s="21" t="s">
        <v>1877</v>
      </c>
      <c r="N412" s="21"/>
      <c r="O412" s="21"/>
      <c r="P412" s="21" t="s">
        <v>31</v>
      </c>
      <c r="Q412" s="9" t="s">
        <v>32</v>
      </c>
      <c r="R412" s="10" t="s">
        <v>1878</v>
      </c>
      <c r="S412" s="25" t="s">
        <v>1873</v>
      </c>
      <c r="T412" s="27">
        <v>37259</v>
      </c>
      <c r="U412" s="25" t="s">
        <v>1876</v>
      </c>
      <c r="V412" s="25" t="s">
        <v>80</v>
      </c>
      <c r="W412" s="25"/>
    </row>
    <row r="413" spans="1:23" ht="22.5" customHeight="1">
      <c r="A413" s="20">
        <v>46042.048773148148</v>
      </c>
      <c r="B413" s="21" t="s">
        <v>1879</v>
      </c>
      <c r="C413" s="38"/>
      <c r="D413" s="21" t="s">
        <v>24</v>
      </c>
      <c r="E413" s="22">
        <v>22647</v>
      </c>
      <c r="F413" s="21" t="s">
        <v>438</v>
      </c>
      <c r="G413" s="21" t="s">
        <v>1880</v>
      </c>
      <c r="H413" s="21" t="s">
        <v>1881</v>
      </c>
      <c r="I413" s="6" t="str">
        <f>VLOOKUP(CLEAN(F413),'World Bank Categories'!$B$4:$C$220,2,FALSE)</f>
        <v>Middle income</v>
      </c>
      <c r="J413" s="21" t="s">
        <v>1882</v>
      </c>
      <c r="K413" s="21" t="s">
        <v>29</v>
      </c>
      <c r="L413" s="21" t="s">
        <v>30</v>
      </c>
      <c r="M413" s="21"/>
      <c r="N413" s="21"/>
      <c r="O413" s="21"/>
      <c r="P413" s="21" t="s">
        <v>31</v>
      </c>
      <c r="Q413" s="9" t="s">
        <v>32</v>
      </c>
      <c r="R413" s="18"/>
      <c r="S413" s="25" t="s">
        <v>1879</v>
      </c>
      <c r="T413" s="27">
        <v>22647</v>
      </c>
      <c r="U413" s="25" t="s">
        <v>1882</v>
      </c>
      <c r="V413" s="25" t="s">
        <v>80</v>
      </c>
      <c r="W413" s="25"/>
    </row>
    <row r="414" spans="1:23" ht="22.5" customHeight="1">
      <c r="A414" s="50">
        <v>46042.131261574075</v>
      </c>
      <c r="B414" s="51" t="s">
        <v>1883</v>
      </c>
      <c r="C414" s="52"/>
      <c r="D414" s="51" t="s">
        <v>24</v>
      </c>
      <c r="E414" s="53">
        <v>31758</v>
      </c>
      <c r="F414" s="51" t="s">
        <v>380</v>
      </c>
      <c r="G414" s="51" t="s">
        <v>1884</v>
      </c>
      <c r="H414" s="51" t="s">
        <v>1885</v>
      </c>
      <c r="I414" s="6" t="str">
        <f>VLOOKUP(CLEAN(F414),'World Bank Categories'!$B$4:$C$220,2,FALSE)</f>
        <v>Low income</v>
      </c>
      <c r="J414" s="51" t="s">
        <v>1886</v>
      </c>
      <c r="K414" s="51" t="s">
        <v>29</v>
      </c>
      <c r="L414" s="51" t="s">
        <v>524</v>
      </c>
      <c r="M414" s="51" t="s">
        <v>1887</v>
      </c>
      <c r="N414" s="51"/>
      <c r="O414" s="51"/>
      <c r="P414" s="51" t="s">
        <v>31</v>
      </c>
      <c r="Q414" s="9" t="s">
        <v>32</v>
      </c>
      <c r="R414" s="10"/>
      <c r="S414" s="25" t="s">
        <v>1888</v>
      </c>
      <c r="T414" s="27">
        <v>27952</v>
      </c>
      <c r="U414" s="25" t="s">
        <v>1886</v>
      </c>
      <c r="V414" s="25" t="s">
        <v>114</v>
      </c>
      <c r="W414" s="25"/>
    </row>
    <row r="415" spans="1:23" ht="22.5" customHeight="1">
      <c r="A415" s="20">
        <v>46042.416979166665</v>
      </c>
      <c r="B415" s="21" t="s">
        <v>1889</v>
      </c>
      <c r="C415" s="38"/>
      <c r="D415" s="21" t="s">
        <v>24</v>
      </c>
      <c r="E415" s="22">
        <v>19949</v>
      </c>
      <c r="F415" s="21" t="s">
        <v>1834</v>
      </c>
      <c r="G415" s="21" t="s">
        <v>1890</v>
      </c>
      <c r="H415" s="21" t="s">
        <v>1891</v>
      </c>
      <c r="I415" s="6" t="str">
        <f>VLOOKUP(CLEAN(F415),'World Bank Categories'!$B$4:$C$220,2,FALSE)</f>
        <v>Middle income</v>
      </c>
      <c r="J415" s="21" t="s">
        <v>1892</v>
      </c>
      <c r="K415" s="21" t="s">
        <v>39</v>
      </c>
      <c r="L415" s="21" t="s">
        <v>241</v>
      </c>
      <c r="M415" s="21" t="s">
        <v>1893</v>
      </c>
      <c r="N415" s="21"/>
      <c r="O415" s="21"/>
      <c r="P415" s="21" t="s">
        <v>31</v>
      </c>
      <c r="Q415" s="9" t="s">
        <v>32</v>
      </c>
      <c r="R415" s="10"/>
      <c r="S415" s="25" t="s">
        <v>1894</v>
      </c>
      <c r="T415" s="27">
        <v>19949</v>
      </c>
      <c r="U415" s="25" t="s">
        <v>1892</v>
      </c>
      <c r="V415" s="25" t="s">
        <v>154</v>
      </c>
      <c r="W415" s="25"/>
    </row>
    <row r="416" spans="1:23" ht="22.5" customHeight="1">
      <c r="A416" s="20">
        <v>46042.882222222222</v>
      </c>
      <c r="B416" s="21" t="s">
        <v>1895</v>
      </c>
      <c r="C416" s="38"/>
      <c r="D416" s="21" t="s">
        <v>45</v>
      </c>
      <c r="E416" s="22">
        <v>33142</v>
      </c>
      <c r="F416" s="21" t="s">
        <v>227</v>
      </c>
      <c r="G416" s="21" t="s">
        <v>1896</v>
      </c>
      <c r="H416" s="21" t="s">
        <v>1897</v>
      </c>
      <c r="I416" s="6" t="str">
        <f>VLOOKUP(CLEAN(F416),'World Bank Categories'!$B$4:$C$220,2,FALSE)</f>
        <v>Middle income</v>
      </c>
      <c r="J416" s="21" t="s">
        <v>1898</v>
      </c>
      <c r="K416" s="21" t="s">
        <v>29</v>
      </c>
      <c r="L416" s="21" t="s">
        <v>30</v>
      </c>
      <c r="M416" s="21"/>
      <c r="N416" s="21"/>
      <c r="O416" s="21"/>
      <c r="P416" s="21" t="s">
        <v>31</v>
      </c>
      <c r="Q416" s="9" t="s">
        <v>32</v>
      </c>
      <c r="R416" s="18" t="s">
        <v>33</v>
      </c>
      <c r="S416" s="25" t="s">
        <v>1895</v>
      </c>
      <c r="T416" s="27">
        <v>33142</v>
      </c>
      <c r="U416" s="25" t="s">
        <v>1898</v>
      </c>
      <c r="V416" s="25" t="s">
        <v>80</v>
      </c>
      <c r="W416" s="25"/>
    </row>
    <row r="417" spans="1:23" ht="22.5" customHeight="1">
      <c r="A417" s="20">
        <v>46044.714733796296</v>
      </c>
      <c r="B417" s="21" t="s">
        <v>1899</v>
      </c>
      <c r="C417" s="21"/>
      <c r="D417" s="21" t="s">
        <v>24</v>
      </c>
      <c r="E417" s="22">
        <v>31420</v>
      </c>
      <c r="F417" s="21" t="s">
        <v>1900</v>
      </c>
      <c r="G417" s="21" t="s">
        <v>1901</v>
      </c>
      <c r="H417" s="21" t="s">
        <v>1902</v>
      </c>
      <c r="I417" s="6" t="str">
        <f>VLOOKUP(CLEAN(F417),'World Bank Categories'!$B$4:$C$220,2,FALSE)</f>
        <v>Middle income</v>
      </c>
      <c r="J417" s="21" t="s">
        <v>1903</v>
      </c>
      <c r="K417" s="21" t="s">
        <v>29</v>
      </c>
      <c r="L417" s="21" t="s">
        <v>162</v>
      </c>
      <c r="M417" s="21"/>
      <c r="N417" s="21"/>
      <c r="O417" s="21"/>
      <c r="P417" s="21" t="s">
        <v>31</v>
      </c>
      <c r="Q417" s="9" t="s">
        <v>32</v>
      </c>
      <c r="R417" s="10" t="s">
        <v>33</v>
      </c>
      <c r="S417" s="25" t="s">
        <v>1899</v>
      </c>
      <c r="T417" s="27">
        <v>31420</v>
      </c>
      <c r="U417" s="25" t="s">
        <v>1903</v>
      </c>
      <c r="V417" s="25" t="s">
        <v>80</v>
      </c>
      <c r="W417" s="25"/>
    </row>
    <row r="418" spans="1:23" ht="22.5" customHeight="1">
      <c r="A418" s="20">
        <v>46044.941377314812</v>
      </c>
      <c r="B418" s="21" t="s">
        <v>1904</v>
      </c>
      <c r="C418" s="21"/>
      <c r="D418" s="21" t="s">
        <v>24</v>
      </c>
      <c r="E418" s="22">
        <v>28919</v>
      </c>
      <c r="F418" s="21" t="s">
        <v>1905</v>
      </c>
      <c r="G418" s="21" t="s">
        <v>1906</v>
      </c>
      <c r="H418" s="21" t="s">
        <v>186</v>
      </c>
      <c r="I418" s="6" t="str">
        <f>VLOOKUP(CLEAN(F418),'World Bank Categories'!$B$4:$C$220,2,FALSE)</f>
        <v>Low income</v>
      </c>
      <c r="J418" s="21" t="s">
        <v>1907</v>
      </c>
      <c r="K418" s="21" t="s">
        <v>29</v>
      </c>
      <c r="L418" s="21" t="s">
        <v>30</v>
      </c>
      <c r="M418" s="21"/>
      <c r="N418" s="21"/>
      <c r="O418" s="21"/>
      <c r="P418" s="21" t="s">
        <v>31</v>
      </c>
      <c r="Q418" s="9" t="s">
        <v>32</v>
      </c>
      <c r="R418" s="18" t="s">
        <v>33</v>
      </c>
      <c r="S418" s="25" t="s">
        <v>1904</v>
      </c>
      <c r="T418" s="27">
        <v>28919</v>
      </c>
      <c r="U418" s="25" t="s">
        <v>1907</v>
      </c>
      <c r="V418" s="25" t="s">
        <v>80</v>
      </c>
      <c r="W418" s="25"/>
    </row>
    <row r="419" spans="1:23" ht="22.5" hidden="1" customHeight="1">
      <c r="A419" s="13">
        <v>46045.260180266203</v>
      </c>
      <c r="B419" s="14" t="s">
        <v>1908</v>
      </c>
      <c r="C419" s="14"/>
      <c r="D419" s="14" t="s">
        <v>45</v>
      </c>
      <c r="E419" s="16">
        <v>33097</v>
      </c>
      <c r="F419" s="14" t="s">
        <v>70</v>
      </c>
      <c r="G419" s="14" t="s">
        <v>1909</v>
      </c>
      <c r="H419" s="14" t="s">
        <v>578</v>
      </c>
      <c r="I419" s="6" t="str">
        <f>VLOOKUP(CLEAN(F419),'World Bank Categories'!$B$4:$C$220,2,FALSE)</f>
        <v>Middle income</v>
      </c>
      <c r="J419" s="14" t="s">
        <v>1910</v>
      </c>
      <c r="K419" s="14" t="s">
        <v>29</v>
      </c>
      <c r="L419" s="14" t="s">
        <v>30</v>
      </c>
      <c r="M419" s="15"/>
      <c r="N419" s="14"/>
      <c r="O419" s="14"/>
      <c r="P419" s="14" t="s">
        <v>31</v>
      </c>
      <c r="Q419" s="23" t="s">
        <v>56</v>
      </c>
      <c r="R419" s="24"/>
      <c r="S419" s="15"/>
      <c r="T419" s="12"/>
      <c r="U419" s="12"/>
      <c r="V419" s="12"/>
      <c r="W419" s="12"/>
    </row>
    <row r="420" spans="1:23" ht="22.5" customHeight="1">
      <c r="A420" s="20">
        <v>46045.610763888886</v>
      </c>
      <c r="B420" s="21" t="s">
        <v>1911</v>
      </c>
      <c r="C420" s="38"/>
      <c r="D420" s="21" t="s">
        <v>24</v>
      </c>
      <c r="E420" s="22">
        <v>36679</v>
      </c>
      <c r="F420" s="21" t="s">
        <v>208</v>
      </c>
      <c r="G420" s="21" t="s">
        <v>702</v>
      </c>
      <c r="H420" s="21" t="s">
        <v>368</v>
      </c>
      <c r="I420" s="6" t="str">
        <f>VLOOKUP(CLEAN(F420),'World Bank Categories'!$B$4:$C$220,2,FALSE)</f>
        <v>Low income</v>
      </c>
      <c r="J420" s="21" t="s">
        <v>1912</v>
      </c>
      <c r="K420" s="21" t="s">
        <v>29</v>
      </c>
      <c r="L420" s="21" t="s">
        <v>30</v>
      </c>
      <c r="M420" s="21"/>
      <c r="N420" s="21"/>
      <c r="O420" s="21"/>
      <c r="P420" s="21" t="s">
        <v>31</v>
      </c>
      <c r="Q420" s="9" t="s">
        <v>32</v>
      </c>
      <c r="R420" s="10"/>
      <c r="S420" s="25" t="s">
        <v>1913</v>
      </c>
      <c r="T420" s="27">
        <v>36679</v>
      </c>
      <c r="U420" s="25" t="s">
        <v>1912</v>
      </c>
      <c r="V420" s="25" t="s">
        <v>80</v>
      </c>
      <c r="W420" s="25"/>
    </row>
    <row r="421" spans="1:23" ht="22.5" customHeight="1">
      <c r="A421" s="20">
        <v>46046.196261574078</v>
      </c>
      <c r="B421" s="21" t="s">
        <v>1914</v>
      </c>
      <c r="C421" s="38"/>
      <c r="D421" s="21" t="s">
        <v>45</v>
      </c>
      <c r="E421" s="22">
        <v>21506</v>
      </c>
      <c r="F421" s="21" t="s">
        <v>332</v>
      </c>
      <c r="G421" s="21" t="s">
        <v>1915</v>
      </c>
      <c r="H421" s="21" t="s">
        <v>1655</v>
      </c>
      <c r="I421" s="6" t="str">
        <f>VLOOKUP(CLEAN(F421),'World Bank Categories'!$B$4:$C$220,2,FALSE)</f>
        <v>High income</v>
      </c>
      <c r="J421" s="21" t="s">
        <v>1916</v>
      </c>
      <c r="K421" s="21" t="s">
        <v>39</v>
      </c>
      <c r="L421" s="21" t="s">
        <v>621</v>
      </c>
      <c r="M421" s="21"/>
      <c r="N421" s="21"/>
      <c r="O421" s="21"/>
      <c r="P421" s="21" t="s">
        <v>31</v>
      </c>
      <c r="Q421" s="9" t="s">
        <v>32</v>
      </c>
      <c r="R421" s="18" t="s">
        <v>33</v>
      </c>
      <c r="S421" s="25" t="s">
        <v>1917</v>
      </c>
      <c r="T421" s="27">
        <v>21506</v>
      </c>
      <c r="U421" s="25" t="s">
        <v>1916</v>
      </c>
      <c r="V421" s="25" t="s">
        <v>154</v>
      </c>
      <c r="W421" s="25"/>
    </row>
    <row r="422" spans="1:23" ht="22.5" customHeight="1">
      <c r="A422" s="46">
        <v>46046.811539351853</v>
      </c>
      <c r="B422" s="47" t="s">
        <v>1918</v>
      </c>
      <c r="C422" s="48"/>
      <c r="D422" s="47" t="s">
        <v>24</v>
      </c>
      <c r="E422" s="49">
        <v>36581</v>
      </c>
      <c r="F422" s="47" t="s">
        <v>470</v>
      </c>
      <c r="G422" s="47" t="s">
        <v>1918</v>
      </c>
      <c r="H422" s="47" t="s">
        <v>1919</v>
      </c>
      <c r="I422" s="6" t="str">
        <f>VLOOKUP(CLEAN(F422),'World Bank Categories'!$B$4:$C$220,2,FALSE)</f>
        <v>Middle income</v>
      </c>
      <c r="J422" s="47" t="s">
        <v>1920</v>
      </c>
      <c r="K422" s="47" t="s">
        <v>39</v>
      </c>
      <c r="L422" s="47" t="s">
        <v>30</v>
      </c>
      <c r="M422" s="47"/>
      <c r="N422" s="47"/>
      <c r="O422" s="47"/>
      <c r="P422" s="47" t="s">
        <v>31</v>
      </c>
      <c r="Q422" s="9" t="s">
        <v>32</v>
      </c>
      <c r="R422" s="10" t="s">
        <v>33</v>
      </c>
      <c r="S422" s="25" t="s">
        <v>1918</v>
      </c>
      <c r="T422" s="27">
        <v>36581</v>
      </c>
      <c r="U422" s="25" t="s">
        <v>1920</v>
      </c>
      <c r="V422" s="25" t="s">
        <v>80</v>
      </c>
      <c r="W422" s="25"/>
    </row>
    <row r="423" spans="1:23" ht="22.5" customHeight="1">
      <c r="A423" s="13">
        <v>46048.142859097221</v>
      </c>
      <c r="B423" s="14" t="s">
        <v>1921</v>
      </c>
      <c r="C423" s="15"/>
      <c r="D423" s="14" t="s">
        <v>24</v>
      </c>
      <c r="E423" s="16">
        <v>29327</v>
      </c>
      <c r="F423" s="14" t="s">
        <v>232</v>
      </c>
      <c r="G423" s="14" t="s">
        <v>1922</v>
      </c>
      <c r="H423" s="14" t="s">
        <v>1923</v>
      </c>
      <c r="I423" s="6" t="str">
        <f>VLOOKUP(CLEAN(F423),'World Bank Categories'!$B$4:$C$220,2,FALSE)</f>
        <v>Middle income</v>
      </c>
      <c r="J423" s="14" t="s">
        <v>1924</v>
      </c>
      <c r="K423" s="14" t="s">
        <v>39</v>
      </c>
      <c r="L423" s="14" t="s">
        <v>152</v>
      </c>
      <c r="M423" s="14" t="s">
        <v>1925</v>
      </c>
      <c r="N423" s="14" t="s">
        <v>1926</v>
      </c>
      <c r="O423" s="14" t="s">
        <v>301</v>
      </c>
      <c r="P423" s="14" t="s">
        <v>31</v>
      </c>
      <c r="Q423" s="9" t="s">
        <v>32</v>
      </c>
      <c r="R423" s="18" t="s">
        <v>43</v>
      </c>
      <c r="S423" s="19" t="s">
        <v>1921</v>
      </c>
      <c r="T423" s="12"/>
      <c r="U423" s="12"/>
      <c r="V423" s="12"/>
      <c r="W423" s="12"/>
    </row>
    <row r="424" spans="1:23" ht="22.5" customHeight="1">
      <c r="A424" s="20">
        <v>46048.291168981479</v>
      </c>
      <c r="B424" s="21" t="s">
        <v>1927</v>
      </c>
      <c r="C424" s="38"/>
      <c r="D424" s="21" t="s">
        <v>24</v>
      </c>
      <c r="E424" s="22">
        <v>35532</v>
      </c>
      <c r="F424" s="21" t="s">
        <v>52</v>
      </c>
      <c r="G424" s="21" t="s">
        <v>1044</v>
      </c>
      <c r="H424" s="21" t="s">
        <v>90</v>
      </c>
      <c r="I424" s="6" t="str">
        <f>VLOOKUP(CLEAN(F424),'World Bank Categories'!$B$4:$C$220,2,FALSE)</f>
        <v>Middle income</v>
      </c>
      <c r="J424" s="21" t="s">
        <v>1928</v>
      </c>
      <c r="K424" s="21" t="s">
        <v>29</v>
      </c>
      <c r="L424" s="21" t="s">
        <v>30</v>
      </c>
      <c r="M424" s="21"/>
      <c r="N424" s="21"/>
      <c r="O424" s="21"/>
      <c r="P424" s="21" t="s">
        <v>31</v>
      </c>
      <c r="Q424" s="9" t="s">
        <v>32</v>
      </c>
      <c r="R424" s="10" t="s">
        <v>17</v>
      </c>
      <c r="S424" s="25" t="s">
        <v>1929</v>
      </c>
      <c r="T424" s="27">
        <v>35532</v>
      </c>
      <c r="U424" s="25" t="s">
        <v>1928</v>
      </c>
      <c r="V424" s="25" t="s">
        <v>154</v>
      </c>
      <c r="W424" s="25"/>
    </row>
    <row r="425" spans="1:23" ht="22.5" customHeight="1">
      <c r="A425" s="20">
        <v>46048.555798611109</v>
      </c>
      <c r="B425" s="21" t="s">
        <v>1930</v>
      </c>
      <c r="C425" s="21" t="s">
        <v>1931</v>
      </c>
      <c r="D425" s="21" t="s">
        <v>45</v>
      </c>
      <c r="E425" s="22">
        <v>38783</v>
      </c>
      <c r="F425" s="21" t="s">
        <v>1932</v>
      </c>
      <c r="G425" s="21" t="s">
        <v>1933</v>
      </c>
      <c r="H425" s="21" t="s">
        <v>1090</v>
      </c>
      <c r="I425" s="6" t="str">
        <f>VLOOKUP(CLEAN(F425),'World Bank Categories'!$B$4:$C$220,2,FALSE)</f>
        <v>Middle income</v>
      </c>
      <c r="J425" s="21" t="s">
        <v>1934</v>
      </c>
      <c r="K425" s="21" t="s">
        <v>39</v>
      </c>
      <c r="L425" s="21" t="s">
        <v>30</v>
      </c>
      <c r="M425" s="21"/>
      <c r="N425" s="21"/>
      <c r="O425" s="21"/>
      <c r="P425" s="21" t="s">
        <v>31</v>
      </c>
      <c r="Q425" s="9" t="s">
        <v>32</v>
      </c>
      <c r="R425" s="18"/>
      <c r="S425" s="25" t="s">
        <v>1930</v>
      </c>
      <c r="T425" s="27">
        <v>38783</v>
      </c>
      <c r="U425" s="25" t="s">
        <v>1934</v>
      </c>
      <c r="V425" s="25" t="s">
        <v>80</v>
      </c>
      <c r="W425" s="25"/>
    </row>
    <row r="426" spans="1:23" ht="22.5" customHeight="1">
      <c r="A426" s="20">
        <v>46048.748993055553</v>
      </c>
      <c r="B426" s="21" t="s">
        <v>1935</v>
      </c>
      <c r="C426" s="38"/>
      <c r="D426" s="21" t="s">
        <v>45</v>
      </c>
      <c r="E426" s="22">
        <v>31397</v>
      </c>
      <c r="F426" s="21" t="s">
        <v>980</v>
      </c>
      <c r="G426" s="21" t="s">
        <v>1462</v>
      </c>
      <c r="H426" s="21" t="s">
        <v>738</v>
      </c>
      <c r="I426" s="6" t="str">
        <f>VLOOKUP(CLEAN(F426),'World Bank Categories'!$B$4:$C$220,2,FALSE)</f>
        <v>Middle income</v>
      </c>
      <c r="J426" s="21" t="s">
        <v>1936</v>
      </c>
      <c r="K426" s="21" t="s">
        <v>39</v>
      </c>
      <c r="L426" s="21" t="s">
        <v>152</v>
      </c>
      <c r="M426" s="21" t="s">
        <v>1937</v>
      </c>
      <c r="N426" s="21" t="s">
        <v>1938</v>
      </c>
      <c r="O426" s="14" t="s">
        <v>365</v>
      </c>
      <c r="P426" s="21" t="s">
        <v>31</v>
      </c>
      <c r="Q426" s="9" t="s">
        <v>32</v>
      </c>
      <c r="R426" s="10" t="s">
        <v>33</v>
      </c>
      <c r="S426" s="25" t="s">
        <v>1935</v>
      </c>
      <c r="T426" s="27">
        <v>31397</v>
      </c>
      <c r="U426" s="25" t="s">
        <v>1936</v>
      </c>
      <c r="V426" s="25" t="s">
        <v>80</v>
      </c>
      <c r="W426" s="25"/>
    </row>
    <row r="427" spans="1:23" ht="22.5" customHeight="1">
      <c r="A427" s="20">
        <v>46049.217256944445</v>
      </c>
      <c r="B427" s="21" t="s">
        <v>1939</v>
      </c>
      <c r="C427" s="38"/>
      <c r="D427" s="21" t="s">
        <v>24</v>
      </c>
      <c r="E427" s="22">
        <v>37378</v>
      </c>
      <c r="F427" s="21" t="s">
        <v>64</v>
      </c>
      <c r="G427" s="21" t="s">
        <v>1940</v>
      </c>
      <c r="H427" s="21" t="s">
        <v>1941</v>
      </c>
      <c r="I427" s="6" t="str">
        <f>VLOOKUP(CLEAN(F427),'World Bank Categories'!$B$4:$C$220,2,FALSE)</f>
        <v>Middle income</v>
      </c>
      <c r="J427" s="21" t="s">
        <v>1942</v>
      </c>
      <c r="K427" s="21" t="s">
        <v>29</v>
      </c>
      <c r="L427" s="21" t="s">
        <v>30</v>
      </c>
      <c r="M427" s="21"/>
      <c r="N427" s="21"/>
      <c r="O427" s="21"/>
      <c r="P427" s="21" t="s">
        <v>31</v>
      </c>
      <c r="Q427" s="9" t="s">
        <v>32</v>
      </c>
      <c r="R427" s="18" t="s">
        <v>33</v>
      </c>
      <c r="S427" s="25" t="s">
        <v>1943</v>
      </c>
      <c r="T427" s="27">
        <v>37378</v>
      </c>
      <c r="U427" s="25" t="s">
        <v>1942</v>
      </c>
      <c r="V427" s="25" t="s">
        <v>154</v>
      </c>
      <c r="W427" s="25"/>
    </row>
    <row r="428" spans="1:23" ht="22.5" customHeight="1">
      <c r="A428" s="50">
        <v>46049.601770833331</v>
      </c>
      <c r="B428" s="51" t="s">
        <v>1944</v>
      </c>
      <c r="C428" s="52"/>
      <c r="D428" s="51" t="s">
        <v>24</v>
      </c>
      <c r="E428" s="53">
        <v>36792</v>
      </c>
      <c r="F428" s="21" t="s">
        <v>208</v>
      </c>
      <c r="G428" s="51" t="s">
        <v>702</v>
      </c>
      <c r="H428" s="51" t="s">
        <v>1945</v>
      </c>
      <c r="I428" s="6" t="str">
        <f>VLOOKUP(CLEAN(F428),'World Bank Categories'!$B$4:$C$220,2,FALSE)</f>
        <v>Low income</v>
      </c>
      <c r="J428" s="51" t="s">
        <v>1944</v>
      </c>
      <c r="K428" s="51" t="s">
        <v>29</v>
      </c>
      <c r="L428" s="51" t="s">
        <v>162</v>
      </c>
      <c r="M428" s="51"/>
      <c r="N428" s="51"/>
      <c r="O428" s="51"/>
      <c r="P428" s="51" t="s">
        <v>31</v>
      </c>
      <c r="Q428" s="9" t="s">
        <v>32</v>
      </c>
      <c r="R428" s="10"/>
      <c r="S428" s="25" t="s">
        <v>1946</v>
      </c>
      <c r="T428" s="27">
        <v>36792</v>
      </c>
      <c r="U428" s="25" t="s">
        <v>1947</v>
      </c>
      <c r="V428" s="25" t="s">
        <v>101</v>
      </c>
      <c r="W428" s="25"/>
    </row>
    <row r="429" spans="1:23" ht="22.5" customHeight="1">
      <c r="A429" s="20">
        <v>46049.92659722222</v>
      </c>
      <c r="B429" s="21" t="s">
        <v>1948</v>
      </c>
      <c r="C429" s="21" t="s">
        <v>1665</v>
      </c>
      <c r="D429" s="21" t="s">
        <v>24</v>
      </c>
      <c r="E429" s="22">
        <v>33039</v>
      </c>
      <c r="F429" s="21" t="s">
        <v>623</v>
      </c>
      <c r="G429" s="21" t="s">
        <v>1949</v>
      </c>
      <c r="H429" s="21" t="s">
        <v>882</v>
      </c>
      <c r="I429" s="6" t="str">
        <f>VLOOKUP(CLEAN(F429),'World Bank Categories'!$B$4:$C$220,2,FALSE)</f>
        <v>Middle income</v>
      </c>
      <c r="J429" s="21" t="s">
        <v>1950</v>
      </c>
      <c r="K429" s="21" t="s">
        <v>29</v>
      </c>
      <c r="L429" s="21" t="s">
        <v>30</v>
      </c>
      <c r="M429" s="21"/>
      <c r="N429" s="21"/>
      <c r="O429" s="21"/>
      <c r="P429" s="21" t="s">
        <v>31</v>
      </c>
      <c r="Q429" s="9" t="s">
        <v>32</v>
      </c>
      <c r="R429" s="18"/>
      <c r="S429" s="25" t="s">
        <v>1951</v>
      </c>
      <c r="T429" s="27">
        <v>33039</v>
      </c>
      <c r="U429" s="25" t="s">
        <v>1950</v>
      </c>
      <c r="V429" s="25" t="s">
        <v>154</v>
      </c>
      <c r="W429" s="25"/>
    </row>
    <row r="430" spans="1:23" ht="22.5" hidden="1" customHeight="1">
      <c r="A430" s="20">
        <v>46050.162129629629</v>
      </c>
      <c r="B430" s="21" t="s">
        <v>1952</v>
      </c>
      <c r="C430" s="38"/>
      <c r="D430" s="21" t="s">
        <v>45</v>
      </c>
      <c r="E430" s="22">
        <v>29400</v>
      </c>
      <c r="F430" s="21" t="s">
        <v>416</v>
      </c>
      <c r="G430" s="21" t="s">
        <v>1953</v>
      </c>
      <c r="H430" s="21" t="s">
        <v>1954</v>
      </c>
      <c r="I430" s="6" t="str">
        <f>VLOOKUP(CLEAN(F430),'World Bank Categories'!$B$4:$C$220,2,FALSE)</f>
        <v>Middle income</v>
      </c>
      <c r="J430" s="21" t="s">
        <v>1955</v>
      </c>
      <c r="K430" s="21" t="s">
        <v>39</v>
      </c>
      <c r="L430" s="21" t="s">
        <v>30</v>
      </c>
      <c r="M430" s="21"/>
      <c r="N430" s="21"/>
      <c r="O430" s="21"/>
      <c r="P430" s="21" t="s">
        <v>31</v>
      </c>
      <c r="Q430" s="23" t="s">
        <v>56</v>
      </c>
      <c r="R430" s="24"/>
      <c r="S430" s="25"/>
      <c r="T430" s="26"/>
      <c r="U430" s="25"/>
      <c r="V430" s="25"/>
      <c r="W430" s="25"/>
    </row>
    <row r="431" spans="1:23" ht="22.5" customHeight="1">
      <c r="A431" s="20">
        <v>46050.183344907404</v>
      </c>
      <c r="B431" s="21" t="s">
        <v>1956</v>
      </c>
      <c r="C431" s="21" t="s">
        <v>1957</v>
      </c>
      <c r="D431" s="21" t="s">
        <v>24</v>
      </c>
      <c r="E431" s="22">
        <v>30192</v>
      </c>
      <c r="F431" s="21" t="s">
        <v>1958</v>
      </c>
      <c r="G431" s="21" t="s">
        <v>209</v>
      </c>
      <c r="H431" s="21" t="s">
        <v>1959</v>
      </c>
      <c r="I431" s="6" t="str">
        <f>VLOOKUP(CLEAN(F431),'World Bank Categories'!$B$4:$C$220,2,FALSE)</f>
        <v>Middle income</v>
      </c>
      <c r="J431" s="21" t="s">
        <v>1960</v>
      </c>
      <c r="K431" s="21" t="s">
        <v>29</v>
      </c>
      <c r="L431" s="21" t="s">
        <v>30</v>
      </c>
      <c r="M431" s="21"/>
      <c r="N431" s="21"/>
      <c r="O431" s="21"/>
      <c r="P431" s="21" t="s">
        <v>31</v>
      </c>
      <c r="Q431" s="9" t="s">
        <v>32</v>
      </c>
      <c r="R431" s="10" t="s">
        <v>33</v>
      </c>
      <c r="S431" s="25" t="s">
        <v>1961</v>
      </c>
      <c r="T431" s="27">
        <v>30192</v>
      </c>
      <c r="U431" s="25" t="s">
        <v>1960</v>
      </c>
      <c r="V431" s="25" t="s">
        <v>463</v>
      </c>
      <c r="W431" s="25"/>
    </row>
    <row r="432" spans="1:23" ht="22.5" customHeight="1">
      <c r="A432" s="20">
        <v>46050.300057870372</v>
      </c>
      <c r="B432" s="21" t="s">
        <v>1962</v>
      </c>
      <c r="C432" s="38"/>
      <c r="D432" s="21" t="s">
        <v>24</v>
      </c>
      <c r="E432" s="22">
        <v>35839</v>
      </c>
      <c r="F432" s="21" t="s">
        <v>1112</v>
      </c>
      <c r="G432" s="21" t="s">
        <v>1963</v>
      </c>
      <c r="H432" s="21" t="s">
        <v>66</v>
      </c>
      <c r="I432" s="6" t="str">
        <f>VLOOKUP(CLEAN(F432),'World Bank Categories'!$B$4:$C$220,2,FALSE)</f>
        <v>Low income</v>
      </c>
      <c r="J432" s="21" t="s">
        <v>1964</v>
      </c>
      <c r="K432" s="21" t="s">
        <v>29</v>
      </c>
      <c r="L432" s="21" t="s">
        <v>30</v>
      </c>
      <c r="M432" s="21"/>
      <c r="N432" s="21"/>
      <c r="O432" s="21"/>
      <c r="P432" s="21" t="s">
        <v>31</v>
      </c>
      <c r="Q432" s="9" t="s">
        <v>32</v>
      </c>
      <c r="R432" s="18" t="s">
        <v>33</v>
      </c>
      <c r="S432" s="25" t="s">
        <v>1965</v>
      </c>
      <c r="T432" s="27">
        <v>35839</v>
      </c>
      <c r="U432" s="25" t="s">
        <v>1966</v>
      </c>
      <c r="V432" s="25" t="s">
        <v>1967</v>
      </c>
      <c r="W432" s="25"/>
    </row>
    <row r="433" spans="1:23" ht="22.5" customHeight="1">
      <c r="A433" s="20">
        <v>46050.595000000001</v>
      </c>
      <c r="B433" s="21" t="s">
        <v>1968</v>
      </c>
      <c r="C433" s="38"/>
      <c r="D433" s="21" t="s">
        <v>24</v>
      </c>
      <c r="E433" s="22">
        <v>25231</v>
      </c>
      <c r="F433" s="21" t="s">
        <v>623</v>
      </c>
      <c r="G433" s="21" t="s">
        <v>1969</v>
      </c>
      <c r="H433" s="21" t="s">
        <v>1970</v>
      </c>
      <c r="I433" s="6" t="str">
        <f>VLOOKUP(CLEAN(F433),'World Bank Categories'!$B$4:$C$220,2,FALSE)</f>
        <v>Middle income</v>
      </c>
      <c r="J433" s="21" t="s">
        <v>1971</v>
      </c>
      <c r="K433" s="21" t="s">
        <v>39</v>
      </c>
      <c r="L433" s="21" t="s">
        <v>30</v>
      </c>
      <c r="M433" s="21" t="s">
        <v>1972</v>
      </c>
      <c r="N433" s="21"/>
      <c r="O433" s="21"/>
      <c r="P433" s="21" t="s">
        <v>31</v>
      </c>
      <c r="Q433" s="9" t="s">
        <v>32</v>
      </c>
      <c r="R433" s="10"/>
      <c r="S433" s="25" t="s">
        <v>1968</v>
      </c>
      <c r="T433" s="27">
        <v>25328</v>
      </c>
      <c r="U433" s="25" t="s">
        <v>1973</v>
      </c>
      <c r="V433" s="25" t="s">
        <v>236</v>
      </c>
      <c r="W433" s="25"/>
    </row>
    <row r="434" spans="1:23" ht="22.5" customHeight="1">
      <c r="A434" s="20">
        <v>46050.632569444446</v>
      </c>
      <c r="B434" s="21" t="s">
        <v>1974</v>
      </c>
      <c r="C434" s="38"/>
      <c r="D434" s="21" t="s">
        <v>45</v>
      </c>
      <c r="E434" s="22">
        <v>37487</v>
      </c>
      <c r="F434" s="21" t="s">
        <v>227</v>
      </c>
      <c r="G434" s="21" t="s">
        <v>1975</v>
      </c>
      <c r="H434" s="21" t="s">
        <v>368</v>
      </c>
      <c r="I434" s="6" t="str">
        <f>VLOOKUP(CLEAN(F434),'World Bank Categories'!$B$4:$C$220,2,FALSE)</f>
        <v>Middle income</v>
      </c>
      <c r="J434" s="21" t="s">
        <v>1976</v>
      </c>
      <c r="K434" s="21" t="s">
        <v>29</v>
      </c>
      <c r="L434" s="32">
        <v>46202</v>
      </c>
      <c r="M434" s="21"/>
      <c r="N434" s="21"/>
      <c r="O434" s="21"/>
      <c r="P434" s="21" t="s">
        <v>31</v>
      </c>
      <c r="Q434" s="9" t="s">
        <v>32</v>
      </c>
      <c r="R434" s="18" t="s">
        <v>43</v>
      </c>
      <c r="S434" s="25" t="s">
        <v>1974</v>
      </c>
      <c r="T434" s="27">
        <v>37487</v>
      </c>
      <c r="U434" s="25" t="s">
        <v>1976</v>
      </c>
      <c r="V434" s="25" t="s">
        <v>80</v>
      </c>
      <c r="W434" s="25"/>
    </row>
    <row r="435" spans="1:23" ht="22.5" customHeight="1">
      <c r="A435" s="50">
        <v>46050.87940972222</v>
      </c>
      <c r="B435" s="51" t="s">
        <v>1977</v>
      </c>
      <c r="C435" s="51" t="s">
        <v>1978</v>
      </c>
      <c r="D435" s="51" t="s">
        <v>45</v>
      </c>
      <c r="E435" s="53">
        <v>36986</v>
      </c>
      <c r="F435" s="51" t="s">
        <v>346</v>
      </c>
      <c r="G435" s="51" t="s">
        <v>1979</v>
      </c>
      <c r="H435" s="51" t="s">
        <v>66</v>
      </c>
      <c r="I435" s="6" t="str">
        <f>VLOOKUP(CLEAN(F435),'World Bank Categories'!$B$4:$C$220,2,FALSE)</f>
        <v>Middle income</v>
      </c>
      <c r="J435" s="51" t="s">
        <v>1980</v>
      </c>
      <c r="K435" s="51" t="s">
        <v>29</v>
      </c>
      <c r="L435" s="51" t="s">
        <v>30</v>
      </c>
      <c r="M435" s="51"/>
      <c r="N435" s="51"/>
      <c r="O435" s="51"/>
      <c r="P435" s="51" t="s">
        <v>31</v>
      </c>
      <c r="Q435" s="9" t="s">
        <v>32</v>
      </c>
      <c r="R435" s="10"/>
      <c r="S435" s="25" t="s">
        <v>1981</v>
      </c>
      <c r="T435" s="27">
        <v>36986</v>
      </c>
      <c r="U435" s="25" t="s">
        <v>1980</v>
      </c>
      <c r="V435" s="25" t="s">
        <v>154</v>
      </c>
      <c r="W435" s="25"/>
    </row>
    <row r="436" spans="1:23" ht="22.5" customHeight="1">
      <c r="A436" s="28">
        <v>46051.205057870371</v>
      </c>
      <c r="B436" s="29" t="s">
        <v>1982</v>
      </c>
      <c r="C436" s="45"/>
      <c r="D436" s="29" t="s">
        <v>24</v>
      </c>
      <c r="E436" s="30">
        <v>37090</v>
      </c>
      <c r="F436" s="29" t="s">
        <v>1983</v>
      </c>
      <c r="G436" s="29" t="s">
        <v>1984</v>
      </c>
      <c r="H436" s="29" t="s">
        <v>138</v>
      </c>
      <c r="I436" s="6" t="str">
        <f>VLOOKUP(CLEAN(F436),'World Bank Categories'!$B$4:$C$220,2,FALSE)</f>
        <v>High income</v>
      </c>
      <c r="J436" s="29" t="s">
        <v>1985</v>
      </c>
      <c r="K436" s="29" t="s">
        <v>29</v>
      </c>
      <c r="L436" s="29" t="s">
        <v>30</v>
      </c>
      <c r="M436" s="29"/>
      <c r="N436" s="29"/>
      <c r="O436" s="29"/>
      <c r="P436" s="29" t="s">
        <v>31</v>
      </c>
      <c r="Q436" s="9" t="s">
        <v>32</v>
      </c>
      <c r="R436" s="18" t="s">
        <v>43</v>
      </c>
      <c r="S436" s="25" t="s">
        <v>1986</v>
      </c>
      <c r="T436" s="27">
        <v>37090</v>
      </c>
      <c r="U436" s="25" t="s">
        <v>1985</v>
      </c>
      <c r="V436" s="25" t="s">
        <v>80</v>
      </c>
      <c r="W436" s="25"/>
    </row>
    <row r="437" spans="1:23" ht="22.5" customHeight="1">
      <c r="A437" s="20">
        <v>46051.657500000001</v>
      </c>
      <c r="B437" s="21" t="s">
        <v>1987</v>
      </c>
      <c r="C437" s="21" t="s">
        <v>1988</v>
      </c>
      <c r="D437" s="21" t="s">
        <v>24</v>
      </c>
      <c r="E437" s="22">
        <v>38406</v>
      </c>
      <c r="F437" s="21" t="s">
        <v>1053</v>
      </c>
      <c r="G437" s="21" t="s">
        <v>1989</v>
      </c>
      <c r="H437" s="21" t="s">
        <v>66</v>
      </c>
      <c r="I437" s="6" t="str">
        <f>VLOOKUP(CLEAN(F437),'World Bank Categories'!$B$4:$C$220,2,FALSE)</f>
        <v>High income</v>
      </c>
      <c r="J437" s="21" t="s">
        <v>1990</v>
      </c>
      <c r="K437" s="21" t="s">
        <v>39</v>
      </c>
      <c r="L437" s="21" t="s">
        <v>1991</v>
      </c>
      <c r="M437" s="21"/>
      <c r="N437" s="21"/>
      <c r="O437" s="21"/>
      <c r="P437" s="21" t="s">
        <v>31</v>
      </c>
      <c r="Q437" s="9" t="s">
        <v>32</v>
      </c>
      <c r="R437" s="10" t="s">
        <v>43</v>
      </c>
      <c r="S437" s="25" t="s">
        <v>1987</v>
      </c>
      <c r="T437" s="27">
        <v>38406</v>
      </c>
      <c r="U437" s="25" t="s">
        <v>1990</v>
      </c>
      <c r="V437" s="25" t="s">
        <v>80</v>
      </c>
      <c r="W437" s="25"/>
    </row>
    <row r="438" spans="1:23" ht="22.5" customHeight="1">
      <c r="A438" s="20">
        <v>46051.683333333334</v>
      </c>
      <c r="B438" s="21" t="s">
        <v>1992</v>
      </c>
      <c r="C438" s="21" t="s">
        <v>1993</v>
      </c>
      <c r="D438" s="21" t="s">
        <v>24</v>
      </c>
      <c r="E438" s="22">
        <v>38440</v>
      </c>
      <c r="F438" s="21" t="s">
        <v>1053</v>
      </c>
      <c r="G438" s="21" t="s">
        <v>1994</v>
      </c>
      <c r="H438" s="21" t="s">
        <v>1995</v>
      </c>
      <c r="I438" s="6" t="str">
        <f>VLOOKUP(CLEAN(F438),'World Bank Categories'!$B$4:$C$220,2,FALSE)</f>
        <v>High income</v>
      </c>
      <c r="J438" s="21" t="s">
        <v>1996</v>
      </c>
      <c r="K438" s="21" t="s">
        <v>29</v>
      </c>
      <c r="L438" s="21" t="s">
        <v>30</v>
      </c>
      <c r="M438" s="21"/>
      <c r="N438" s="21"/>
      <c r="O438" s="21"/>
      <c r="P438" s="21" t="s">
        <v>31</v>
      </c>
      <c r="Q438" s="9" t="s">
        <v>32</v>
      </c>
      <c r="R438" s="18" t="s">
        <v>43</v>
      </c>
      <c r="S438" s="25" t="s">
        <v>1997</v>
      </c>
      <c r="T438" s="27">
        <v>38439</v>
      </c>
      <c r="U438" s="25" t="s">
        <v>1996</v>
      </c>
      <c r="V438" s="25" t="s">
        <v>114</v>
      </c>
      <c r="W438" s="25"/>
    </row>
    <row r="439" spans="1:23" ht="22.5" customHeight="1">
      <c r="A439" s="20">
        <v>46051.695625</v>
      </c>
      <c r="B439" s="21" t="s">
        <v>1998</v>
      </c>
      <c r="C439" s="21" t="s">
        <v>1999</v>
      </c>
      <c r="D439" s="21" t="s">
        <v>45</v>
      </c>
      <c r="E439" s="22">
        <v>38279</v>
      </c>
      <c r="F439" s="21" t="s">
        <v>1053</v>
      </c>
      <c r="G439" s="21" t="s">
        <v>2000</v>
      </c>
      <c r="H439" s="21" t="s">
        <v>160</v>
      </c>
      <c r="I439" s="6" t="str">
        <f>VLOOKUP(CLEAN(F439),'World Bank Categories'!$B$4:$C$220,2,FALSE)</f>
        <v>High income</v>
      </c>
      <c r="J439" s="21" t="s">
        <v>2001</v>
      </c>
      <c r="K439" s="21" t="s">
        <v>29</v>
      </c>
      <c r="L439" s="21" t="s">
        <v>30</v>
      </c>
      <c r="M439" s="21"/>
      <c r="N439" s="21"/>
      <c r="O439" s="21"/>
      <c r="P439" s="21" t="s">
        <v>31</v>
      </c>
      <c r="Q439" s="9" t="s">
        <v>32</v>
      </c>
      <c r="R439" s="10" t="s">
        <v>43</v>
      </c>
      <c r="S439" s="25" t="s">
        <v>1998</v>
      </c>
      <c r="T439" s="27">
        <v>38279</v>
      </c>
      <c r="U439" s="25" t="s">
        <v>2001</v>
      </c>
      <c r="V439" s="25" t="s">
        <v>80</v>
      </c>
      <c r="W439" s="25"/>
    </row>
    <row r="440" spans="1:23" ht="22.5" customHeight="1">
      <c r="A440" s="20">
        <v>46051.713055555556</v>
      </c>
      <c r="B440" s="21" t="s">
        <v>2002</v>
      </c>
      <c r="C440" s="21" t="s">
        <v>2003</v>
      </c>
      <c r="D440" s="21" t="s">
        <v>24</v>
      </c>
      <c r="E440" s="22">
        <v>36813</v>
      </c>
      <c r="F440" s="21" t="s">
        <v>1053</v>
      </c>
      <c r="G440" s="21" t="s">
        <v>1258</v>
      </c>
      <c r="H440" s="21" t="s">
        <v>2004</v>
      </c>
      <c r="I440" s="6" t="str">
        <f>VLOOKUP(CLEAN(F440),'World Bank Categories'!$B$4:$C$220,2,FALSE)</f>
        <v>High income</v>
      </c>
      <c r="J440" s="21" t="s">
        <v>2005</v>
      </c>
      <c r="K440" s="21" t="s">
        <v>29</v>
      </c>
      <c r="L440" s="21" t="s">
        <v>30</v>
      </c>
      <c r="M440" s="21"/>
      <c r="N440" s="21"/>
      <c r="O440" s="21"/>
      <c r="P440" s="21" t="s">
        <v>31</v>
      </c>
      <c r="Q440" s="9" t="s">
        <v>32</v>
      </c>
      <c r="R440" s="18" t="s">
        <v>43</v>
      </c>
      <c r="S440" s="25" t="s">
        <v>2002</v>
      </c>
      <c r="T440" s="27">
        <v>36813</v>
      </c>
      <c r="U440" s="25" t="s">
        <v>2005</v>
      </c>
      <c r="V440" s="25" t="s">
        <v>80</v>
      </c>
      <c r="W440" s="25"/>
    </row>
    <row r="441" spans="1:23" ht="22.5" customHeight="1">
      <c r="A441" s="20">
        <v>46051.749722222223</v>
      </c>
      <c r="B441" s="21" t="s">
        <v>2006</v>
      </c>
      <c r="C441" s="21" t="s">
        <v>2007</v>
      </c>
      <c r="D441" s="21" t="s">
        <v>24</v>
      </c>
      <c r="E441" s="22">
        <v>38157</v>
      </c>
      <c r="F441" s="21" t="s">
        <v>1053</v>
      </c>
      <c r="G441" s="21" t="s">
        <v>2008</v>
      </c>
      <c r="H441" s="21" t="s">
        <v>66</v>
      </c>
      <c r="I441" s="6" t="str">
        <f>VLOOKUP(CLEAN(F441),'World Bank Categories'!$B$4:$C$220,2,FALSE)</f>
        <v>High income</v>
      </c>
      <c r="J441" s="21" t="s">
        <v>2009</v>
      </c>
      <c r="K441" s="21" t="s">
        <v>29</v>
      </c>
      <c r="L441" s="21" t="s">
        <v>30</v>
      </c>
      <c r="M441" s="21"/>
      <c r="N441" s="21"/>
      <c r="O441" s="21"/>
      <c r="P441" s="21" t="s">
        <v>31</v>
      </c>
      <c r="Q441" s="9" t="s">
        <v>32</v>
      </c>
      <c r="R441" s="10" t="s">
        <v>43</v>
      </c>
      <c r="S441" s="25" t="s">
        <v>2010</v>
      </c>
      <c r="T441" s="27">
        <v>38157</v>
      </c>
      <c r="U441" s="25" t="s">
        <v>2009</v>
      </c>
      <c r="V441" s="25" t="s">
        <v>80</v>
      </c>
      <c r="W441" s="25"/>
    </row>
    <row r="442" spans="1:23" ht="22.5" customHeight="1">
      <c r="A442" s="20">
        <v>46051.760891203703</v>
      </c>
      <c r="B442" s="21" t="s">
        <v>2011</v>
      </c>
      <c r="C442" s="21" t="s">
        <v>2012</v>
      </c>
      <c r="D442" s="21" t="s">
        <v>24</v>
      </c>
      <c r="E442" s="22">
        <v>37912</v>
      </c>
      <c r="F442" s="21" t="s">
        <v>1053</v>
      </c>
      <c r="G442" s="21" t="s">
        <v>2008</v>
      </c>
      <c r="H442" s="21" t="s">
        <v>2013</v>
      </c>
      <c r="I442" s="6" t="str">
        <f>VLOOKUP(CLEAN(F442),'World Bank Categories'!$B$4:$C$220,2,FALSE)</f>
        <v>High income</v>
      </c>
      <c r="J442" s="21" t="s">
        <v>2014</v>
      </c>
      <c r="K442" s="21" t="s">
        <v>29</v>
      </c>
      <c r="L442" s="21" t="s">
        <v>30</v>
      </c>
      <c r="M442" s="21"/>
      <c r="N442" s="21"/>
      <c r="O442" s="21"/>
      <c r="P442" s="21" t="s">
        <v>31</v>
      </c>
      <c r="Q442" s="9" t="s">
        <v>32</v>
      </c>
      <c r="R442" s="18" t="s">
        <v>43</v>
      </c>
      <c r="S442" s="25" t="s">
        <v>2015</v>
      </c>
      <c r="T442" s="27">
        <v>37912</v>
      </c>
      <c r="U442" s="25" t="s">
        <v>2014</v>
      </c>
      <c r="V442" s="25" t="s">
        <v>80</v>
      </c>
      <c r="W442" s="25"/>
    </row>
    <row r="443" spans="1:23" ht="22.5" customHeight="1">
      <c r="A443" s="5">
        <v>46051.763829930554</v>
      </c>
      <c r="B443" s="6" t="s">
        <v>2016</v>
      </c>
      <c r="C443" s="7"/>
      <c r="D443" s="6" t="s">
        <v>24</v>
      </c>
      <c r="E443" s="8">
        <v>35622</v>
      </c>
      <c r="F443" s="6" t="s">
        <v>58</v>
      </c>
      <c r="G443" s="6" t="s">
        <v>2017</v>
      </c>
      <c r="H443" s="6" t="s">
        <v>2018</v>
      </c>
      <c r="I443" s="6" t="str">
        <f>VLOOKUP(CLEAN(F443),'World Bank Categories'!$B$4:$C$220,2,FALSE)</f>
        <v>Middle income</v>
      </c>
      <c r="J443" s="6" t="s">
        <v>2019</v>
      </c>
      <c r="K443" s="6" t="s">
        <v>39</v>
      </c>
      <c r="L443" s="6" t="s">
        <v>30</v>
      </c>
      <c r="M443" s="7"/>
      <c r="N443" s="6"/>
      <c r="O443" s="6"/>
      <c r="P443" s="6" t="s">
        <v>31</v>
      </c>
      <c r="Q443" s="9" t="s">
        <v>32</v>
      </c>
      <c r="R443" s="10" t="s">
        <v>33</v>
      </c>
      <c r="S443" s="11" t="s">
        <v>2020</v>
      </c>
      <c r="T443" s="12"/>
      <c r="U443" s="12"/>
      <c r="V443" s="12"/>
      <c r="W443" s="12"/>
    </row>
    <row r="444" spans="1:23" ht="22.5" customHeight="1">
      <c r="A444" s="20">
        <v>46051.773541666669</v>
      </c>
      <c r="B444" s="21" t="s">
        <v>2021</v>
      </c>
      <c r="C444" s="21" t="s">
        <v>2022</v>
      </c>
      <c r="D444" s="21" t="s">
        <v>45</v>
      </c>
      <c r="E444" s="22">
        <v>30047</v>
      </c>
      <c r="F444" s="21" t="s">
        <v>1053</v>
      </c>
      <c r="G444" s="21" t="s">
        <v>2023</v>
      </c>
      <c r="H444" s="21" t="s">
        <v>2024</v>
      </c>
      <c r="I444" s="6" t="str">
        <f>VLOOKUP(CLEAN(F444),'World Bank Categories'!$B$4:$C$220,2,FALSE)</f>
        <v>High income</v>
      </c>
      <c r="J444" s="21" t="s">
        <v>2025</v>
      </c>
      <c r="K444" s="21" t="s">
        <v>29</v>
      </c>
      <c r="L444" s="21" t="s">
        <v>30</v>
      </c>
      <c r="M444" s="21"/>
      <c r="N444" s="21"/>
      <c r="O444" s="21"/>
      <c r="P444" s="21" t="s">
        <v>31</v>
      </c>
      <c r="Q444" s="9" t="s">
        <v>32</v>
      </c>
      <c r="R444" s="18" t="s">
        <v>43</v>
      </c>
      <c r="S444" s="25" t="s">
        <v>2021</v>
      </c>
      <c r="T444" s="27">
        <v>30047</v>
      </c>
      <c r="U444" s="25" t="s">
        <v>2025</v>
      </c>
      <c r="V444" s="25" t="s">
        <v>80</v>
      </c>
      <c r="W444" s="25"/>
    </row>
    <row r="445" spans="1:23" ht="22.5" customHeight="1">
      <c r="A445" s="46">
        <v>46051.81521990741</v>
      </c>
      <c r="B445" s="47" t="s">
        <v>2026</v>
      </c>
      <c r="C445" s="48"/>
      <c r="D445" s="47" t="s">
        <v>24</v>
      </c>
      <c r="E445" s="49">
        <v>37815</v>
      </c>
      <c r="F445" s="47" t="s">
        <v>1905</v>
      </c>
      <c r="G445" s="47" t="s">
        <v>2017</v>
      </c>
      <c r="H445" s="47" t="s">
        <v>90</v>
      </c>
      <c r="I445" s="6" t="str">
        <f>VLOOKUP(CLEAN(F445),'World Bank Categories'!$B$4:$C$220,2,FALSE)</f>
        <v>Low income</v>
      </c>
      <c r="J445" s="47" t="s">
        <v>2027</v>
      </c>
      <c r="K445" s="47" t="s">
        <v>29</v>
      </c>
      <c r="L445" s="47" t="s">
        <v>30</v>
      </c>
      <c r="M445" s="47"/>
      <c r="N445" s="47"/>
      <c r="O445" s="47"/>
      <c r="P445" s="47" t="s">
        <v>31</v>
      </c>
      <c r="Q445" s="9" t="s">
        <v>32</v>
      </c>
      <c r="R445" s="10"/>
      <c r="S445" s="25" t="s">
        <v>2026</v>
      </c>
      <c r="T445" s="27">
        <v>37815</v>
      </c>
      <c r="U445" s="25" t="s">
        <v>2027</v>
      </c>
      <c r="V445" s="25" t="s">
        <v>80</v>
      </c>
      <c r="W445" s="25"/>
    </row>
    <row r="446" spans="1:23" ht="22.5" customHeight="1">
      <c r="A446" s="20">
        <v>46051.834907407407</v>
      </c>
      <c r="B446" s="21" t="s">
        <v>2028</v>
      </c>
      <c r="C446" s="21" t="s">
        <v>2029</v>
      </c>
      <c r="D446" s="21" t="s">
        <v>24</v>
      </c>
      <c r="E446" s="22">
        <v>38121</v>
      </c>
      <c r="F446" s="21" t="s">
        <v>1053</v>
      </c>
      <c r="G446" s="21" t="s">
        <v>2030</v>
      </c>
      <c r="H446" s="21" t="s">
        <v>66</v>
      </c>
      <c r="I446" s="6" t="str">
        <f>VLOOKUP(CLEAN(F446),'World Bank Categories'!$B$4:$C$220,2,FALSE)</f>
        <v>High income</v>
      </c>
      <c r="J446" s="21" t="s">
        <v>2031</v>
      </c>
      <c r="K446" s="21" t="s">
        <v>29</v>
      </c>
      <c r="L446" s="21" t="s">
        <v>30</v>
      </c>
      <c r="M446" s="21"/>
      <c r="N446" s="21"/>
      <c r="O446" s="21"/>
      <c r="P446" s="21" t="s">
        <v>31</v>
      </c>
      <c r="Q446" s="9" t="s">
        <v>32</v>
      </c>
      <c r="R446" s="18" t="s">
        <v>43</v>
      </c>
      <c r="S446" s="25" t="s">
        <v>2028</v>
      </c>
      <c r="T446" s="27">
        <v>38121</v>
      </c>
      <c r="U446" s="25" t="s">
        <v>2031</v>
      </c>
      <c r="V446" s="25" t="s">
        <v>80</v>
      </c>
      <c r="W446" s="25"/>
    </row>
    <row r="447" spans="1:23" ht="22.5" customHeight="1">
      <c r="A447" s="20">
        <v>46052.001377314817</v>
      </c>
      <c r="B447" s="21" t="s">
        <v>2032</v>
      </c>
      <c r="C447" s="38"/>
      <c r="D447" s="21" t="s">
        <v>45</v>
      </c>
      <c r="E447" s="22">
        <v>31681</v>
      </c>
      <c r="F447" s="21" t="s">
        <v>1932</v>
      </c>
      <c r="G447" s="21" t="s">
        <v>2033</v>
      </c>
      <c r="H447" s="21" t="s">
        <v>111</v>
      </c>
      <c r="I447" s="6" t="str">
        <f>VLOOKUP(CLEAN(F447),'World Bank Categories'!$B$4:$C$220,2,FALSE)</f>
        <v>Middle income</v>
      </c>
      <c r="J447" s="21" t="s">
        <v>2034</v>
      </c>
      <c r="K447" s="21" t="s">
        <v>39</v>
      </c>
      <c r="L447" s="21" t="s">
        <v>621</v>
      </c>
      <c r="M447" s="41"/>
      <c r="N447" s="21"/>
      <c r="O447" s="21"/>
      <c r="P447" s="21" t="s">
        <v>31</v>
      </c>
      <c r="Q447" s="9" t="s">
        <v>32</v>
      </c>
      <c r="R447" s="10" t="s">
        <v>33</v>
      </c>
      <c r="S447" s="25" t="s">
        <v>2035</v>
      </c>
      <c r="T447" s="27">
        <v>31316</v>
      </c>
      <c r="U447" s="25" t="s">
        <v>2034</v>
      </c>
      <c r="V447" s="25" t="s">
        <v>236</v>
      </c>
      <c r="W447" s="25"/>
    </row>
    <row r="448" spans="1:23" ht="22.5" customHeight="1">
      <c r="A448" s="46">
        <v>46052.021180555559</v>
      </c>
      <c r="B448" s="47" t="s">
        <v>2036</v>
      </c>
      <c r="C448" s="47" t="s">
        <v>2037</v>
      </c>
      <c r="D448" s="47" t="s">
        <v>45</v>
      </c>
      <c r="E448" s="49">
        <v>38244</v>
      </c>
      <c r="F448" s="47" t="s">
        <v>1053</v>
      </c>
      <c r="G448" s="47" t="s">
        <v>2038</v>
      </c>
      <c r="H448" s="47" t="s">
        <v>2039</v>
      </c>
      <c r="I448" s="6" t="str">
        <f>VLOOKUP(CLEAN(F448),'World Bank Categories'!$B$4:$C$220,2,FALSE)</f>
        <v>High income</v>
      </c>
      <c r="J448" s="47" t="s">
        <v>2040</v>
      </c>
      <c r="K448" s="47" t="s">
        <v>29</v>
      </c>
      <c r="L448" s="47" t="s">
        <v>162</v>
      </c>
      <c r="M448" s="47"/>
      <c r="N448" s="47"/>
      <c r="O448" s="47"/>
      <c r="P448" s="47" t="s">
        <v>31</v>
      </c>
      <c r="Q448" s="9" t="s">
        <v>32</v>
      </c>
      <c r="R448" s="18" t="s">
        <v>43</v>
      </c>
      <c r="S448" s="25" t="s">
        <v>2041</v>
      </c>
      <c r="T448" s="27">
        <v>38244</v>
      </c>
      <c r="U448" s="25" t="s">
        <v>2040</v>
      </c>
      <c r="V448" s="25" t="s">
        <v>154</v>
      </c>
      <c r="W448" s="25"/>
    </row>
    <row r="449" spans="1:23" ht="22.5" customHeight="1">
      <c r="A449" s="13">
        <v>46052.178642314815</v>
      </c>
      <c r="B449" s="14" t="s">
        <v>2042</v>
      </c>
      <c r="C449" s="15"/>
      <c r="D449" s="14" t="s">
        <v>45</v>
      </c>
      <c r="E449" s="16">
        <v>29271</v>
      </c>
      <c r="F449" s="14" t="s">
        <v>232</v>
      </c>
      <c r="G449" s="14" t="s">
        <v>648</v>
      </c>
      <c r="H449" s="14" t="s">
        <v>186</v>
      </c>
      <c r="I449" s="6" t="str">
        <f>VLOOKUP(CLEAN(F449),'World Bank Categories'!$B$4:$C$220,2,FALSE)</f>
        <v>Middle income</v>
      </c>
      <c r="J449" s="14" t="s">
        <v>2043</v>
      </c>
      <c r="K449" s="14" t="s">
        <v>29</v>
      </c>
      <c r="L449" s="14" t="s">
        <v>162</v>
      </c>
      <c r="M449" s="14" t="s">
        <v>2044</v>
      </c>
      <c r="N449" s="6" t="s">
        <v>2045</v>
      </c>
      <c r="O449" s="14" t="s">
        <v>2046</v>
      </c>
      <c r="P449" s="14" t="s">
        <v>31</v>
      </c>
      <c r="Q449" s="9" t="s">
        <v>32</v>
      </c>
      <c r="R449" s="18" t="s">
        <v>43</v>
      </c>
      <c r="S449" s="19" t="s">
        <v>2042</v>
      </c>
      <c r="T449" s="12"/>
      <c r="U449" s="12"/>
      <c r="V449" s="12"/>
      <c r="W449" s="12"/>
    </row>
    <row r="450" spans="1:23" ht="22.5" customHeight="1">
      <c r="A450" s="20">
        <v>46052.570428240739</v>
      </c>
      <c r="B450" s="21" t="s">
        <v>2047</v>
      </c>
      <c r="C450" s="38"/>
      <c r="D450" s="21" t="s">
        <v>45</v>
      </c>
      <c r="E450" s="22">
        <v>35581</v>
      </c>
      <c r="F450" s="21" t="s">
        <v>245</v>
      </c>
      <c r="G450" s="21" t="s">
        <v>2048</v>
      </c>
      <c r="H450" s="21" t="s">
        <v>418</v>
      </c>
      <c r="I450" s="6" t="str">
        <f>VLOOKUP(CLEAN(F450),'World Bank Categories'!$B$4:$C$220,2,FALSE)</f>
        <v>Middle income</v>
      </c>
      <c r="J450" s="21" t="s">
        <v>2049</v>
      </c>
      <c r="K450" s="21" t="s">
        <v>39</v>
      </c>
      <c r="L450" s="21" t="s">
        <v>152</v>
      </c>
      <c r="M450" s="21" t="s">
        <v>2050</v>
      </c>
      <c r="N450" s="21"/>
      <c r="O450" s="21"/>
      <c r="P450" s="21" t="s">
        <v>31</v>
      </c>
      <c r="Q450" s="9" t="s">
        <v>32</v>
      </c>
      <c r="R450" s="10"/>
      <c r="S450" s="25" t="s">
        <v>2051</v>
      </c>
      <c r="T450" s="27">
        <v>35581</v>
      </c>
      <c r="U450" s="25" t="s">
        <v>2049</v>
      </c>
      <c r="V450" s="25" t="s">
        <v>80</v>
      </c>
      <c r="W450" s="25"/>
    </row>
    <row r="451" spans="1:23" ht="22.5" customHeight="1">
      <c r="A451" s="20">
        <v>46052.660381944443</v>
      </c>
      <c r="B451" s="21" t="s">
        <v>2052</v>
      </c>
      <c r="C451" s="38"/>
      <c r="D451" s="21" t="s">
        <v>45</v>
      </c>
      <c r="E451" s="22">
        <v>33592</v>
      </c>
      <c r="F451" s="21" t="s">
        <v>2053</v>
      </c>
      <c r="G451" s="21" t="s">
        <v>2054</v>
      </c>
      <c r="H451" s="21" t="s">
        <v>2055</v>
      </c>
      <c r="I451" s="6" t="str">
        <f>VLOOKUP(CLEAN(F451),'World Bank Categories'!$B$4:$C$220,2,FALSE)</f>
        <v>Middle income</v>
      </c>
      <c r="J451" s="21" t="s">
        <v>2056</v>
      </c>
      <c r="K451" s="21" t="s">
        <v>29</v>
      </c>
      <c r="L451" s="21" t="s">
        <v>30</v>
      </c>
      <c r="M451" s="21"/>
      <c r="N451" s="21"/>
      <c r="O451" s="21"/>
      <c r="P451" s="21" t="s">
        <v>31</v>
      </c>
      <c r="Q451" s="9" t="s">
        <v>32</v>
      </c>
      <c r="R451" s="18" t="s">
        <v>43</v>
      </c>
      <c r="S451" s="25" t="s">
        <v>2052</v>
      </c>
      <c r="T451" s="27">
        <v>33592</v>
      </c>
      <c r="U451" s="25" t="s">
        <v>2056</v>
      </c>
      <c r="V451" s="25" t="s">
        <v>80</v>
      </c>
      <c r="W451" s="25"/>
    </row>
    <row r="452" spans="1:23" ht="22.5" customHeight="1">
      <c r="A452" s="20">
        <v>46052.813969907409</v>
      </c>
      <c r="B452" s="21" t="s">
        <v>2057</v>
      </c>
      <c r="C452" s="21" t="s">
        <v>2058</v>
      </c>
      <c r="D452" s="21" t="s">
        <v>24</v>
      </c>
      <c r="E452" s="22">
        <v>36753</v>
      </c>
      <c r="F452" s="21" t="s">
        <v>416</v>
      </c>
      <c r="G452" s="21" t="s">
        <v>2059</v>
      </c>
      <c r="H452" s="21" t="s">
        <v>368</v>
      </c>
      <c r="I452" s="6" t="str">
        <f>VLOOKUP(CLEAN(F452),'World Bank Categories'!$B$4:$C$220,2,FALSE)</f>
        <v>Middle income</v>
      </c>
      <c r="J452" s="21" t="s">
        <v>2060</v>
      </c>
      <c r="K452" s="21" t="s">
        <v>29</v>
      </c>
      <c r="L452" s="21" t="s">
        <v>30</v>
      </c>
      <c r="M452" s="21"/>
      <c r="N452" s="21"/>
      <c r="O452" s="21"/>
      <c r="P452" s="21" t="s">
        <v>31</v>
      </c>
      <c r="Q452" s="9" t="s">
        <v>32</v>
      </c>
      <c r="R452" s="24"/>
      <c r="S452" s="25"/>
      <c r="T452" s="26"/>
      <c r="U452" s="25"/>
      <c r="V452" s="25"/>
      <c r="W452" s="25"/>
    </row>
    <row r="453" spans="1:23" ht="22.5" customHeight="1">
      <c r="A453" s="20">
        <v>46052.886030092595</v>
      </c>
      <c r="B453" s="21" t="s">
        <v>2061</v>
      </c>
      <c r="C453" s="21" t="s">
        <v>2062</v>
      </c>
      <c r="D453" s="21" t="s">
        <v>24</v>
      </c>
      <c r="E453" s="22">
        <v>38231</v>
      </c>
      <c r="F453" s="21" t="s">
        <v>1053</v>
      </c>
      <c r="G453" s="21" t="s">
        <v>2063</v>
      </c>
      <c r="H453" s="21" t="s">
        <v>66</v>
      </c>
      <c r="I453" s="6" t="str">
        <f>VLOOKUP(CLEAN(F453),'World Bank Categories'!$B$4:$C$220,2,FALSE)</f>
        <v>High income</v>
      </c>
      <c r="J453" s="21" t="s">
        <v>2064</v>
      </c>
      <c r="K453" s="21" t="s">
        <v>29</v>
      </c>
      <c r="L453" s="21" t="s">
        <v>30</v>
      </c>
      <c r="M453" s="21"/>
      <c r="N453" s="21"/>
      <c r="O453" s="21"/>
      <c r="P453" s="21" t="s">
        <v>31</v>
      </c>
      <c r="Q453" s="9" t="s">
        <v>32</v>
      </c>
      <c r="R453" s="10" t="s">
        <v>43</v>
      </c>
      <c r="S453" s="25" t="s">
        <v>2061</v>
      </c>
      <c r="T453" s="27">
        <v>38231</v>
      </c>
      <c r="U453" s="25" t="s">
        <v>2064</v>
      </c>
      <c r="V453" s="25" t="s">
        <v>80</v>
      </c>
      <c r="W453" s="25"/>
    </row>
    <row r="454" spans="1:23" ht="22.5" customHeight="1">
      <c r="A454" s="20">
        <v>46052.905624999999</v>
      </c>
      <c r="B454" s="21" t="s">
        <v>2065</v>
      </c>
      <c r="C454" s="38"/>
      <c r="D454" s="21" t="s">
        <v>45</v>
      </c>
      <c r="E454" s="22">
        <v>28783</v>
      </c>
      <c r="F454" s="21" t="s">
        <v>2066</v>
      </c>
      <c r="G454" s="21" t="s">
        <v>2067</v>
      </c>
      <c r="H454" s="21" t="s">
        <v>2068</v>
      </c>
      <c r="I454" s="6" t="str">
        <f>VLOOKUP(CLEAN(F454),'World Bank Categories'!$B$4:$C$220,2,FALSE)</f>
        <v>High income</v>
      </c>
      <c r="J454" s="21" t="s">
        <v>2069</v>
      </c>
      <c r="K454" s="21" t="s">
        <v>29</v>
      </c>
      <c r="L454" s="21" t="s">
        <v>30</v>
      </c>
      <c r="M454" s="21"/>
      <c r="N454" s="21"/>
      <c r="O454" s="21"/>
      <c r="P454" s="21" t="s">
        <v>31</v>
      </c>
      <c r="Q454" s="9" t="s">
        <v>32</v>
      </c>
      <c r="R454" s="18" t="s">
        <v>33</v>
      </c>
      <c r="S454" s="25" t="s">
        <v>2065</v>
      </c>
      <c r="T454" s="27">
        <v>28783</v>
      </c>
      <c r="U454" s="25" t="s">
        <v>2069</v>
      </c>
      <c r="V454" s="25" t="s">
        <v>80</v>
      </c>
      <c r="W454" s="25"/>
    </row>
    <row r="455" spans="1:23" ht="22.5" customHeight="1">
      <c r="A455" s="50">
        <v>46052.907951388886</v>
      </c>
      <c r="B455" s="51" t="s">
        <v>2070</v>
      </c>
      <c r="C455" s="52"/>
      <c r="D455" s="51" t="s">
        <v>24</v>
      </c>
      <c r="E455" s="53">
        <v>36060</v>
      </c>
      <c r="F455" s="51" t="s">
        <v>198</v>
      </c>
      <c r="G455" s="51" t="s">
        <v>2071</v>
      </c>
      <c r="H455" s="51" t="s">
        <v>2072</v>
      </c>
      <c r="I455" s="6" t="str">
        <f>VLOOKUP(CLEAN(F455),'World Bank Categories'!$B$4:$C$220,2,FALSE)</f>
        <v>Middle income</v>
      </c>
      <c r="J455" s="51" t="s">
        <v>2073</v>
      </c>
      <c r="K455" s="51" t="s">
        <v>29</v>
      </c>
      <c r="L455" s="51" t="s">
        <v>30</v>
      </c>
      <c r="M455" s="51" t="s">
        <v>2074</v>
      </c>
      <c r="N455" s="21" t="s">
        <v>2075</v>
      </c>
      <c r="O455" s="14" t="s">
        <v>301</v>
      </c>
      <c r="P455" s="51" t="s">
        <v>31</v>
      </c>
      <c r="Q455" s="9" t="s">
        <v>32</v>
      </c>
      <c r="R455" s="10"/>
      <c r="S455" s="25" t="s">
        <v>2070</v>
      </c>
      <c r="T455" s="27">
        <v>36060</v>
      </c>
      <c r="U455" s="25" t="s">
        <v>2076</v>
      </c>
      <c r="V455" s="25" t="s">
        <v>80</v>
      </c>
      <c r="W455" s="25"/>
    </row>
    <row r="456" spans="1:23" ht="22.5" customHeight="1">
      <c r="A456" s="20">
        <v>46052.908622685187</v>
      </c>
      <c r="B456" s="21" t="s">
        <v>2077</v>
      </c>
      <c r="C456" s="21" t="s">
        <v>2078</v>
      </c>
      <c r="D456" s="21" t="s">
        <v>24</v>
      </c>
      <c r="E456" s="22">
        <v>37775</v>
      </c>
      <c r="F456" s="21" t="s">
        <v>1053</v>
      </c>
      <c r="G456" s="21" t="s">
        <v>2063</v>
      </c>
      <c r="H456" s="21" t="s">
        <v>2079</v>
      </c>
      <c r="I456" s="6" t="str">
        <f>VLOOKUP(CLEAN(F456),'World Bank Categories'!$B$4:$C$220,2,FALSE)</f>
        <v>High income</v>
      </c>
      <c r="J456" s="21" t="s">
        <v>2080</v>
      </c>
      <c r="K456" s="21" t="s">
        <v>29</v>
      </c>
      <c r="L456" s="21" t="s">
        <v>30</v>
      </c>
      <c r="M456" s="41"/>
      <c r="N456" s="21"/>
      <c r="O456" s="21"/>
      <c r="P456" s="21" t="s">
        <v>31</v>
      </c>
      <c r="Q456" s="9" t="s">
        <v>32</v>
      </c>
      <c r="R456" s="18" t="s">
        <v>43</v>
      </c>
      <c r="S456" s="25" t="s">
        <v>2081</v>
      </c>
      <c r="T456" s="27">
        <v>37775</v>
      </c>
      <c r="U456" s="25" t="s">
        <v>2080</v>
      </c>
      <c r="V456" s="25" t="s">
        <v>154</v>
      </c>
      <c r="W456" s="25"/>
    </row>
    <row r="457" spans="1:23" ht="22.5" customHeight="1">
      <c r="A457" s="20">
        <v>46052.942743055559</v>
      </c>
      <c r="B457" s="21" t="s">
        <v>2082</v>
      </c>
      <c r="C457" s="21" t="s">
        <v>2083</v>
      </c>
      <c r="D457" s="21" t="s">
        <v>45</v>
      </c>
      <c r="E457" s="22">
        <v>37230</v>
      </c>
      <c r="F457" s="21" t="s">
        <v>1053</v>
      </c>
      <c r="G457" s="21" t="s">
        <v>2084</v>
      </c>
      <c r="H457" s="21" t="s">
        <v>66</v>
      </c>
      <c r="I457" s="6" t="str">
        <f>VLOOKUP(CLEAN(F457),'World Bank Categories'!$B$4:$C$220,2,FALSE)</f>
        <v>High income</v>
      </c>
      <c r="J457" s="21" t="s">
        <v>2085</v>
      </c>
      <c r="K457" s="21" t="s">
        <v>29</v>
      </c>
      <c r="L457" s="21" t="s">
        <v>30</v>
      </c>
      <c r="M457" s="21"/>
      <c r="N457" s="21"/>
      <c r="O457" s="21"/>
      <c r="P457" s="21" t="s">
        <v>31</v>
      </c>
      <c r="Q457" s="9" t="s">
        <v>32</v>
      </c>
      <c r="R457" s="10" t="s">
        <v>43</v>
      </c>
      <c r="S457" s="25" t="s">
        <v>2086</v>
      </c>
      <c r="T457" s="27">
        <v>37230</v>
      </c>
      <c r="U457" s="25" t="s">
        <v>2085</v>
      </c>
      <c r="V457" s="25" t="s">
        <v>154</v>
      </c>
      <c r="W457" s="25"/>
    </row>
    <row r="458" spans="1:23" ht="22.5" customHeight="1">
      <c r="A458" s="20">
        <v>46052.955891203703</v>
      </c>
      <c r="B458" s="21" t="s">
        <v>2087</v>
      </c>
      <c r="C458" s="21" t="s">
        <v>2088</v>
      </c>
      <c r="D458" s="21" t="s">
        <v>24</v>
      </c>
      <c r="E458" s="22">
        <v>38616</v>
      </c>
      <c r="F458" s="21" t="s">
        <v>1053</v>
      </c>
      <c r="G458" s="21" t="s">
        <v>2089</v>
      </c>
      <c r="H458" s="21" t="s">
        <v>66</v>
      </c>
      <c r="I458" s="6" t="str">
        <f>VLOOKUP(CLEAN(F458),'World Bank Categories'!$B$4:$C$220,2,FALSE)</f>
        <v>High income</v>
      </c>
      <c r="J458" s="21" t="s">
        <v>2090</v>
      </c>
      <c r="K458" s="21" t="s">
        <v>29</v>
      </c>
      <c r="L458" s="21" t="s">
        <v>30</v>
      </c>
      <c r="M458" s="21"/>
      <c r="N458" s="21"/>
      <c r="O458" s="21"/>
      <c r="P458" s="21" t="s">
        <v>31</v>
      </c>
      <c r="Q458" s="9" t="s">
        <v>32</v>
      </c>
      <c r="R458" s="18" t="s">
        <v>43</v>
      </c>
      <c r="S458" s="25" t="s">
        <v>2091</v>
      </c>
      <c r="T458" s="27">
        <v>38616</v>
      </c>
      <c r="U458" s="25" t="s">
        <v>2090</v>
      </c>
      <c r="V458" s="25" t="s">
        <v>80</v>
      </c>
      <c r="W458" s="25"/>
    </row>
    <row r="459" spans="1:23" ht="22.5" customHeight="1">
      <c r="A459" s="20">
        <v>46052.958414351851</v>
      </c>
      <c r="B459" s="21" t="s">
        <v>2092</v>
      </c>
      <c r="C459" s="38"/>
      <c r="D459" s="21" t="s">
        <v>45</v>
      </c>
      <c r="E459" s="22">
        <v>33501</v>
      </c>
      <c r="F459" s="21" t="s">
        <v>2093</v>
      </c>
      <c r="G459" s="21" t="s">
        <v>2094</v>
      </c>
      <c r="H459" s="21" t="s">
        <v>2095</v>
      </c>
      <c r="I459" s="6" t="str">
        <f>VLOOKUP(CLEAN(F459),'World Bank Categories'!$B$4:$C$220,2,FALSE)</f>
        <v>Middle income</v>
      </c>
      <c r="J459" s="21" t="s">
        <v>2096</v>
      </c>
      <c r="K459" s="21" t="s">
        <v>29</v>
      </c>
      <c r="L459" s="21" t="s">
        <v>30</v>
      </c>
      <c r="M459" s="21" t="s">
        <v>2097</v>
      </c>
      <c r="N459" s="54" t="s">
        <v>2098</v>
      </c>
      <c r="O459" s="14" t="s">
        <v>365</v>
      </c>
      <c r="P459" s="21" t="s">
        <v>31</v>
      </c>
      <c r="Q459" s="9" t="s">
        <v>32</v>
      </c>
      <c r="R459" s="10"/>
      <c r="S459" s="25" t="s">
        <v>2099</v>
      </c>
      <c r="T459" s="27">
        <v>33501</v>
      </c>
      <c r="U459" s="25" t="s">
        <v>2096</v>
      </c>
      <c r="V459" s="25" t="s">
        <v>463</v>
      </c>
      <c r="W459" s="25"/>
    </row>
    <row r="460" spans="1:23" ht="22.5" customHeight="1">
      <c r="A460" s="20">
        <v>46052.968506944446</v>
      </c>
      <c r="B460" s="21" t="s">
        <v>2100</v>
      </c>
      <c r="C460" s="21" t="s">
        <v>2101</v>
      </c>
      <c r="D460" s="21" t="s">
        <v>24</v>
      </c>
      <c r="E460" s="22">
        <v>37548</v>
      </c>
      <c r="F460" s="21" t="s">
        <v>1053</v>
      </c>
      <c r="G460" s="21" t="s">
        <v>2102</v>
      </c>
      <c r="H460" s="21" t="s">
        <v>2103</v>
      </c>
      <c r="I460" s="6" t="str">
        <f>VLOOKUP(CLEAN(F460),'World Bank Categories'!$B$4:$C$220,2,FALSE)</f>
        <v>High income</v>
      </c>
      <c r="J460" s="21" t="s">
        <v>2104</v>
      </c>
      <c r="K460" s="21" t="s">
        <v>29</v>
      </c>
      <c r="L460" s="21" t="s">
        <v>162</v>
      </c>
      <c r="M460" s="21"/>
      <c r="N460" s="21"/>
      <c r="O460" s="21"/>
      <c r="P460" s="21" t="s">
        <v>31</v>
      </c>
      <c r="Q460" s="9" t="s">
        <v>32</v>
      </c>
      <c r="R460" s="18" t="s">
        <v>43</v>
      </c>
      <c r="S460" s="25" t="s">
        <v>2105</v>
      </c>
      <c r="T460" s="27">
        <v>37548</v>
      </c>
      <c r="U460" s="25" t="s">
        <v>2104</v>
      </c>
      <c r="V460" s="25" t="s">
        <v>154</v>
      </c>
      <c r="W460" s="25"/>
    </row>
    <row r="461" spans="1:23" ht="22.5" customHeight="1">
      <c r="A461" s="20">
        <v>46053.112071759257</v>
      </c>
      <c r="B461" s="21" t="s">
        <v>2106</v>
      </c>
      <c r="C461" s="38"/>
      <c r="D461" s="21" t="s">
        <v>45</v>
      </c>
      <c r="E461" s="22">
        <v>32247</v>
      </c>
      <c r="F461" s="21" t="s">
        <v>1387</v>
      </c>
      <c r="G461" s="21" t="s">
        <v>2107</v>
      </c>
      <c r="H461" s="21" t="s">
        <v>90</v>
      </c>
      <c r="I461" s="6" t="str">
        <f>VLOOKUP(CLEAN(F461),'World Bank Categories'!$B$4:$C$220,2,FALSE)</f>
        <v>Middle income</v>
      </c>
      <c r="J461" s="21" t="s">
        <v>2108</v>
      </c>
      <c r="K461" s="21" t="s">
        <v>29</v>
      </c>
      <c r="L461" s="21" t="s">
        <v>30</v>
      </c>
      <c r="M461" s="21"/>
      <c r="N461" s="21"/>
      <c r="O461" s="21"/>
      <c r="P461" s="21" t="s">
        <v>31</v>
      </c>
      <c r="Q461" s="9" t="s">
        <v>32</v>
      </c>
      <c r="R461" s="10" t="s">
        <v>33</v>
      </c>
      <c r="S461" s="25" t="s">
        <v>2106</v>
      </c>
      <c r="T461" s="27">
        <v>32247</v>
      </c>
      <c r="U461" s="25" t="s">
        <v>2108</v>
      </c>
      <c r="V461" s="25" t="s">
        <v>80</v>
      </c>
      <c r="W461" s="25"/>
    </row>
    <row r="462" spans="1:23" ht="22.5" customHeight="1">
      <c r="A462" s="28">
        <v>46053.116875</v>
      </c>
      <c r="B462" s="29" t="s">
        <v>2109</v>
      </c>
      <c r="C462" s="29" t="s">
        <v>2110</v>
      </c>
      <c r="D462" s="29" t="s">
        <v>24</v>
      </c>
      <c r="E462" s="30">
        <v>32095</v>
      </c>
      <c r="F462" s="29" t="s">
        <v>1387</v>
      </c>
      <c r="G462" s="29" t="s">
        <v>2111</v>
      </c>
      <c r="H462" s="29" t="s">
        <v>2112</v>
      </c>
      <c r="I462" s="6" t="str">
        <f>VLOOKUP(CLEAN(F462),'World Bank Categories'!$B$4:$C$220,2,FALSE)</f>
        <v>Middle income</v>
      </c>
      <c r="J462" s="29" t="s">
        <v>2110</v>
      </c>
      <c r="K462" s="29" t="s">
        <v>29</v>
      </c>
      <c r="L462" s="29" t="s">
        <v>30</v>
      </c>
      <c r="M462" s="62"/>
      <c r="N462" s="29"/>
      <c r="O462" s="29"/>
      <c r="P462" s="29" t="s">
        <v>31</v>
      </c>
      <c r="Q462" s="9" t="s">
        <v>32</v>
      </c>
      <c r="R462" s="18"/>
      <c r="S462" s="25" t="s">
        <v>2109</v>
      </c>
      <c r="T462" s="27">
        <v>32095</v>
      </c>
      <c r="U462" s="25" t="s">
        <v>2110</v>
      </c>
      <c r="V462" s="25" t="s">
        <v>80</v>
      </c>
      <c r="W462" s="25"/>
    </row>
    <row r="463" spans="1:23" ht="22.5" customHeight="1">
      <c r="A463" s="20">
        <v>46053.123240740744</v>
      </c>
      <c r="B463" s="21" t="s">
        <v>2113</v>
      </c>
      <c r="C463" s="38"/>
      <c r="D463" s="21" t="s">
        <v>24</v>
      </c>
      <c r="E463" s="22">
        <v>34897</v>
      </c>
      <c r="F463" s="21" t="s">
        <v>2114</v>
      </c>
      <c r="G463" s="21" t="s">
        <v>2115</v>
      </c>
      <c r="H463" s="21" t="s">
        <v>2116</v>
      </c>
      <c r="I463" s="6" t="str">
        <f>VLOOKUP(CLEAN(F463),'World Bank Categories'!$B$4:$C$220,2,FALSE)</f>
        <v>Middle income</v>
      </c>
      <c r="J463" s="21" t="s">
        <v>2117</v>
      </c>
      <c r="K463" s="21" t="s">
        <v>39</v>
      </c>
      <c r="L463" s="21" t="s">
        <v>30</v>
      </c>
      <c r="M463" s="21"/>
      <c r="N463" s="21"/>
      <c r="O463" s="21"/>
      <c r="P463" s="21" t="s">
        <v>31</v>
      </c>
      <c r="Q463" s="9" t="s">
        <v>32</v>
      </c>
      <c r="R463" s="10" t="s">
        <v>33</v>
      </c>
      <c r="S463" s="25" t="s">
        <v>2118</v>
      </c>
      <c r="T463" s="27">
        <v>34897</v>
      </c>
      <c r="U463" s="25" t="s">
        <v>2117</v>
      </c>
      <c r="V463" s="25" t="s">
        <v>80</v>
      </c>
      <c r="W463" s="25"/>
    </row>
    <row r="464" spans="1:23" ht="22.5" customHeight="1">
      <c r="A464" s="20">
        <v>46053.165034722224</v>
      </c>
      <c r="B464" s="21" t="s">
        <v>2119</v>
      </c>
      <c r="C464" s="38"/>
      <c r="D464" s="21" t="s">
        <v>24</v>
      </c>
      <c r="E464" s="22">
        <v>32650</v>
      </c>
      <c r="F464" s="21" t="s">
        <v>88</v>
      </c>
      <c r="G464" s="21" t="s">
        <v>2120</v>
      </c>
      <c r="H464" s="21" t="s">
        <v>2121</v>
      </c>
      <c r="I464" s="6" t="str">
        <f>VLOOKUP(CLEAN(F464),'World Bank Categories'!$B$4:$C$220,2,FALSE)</f>
        <v>Low income</v>
      </c>
      <c r="J464" s="21" t="s">
        <v>2122</v>
      </c>
      <c r="K464" s="21" t="s">
        <v>29</v>
      </c>
      <c r="L464" s="21" t="s">
        <v>30</v>
      </c>
      <c r="M464" s="21" t="s">
        <v>2123</v>
      </c>
      <c r="N464" s="21"/>
      <c r="O464" s="21"/>
      <c r="P464" s="21" t="s">
        <v>31</v>
      </c>
      <c r="Q464" s="9" t="s">
        <v>32</v>
      </c>
      <c r="R464" s="18"/>
      <c r="S464" s="25" t="s">
        <v>2119</v>
      </c>
      <c r="T464" s="27">
        <v>32650</v>
      </c>
      <c r="U464" s="25" t="s">
        <v>2122</v>
      </c>
      <c r="V464" s="25" t="s">
        <v>80</v>
      </c>
      <c r="W464" s="25"/>
    </row>
    <row r="465" spans="1:23" ht="22.5" customHeight="1">
      <c r="A465" s="20">
        <v>46053.191458333335</v>
      </c>
      <c r="B465" s="21" t="s">
        <v>2124</v>
      </c>
      <c r="C465" s="38"/>
      <c r="D465" s="21" t="s">
        <v>45</v>
      </c>
      <c r="E465" s="22">
        <v>26066</v>
      </c>
      <c r="F465" s="21" t="s">
        <v>198</v>
      </c>
      <c r="G465" s="21" t="s">
        <v>2125</v>
      </c>
      <c r="H465" s="21" t="s">
        <v>933</v>
      </c>
      <c r="I465" s="6" t="str">
        <f>VLOOKUP(CLEAN(F465),'World Bank Categories'!$B$4:$C$220,2,FALSE)</f>
        <v>Middle income</v>
      </c>
      <c r="J465" s="21" t="s">
        <v>2126</v>
      </c>
      <c r="K465" s="21" t="s">
        <v>39</v>
      </c>
      <c r="L465" s="21" t="s">
        <v>621</v>
      </c>
      <c r="M465" s="21" t="s">
        <v>2127</v>
      </c>
      <c r="N465" s="21"/>
      <c r="O465" s="21"/>
      <c r="P465" s="21" t="s">
        <v>31</v>
      </c>
      <c r="Q465" s="9" t="s">
        <v>32</v>
      </c>
      <c r="R465" s="10" t="s">
        <v>43</v>
      </c>
      <c r="S465" s="25" t="s">
        <v>2128</v>
      </c>
      <c r="T465" s="27">
        <v>26066</v>
      </c>
      <c r="U465" s="25" t="s">
        <v>2126</v>
      </c>
      <c r="V465" s="25" t="s">
        <v>80</v>
      </c>
      <c r="W465" s="25"/>
    </row>
    <row r="466" spans="1:23" ht="22.5" customHeight="1">
      <c r="A466" s="20">
        <v>46053.402511574073</v>
      </c>
      <c r="B466" s="21" t="s">
        <v>2129</v>
      </c>
      <c r="C466" s="38"/>
      <c r="D466" s="21" t="s">
        <v>24</v>
      </c>
      <c r="E466" s="22">
        <v>35625</v>
      </c>
      <c r="F466" s="21" t="s">
        <v>245</v>
      </c>
      <c r="G466" s="21" t="s">
        <v>2130</v>
      </c>
      <c r="H466" s="21" t="s">
        <v>186</v>
      </c>
      <c r="I466" s="6" t="str">
        <f>VLOOKUP(CLEAN(F466),'World Bank Categories'!$B$4:$C$220,2,FALSE)</f>
        <v>Middle income</v>
      </c>
      <c r="J466" s="21" t="s">
        <v>2131</v>
      </c>
      <c r="K466" s="21" t="s">
        <v>39</v>
      </c>
      <c r="L466" s="21" t="s">
        <v>152</v>
      </c>
      <c r="M466" s="21" t="s">
        <v>2132</v>
      </c>
      <c r="N466" s="21"/>
      <c r="O466" s="21"/>
      <c r="P466" s="21" t="s">
        <v>31</v>
      </c>
      <c r="Q466" s="9" t="s">
        <v>32</v>
      </c>
      <c r="R466" s="18"/>
      <c r="S466" s="25" t="s">
        <v>2129</v>
      </c>
      <c r="T466" s="27">
        <v>35625</v>
      </c>
      <c r="U466" s="25" t="s">
        <v>2131</v>
      </c>
      <c r="V466" s="25" t="s">
        <v>80</v>
      </c>
      <c r="W466" s="25"/>
    </row>
    <row r="467" spans="1:23" ht="22.5" customHeight="1">
      <c r="A467" s="20">
        <v>46053.413263888891</v>
      </c>
      <c r="B467" s="21" t="s">
        <v>2133</v>
      </c>
      <c r="C467" s="21" t="s">
        <v>2134</v>
      </c>
      <c r="D467" s="21" t="s">
        <v>45</v>
      </c>
      <c r="E467" s="22">
        <v>35811</v>
      </c>
      <c r="F467" s="21" t="s">
        <v>1053</v>
      </c>
      <c r="G467" s="21" t="s">
        <v>2135</v>
      </c>
      <c r="H467" s="21" t="s">
        <v>2136</v>
      </c>
      <c r="I467" s="6" t="str">
        <f>VLOOKUP(CLEAN(F467),'World Bank Categories'!$B$4:$C$220,2,FALSE)</f>
        <v>High income</v>
      </c>
      <c r="J467" s="21" t="s">
        <v>2137</v>
      </c>
      <c r="K467" s="21" t="s">
        <v>29</v>
      </c>
      <c r="L467" s="21" t="s">
        <v>30</v>
      </c>
      <c r="M467" s="41"/>
      <c r="N467" s="21"/>
      <c r="O467" s="21"/>
      <c r="P467" s="21" t="s">
        <v>31</v>
      </c>
      <c r="Q467" s="9" t="s">
        <v>32</v>
      </c>
      <c r="R467" s="10" t="s">
        <v>43</v>
      </c>
      <c r="S467" s="25" t="s">
        <v>2133</v>
      </c>
      <c r="T467" s="27">
        <v>35811</v>
      </c>
      <c r="U467" s="25" t="s">
        <v>2137</v>
      </c>
      <c r="V467" s="25" t="s">
        <v>80</v>
      </c>
      <c r="W467" s="25"/>
    </row>
    <row r="468" spans="1:23" ht="22.5" customHeight="1">
      <c r="A468" s="20">
        <v>46053.440127314818</v>
      </c>
      <c r="B468" s="21" t="s">
        <v>2138</v>
      </c>
      <c r="C468" s="38"/>
      <c r="D468" s="21" t="s">
        <v>45</v>
      </c>
      <c r="E468" s="22">
        <v>29980</v>
      </c>
      <c r="F468" s="21" t="s">
        <v>2139</v>
      </c>
      <c r="G468" s="21" t="s">
        <v>2140</v>
      </c>
      <c r="H468" s="21" t="s">
        <v>2141</v>
      </c>
      <c r="I468" s="6" t="e">
        <f>VLOOKUP(CLEAN(F468),'World Bank Categories'!$B$4:$C$220,2,FALSE)</f>
        <v>#N/A</v>
      </c>
      <c r="J468" s="21" t="s">
        <v>2142</v>
      </c>
      <c r="K468" s="21" t="s">
        <v>29</v>
      </c>
      <c r="L468" s="21" t="s">
        <v>524</v>
      </c>
      <c r="M468" s="21"/>
      <c r="N468" s="21"/>
      <c r="O468" s="21"/>
      <c r="P468" s="21" t="s">
        <v>31</v>
      </c>
      <c r="Q468" s="9" t="s">
        <v>32</v>
      </c>
      <c r="R468" s="18" t="s">
        <v>33</v>
      </c>
      <c r="S468" s="25" t="s">
        <v>2138</v>
      </c>
      <c r="T468" s="27">
        <v>29980</v>
      </c>
      <c r="U468" s="25" t="s">
        <v>2142</v>
      </c>
      <c r="V468" s="25" t="s">
        <v>80</v>
      </c>
      <c r="W468" s="25"/>
    </row>
    <row r="469" spans="1:23" ht="22.5" customHeight="1">
      <c r="A469" s="20">
        <v>46053.442442129628</v>
      </c>
      <c r="B469" s="21" t="s">
        <v>2143</v>
      </c>
      <c r="C469" s="21" t="s">
        <v>2144</v>
      </c>
      <c r="D469" s="21" t="s">
        <v>24</v>
      </c>
      <c r="E469" s="22">
        <v>34618</v>
      </c>
      <c r="F469" s="21" t="s">
        <v>1053</v>
      </c>
      <c r="G469" s="21" t="s">
        <v>2145</v>
      </c>
      <c r="H469" s="21" t="s">
        <v>2146</v>
      </c>
      <c r="I469" s="6" t="str">
        <f>VLOOKUP(CLEAN(F469),'World Bank Categories'!$B$4:$C$220,2,FALSE)</f>
        <v>High income</v>
      </c>
      <c r="J469" s="21" t="s">
        <v>2147</v>
      </c>
      <c r="K469" s="21" t="s">
        <v>39</v>
      </c>
      <c r="L469" s="21" t="s">
        <v>621</v>
      </c>
      <c r="M469" s="21"/>
      <c r="N469" s="21"/>
      <c r="O469" s="21"/>
      <c r="P469" s="21" t="s">
        <v>31</v>
      </c>
      <c r="Q469" s="9" t="s">
        <v>32</v>
      </c>
      <c r="R469" s="10" t="s">
        <v>43</v>
      </c>
      <c r="S469" s="25" t="s">
        <v>2143</v>
      </c>
      <c r="T469" s="27">
        <v>34618</v>
      </c>
      <c r="U469" s="25" t="s">
        <v>2147</v>
      </c>
      <c r="V469" s="25" t="s">
        <v>80</v>
      </c>
      <c r="W469" s="25"/>
    </row>
    <row r="470" spans="1:23" ht="22.5" customHeight="1">
      <c r="A470" s="20">
        <v>46053.45</v>
      </c>
      <c r="B470" s="21" t="s">
        <v>2148</v>
      </c>
      <c r="C470" s="21" t="s">
        <v>2149</v>
      </c>
      <c r="D470" s="21" t="s">
        <v>45</v>
      </c>
      <c r="E470" s="22">
        <v>36814</v>
      </c>
      <c r="F470" s="21" t="s">
        <v>1053</v>
      </c>
      <c r="G470" s="21" t="s">
        <v>2150</v>
      </c>
      <c r="H470" s="21" t="s">
        <v>66</v>
      </c>
      <c r="I470" s="6" t="str">
        <f>VLOOKUP(CLEAN(F470),'World Bank Categories'!$B$4:$C$220,2,FALSE)</f>
        <v>High income</v>
      </c>
      <c r="J470" s="21" t="s">
        <v>2151</v>
      </c>
      <c r="K470" s="21" t="s">
        <v>29</v>
      </c>
      <c r="L470" s="21" t="s">
        <v>30</v>
      </c>
      <c r="M470" s="21"/>
      <c r="N470" s="21"/>
      <c r="O470" s="21"/>
      <c r="P470" s="21" t="s">
        <v>31</v>
      </c>
      <c r="Q470" s="9" t="s">
        <v>32</v>
      </c>
      <c r="R470" s="18" t="s">
        <v>43</v>
      </c>
      <c r="S470" s="25" t="s">
        <v>2152</v>
      </c>
      <c r="T470" s="27">
        <v>36814</v>
      </c>
      <c r="U470" s="25" t="s">
        <v>2151</v>
      </c>
      <c r="V470" s="25" t="s">
        <v>80</v>
      </c>
      <c r="W470" s="25"/>
    </row>
    <row r="471" spans="1:23" ht="22.5" customHeight="1">
      <c r="A471" s="20">
        <v>46053.453703703701</v>
      </c>
      <c r="B471" s="21" t="s">
        <v>2153</v>
      </c>
      <c r="C471" s="38"/>
      <c r="D471" s="21" t="s">
        <v>45</v>
      </c>
      <c r="E471" s="22">
        <v>28108</v>
      </c>
      <c r="F471" s="21" t="s">
        <v>2154</v>
      </c>
      <c r="G471" s="21" t="s">
        <v>2155</v>
      </c>
      <c r="H471" s="21" t="s">
        <v>111</v>
      </c>
      <c r="I471" s="6" t="str">
        <f>VLOOKUP(CLEAN(F471),'World Bank Categories'!$B$4:$C$220,2,FALSE)</f>
        <v>Middle income</v>
      </c>
      <c r="J471" s="21" t="s">
        <v>2156</v>
      </c>
      <c r="K471" s="21" t="s">
        <v>29</v>
      </c>
      <c r="L471" s="21" t="s">
        <v>30</v>
      </c>
      <c r="M471" s="21"/>
      <c r="N471" s="21"/>
      <c r="O471" s="21"/>
      <c r="P471" s="21" t="s">
        <v>31</v>
      </c>
      <c r="Q471" s="9" t="s">
        <v>32</v>
      </c>
      <c r="R471" s="10" t="s">
        <v>33</v>
      </c>
      <c r="S471" s="25" t="s">
        <v>2153</v>
      </c>
      <c r="T471" s="27">
        <v>28108</v>
      </c>
      <c r="U471" s="25" t="s">
        <v>2156</v>
      </c>
      <c r="V471" s="25" t="s">
        <v>80</v>
      </c>
      <c r="W471" s="25"/>
    </row>
    <row r="472" spans="1:23" ht="22.5" customHeight="1">
      <c r="A472" s="20">
        <v>46053.615833333337</v>
      </c>
      <c r="B472" s="21" t="s">
        <v>2157</v>
      </c>
      <c r="C472" s="38"/>
      <c r="D472" s="21" t="s">
        <v>45</v>
      </c>
      <c r="E472" s="22">
        <v>36770</v>
      </c>
      <c r="F472" s="21" t="s">
        <v>198</v>
      </c>
      <c r="G472" s="21" t="s">
        <v>1859</v>
      </c>
      <c r="H472" s="21" t="s">
        <v>2158</v>
      </c>
      <c r="I472" s="6" t="str">
        <f>VLOOKUP(CLEAN(F472),'World Bank Categories'!$B$4:$C$220,2,FALSE)</f>
        <v>Middle income</v>
      </c>
      <c r="J472" s="21" t="s">
        <v>2159</v>
      </c>
      <c r="K472" s="21" t="s">
        <v>29</v>
      </c>
      <c r="L472" s="21" t="s">
        <v>30</v>
      </c>
      <c r="M472" s="21"/>
      <c r="N472" s="21"/>
      <c r="O472" s="21"/>
      <c r="P472" s="21" t="s">
        <v>31</v>
      </c>
      <c r="Q472" s="9" t="s">
        <v>32</v>
      </c>
      <c r="R472" s="18" t="s">
        <v>33</v>
      </c>
      <c r="S472" s="25" t="s">
        <v>2157</v>
      </c>
      <c r="T472" s="27">
        <v>36770</v>
      </c>
      <c r="U472" s="25" t="s">
        <v>2159</v>
      </c>
      <c r="V472" s="25" t="s">
        <v>80</v>
      </c>
      <c r="W472" s="25"/>
    </row>
    <row r="473" spans="1:23" ht="22.5" customHeight="1">
      <c r="A473" s="13">
        <v>46053.667214155095</v>
      </c>
      <c r="B473" s="14" t="s">
        <v>2160</v>
      </c>
      <c r="C473" s="15"/>
      <c r="D473" s="14" t="s">
        <v>24</v>
      </c>
      <c r="E473" s="16">
        <v>35521</v>
      </c>
      <c r="F473" s="14" t="s">
        <v>652</v>
      </c>
      <c r="G473" s="14" t="s">
        <v>2161</v>
      </c>
      <c r="H473" s="14" t="s">
        <v>2162</v>
      </c>
      <c r="I473" s="6" t="str">
        <f>VLOOKUP(CLEAN(F473),'World Bank Categories'!$B$4:$C$220,2,FALSE)</f>
        <v>Middle income</v>
      </c>
      <c r="J473" s="14" t="s">
        <v>2163</v>
      </c>
      <c r="K473" s="14" t="s">
        <v>29</v>
      </c>
      <c r="L473" s="14" t="s">
        <v>30</v>
      </c>
      <c r="M473" s="15"/>
      <c r="N473" s="14"/>
      <c r="O473" s="14"/>
      <c r="P473" s="14" t="s">
        <v>31</v>
      </c>
      <c r="Q473" s="9" t="s">
        <v>32</v>
      </c>
      <c r="R473" s="10" t="s">
        <v>33</v>
      </c>
      <c r="S473" s="19" t="s">
        <v>2160</v>
      </c>
      <c r="T473" s="12"/>
      <c r="U473" s="12"/>
      <c r="V473" s="12"/>
      <c r="W473" s="12"/>
    </row>
    <row r="474" spans="1:23" ht="22.5" customHeight="1">
      <c r="A474" s="20">
        <v>46053.721655092595</v>
      </c>
      <c r="B474" s="21" t="s">
        <v>2164</v>
      </c>
      <c r="C474" s="38"/>
      <c r="D474" s="21" t="s">
        <v>45</v>
      </c>
      <c r="E474" s="22">
        <v>33198</v>
      </c>
      <c r="F474" s="21" t="s">
        <v>1727</v>
      </c>
      <c r="G474" s="21" t="s">
        <v>2165</v>
      </c>
      <c r="H474" s="21" t="s">
        <v>2166</v>
      </c>
      <c r="I474" s="6" t="str">
        <f>VLOOKUP(CLEAN(F474),'World Bank Categories'!$B$4:$C$220,2,FALSE)</f>
        <v>Low income</v>
      </c>
      <c r="J474" s="21" t="s">
        <v>2167</v>
      </c>
      <c r="K474" s="21" t="s">
        <v>29</v>
      </c>
      <c r="L474" s="21" t="s">
        <v>30</v>
      </c>
      <c r="M474" s="21"/>
      <c r="N474" s="21"/>
      <c r="O474" s="21"/>
      <c r="P474" s="21" t="s">
        <v>31</v>
      </c>
      <c r="Q474" s="9" t="s">
        <v>32</v>
      </c>
      <c r="R474" s="18"/>
      <c r="S474" s="25" t="s">
        <v>2164</v>
      </c>
      <c r="T474" s="27">
        <v>33198</v>
      </c>
      <c r="U474" s="25" t="s">
        <v>2167</v>
      </c>
      <c r="V474" s="25" t="s">
        <v>80</v>
      </c>
      <c r="W474" s="25"/>
    </row>
    <row r="475" spans="1:23" ht="22.5" customHeight="1">
      <c r="A475" s="20">
        <v>46053.789826388886</v>
      </c>
      <c r="B475" s="21" t="s">
        <v>2168</v>
      </c>
      <c r="C475" s="21" t="s">
        <v>2169</v>
      </c>
      <c r="D475" s="21" t="s">
        <v>24</v>
      </c>
      <c r="E475" s="22">
        <v>38497</v>
      </c>
      <c r="F475" s="21" t="s">
        <v>1053</v>
      </c>
      <c r="G475" s="21" t="s">
        <v>2170</v>
      </c>
      <c r="H475" s="21" t="s">
        <v>66</v>
      </c>
      <c r="I475" s="6" t="str">
        <f>VLOOKUP(CLEAN(F475),'World Bank Categories'!$B$4:$C$220,2,FALSE)</f>
        <v>High income</v>
      </c>
      <c r="J475" s="21" t="s">
        <v>2171</v>
      </c>
      <c r="K475" s="21" t="s">
        <v>29</v>
      </c>
      <c r="L475" s="21" t="s">
        <v>30</v>
      </c>
      <c r="M475" s="21"/>
      <c r="N475" s="21"/>
      <c r="O475" s="21"/>
      <c r="P475" s="21" t="s">
        <v>31</v>
      </c>
      <c r="Q475" s="9" t="s">
        <v>32</v>
      </c>
      <c r="R475" s="10" t="s">
        <v>43</v>
      </c>
      <c r="S475" s="25" t="s">
        <v>2168</v>
      </c>
      <c r="T475" s="27">
        <v>38497</v>
      </c>
      <c r="U475" s="25" t="s">
        <v>2171</v>
      </c>
      <c r="V475" s="25" t="s">
        <v>80</v>
      </c>
      <c r="W475" s="25"/>
    </row>
    <row r="476" spans="1:23" ht="22.5" customHeight="1">
      <c r="A476" s="20">
        <v>46053.805567129632</v>
      </c>
      <c r="B476" s="21" t="s">
        <v>2172</v>
      </c>
      <c r="C476" s="21" t="s">
        <v>2173</v>
      </c>
      <c r="D476" s="21" t="s">
        <v>24</v>
      </c>
      <c r="E476" s="22">
        <v>38478</v>
      </c>
      <c r="F476" s="21" t="s">
        <v>1053</v>
      </c>
      <c r="G476" s="21" t="s">
        <v>2174</v>
      </c>
      <c r="H476" s="21" t="s">
        <v>2175</v>
      </c>
      <c r="I476" s="6" t="str">
        <f>VLOOKUP(CLEAN(F476),'World Bank Categories'!$B$4:$C$220,2,FALSE)</f>
        <v>High income</v>
      </c>
      <c r="J476" s="21" t="s">
        <v>2176</v>
      </c>
      <c r="K476" s="21" t="s">
        <v>29</v>
      </c>
      <c r="L476" s="21" t="s">
        <v>30</v>
      </c>
      <c r="M476" s="21" t="s">
        <v>2177</v>
      </c>
      <c r="N476" s="21"/>
      <c r="O476" s="21"/>
      <c r="P476" s="21" t="s">
        <v>31</v>
      </c>
      <c r="Q476" s="9" t="s">
        <v>32</v>
      </c>
      <c r="R476" s="18" t="s">
        <v>43</v>
      </c>
      <c r="S476" s="25" t="s">
        <v>2172</v>
      </c>
      <c r="T476" s="27">
        <v>38478</v>
      </c>
      <c r="U476" s="25" t="s">
        <v>2176</v>
      </c>
      <c r="V476" s="25" t="s">
        <v>80</v>
      </c>
      <c r="W476" s="25"/>
    </row>
    <row r="477" spans="1:23" ht="22.5" customHeight="1">
      <c r="A477" s="20">
        <v>46053.809155092589</v>
      </c>
      <c r="B477" s="21" t="s">
        <v>2178</v>
      </c>
      <c r="C477" s="21" t="s">
        <v>2179</v>
      </c>
      <c r="D477" s="21" t="s">
        <v>24</v>
      </c>
      <c r="E477" s="22">
        <v>36567</v>
      </c>
      <c r="F477" s="21" t="s">
        <v>1053</v>
      </c>
      <c r="G477" s="21" t="s">
        <v>2180</v>
      </c>
      <c r="H477" s="21" t="s">
        <v>160</v>
      </c>
      <c r="I477" s="6" t="str">
        <f>VLOOKUP(CLEAN(F477),'World Bank Categories'!$B$4:$C$220,2,FALSE)</f>
        <v>High income</v>
      </c>
      <c r="J477" s="21" t="s">
        <v>2181</v>
      </c>
      <c r="K477" s="21" t="s">
        <v>29</v>
      </c>
      <c r="L477" s="21" t="s">
        <v>30</v>
      </c>
      <c r="M477" s="21" t="s">
        <v>2182</v>
      </c>
      <c r="N477" s="21"/>
      <c r="O477" s="21"/>
      <c r="P477" s="21" t="s">
        <v>31</v>
      </c>
      <c r="Q477" s="9" t="s">
        <v>32</v>
      </c>
      <c r="R477" s="10" t="s">
        <v>43</v>
      </c>
      <c r="S477" s="25" t="s">
        <v>2183</v>
      </c>
      <c r="T477" s="27">
        <v>36567</v>
      </c>
      <c r="U477" s="25" t="s">
        <v>2181</v>
      </c>
      <c r="V477" s="25" t="s">
        <v>80</v>
      </c>
      <c r="W477" s="25"/>
    </row>
    <row r="478" spans="1:23" ht="22.5" customHeight="1">
      <c r="A478" s="20">
        <v>46053.813171296293</v>
      </c>
      <c r="B478" s="21" t="s">
        <v>2184</v>
      </c>
      <c r="C478" s="38"/>
      <c r="D478" s="21" t="s">
        <v>24</v>
      </c>
      <c r="E478" s="22">
        <v>25892</v>
      </c>
      <c r="F478" s="21" t="s">
        <v>1932</v>
      </c>
      <c r="G478" s="21" t="s">
        <v>2185</v>
      </c>
      <c r="H478" s="21" t="s">
        <v>2186</v>
      </c>
      <c r="I478" s="6" t="str">
        <f>VLOOKUP(CLEAN(F478),'World Bank Categories'!$B$4:$C$220,2,FALSE)</f>
        <v>Middle income</v>
      </c>
      <c r="J478" s="21" t="s">
        <v>2187</v>
      </c>
      <c r="K478" s="21" t="s">
        <v>39</v>
      </c>
      <c r="L478" s="21" t="s">
        <v>621</v>
      </c>
      <c r="M478" s="41"/>
      <c r="N478" s="21"/>
      <c r="O478" s="21"/>
      <c r="P478" s="21" t="s">
        <v>31</v>
      </c>
      <c r="Q478" s="9" t="s">
        <v>32</v>
      </c>
      <c r="R478" s="18" t="s">
        <v>43</v>
      </c>
      <c r="S478" s="25" t="s">
        <v>2184</v>
      </c>
      <c r="T478" s="27">
        <v>25892</v>
      </c>
      <c r="U478" s="25" t="s">
        <v>2187</v>
      </c>
      <c r="V478" s="25" t="s">
        <v>80</v>
      </c>
      <c r="W478" s="25"/>
    </row>
    <row r="479" spans="1:23" ht="22.5" customHeight="1">
      <c r="A479" s="20">
        <v>46053.818842592591</v>
      </c>
      <c r="B479" s="21" t="s">
        <v>2188</v>
      </c>
      <c r="C479" s="38"/>
      <c r="D479" s="21" t="s">
        <v>45</v>
      </c>
      <c r="E479" s="22">
        <v>28800</v>
      </c>
      <c r="F479" s="21" t="s">
        <v>1932</v>
      </c>
      <c r="G479" s="21" t="s">
        <v>2185</v>
      </c>
      <c r="H479" s="21" t="s">
        <v>2189</v>
      </c>
      <c r="I479" s="6" t="str">
        <f>VLOOKUP(CLEAN(F479),'World Bank Categories'!$B$4:$C$220,2,FALSE)</f>
        <v>Middle income</v>
      </c>
      <c r="J479" s="21" t="s">
        <v>2190</v>
      </c>
      <c r="K479" s="21" t="s">
        <v>39</v>
      </c>
      <c r="L479" s="21" t="s">
        <v>621</v>
      </c>
      <c r="M479" s="41"/>
      <c r="N479" s="21"/>
      <c r="O479" s="21"/>
      <c r="P479" s="21" t="s">
        <v>31</v>
      </c>
      <c r="Q479" s="9" t="s">
        <v>32</v>
      </c>
      <c r="R479" s="10" t="s">
        <v>43</v>
      </c>
      <c r="S479" s="25" t="s">
        <v>2188</v>
      </c>
      <c r="T479" s="27">
        <v>28800</v>
      </c>
      <c r="U479" s="25" t="s">
        <v>2190</v>
      </c>
      <c r="V479" s="25" t="s">
        <v>80</v>
      </c>
      <c r="W479" s="25"/>
    </row>
    <row r="480" spans="1:23" ht="22.5" customHeight="1">
      <c r="A480" s="20">
        <v>46053.821539351855</v>
      </c>
      <c r="B480" s="21" t="s">
        <v>2191</v>
      </c>
      <c r="C480" s="38"/>
      <c r="D480" s="21" t="s">
        <v>24</v>
      </c>
      <c r="E480" s="22">
        <v>31669</v>
      </c>
      <c r="F480" s="21" t="s">
        <v>1932</v>
      </c>
      <c r="G480" s="21" t="s">
        <v>2192</v>
      </c>
      <c r="H480" s="21" t="s">
        <v>1006</v>
      </c>
      <c r="I480" s="6" t="str">
        <f>VLOOKUP(CLEAN(F480),'World Bank Categories'!$B$4:$C$220,2,FALSE)</f>
        <v>Middle income</v>
      </c>
      <c r="J480" s="21" t="s">
        <v>2193</v>
      </c>
      <c r="K480" s="21" t="s">
        <v>39</v>
      </c>
      <c r="L480" s="21" t="s">
        <v>621</v>
      </c>
      <c r="M480" s="21" t="s">
        <v>2194</v>
      </c>
      <c r="N480" s="17" t="s">
        <v>2195</v>
      </c>
      <c r="O480" s="6" t="s">
        <v>444</v>
      </c>
      <c r="P480" s="21" t="s">
        <v>31</v>
      </c>
      <c r="Q480" s="9" t="s">
        <v>32</v>
      </c>
      <c r="R480" s="18" t="s">
        <v>33</v>
      </c>
      <c r="S480" s="25" t="s">
        <v>2196</v>
      </c>
      <c r="T480" s="27">
        <v>31669</v>
      </c>
      <c r="U480" s="25" t="s">
        <v>2193</v>
      </c>
      <c r="V480" s="25" t="s">
        <v>80</v>
      </c>
      <c r="W480" s="25"/>
    </row>
    <row r="481" spans="1:23" ht="22.5" customHeight="1">
      <c r="A481" s="20">
        <v>46053.861030092594</v>
      </c>
      <c r="B481" s="21" t="s">
        <v>2197</v>
      </c>
      <c r="C481" s="21" t="s">
        <v>2198</v>
      </c>
      <c r="D481" s="21" t="s">
        <v>24</v>
      </c>
      <c r="E481" s="22">
        <v>35060</v>
      </c>
      <c r="F481" s="21" t="s">
        <v>1053</v>
      </c>
      <c r="G481" s="21" t="s">
        <v>2199</v>
      </c>
      <c r="H481" s="21" t="s">
        <v>1109</v>
      </c>
      <c r="I481" s="6" t="str">
        <f>VLOOKUP(CLEAN(F481),'World Bank Categories'!$B$4:$C$220,2,FALSE)</f>
        <v>High income</v>
      </c>
      <c r="J481" s="21" t="s">
        <v>2200</v>
      </c>
      <c r="K481" s="21" t="s">
        <v>29</v>
      </c>
      <c r="L481" s="21" t="s">
        <v>30</v>
      </c>
      <c r="M481" s="21"/>
      <c r="N481" s="21"/>
      <c r="O481" s="21"/>
      <c r="P481" s="21" t="s">
        <v>31</v>
      </c>
      <c r="Q481" s="9" t="s">
        <v>32</v>
      </c>
      <c r="R481" s="10" t="s">
        <v>43</v>
      </c>
      <c r="S481" s="25" t="s">
        <v>2197</v>
      </c>
      <c r="T481" s="27">
        <v>35060</v>
      </c>
      <c r="U481" s="25" t="s">
        <v>2201</v>
      </c>
      <c r="V481" s="25" t="s">
        <v>80</v>
      </c>
      <c r="W481" s="25"/>
    </row>
    <row r="482" spans="1:23" ht="22.5" customHeight="1">
      <c r="A482" s="46">
        <v>46053.867569444446</v>
      </c>
      <c r="B482" s="47" t="s">
        <v>2202</v>
      </c>
      <c r="C482" s="48"/>
      <c r="D482" s="47" t="s">
        <v>45</v>
      </c>
      <c r="E482" s="49">
        <v>30269</v>
      </c>
      <c r="F482" s="47" t="s">
        <v>1932</v>
      </c>
      <c r="G482" s="47" t="s">
        <v>2185</v>
      </c>
      <c r="H482" s="47" t="s">
        <v>2189</v>
      </c>
      <c r="I482" s="6" t="str">
        <f>VLOOKUP(CLEAN(F482),'World Bank Categories'!$B$4:$C$220,2,FALSE)</f>
        <v>Middle income</v>
      </c>
      <c r="J482" s="47" t="s">
        <v>2203</v>
      </c>
      <c r="K482" s="47" t="s">
        <v>39</v>
      </c>
      <c r="L482" s="47" t="s">
        <v>621</v>
      </c>
      <c r="M482" s="59"/>
      <c r="N482" s="47"/>
      <c r="O482" s="47"/>
      <c r="P482" s="47" t="s">
        <v>31</v>
      </c>
      <c r="Q482" s="9" t="s">
        <v>32</v>
      </c>
      <c r="R482" s="18"/>
      <c r="S482" s="25" t="s">
        <v>2202</v>
      </c>
      <c r="T482" s="27">
        <v>30269</v>
      </c>
      <c r="U482" s="25" t="s">
        <v>2203</v>
      </c>
      <c r="V482" s="25" t="s">
        <v>80</v>
      </c>
      <c r="W482" s="25"/>
    </row>
    <row r="483" spans="1:23" ht="22.5" customHeight="1">
      <c r="A483" s="28">
        <v>46053.871388888889</v>
      </c>
      <c r="B483" s="29" t="s">
        <v>2204</v>
      </c>
      <c r="C483" s="45"/>
      <c r="D483" s="29" t="s">
        <v>24</v>
      </c>
      <c r="E483" s="30">
        <v>28629</v>
      </c>
      <c r="F483" s="29" t="s">
        <v>1932</v>
      </c>
      <c r="G483" s="29" t="s">
        <v>2205</v>
      </c>
      <c r="H483" s="29" t="s">
        <v>2206</v>
      </c>
      <c r="I483" s="6" t="str">
        <f>VLOOKUP(CLEAN(F483),'World Bank Categories'!$B$4:$C$220,2,FALSE)</f>
        <v>Middle income</v>
      </c>
      <c r="J483" s="29" t="s">
        <v>2207</v>
      </c>
      <c r="K483" s="29" t="s">
        <v>39</v>
      </c>
      <c r="L483" s="29" t="s">
        <v>621</v>
      </c>
      <c r="M483" s="62"/>
      <c r="N483" s="29"/>
      <c r="O483" s="29"/>
      <c r="P483" s="29" t="s">
        <v>31</v>
      </c>
      <c r="Q483" s="9" t="s">
        <v>32</v>
      </c>
      <c r="R483" s="10" t="s">
        <v>33</v>
      </c>
      <c r="S483" s="25" t="s">
        <v>2208</v>
      </c>
      <c r="T483" s="27">
        <v>28629</v>
      </c>
      <c r="U483" s="25" t="s">
        <v>2207</v>
      </c>
      <c r="V483" s="25" t="s">
        <v>80</v>
      </c>
      <c r="W483" s="25"/>
    </row>
    <row r="484" spans="1:23" ht="22.5" customHeight="1">
      <c r="A484" s="20">
        <v>46053.896122685182</v>
      </c>
      <c r="B484" s="21" t="s">
        <v>2209</v>
      </c>
      <c r="C484" s="21" t="s">
        <v>2210</v>
      </c>
      <c r="D484" s="21" t="s">
        <v>24</v>
      </c>
      <c r="E484" s="22">
        <v>45885</v>
      </c>
      <c r="F484" s="21" t="s">
        <v>1932</v>
      </c>
      <c r="G484" s="21" t="s">
        <v>2211</v>
      </c>
      <c r="H484" s="21" t="s">
        <v>66</v>
      </c>
      <c r="I484" s="6" t="str">
        <f>VLOOKUP(CLEAN(F484),'World Bank Categories'!$B$4:$C$220,2,FALSE)</f>
        <v>Middle income</v>
      </c>
      <c r="J484" s="21" t="s">
        <v>2212</v>
      </c>
      <c r="K484" s="21" t="s">
        <v>29</v>
      </c>
      <c r="L484" s="21" t="s">
        <v>30</v>
      </c>
      <c r="M484" s="41"/>
      <c r="N484" s="21"/>
      <c r="O484" s="21"/>
      <c r="P484" s="21" t="s">
        <v>31</v>
      </c>
      <c r="Q484" s="9" t="s">
        <v>32</v>
      </c>
      <c r="R484" s="18"/>
      <c r="S484" s="25" t="s">
        <v>2209</v>
      </c>
      <c r="T484" s="27">
        <v>45885</v>
      </c>
      <c r="U484" s="25" t="s">
        <v>2212</v>
      </c>
      <c r="V484" s="25" t="s">
        <v>80</v>
      </c>
      <c r="W484" s="25"/>
    </row>
    <row r="485" spans="1:23" ht="22.5" customHeight="1">
      <c r="A485" s="20">
        <v>46053.900381944448</v>
      </c>
      <c r="B485" s="21" t="s">
        <v>2213</v>
      </c>
      <c r="C485" s="38"/>
      <c r="D485" s="21" t="s">
        <v>24</v>
      </c>
      <c r="E485" s="22">
        <v>31511</v>
      </c>
      <c r="F485" s="21" t="s">
        <v>1932</v>
      </c>
      <c r="G485" s="21" t="s">
        <v>2205</v>
      </c>
      <c r="H485" s="21" t="s">
        <v>2214</v>
      </c>
      <c r="I485" s="6" t="str">
        <f>VLOOKUP(CLEAN(F485),'World Bank Categories'!$B$4:$C$220,2,FALSE)</f>
        <v>Middle income</v>
      </c>
      <c r="J485" s="21" t="s">
        <v>2215</v>
      </c>
      <c r="K485" s="21" t="s">
        <v>39</v>
      </c>
      <c r="L485" s="21" t="s">
        <v>621</v>
      </c>
      <c r="M485" s="21" t="s">
        <v>2216</v>
      </c>
      <c r="N485" s="21"/>
      <c r="O485" s="21"/>
      <c r="P485" s="21" t="s">
        <v>31</v>
      </c>
      <c r="Q485" s="9" t="s">
        <v>32</v>
      </c>
      <c r="R485" s="10" t="s">
        <v>33</v>
      </c>
      <c r="S485" s="25" t="s">
        <v>2213</v>
      </c>
      <c r="T485" s="27">
        <v>31511</v>
      </c>
      <c r="U485" s="25" t="s">
        <v>2215</v>
      </c>
      <c r="V485" s="25" t="s">
        <v>80</v>
      </c>
      <c r="W485" s="25"/>
    </row>
    <row r="486" spans="1:23" ht="22.5" customHeight="1">
      <c r="A486" s="20">
        <v>46053.917199074072</v>
      </c>
      <c r="B486" s="21" t="s">
        <v>2217</v>
      </c>
      <c r="C486" s="38"/>
      <c r="D486" s="21" t="s">
        <v>24</v>
      </c>
      <c r="E486" s="22">
        <v>24884</v>
      </c>
      <c r="F486" s="21" t="s">
        <v>1834</v>
      </c>
      <c r="G486" s="21" t="s">
        <v>2218</v>
      </c>
      <c r="H486" s="21" t="s">
        <v>2219</v>
      </c>
      <c r="I486" s="6" t="str">
        <f>VLOOKUP(CLEAN(F486),'World Bank Categories'!$B$4:$C$220,2,FALSE)</f>
        <v>Middle income</v>
      </c>
      <c r="J486" s="21" t="s">
        <v>2220</v>
      </c>
      <c r="K486" s="21" t="s">
        <v>39</v>
      </c>
      <c r="L486" s="32">
        <v>46204</v>
      </c>
      <c r="M486" s="21"/>
      <c r="N486" s="21"/>
      <c r="O486" s="21"/>
      <c r="P486" s="21" t="s">
        <v>31</v>
      </c>
      <c r="Q486" s="9" t="s">
        <v>32</v>
      </c>
      <c r="R486" s="18" t="s">
        <v>33</v>
      </c>
      <c r="S486" s="25" t="s">
        <v>2217</v>
      </c>
      <c r="T486" s="27">
        <v>24884</v>
      </c>
      <c r="U486" s="25" t="s">
        <v>2220</v>
      </c>
      <c r="V486" s="25" t="s">
        <v>80</v>
      </c>
      <c r="W486" s="25"/>
    </row>
    <row r="487" spans="1:23" ht="22.5" customHeight="1">
      <c r="A487" s="20">
        <v>46053.917384259257</v>
      </c>
      <c r="B487" s="21" t="s">
        <v>2221</v>
      </c>
      <c r="C487" s="38"/>
      <c r="D487" s="21" t="s">
        <v>24</v>
      </c>
      <c r="E487" s="22">
        <v>21638</v>
      </c>
      <c r="F487" s="21" t="s">
        <v>1834</v>
      </c>
      <c r="G487" s="21" t="s">
        <v>2222</v>
      </c>
      <c r="H487" s="21" t="s">
        <v>2223</v>
      </c>
      <c r="I487" s="6" t="str">
        <f>VLOOKUP(CLEAN(F487),'World Bank Categories'!$B$4:$C$220,2,FALSE)</f>
        <v>Middle income</v>
      </c>
      <c r="J487" s="21" t="s">
        <v>2224</v>
      </c>
      <c r="K487" s="21" t="s">
        <v>39</v>
      </c>
      <c r="L487" s="21" t="s">
        <v>2225</v>
      </c>
      <c r="M487" s="21"/>
      <c r="N487" s="21"/>
      <c r="O487" s="21"/>
      <c r="P487" s="21" t="s">
        <v>31</v>
      </c>
      <c r="Q487" s="9" t="s">
        <v>32</v>
      </c>
      <c r="R487" s="10" t="s">
        <v>33</v>
      </c>
      <c r="S487" s="25" t="s">
        <v>2226</v>
      </c>
      <c r="T487" s="27">
        <v>21638</v>
      </c>
      <c r="U487" s="25" t="s">
        <v>2227</v>
      </c>
      <c r="V487" s="25" t="s">
        <v>101</v>
      </c>
      <c r="W487" s="25"/>
    </row>
    <row r="488" spans="1:23" ht="22.5" customHeight="1">
      <c r="A488" s="20">
        <v>46053.936944444446</v>
      </c>
      <c r="B488" s="21" t="s">
        <v>2228</v>
      </c>
      <c r="C488" s="21" t="s">
        <v>2228</v>
      </c>
      <c r="D488" s="21" t="s">
        <v>45</v>
      </c>
      <c r="E488" s="22">
        <v>38427</v>
      </c>
      <c r="F488" s="21" t="s">
        <v>1932</v>
      </c>
      <c r="G488" s="21" t="s">
        <v>2229</v>
      </c>
      <c r="H488" s="21" t="s">
        <v>2230</v>
      </c>
      <c r="I488" s="6" t="str">
        <f>VLOOKUP(CLEAN(F488),'World Bank Categories'!$B$4:$C$220,2,FALSE)</f>
        <v>Middle income</v>
      </c>
      <c r="J488" s="21" t="s">
        <v>2231</v>
      </c>
      <c r="K488" s="21" t="s">
        <v>39</v>
      </c>
      <c r="L488" s="21" t="s">
        <v>152</v>
      </c>
      <c r="M488" s="21"/>
      <c r="N488" s="21"/>
      <c r="O488" s="21"/>
      <c r="P488" s="21" t="s">
        <v>31</v>
      </c>
      <c r="Q488" s="9" t="s">
        <v>32</v>
      </c>
      <c r="R488" s="18" t="s">
        <v>33</v>
      </c>
      <c r="S488" s="25" t="s">
        <v>2228</v>
      </c>
      <c r="T488" s="27">
        <v>38427</v>
      </c>
      <c r="U488" s="25" t="s">
        <v>2231</v>
      </c>
      <c r="V488" s="25" t="s">
        <v>80</v>
      </c>
      <c r="W488" s="25"/>
    </row>
    <row r="489" spans="1:23" ht="22.5" customHeight="1">
      <c r="A489" s="35">
        <v>46053.943981481483</v>
      </c>
      <c r="B489" s="36" t="s">
        <v>2232</v>
      </c>
      <c r="C489" s="55"/>
      <c r="D489" s="36" t="s">
        <v>45</v>
      </c>
      <c r="E489" s="37">
        <v>37488</v>
      </c>
      <c r="F489" s="36" t="s">
        <v>346</v>
      </c>
      <c r="G489" s="36" t="s">
        <v>2233</v>
      </c>
      <c r="H489" s="36" t="s">
        <v>368</v>
      </c>
      <c r="I489" s="6" t="str">
        <f>VLOOKUP(CLEAN(F489),'World Bank Categories'!$B$4:$C$220,2,FALSE)</f>
        <v>Middle income</v>
      </c>
      <c r="J489" s="36" t="s">
        <v>2234</v>
      </c>
      <c r="K489" s="36" t="s">
        <v>29</v>
      </c>
      <c r="L489" s="36" t="s">
        <v>30</v>
      </c>
      <c r="M489" s="36"/>
      <c r="N489" s="36"/>
      <c r="O489" s="36"/>
      <c r="P489" s="36" t="s">
        <v>31</v>
      </c>
      <c r="Q489" s="9" t="s">
        <v>32</v>
      </c>
      <c r="R489" s="10"/>
      <c r="S489" s="25" t="s">
        <v>2232</v>
      </c>
      <c r="T489" s="27">
        <v>37488</v>
      </c>
      <c r="U489" s="25" t="s">
        <v>2234</v>
      </c>
      <c r="V489" s="25" t="s">
        <v>80</v>
      </c>
      <c r="W489" s="25"/>
    </row>
    <row r="490" spans="1:23" ht="22.5" customHeight="1">
      <c r="A490" s="20">
        <v>46053.996701388889</v>
      </c>
      <c r="B490" s="21" t="s">
        <v>2235</v>
      </c>
      <c r="C490" s="38"/>
      <c r="D490" s="21" t="s">
        <v>24</v>
      </c>
      <c r="E490" s="22">
        <v>24315</v>
      </c>
      <c r="F490" s="21" t="s">
        <v>1932</v>
      </c>
      <c r="G490" s="21" t="s">
        <v>2236</v>
      </c>
      <c r="H490" s="21" t="s">
        <v>2237</v>
      </c>
      <c r="I490" s="6" t="str">
        <f>VLOOKUP(CLEAN(F490),'World Bank Categories'!$B$4:$C$220,2,FALSE)</f>
        <v>Middle income</v>
      </c>
      <c r="J490" s="21" t="s">
        <v>2238</v>
      </c>
      <c r="K490" s="21" t="s">
        <v>39</v>
      </c>
      <c r="L490" s="21" t="s">
        <v>152</v>
      </c>
      <c r="M490" s="41"/>
      <c r="N490" s="21"/>
      <c r="O490" s="21"/>
      <c r="P490" s="21" t="s">
        <v>31</v>
      </c>
      <c r="Q490" s="9" t="s">
        <v>32</v>
      </c>
      <c r="R490" s="18" t="s">
        <v>33</v>
      </c>
      <c r="S490" s="25" t="s">
        <v>2235</v>
      </c>
      <c r="T490" s="27">
        <v>24315</v>
      </c>
      <c r="U490" s="25" t="s">
        <v>2238</v>
      </c>
      <c r="V490" s="25" t="s">
        <v>80</v>
      </c>
      <c r="W490" s="25"/>
    </row>
    <row r="491" spans="1:23" ht="22.5" customHeight="1">
      <c r="A491" s="20">
        <v>46054.065555555557</v>
      </c>
      <c r="B491" s="21" t="s">
        <v>2239</v>
      </c>
      <c r="C491" s="38"/>
      <c r="D491" s="21" t="s">
        <v>24</v>
      </c>
      <c r="E491" s="22">
        <v>34968</v>
      </c>
      <c r="F491" s="21" t="s">
        <v>227</v>
      </c>
      <c r="G491" s="21" t="s">
        <v>2240</v>
      </c>
      <c r="H491" s="21" t="s">
        <v>2241</v>
      </c>
      <c r="I491" s="6" t="str">
        <f>VLOOKUP(CLEAN(F491),'World Bank Categories'!$B$4:$C$220,2,FALSE)</f>
        <v>Middle income</v>
      </c>
      <c r="J491" s="21" t="s">
        <v>2242</v>
      </c>
      <c r="K491" s="21" t="s">
        <v>29</v>
      </c>
      <c r="L491" s="21" t="s">
        <v>30</v>
      </c>
      <c r="M491" s="41"/>
      <c r="N491" s="21"/>
      <c r="O491" s="21"/>
      <c r="P491" s="21" t="s">
        <v>31</v>
      </c>
      <c r="Q491" s="9" t="s">
        <v>32</v>
      </c>
      <c r="R491" s="10" t="s">
        <v>33</v>
      </c>
      <c r="S491" s="25" t="s">
        <v>2239</v>
      </c>
      <c r="T491" s="27">
        <v>34968</v>
      </c>
      <c r="U491" s="25" t="s">
        <v>2242</v>
      </c>
      <c r="V491" s="25" t="s">
        <v>80</v>
      </c>
      <c r="W491" s="25"/>
    </row>
    <row r="492" spans="1:23" ht="22.5" customHeight="1">
      <c r="A492" s="28">
        <v>46054.067453703705</v>
      </c>
      <c r="B492" s="29" t="s">
        <v>2243</v>
      </c>
      <c r="C492" s="29" t="s">
        <v>2243</v>
      </c>
      <c r="D492" s="29" t="s">
        <v>45</v>
      </c>
      <c r="E492" s="30">
        <v>35182</v>
      </c>
      <c r="F492" s="29" t="s">
        <v>227</v>
      </c>
      <c r="G492" s="29" t="s">
        <v>2240</v>
      </c>
      <c r="H492" s="29" t="s">
        <v>2241</v>
      </c>
      <c r="I492" s="6" t="str">
        <f>VLOOKUP(CLEAN(F492),'World Bank Categories'!$B$4:$C$220,2,FALSE)</f>
        <v>Middle income</v>
      </c>
      <c r="J492" s="29" t="s">
        <v>2244</v>
      </c>
      <c r="K492" s="29" t="s">
        <v>29</v>
      </c>
      <c r="L492" s="29" t="s">
        <v>30</v>
      </c>
      <c r="M492" s="62"/>
      <c r="N492" s="29"/>
      <c r="O492" s="29"/>
      <c r="P492" s="29" t="s">
        <v>31</v>
      </c>
      <c r="Q492" s="9" t="s">
        <v>32</v>
      </c>
      <c r="R492" s="18" t="s">
        <v>33</v>
      </c>
      <c r="S492" s="25" t="s">
        <v>2243</v>
      </c>
      <c r="T492" s="27">
        <v>35182</v>
      </c>
      <c r="U492" s="25" t="s">
        <v>2244</v>
      </c>
      <c r="V492" s="25" t="s">
        <v>80</v>
      </c>
      <c r="W492" s="25"/>
    </row>
    <row r="493" spans="1:23" ht="22.5" customHeight="1">
      <c r="A493" s="20">
        <v>46054.068113425928</v>
      </c>
      <c r="B493" s="21" t="s">
        <v>2245</v>
      </c>
      <c r="C493" s="38"/>
      <c r="D493" s="21" t="s">
        <v>24</v>
      </c>
      <c r="E493" s="22">
        <v>19091</v>
      </c>
      <c r="F493" s="21" t="s">
        <v>2246</v>
      </c>
      <c r="G493" s="21" t="s">
        <v>2247</v>
      </c>
      <c r="H493" s="21" t="s">
        <v>90</v>
      </c>
      <c r="I493" s="6" t="str">
        <f>VLOOKUP(CLEAN(F493),'World Bank Categories'!$B$4:$C$220,2,FALSE)</f>
        <v>High income</v>
      </c>
      <c r="J493" s="21" t="s">
        <v>1973</v>
      </c>
      <c r="K493" s="21" t="s">
        <v>39</v>
      </c>
      <c r="L493" s="21" t="s">
        <v>30</v>
      </c>
      <c r="M493" s="21"/>
      <c r="N493" s="21"/>
      <c r="O493" s="21"/>
      <c r="P493" s="21" t="s">
        <v>31</v>
      </c>
      <c r="Q493" s="9" t="s">
        <v>32</v>
      </c>
      <c r="R493" s="10"/>
      <c r="S493" s="25" t="s">
        <v>2245</v>
      </c>
      <c r="T493" s="27">
        <v>19091</v>
      </c>
      <c r="U493" s="25" t="s">
        <v>1973</v>
      </c>
      <c r="V493" s="25" t="s">
        <v>80</v>
      </c>
      <c r="W493" s="25"/>
    </row>
    <row r="494" spans="1:23" ht="22.5" customHeight="1">
      <c r="A494" s="20">
        <v>46054.103368055556</v>
      </c>
      <c r="B494" s="21" t="s">
        <v>2248</v>
      </c>
      <c r="C494" s="21" t="s">
        <v>2248</v>
      </c>
      <c r="D494" s="21" t="s">
        <v>24</v>
      </c>
      <c r="E494" s="22">
        <v>36402</v>
      </c>
      <c r="F494" s="21" t="s">
        <v>416</v>
      </c>
      <c r="G494" s="21" t="s">
        <v>2249</v>
      </c>
      <c r="H494" s="21" t="s">
        <v>111</v>
      </c>
      <c r="I494" s="6" t="str">
        <f>VLOOKUP(CLEAN(F494),'World Bank Categories'!$B$4:$C$220,2,FALSE)</f>
        <v>Middle income</v>
      </c>
      <c r="J494" s="21" t="s">
        <v>2250</v>
      </c>
      <c r="K494" s="21" t="s">
        <v>29</v>
      </c>
      <c r="L494" s="21" t="s">
        <v>30</v>
      </c>
      <c r="M494" s="41"/>
      <c r="N494" s="21"/>
      <c r="O494" s="21"/>
      <c r="P494" s="21" t="s">
        <v>31</v>
      </c>
      <c r="Q494" s="9" t="s">
        <v>32</v>
      </c>
      <c r="R494" s="10"/>
      <c r="S494" s="25" t="s">
        <v>2248</v>
      </c>
      <c r="T494" s="27">
        <v>36402</v>
      </c>
      <c r="U494" s="25" t="s">
        <v>2250</v>
      </c>
      <c r="V494" s="25" t="s">
        <v>80</v>
      </c>
      <c r="W494" s="25"/>
    </row>
    <row r="495" spans="1:23" ht="22.5" customHeight="1">
      <c r="A495" s="20">
        <v>46054.117303240739</v>
      </c>
      <c r="B495" s="21" t="s">
        <v>2251</v>
      </c>
      <c r="C495" s="21" t="s">
        <v>2252</v>
      </c>
      <c r="D495" s="21" t="s">
        <v>24</v>
      </c>
      <c r="E495" s="22">
        <v>31552</v>
      </c>
      <c r="F495" s="21" t="s">
        <v>2066</v>
      </c>
      <c r="G495" s="21" t="s">
        <v>2253</v>
      </c>
      <c r="H495" s="21" t="s">
        <v>2254</v>
      </c>
      <c r="I495" s="6" t="str">
        <f>VLOOKUP(CLEAN(F495),'World Bank Categories'!$B$4:$C$220,2,FALSE)</f>
        <v>High income</v>
      </c>
      <c r="J495" s="21" t="s">
        <v>2255</v>
      </c>
      <c r="K495" s="21" t="s">
        <v>29</v>
      </c>
      <c r="L495" s="21" t="s">
        <v>30</v>
      </c>
      <c r="M495" s="21"/>
      <c r="N495" s="21"/>
      <c r="O495" s="21"/>
      <c r="P495" s="21" t="s">
        <v>31</v>
      </c>
      <c r="Q495" s="9" t="s">
        <v>32</v>
      </c>
      <c r="R495" s="18" t="s">
        <v>33</v>
      </c>
      <c r="S495" s="25" t="s">
        <v>2256</v>
      </c>
      <c r="T495" s="27">
        <v>31552</v>
      </c>
      <c r="U495" s="25" t="s">
        <v>2255</v>
      </c>
      <c r="V495" s="25" t="s">
        <v>154</v>
      </c>
      <c r="W495" s="25"/>
    </row>
    <row r="496" spans="1:23" ht="22.5" customHeight="1">
      <c r="A496" s="20">
        <v>46054.188101851854</v>
      </c>
      <c r="B496" s="21" t="s">
        <v>2257</v>
      </c>
      <c r="C496" s="38"/>
      <c r="D496" s="21" t="s">
        <v>24</v>
      </c>
      <c r="E496" s="22">
        <v>31375</v>
      </c>
      <c r="F496" s="21" t="s">
        <v>198</v>
      </c>
      <c r="G496" s="21" t="s">
        <v>2258</v>
      </c>
      <c r="H496" s="21" t="s">
        <v>66</v>
      </c>
      <c r="I496" s="6" t="str">
        <f>VLOOKUP(CLEAN(F496),'World Bank Categories'!$B$4:$C$220,2,FALSE)</f>
        <v>Middle income</v>
      </c>
      <c r="J496" s="21" t="s">
        <v>2259</v>
      </c>
      <c r="K496" s="21" t="s">
        <v>39</v>
      </c>
      <c r="L496" s="21" t="s">
        <v>30</v>
      </c>
      <c r="M496" s="21"/>
      <c r="N496" s="21"/>
      <c r="O496" s="21"/>
      <c r="P496" s="21" t="s">
        <v>31</v>
      </c>
      <c r="Q496" s="9" t="s">
        <v>32</v>
      </c>
      <c r="R496" s="10"/>
      <c r="S496" s="25" t="s">
        <v>2260</v>
      </c>
      <c r="T496" s="27">
        <v>31375</v>
      </c>
      <c r="U496" s="25" t="s">
        <v>2259</v>
      </c>
      <c r="V496" s="25" t="s">
        <v>80</v>
      </c>
      <c r="W496" s="25"/>
    </row>
    <row r="497" spans="1:23" ht="22.5" customHeight="1">
      <c r="A497" s="20">
        <v>46054.238900462966</v>
      </c>
      <c r="B497" s="21" t="s">
        <v>2261</v>
      </c>
      <c r="C497" s="38"/>
      <c r="D497" s="21" t="s">
        <v>24</v>
      </c>
      <c r="E497" s="22">
        <v>32918</v>
      </c>
      <c r="F497" s="21" t="s">
        <v>2114</v>
      </c>
      <c r="G497" s="21" t="s">
        <v>2262</v>
      </c>
      <c r="H497" s="21" t="s">
        <v>2263</v>
      </c>
      <c r="I497" s="6" t="str">
        <f>VLOOKUP(CLEAN(F497),'World Bank Categories'!$B$4:$C$220,2,FALSE)</f>
        <v>Middle income</v>
      </c>
      <c r="J497" s="21" t="s">
        <v>2264</v>
      </c>
      <c r="K497" s="21" t="s">
        <v>39</v>
      </c>
      <c r="L497" s="21" t="s">
        <v>162</v>
      </c>
      <c r="M497" s="21" t="s">
        <v>2265</v>
      </c>
      <c r="N497" s="21" t="s">
        <v>2266</v>
      </c>
      <c r="O497" s="14" t="s">
        <v>365</v>
      </c>
      <c r="P497" s="21" t="s">
        <v>31</v>
      </c>
      <c r="Q497" s="9" t="s">
        <v>32</v>
      </c>
      <c r="R497" s="18"/>
      <c r="S497" s="25" t="s">
        <v>2267</v>
      </c>
      <c r="T497" s="27">
        <v>32918</v>
      </c>
      <c r="U497" s="25" t="s">
        <v>2268</v>
      </c>
      <c r="V497" s="25" t="s">
        <v>80</v>
      </c>
      <c r="W497" s="25"/>
    </row>
    <row r="498" spans="1:23" ht="22.5" customHeight="1">
      <c r="A498" s="20">
        <v>46054.363842592589</v>
      </c>
      <c r="B498" s="21" t="s">
        <v>2269</v>
      </c>
      <c r="C498" s="38"/>
      <c r="D498" s="21" t="s">
        <v>24</v>
      </c>
      <c r="E498" s="22">
        <v>38689</v>
      </c>
      <c r="F498" s="21" t="s">
        <v>346</v>
      </c>
      <c r="G498" s="21" t="s">
        <v>2270</v>
      </c>
      <c r="H498" s="21" t="s">
        <v>66</v>
      </c>
      <c r="I498" s="6" t="str">
        <f>VLOOKUP(CLEAN(F498),'World Bank Categories'!$B$4:$C$220,2,FALSE)</f>
        <v>Middle income</v>
      </c>
      <c r="J498" s="21" t="s">
        <v>2271</v>
      </c>
      <c r="K498" s="21" t="s">
        <v>29</v>
      </c>
      <c r="L498" s="21" t="s">
        <v>30</v>
      </c>
      <c r="M498" s="21" t="s">
        <v>2272</v>
      </c>
      <c r="N498" s="21"/>
      <c r="O498" s="21"/>
      <c r="P498" s="21" t="s">
        <v>31</v>
      </c>
      <c r="Q498" s="9" t="s">
        <v>32</v>
      </c>
      <c r="R498" s="10"/>
      <c r="S498" s="25" t="s">
        <v>2273</v>
      </c>
      <c r="T498" s="27">
        <v>38689</v>
      </c>
      <c r="U498" s="25" t="s">
        <v>2271</v>
      </c>
      <c r="V498" s="25" t="s">
        <v>80</v>
      </c>
      <c r="W498" s="25"/>
    </row>
    <row r="499" spans="1:23" ht="22.5" customHeight="1">
      <c r="A499" s="20">
        <v>46054.49690972222</v>
      </c>
      <c r="B499" s="21" t="s">
        <v>2274</v>
      </c>
      <c r="C499" s="21" t="s">
        <v>2275</v>
      </c>
      <c r="D499" s="21" t="s">
        <v>45</v>
      </c>
      <c r="E499" s="22">
        <v>35145</v>
      </c>
      <c r="F499" s="21" t="s">
        <v>198</v>
      </c>
      <c r="G499" s="21" t="s">
        <v>90</v>
      </c>
      <c r="H499" s="21" t="s">
        <v>111</v>
      </c>
      <c r="I499" s="6" t="str">
        <f>VLOOKUP(CLEAN(F499),'World Bank Categories'!$B$4:$C$220,2,FALSE)</f>
        <v>Middle income</v>
      </c>
      <c r="J499" s="21" t="s">
        <v>2276</v>
      </c>
      <c r="K499" s="21" t="s">
        <v>29</v>
      </c>
      <c r="L499" s="21" t="s">
        <v>162</v>
      </c>
      <c r="M499" s="21"/>
      <c r="N499" s="21"/>
      <c r="O499" s="21"/>
      <c r="P499" s="21" t="s">
        <v>31</v>
      </c>
      <c r="Q499" s="9" t="s">
        <v>32</v>
      </c>
      <c r="R499" s="18"/>
      <c r="S499" s="25" t="s">
        <v>2275</v>
      </c>
      <c r="T499" s="27">
        <v>35145</v>
      </c>
      <c r="U499" s="25" t="s">
        <v>2276</v>
      </c>
      <c r="V499" s="25" t="s">
        <v>2277</v>
      </c>
      <c r="W499" s="25"/>
    </row>
    <row r="500" spans="1:23" ht="22.5" customHeight="1">
      <c r="A500" s="20">
        <v>46054.765590277777</v>
      </c>
      <c r="B500" s="21" t="s">
        <v>2278</v>
      </c>
      <c r="C500" s="21" t="s">
        <v>2279</v>
      </c>
      <c r="D500" s="21" t="s">
        <v>24</v>
      </c>
      <c r="E500" s="22">
        <v>38799</v>
      </c>
      <c r="F500" s="21" t="s">
        <v>1932</v>
      </c>
      <c r="G500" s="21" t="s">
        <v>1933</v>
      </c>
      <c r="H500" s="21" t="s">
        <v>1407</v>
      </c>
      <c r="I500" s="6" t="str">
        <f>VLOOKUP(CLEAN(F500),'World Bank Categories'!$B$4:$C$220,2,FALSE)</f>
        <v>Middle income</v>
      </c>
      <c r="J500" s="21" t="s">
        <v>2280</v>
      </c>
      <c r="K500" s="21" t="s">
        <v>39</v>
      </c>
      <c r="L500" s="21" t="s">
        <v>30</v>
      </c>
      <c r="M500" s="21"/>
      <c r="N500" s="21"/>
      <c r="O500" s="21"/>
      <c r="P500" s="21" t="s">
        <v>31</v>
      </c>
      <c r="Q500" s="9" t="s">
        <v>32</v>
      </c>
      <c r="R500" s="10"/>
      <c r="S500" s="25" t="s">
        <v>2281</v>
      </c>
      <c r="T500" s="27">
        <v>38806</v>
      </c>
      <c r="U500" s="25" t="s">
        <v>2280</v>
      </c>
      <c r="V500" s="25" t="s">
        <v>236</v>
      </c>
      <c r="W500" s="25"/>
    </row>
    <row r="501" spans="1:23" ht="22.5" customHeight="1">
      <c r="A501" s="20">
        <v>46055.124965277777</v>
      </c>
      <c r="B501" s="21" t="s">
        <v>2282</v>
      </c>
      <c r="C501" s="38"/>
      <c r="D501" s="21" t="s">
        <v>45</v>
      </c>
      <c r="E501" s="22">
        <v>37349</v>
      </c>
      <c r="F501" s="21" t="s">
        <v>208</v>
      </c>
      <c r="G501" s="21" t="s">
        <v>702</v>
      </c>
      <c r="H501" s="21" t="s">
        <v>2283</v>
      </c>
      <c r="I501" s="6" t="str">
        <f>VLOOKUP(CLEAN(F501),'World Bank Categories'!$B$4:$C$220,2,FALSE)</f>
        <v>Low income</v>
      </c>
      <c r="J501" s="21" t="s">
        <v>2284</v>
      </c>
      <c r="K501" s="21" t="s">
        <v>29</v>
      </c>
      <c r="L501" s="21" t="s">
        <v>30</v>
      </c>
      <c r="M501" s="21"/>
      <c r="N501" s="21"/>
      <c r="O501" s="21"/>
      <c r="P501" s="21" t="s">
        <v>31</v>
      </c>
      <c r="Q501" s="9" t="s">
        <v>32</v>
      </c>
      <c r="R501" s="18"/>
      <c r="S501" s="25" t="s">
        <v>2285</v>
      </c>
      <c r="T501" s="27">
        <v>37349</v>
      </c>
      <c r="U501" s="25" t="s">
        <v>2284</v>
      </c>
      <c r="V501" s="25" t="s">
        <v>80</v>
      </c>
      <c r="W501" s="25"/>
    </row>
    <row r="502" spans="1:23" ht="22.5" customHeight="1">
      <c r="A502" s="50">
        <v>46055.251388888886</v>
      </c>
      <c r="B502" s="51" t="s">
        <v>2286</v>
      </c>
      <c r="C502" s="52"/>
      <c r="D502" s="51" t="s">
        <v>45</v>
      </c>
      <c r="E502" s="53">
        <v>36017</v>
      </c>
      <c r="F502" s="51" t="s">
        <v>380</v>
      </c>
      <c r="G502" s="51" t="s">
        <v>1884</v>
      </c>
      <c r="H502" s="51" t="s">
        <v>72</v>
      </c>
      <c r="I502" s="6" t="str">
        <f>VLOOKUP(CLEAN(F502),'World Bank Categories'!$B$4:$C$220,2,FALSE)</f>
        <v>Low income</v>
      </c>
      <c r="J502" s="21" t="s">
        <v>2287</v>
      </c>
      <c r="K502" s="21" t="s">
        <v>29</v>
      </c>
      <c r="L502" s="21" t="s">
        <v>30</v>
      </c>
      <c r="M502" s="21"/>
      <c r="N502" s="21"/>
      <c r="O502" s="21"/>
      <c r="P502" s="21" t="s">
        <v>31</v>
      </c>
      <c r="Q502" s="9" t="s">
        <v>32</v>
      </c>
      <c r="R502" s="10"/>
      <c r="S502" s="25" t="s">
        <v>2286</v>
      </c>
      <c r="T502" s="27">
        <v>36017</v>
      </c>
      <c r="U502" s="25" t="s">
        <v>2287</v>
      </c>
      <c r="V502" s="25" t="s">
        <v>80</v>
      </c>
      <c r="W502" s="25"/>
    </row>
    <row r="503" spans="1:23" ht="22.5" customHeight="1">
      <c r="A503" s="20">
        <v>46055.474780092591</v>
      </c>
      <c r="B503" s="21" t="s">
        <v>2288</v>
      </c>
      <c r="C503" s="38"/>
      <c r="D503" s="21" t="s">
        <v>24</v>
      </c>
      <c r="E503" s="22">
        <v>35005</v>
      </c>
      <c r="F503" s="21" t="s">
        <v>1932</v>
      </c>
      <c r="G503" s="21" t="s">
        <v>2289</v>
      </c>
      <c r="H503" s="21" t="s">
        <v>640</v>
      </c>
      <c r="I503" s="6" t="str">
        <f>VLOOKUP(CLEAN(F503),'World Bank Categories'!$B$4:$C$220,2,FALSE)</f>
        <v>Middle income</v>
      </c>
      <c r="J503" s="21" t="s">
        <v>2290</v>
      </c>
      <c r="K503" s="21" t="s">
        <v>29</v>
      </c>
      <c r="L503" s="21" t="s">
        <v>30</v>
      </c>
      <c r="M503" s="21"/>
      <c r="N503" s="21"/>
      <c r="O503" s="21"/>
      <c r="P503" s="21" t="s">
        <v>31</v>
      </c>
      <c r="Q503" s="9" t="s">
        <v>32</v>
      </c>
      <c r="R503" s="18" t="s">
        <v>33</v>
      </c>
      <c r="S503" s="25" t="s">
        <v>2288</v>
      </c>
      <c r="T503" s="27">
        <v>35005</v>
      </c>
      <c r="U503" s="25" t="s">
        <v>2290</v>
      </c>
      <c r="V503" s="25" t="s">
        <v>80</v>
      </c>
      <c r="W503" s="25"/>
    </row>
    <row r="504" spans="1:23" ht="22.5" customHeight="1">
      <c r="A504" s="5">
        <v>46055.537247627319</v>
      </c>
      <c r="B504" s="6" t="s">
        <v>2291</v>
      </c>
      <c r="C504" s="7"/>
      <c r="D504" s="6" t="s">
        <v>24</v>
      </c>
      <c r="E504" s="8">
        <v>32052</v>
      </c>
      <c r="F504" s="6" t="s">
        <v>1179</v>
      </c>
      <c r="G504" s="6" t="s">
        <v>1665</v>
      </c>
      <c r="H504" s="6" t="s">
        <v>186</v>
      </c>
      <c r="I504" s="6" t="str">
        <f>VLOOKUP(CLEAN(F504),'World Bank Categories'!$B$4:$C$220,2,FALSE)</f>
        <v>High income</v>
      </c>
      <c r="J504" s="6" t="s">
        <v>2292</v>
      </c>
      <c r="K504" s="6" t="s">
        <v>39</v>
      </c>
      <c r="L504" s="6" t="s">
        <v>162</v>
      </c>
      <c r="M504" s="7"/>
      <c r="N504" s="6"/>
      <c r="O504" s="6"/>
      <c r="P504" s="6" t="s">
        <v>2293</v>
      </c>
      <c r="Q504" s="9" t="s">
        <v>32</v>
      </c>
      <c r="R504" s="10" t="s">
        <v>43</v>
      </c>
      <c r="S504" s="11" t="s">
        <v>2294</v>
      </c>
      <c r="T504" s="12"/>
      <c r="U504" s="12"/>
      <c r="V504" s="12"/>
      <c r="W504" s="12"/>
    </row>
    <row r="505" spans="1:23" ht="22.5" customHeight="1">
      <c r="A505" s="20">
        <v>46057.974895833337</v>
      </c>
      <c r="B505" s="21" t="s">
        <v>2295</v>
      </c>
      <c r="C505" s="21" t="s">
        <v>2296</v>
      </c>
      <c r="D505" s="21" t="s">
        <v>45</v>
      </c>
      <c r="E505" s="22">
        <v>37881</v>
      </c>
      <c r="F505" s="21" t="s">
        <v>1053</v>
      </c>
      <c r="G505" s="21" t="s">
        <v>2297</v>
      </c>
      <c r="H505" s="21" t="s">
        <v>66</v>
      </c>
      <c r="I505" s="6" t="str">
        <f>VLOOKUP(CLEAN(F505),'World Bank Categories'!$B$4:$C$220,2,FALSE)</f>
        <v>High income</v>
      </c>
      <c r="J505" s="21" t="s">
        <v>2298</v>
      </c>
      <c r="K505" s="21" t="s">
        <v>29</v>
      </c>
      <c r="L505" s="21" t="s">
        <v>30</v>
      </c>
      <c r="M505" s="21"/>
      <c r="N505" s="21"/>
      <c r="O505" s="21"/>
      <c r="P505" s="21" t="s">
        <v>31</v>
      </c>
      <c r="Q505" s="9" t="s">
        <v>32</v>
      </c>
      <c r="R505" s="10" t="s">
        <v>43</v>
      </c>
      <c r="S505" s="25" t="s">
        <v>2295</v>
      </c>
      <c r="T505" s="27">
        <v>37881</v>
      </c>
      <c r="U505" s="25" t="s">
        <v>2298</v>
      </c>
      <c r="V505" s="25" t="s">
        <v>80</v>
      </c>
      <c r="W505" s="25"/>
    </row>
    <row r="506" spans="1:23" ht="22.5" customHeight="1">
      <c r="A506" s="13">
        <v>46059.07735712963</v>
      </c>
      <c r="B506" s="14" t="s">
        <v>2299</v>
      </c>
      <c r="C506" s="15"/>
      <c r="D506" s="14" t="s">
        <v>45</v>
      </c>
      <c r="E506" s="16">
        <v>46074</v>
      </c>
      <c r="F506" s="14" t="s">
        <v>208</v>
      </c>
      <c r="G506" s="14" t="s">
        <v>66</v>
      </c>
      <c r="H506" s="14" t="s">
        <v>66</v>
      </c>
      <c r="I506" s="6" t="str">
        <f>VLOOKUP(CLEAN(F506),'World Bank Categories'!$B$4:$C$220,2,FALSE)</f>
        <v>Low income</v>
      </c>
      <c r="J506" s="14" t="s">
        <v>2300</v>
      </c>
      <c r="K506" s="14" t="s">
        <v>29</v>
      </c>
      <c r="L506" s="14" t="s">
        <v>30</v>
      </c>
      <c r="M506" s="15"/>
      <c r="N506" s="14"/>
      <c r="O506" s="14"/>
      <c r="P506" s="14" t="s">
        <v>31</v>
      </c>
      <c r="Q506" s="9" t="s">
        <v>32</v>
      </c>
      <c r="R506" s="18"/>
      <c r="S506" s="19" t="s">
        <v>2299</v>
      </c>
      <c r="T506" s="12"/>
      <c r="U506" s="12"/>
      <c r="V506" s="12"/>
      <c r="W506" s="12"/>
    </row>
    <row r="507" spans="1:23" ht="22.5" customHeight="1">
      <c r="A507" s="20">
        <v>46059.140752314815</v>
      </c>
      <c r="B507" s="21" t="s">
        <v>2301</v>
      </c>
      <c r="C507" s="38"/>
      <c r="D507" s="21" t="s">
        <v>24</v>
      </c>
      <c r="E507" s="22">
        <v>35691</v>
      </c>
      <c r="F507" s="21" t="s">
        <v>208</v>
      </c>
      <c r="G507" s="21" t="s">
        <v>2302</v>
      </c>
      <c r="H507" s="21" t="s">
        <v>2303</v>
      </c>
      <c r="I507" s="6" t="str">
        <f>VLOOKUP(CLEAN(F507),'World Bank Categories'!$B$4:$C$220,2,FALSE)</f>
        <v>Low income</v>
      </c>
      <c r="J507" s="21" t="s">
        <v>2304</v>
      </c>
      <c r="K507" s="21" t="s">
        <v>29</v>
      </c>
      <c r="L507" s="21" t="s">
        <v>30</v>
      </c>
      <c r="M507" s="21"/>
      <c r="N507" s="21"/>
      <c r="O507" s="21"/>
      <c r="P507" s="21" t="s">
        <v>31</v>
      </c>
      <c r="Q507" s="9" t="s">
        <v>32</v>
      </c>
      <c r="R507" s="10" t="s">
        <v>33</v>
      </c>
      <c r="S507" s="25" t="s">
        <v>2301</v>
      </c>
      <c r="T507" s="27">
        <v>35691</v>
      </c>
      <c r="U507" s="25" t="s">
        <v>2304</v>
      </c>
      <c r="V507" s="25" t="s">
        <v>80</v>
      </c>
      <c r="W507" s="25"/>
    </row>
    <row r="508" spans="1:23" ht="22.5" customHeight="1">
      <c r="A508" s="13">
        <v>46059.665206921301</v>
      </c>
      <c r="B508" s="14" t="s">
        <v>2305</v>
      </c>
      <c r="C508" s="14" t="s">
        <v>2306</v>
      </c>
      <c r="D508" s="14" t="s">
        <v>45</v>
      </c>
      <c r="E508" s="16">
        <v>36206</v>
      </c>
      <c r="F508" s="14" t="s">
        <v>208</v>
      </c>
      <c r="G508" s="14" t="s">
        <v>2307</v>
      </c>
      <c r="H508" s="14" t="s">
        <v>66</v>
      </c>
      <c r="I508" s="6" t="str">
        <f>VLOOKUP(CLEAN(F508),'World Bank Categories'!$B$4:$C$220,2,FALSE)</f>
        <v>Low income</v>
      </c>
      <c r="J508" s="14" t="s">
        <v>2308</v>
      </c>
      <c r="K508" s="14" t="s">
        <v>29</v>
      </c>
      <c r="L508" s="14" t="s">
        <v>162</v>
      </c>
      <c r="M508" s="15"/>
      <c r="N508" s="14"/>
      <c r="O508" s="14"/>
      <c r="P508" s="14" t="s">
        <v>31</v>
      </c>
      <c r="Q508" s="9" t="s">
        <v>32</v>
      </c>
      <c r="R508" s="18" t="s">
        <v>33</v>
      </c>
      <c r="S508" s="19">
        <v>256759021143</v>
      </c>
      <c r="T508" s="12"/>
      <c r="U508" s="12"/>
      <c r="V508" s="12"/>
      <c r="W508" s="12"/>
    </row>
    <row r="509" spans="1:23" ht="22.5" customHeight="1">
      <c r="A509" s="20">
        <v>46059.670601851853</v>
      </c>
      <c r="B509" s="21" t="s">
        <v>2309</v>
      </c>
      <c r="C509" s="38"/>
      <c r="D509" s="21" t="s">
        <v>24</v>
      </c>
      <c r="E509" s="22">
        <v>37610</v>
      </c>
      <c r="F509" s="21" t="s">
        <v>208</v>
      </c>
      <c r="G509" s="21" t="s">
        <v>2310</v>
      </c>
      <c r="H509" s="21" t="s">
        <v>90</v>
      </c>
      <c r="I509" s="6" t="str">
        <f>VLOOKUP(CLEAN(F509),'World Bank Categories'!$B$4:$C$220,2,FALSE)</f>
        <v>Low income</v>
      </c>
      <c r="J509" s="21" t="s">
        <v>2311</v>
      </c>
      <c r="K509" s="21" t="s">
        <v>29</v>
      </c>
      <c r="L509" s="21" t="s">
        <v>162</v>
      </c>
      <c r="M509" s="21"/>
      <c r="N509" s="21"/>
      <c r="O509" s="21"/>
      <c r="P509" s="21" t="s">
        <v>31</v>
      </c>
      <c r="Q509" s="9" t="s">
        <v>32</v>
      </c>
      <c r="R509" s="10"/>
      <c r="S509" s="25" t="s">
        <v>2309</v>
      </c>
      <c r="T509" s="27">
        <v>37610</v>
      </c>
      <c r="U509" s="25" t="s">
        <v>2312</v>
      </c>
      <c r="V509" s="25" t="s">
        <v>101</v>
      </c>
      <c r="W509" s="25"/>
    </row>
    <row r="510" spans="1:23" ht="22.5" hidden="1" customHeight="1">
      <c r="A510" s="20">
        <v>46059.683425925927</v>
      </c>
      <c r="B510" s="21" t="s">
        <v>2313</v>
      </c>
      <c r="C510" s="38"/>
      <c r="D510" s="21" t="s">
        <v>45</v>
      </c>
      <c r="E510" s="22">
        <v>38135</v>
      </c>
      <c r="F510" s="21" t="s">
        <v>208</v>
      </c>
      <c r="G510" s="21" t="s">
        <v>460</v>
      </c>
      <c r="H510" s="21" t="s">
        <v>160</v>
      </c>
      <c r="I510" s="6" t="str">
        <f>VLOOKUP(CLEAN(F510),'World Bank Categories'!$B$4:$C$220,2,FALSE)</f>
        <v>Low income</v>
      </c>
      <c r="J510" s="21" t="s">
        <v>2314</v>
      </c>
      <c r="K510" s="21" t="s">
        <v>29</v>
      </c>
      <c r="L510" s="21" t="s">
        <v>162</v>
      </c>
      <c r="M510" s="21"/>
      <c r="N510" s="21"/>
      <c r="O510" s="21"/>
      <c r="P510" s="21" t="s">
        <v>31</v>
      </c>
      <c r="Q510" s="23" t="s">
        <v>56</v>
      </c>
      <c r="R510" s="24"/>
      <c r="S510" s="25"/>
      <c r="T510" s="26"/>
      <c r="U510" s="25"/>
      <c r="V510" s="25"/>
      <c r="W510" s="25"/>
    </row>
    <row r="511" spans="1:23" ht="22.5" customHeight="1">
      <c r="A511" s="28">
        <v>46059.873333333337</v>
      </c>
      <c r="B511" s="29" t="s">
        <v>2315</v>
      </c>
      <c r="C511" s="45"/>
      <c r="D511" s="29" t="s">
        <v>24</v>
      </c>
      <c r="E511" s="30">
        <v>36809</v>
      </c>
      <c r="F511" s="21" t="s">
        <v>208</v>
      </c>
      <c r="G511" s="29" t="s">
        <v>66</v>
      </c>
      <c r="H511" s="29" t="s">
        <v>2316</v>
      </c>
      <c r="I511" s="6" t="str">
        <f>VLOOKUP(CLEAN(F511),'World Bank Categories'!$B$4:$C$220,2,FALSE)</f>
        <v>Low income</v>
      </c>
      <c r="J511" s="29" t="s">
        <v>2317</v>
      </c>
      <c r="K511" s="29" t="s">
        <v>29</v>
      </c>
      <c r="L511" s="29" t="s">
        <v>30</v>
      </c>
      <c r="M511" s="29"/>
      <c r="N511" s="29"/>
      <c r="O511" s="29"/>
      <c r="P511" s="29" t="s">
        <v>31</v>
      </c>
      <c r="Q511" s="9" t="s">
        <v>32</v>
      </c>
      <c r="R511" s="18"/>
      <c r="S511" s="25" t="s">
        <v>2318</v>
      </c>
      <c r="T511" s="27">
        <v>36809</v>
      </c>
      <c r="U511" s="25" t="s">
        <v>2317</v>
      </c>
      <c r="V511" s="25" t="s">
        <v>80</v>
      </c>
      <c r="W511" s="25"/>
    </row>
    <row r="512" spans="1:23" ht="22.5" customHeight="1">
      <c r="A512" s="20">
        <v>46059.874201388891</v>
      </c>
      <c r="B512" s="21" t="s">
        <v>2319</v>
      </c>
      <c r="C512" s="38"/>
      <c r="D512" s="21" t="s">
        <v>24</v>
      </c>
      <c r="E512" s="22">
        <v>37071</v>
      </c>
      <c r="F512" s="21" t="s">
        <v>208</v>
      </c>
      <c r="G512" s="21" t="s">
        <v>2320</v>
      </c>
      <c r="H512" s="21" t="s">
        <v>2321</v>
      </c>
      <c r="I512" s="6" t="str">
        <f>VLOOKUP(CLEAN(F512),'World Bank Categories'!$B$4:$C$220,2,FALSE)</f>
        <v>Low income</v>
      </c>
      <c r="J512" s="21" t="s">
        <v>2322</v>
      </c>
      <c r="K512" s="21" t="s">
        <v>29</v>
      </c>
      <c r="L512" s="21" t="s">
        <v>30</v>
      </c>
      <c r="M512" s="21"/>
      <c r="N512" s="21"/>
      <c r="O512" s="21"/>
      <c r="P512" s="21" t="s">
        <v>31</v>
      </c>
      <c r="Q512" s="9" t="s">
        <v>32</v>
      </c>
      <c r="R512" s="10"/>
      <c r="S512" s="25" t="s">
        <v>2319</v>
      </c>
      <c r="T512" s="27">
        <v>37071</v>
      </c>
      <c r="U512" s="25" t="s">
        <v>2323</v>
      </c>
      <c r="V512" s="25" t="s">
        <v>101</v>
      </c>
      <c r="W512" s="25"/>
    </row>
    <row r="513" spans="1:23" ht="22.5" customHeight="1">
      <c r="A513" s="20">
        <v>46060.215949074074</v>
      </c>
      <c r="B513" s="21" t="s">
        <v>2324</v>
      </c>
      <c r="C513" s="38"/>
      <c r="D513" s="21" t="s">
        <v>45</v>
      </c>
      <c r="E513" s="22">
        <v>22772</v>
      </c>
      <c r="F513" s="21" t="s">
        <v>416</v>
      </c>
      <c r="G513" s="21" t="s">
        <v>2325</v>
      </c>
      <c r="H513" s="21" t="s">
        <v>1655</v>
      </c>
      <c r="I513" s="6" t="str">
        <f>VLOOKUP(CLEAN(F513),'World Bank Categories'!$B$4:$C$220,2,FALSE)</f>
        <v>Middle income</v>
      </c>
      <c r="J513" s="21" t="s">
        <v>2326</v>
      </c>
      <c r="K513" s="21" t="s">
        <v>29</v>
      </c>
      <c r="L513" s="21" t="s">
        <v>30</v>
      </c>
      <c r="M513" s="21"/>
      <c r="N513" s="21"/>
      <c r="O513" s="21"/>
      <c r="P513" s="21" t="s">
        <v>31</v>
      </c>
      <c r="Q513" s="9" t="s">
        <v>32</v>
      </c>
      <c r="R513" s="18"/>
      <c r="S513" s="25" t="s">
        <v>2324</v>
      </c>
      <c r="T513" s="27">
        <v>22772</v>
      </c>
      <c r="U513" s="25" t="s">
        <v>2326</v>
      </c>
      <c r="V513" s="25" t="s">
        <v>80</v>
      </c>
      <c r="W513" s="25"/>
    </row>
    <row r="514" spans="1:23" ht="22.5" customHeight="1">
      <c r="A514" s="20">
        <v>46060.851736111108</v>
      </c>
      <c r="B514" s="21" t="s">
        <v>2327</v>
      </c>
      <c r="C514" s="38"/>
      <c r="D514" s="21" t="s">
        <v>24</v>
      </c>
      <c r="E514" s="22">
        <v>35046</v>
      </c>
      <c r="F514" s="21" t="s">
        <v>208</v>
      </c>
      <c r="G514" s="21" t="s">
        <v>2328</v>
      </c>
      <c r="H514" s="21" t="s">
        <v>530</v>
      </c>
      <c r="I514" s="6" t="str">
        <f>VLOOKUP(CLEAN(F514),'World Bank Categories'!$B$4:$C$220,2,FALSE)</f>
        <v>Low income</v>
      </c>
      <c r="J514" s="21" t="s">
        <v>2329</v>
      </c>
      <c r="K514" s="21" t="s">
        <v>29</v>
      </c>
      <c r="L514" s="21" t="s">
        <v>30</v>
      </c>
      <c r="M514" s="21"/>
      <c r="N514" s="21"/>
      <c r="O514" s="21"/>
      <c r="P514" s="21" t="s">
        <v>31</v>
      </c>
      <c r="Q514" s="9" t="s">
        <v>32</v>
      </c>
      <c r="R514" s="10"/>
      <c r="S514" s="25" t="s">
        <v>2330</v>
      </c>
      <c r="T514" s="27">
        <v>35046</v>
      </c>
      <c r="U514" s="25" t="s">
        <v>2329</v>
      </c>
      <c r="V514" s="25" t="s">
        <v>154</v>
      </c>
      <c r="W514" s="25"/>
    </row>
    <row r="515" spans="1:23" ht="22.5" customHeight="1">
      <c r="A515" s="20">
        <v>46062.000092592592</v>
      </c>
      <c r="B515" s="21" t="s">
        <v>2331</v>
      </c>
      <c r="C515" s="38"/>
      <c r="D515" s="21" t="s">
        <v>24</v>
      </c>
      <c r="E515" s="22">
        <v>37860</v>
      </c>
      <c r="F515" s="21" t="s">
        <v>2332</v>
      </c>
      <c r="G515" s="21" t="s">
        <v>2333</v>
      </c>
      <c r="H515" s="21" t="s">
        <v>2334</v>
      </c>
      <c r="I515" s="6" t="str">
        <f>VLOOKUP(CLEAN(F515),'World Bank Categories'!$B$4:$C$220,2,FALSE)</f>
        <v>High income</v>
      </c>
      <c r="J515" s="21" t="s">
        <v>2335</v>
      </c>
      <c r="K515" s="21" t="s">
        <v>29</v>
      </c>
      <c r="L515" s="21" t="s">
        <v>30</v>
      </c>
      <c r="M515" s="21" t="s">
        <v>2336</v>
      </c>
      <c r="N515" s="21"/>
      <c r="O515" s="21"/>
      <c r="P515" s="21" t="s">
        <v>31</v>
      </c>
      <c r="Q515" s="9" t="s">
        <v>32</v>
      </c>
      <c r="R515" s="18" t="s">
        <v>43</v>
      </c>
      <c r="S515" s="25" t="s">
        <v>2337</v>
      </c>
      <c r="T515" s="27">
        <v>37860</v>
      </c>
      <c r="U515" s="25" t="s">
        <v>2335</v>
      </c>
      <c r="V515" s="25" t="s">
        <v>154</v>
      </c>
      <c r="W515" s="25"/>
    </row>
    <row r="516" spans="1:23" ht="22.5" customHeight="1">
      <c r="A516" s="20">
        <v>46062.387488425928</v>
      </c>
      <c r="B516" s="21" t="s">
        <v>2338</v>
      </c>
      <c r="C516" s="21" t="s">
        <v>2339</v>
      </c>
      <c r="D516" s="21" t="s">
        <v>45</v>
      </c>
      <c r="E516" s="22">
        <v>38768</v>
      </c>
      <c r="F516" s="21" t="s">
        <v>1053</v>
      </c>
      <c r="G516" s="21" t="s">
        <v>2340</v>
      </c>
      <c r="H516" s="21" t="s">
        <v>66</v>
      </c>
      <c r="I516" s="6" t="str">
        <f>VLOOKUP(CLEAN(F516),'World Bank Categories'!$B$4:$C$220,2,FALSE)</f>
        <v>High income</v>
      </c>
      <c r="J516" s="21" t="s">
        <v>2341</v>
      </c>
      <c r="K516" s="21" t="s">
        <v>39</v>
      </c>
      <c r="L516" s="21" t="s">
        <v>1991</v>
      </c>
      <c r="M516" s="21"/>
      <c r="N516" s="21"/>
      <c r="O516" s="21"/>
      <c r="P516" s="21" t="s">
        <v>31</v>
      </c>
      <c r="Q516" s="9" t="s">
        <v>32</v>
      </c>
      <c r="R516" s="10" t="s">
        <v>43</v>
      </c>
      <c r="S516" s="25" t="s">
        <v>2342</v>
      </c>
      <c r="T516" s="27">
        <v>38768</v>
      </c>
      <c r="U516" s="25" t="s">
        <v>2341</v>
      </c>
      <c r="V516" s="25" t="s">
        <v>154</v>
      </c>
      <c r="W516" s="25"/>
    </row>
    <row r="517" spans="1:23" ht="22.5" customHeight="1">
      <c r="A517" s="20">
        <v>46063.252685185187</v>
      </c>
      <c r="B517" s="21" t="s">
        <v>2343</v>
      </c>
      <c r="C517" s="38"/>
      <c r="D517" s="21" t="s">
        <v>24</v>
      </c>
      <c r="E517" s="22">
        <v>36639</v>
      </c>
      <c r="F517" s="21" t="s">
        <v>2344</v>
      </c>
      <c r="G517" s="21" t="s">
        <v>2345</v>
      </c>
      <c r="H517" s="21" t="s">
        <v>66</v>
      </c>
      <c r="I517" s="6" t="str">
        <f>VLOOKUP(CLEAN(F517),'World Bank Categories'!$B$4:$C$220,2,FALSE)</f>
        <v>High income</v>
      </c>
      <c r="J517" s="21" t="s">
        <v>2346</v>
      </c>
      <c r="K517" s="21" t="s">
        <v>29</v>
      </c>
      <c r="L517" s="21" t="s">
        <v>30</v>
      </c>
      <c r="M517" s="21"/>
      <c r="N517" s="21"/>
      <c r="O517" s="21"/>
      <c r="P517" s="21" t="s">
        <v>31</v>
      </c>
      <c r="Q517" s="9" t="s">
        <v>32</v>
      </c>
      <c r="R517" s="18" t="s">
        <v>43</v>
      </c>
      <c r="S517" s="25" t="s">
        <v>2343</v>
      </c>
      <c r="T517" s="27">
        <v>36639</v>
      </c>
      <c r="U517" s="25" t="s">
        <v>2346</v>
      </c>
      <c r="V517" s="25" t="s">
        <v>80</v>
      </c>
      <c r="W517" s="25"/>
    </row>
    <row r="518" spans="1:23" ht="22.5" customHeight="1">
      <c r="A518" s="46">
        <v>46063.824826388889</v>
      </c>
      <c r="B518" s="47" t="s">
        <v>2347</v>
      </c>
      <c r="C518" s="48"/>
      <c r="D518" s="47" t="s">
        <v>24</v>
      </c>
      <c r="E518" s="49">
        <v>36791</v>
      </c>
      <c r="F518" s="21" t="s">
        <v>208</v>
      </c>
      <c r="G518" s="47" t="s">
        <v>2348</v>
      </c>
      <c r="H518" s="47" t="s">
        <v>2349</v>
      </c>
      <c r="I518" s="6" t="str">
        <f>VLOOKUP(CLEAN(F518),'World Bank Categories'!$B$4:$C$220,2,FALSE)</f>
        <v>Low income</v>
      </c>
      <c r="J518" s="47" t="s">
        <v>2350</v>
      </c>
      <c r="K518" s="47" t="s">
        <v>39</v>
      </c>
      <c r="L518" s="47" t="s">
        <v>30</v>
      </c>
      <c r="M518" s="47"/>
      <c r="N518" s="47"/>
      <c r="O518" s="47"/>
      <c r="P518" s="47" t="s">
        <v>31</v>
      </c>
      <c r="Q518" s="9" t="s">
        <v>32</v>
      </c>
      <c r="R518" s="10" t="s">
        <v>33</v>
      </c>
      <c r="S518" s="25" t="s">
        <v>2347</v>
      </c>
      <c r="T518" s="27">
        <v>36791</v>
      </c>
      <c r="U518" s="25" t="s">
        <v>2350</v>
      </c>
      <c r="V518" s="25" t="s">
        <v>80</v>
      </c>
      <c r="W518" s="25"/>
    </row>
    <row r="519" spans="1:23" ht="22.5" customHeight="1">
      <c r="A519" s="20">
        <v>46064.68949074074</v>
      </c>
      <c r="B519" s="21" t="s">
        <v>2351</v>
      </c>
      <c r="C519" s="21" t="s">
        <v>2352</v>
      </c>
      <c r="D519" s="21" t="s">
        <v>24</v>
      </c>
      <c r="E519" s="22">
        <v>38027</v>
      </c>
      <c r="F519" s="21" t="s">
        <v>1053</v>
      </c>
      <c r="G519" s="21" t="s">
        <v>2353</v>
      </c>
      <c r="H519" s="21" t="s">
        <v>2354</v>
      </c>
      <c r="I519" s="6" t="str">
        <f>VLOOKUP(CLEAN(F519),'World Bank Categories'!$B$4:$C$220,2,FALSE)</f>
        <v>High income</v>
      </c>
      <c r="J519" s="21" t="s">
        <v>2355</v>
      </c>
      <c r="K519" s="21" t="s">
        <v>29</v>
      </c>
      <c r="L519" s="21" t="s">
        <v>30</v>
      </c>
      <c r="M519" s="41"/>
      <c r="N519" s="21"/>
      <c r="O519" s="21"/>
      <c r="P519" s="21" t="s">
        <v>31</v>
      </c>
      <c r="Q519" s="9" t="s">
        <v>32</v>
      </c>
      <c r="R519" s="18" t="s">
        <v>43</v>
      </c>
      <c r="S519" s="25" t="s">
        <v>2351</v>
      </c>
      <c r="T519" s="27">
        <v>38027</v>
      </c>
      <c r="U519" s="25" t="s">
        <v>2355</v>
      </c>
      <c r="V519" s="25" t="s">
        <v>80</v>
      </c>
      <c r="W519" s="25"/>
    </row>
    <row r="520" spans="1:23" ht="22.5" hidden="1" customHeight="1">
      <c r="A520" s="46">
        <v>46065.486284722225</v>
      </c>
      <c r="B520" s="47" t="s">
        <v>2356</v>
      </c>
      <c r="C520" s="48"/>
      <c r="D520" s="47" t="s">
        <v>24</v>
      </c>
      <c r="E520" s="49">
        <v>46108</v>
      </c>
      <c r="F520" s="47" t="s">
        <v>198</v>
      </c>
      <c r="G520" s="47" t="s">
        <v>2357</v>
      </c>
      <c r="H520" s="47" t="s">
        <v>2358</v>
      </c>
      <c r="I520" s="6" t="str">
        <f>VLOOKUP(CLEAN(F520),'World Bank Categories'!$B$4:$C$220,2,FALSE)</f>
        <v>Middle income</v>
      </c>
      <c r="J520" s="47" t="s">
        <v>2359</v>
      </c>
      <c r="K520" s="47" t="s">
        <v>29</v>
      </c>
      <c r="L520" s="47" t="s">
        <v>30</v>
      </c>
      <c r="M520" s="47"/>
      <c r="N520" s="47"/>
      <c r="O520" s="47"/>
      <c r="P520" s="47" t="s">
        <v>31</v>
      </c>
      <c r="Q520" s="23" t="s">
        <v>56</v>
      </c>
      <c r="R520" s="24"/>
      <c r="S520" s="25"/>
      <c r="T520" s="26"/>
      <c r="U520" s="25"/>
      <c r="V520" s="25"/>
      <c r="W520" s="25"/>
    </row>
    <row r="521" spans="1:23" ht="22.5" customHeight="1">
      <c r="A521" s="5">
        <v>46065.836202812498</v>
      </c>
      <c r="B521" s="6" t="s">
        <v>2360</v>
      </c>
      <c r="C521" s="7"/>
      <c r="D521" s="6" t="s">
        <v>24</v>
      </c>
      <c r="E521" s="8">
        <v>37501</v>
      </c>
      <c r="F521" s="6" t="s">
        <v>2344</v>
      </c>
      <c r="G521" s="6" t="s">
        <v>2361</v>
      </c>
      <c r="H521" s="14" t="s">
        <v>66</v>
      </c>
      <c r="I521" s="6" t="str">
        <f>VLOOKUP(CLEAN(F521),'World Bank Categories'!$B$4:$C$220,2,FALSE)</f>
        <v>High income</v>
      </c>
      <c r="J521" s="14" t="s">
        <v>2362</v>
      </c>
      <c r="K521" s="14" t="s">
        <v>29</v>
      </c>
      <c r="L521" s="14" t="s">
        <v>162</v>
      </c>
      <c r="M521" s="15"/>
      <c r="N521" s="14"/>
      <c r="O521" s="14"/>
      <c r="P521" s="14" t="s">
        <v>31</v>
      </c>
      <c r="Q521" s="9" t="s">
        <v>32</v>
      </c>
      <c r="R521" s="10" t="s">
        <v>43</v>
      </c>
      <c r="S521" s="19" t="s">
        <v>2360</v>
      </c>
      <c r="T521" s="12"/>
      <c r="U521" s="12"/>
      <c r="V521" s="12"/>
      <c r="W521" s="12"/>
    </row>
    <row r="522" spans="1:23" ht="22.5" customHeight="1">
      <c r="A522" s="20">
        <v>46067.559953703705</v>
      </c>
      <c r="B522" s="21" t="s">
        <v>2363</v>
      </c>
      <c r="C522" s="38"/>
      <c r="D522" s="21" t="s">
        <v>24</v>
      </c>
      <c r="E522" s="22">
        <v>27187</v>
      </c>
      <c r="F522" s="21" t="s">
        <v>332</v>
      </c>
      <c r="G522" s="21" t="s">
        <v>2364</v>
      </c>
      <c r="H522" s="21" t="s">
        <v>2365</v>
      </c>
      <c r="I522" s="6" t="str">
        <f>VLOOKUP(CLEAN(F522),'World Bank Categories'!$B$4:$C$220,2,FALSE)</f>
        <v>High income</v>
      </c>
      <c r="J522" s="21" t="s">
        <v>2366</v>
      </c>
      <c r="K522" s="21" t="s">
        <v>29</v>
      </c>
      <c r="L522" s="21" t="s">
        <v>30</v>
      </c>
      <c r="M522" s="21"/>
      <c r="N522" s="21"/>
      <c r="O522" s="21"/>
      <c r="P522" s="21" t="s">
        <v>31</v>
      </c>
      <c r="Q522" s="9" t="s">
        <v>32</v>
      </c>
      <c r="R522" s="10"/>
      <c r="S522" s="25" t="s">
        <v>2367</v>
      </c>
      <c r="T522" s="27">
        <v>27187</v>
      </c>
      <c r="U522" s="25" t="s">
        <v>2366</v>
      </c>
      <c r="V522" s="25" t="s">
        <v>154</v>
      </c>
      <c r="W522" s="25"/>
    </row>
    <row r="523" spans="1:23" ht="22.5" customHeight="1">
      <c r="A523" s="28">
        <v>46069.886874999997</v>
      </c>
      <c r="B523" s="29" t="s">
        <v>2368</v>
      </c>
      <c r="C523" s="45"/>
      <c r="D523" s="29" t="s">
        <v>24</v>
      </c>
      <c r="E523" s="30">
        <v>31417</v>
      </c>
      <c r="F523" s="21" t="s">
        <v>208</v>
      </c>
      <c r="G523" s="29" t="s">
        <v>2369</v>
      </c>
      <c r="H523" s="29" t="s">
        <v>72</v>
      </c>
      <c r="I523" s="6" t="str">
        <f>VLOOKUP(CLEAN(F523),'World Bank Categories'!$B$4:$C$220,2,FALSE)</f>
        <v>Low income</v>
      </c>
      <c r="J523" s="29" t="s">
        <v>2370</v>
      </c>
      <c r="K523" s="29" t="s">
        <v>39</v>
      </c>
      <c r="L523" s="29" t="s">
        <v>30</v>
      </c>
      <c r="M523" s="29"/>
      <c r="N523" s="29"/>
      <c r="O523" s="29"/>
      <c r="P523" s="29" t="s">
        <v>31</v>
      </c>
      <c r="Q523" s="9" t="s">
        <v>32</v>
      </c>
      <c r="R523" s="10"/>
      <c r="S523" s="25" t="s">
        <v>2368</v>
      </c>
      <c r="T523" s="27">
        <v>31417</v>
      </c>
      <c r="U523" s="25" t="s">
        <v>2370</v>
      </c>
      <c r="V523" s="25" t="s">
        <v>80</v>
      </c>
      <c r="W523" s="25"/>
    </row>
    <row r="524" spans="1:23" ht="22.5" customHeight="1">
      <c r="A524" s="20">
        <v>46070.107731481483</v>
      </c>
      <c r="B524" s="21" t="s">
        <v>2371</v>
      </c>
      <c r="C524" s="38"/>
      <c r="D524" s="21" t="s">
        <v>24</v>
      </c>
      <c r="E524" s="22">
        <v>36870</v>
      </c>
      <c r="F524" s="21" t="s">
        <v>208</v>
      </c>
      <c r="G524" s="21" t="s">
        <v>2310</v>
      </c>
      <c r="H524" s="21" t="s">
        <v>66</v>
      </c>
      <c r="I524" s="6" t="str">
        <f>VLOOKUP(CLEAN(F524),'World Bank Categories'!$B$4:$C$220,2,FALSE)</f>
        <v>Low income</v>
      </c>
      <c r="J524" s="21" t="s">
        <v>2372</v>
      </c>
      <c r="K524" s="21" t="s">
        <v>29</v>
      </c>
      <c r="L524" s="21" t="s">
        <v>30</v>
      </c>
      <c r="M524" s="21"/>
      <c r="N524" s="21"/>
      <c r="O524" s="21"/>
      <c r="P524" s="21" t="s">
        <v>31</v>
      </c>
      <c r="Q524" s="9" t="s">
        <v>32</v>
      </c>
      <c r="R524" s="18"/>
      <c r="S524" s="25" t="s">
        <v>2371</v>
      </c>
      <c r="T524" s="27">
        <v>36870</v>
      </c>
      <c r="U524" s="25" t="s">
        <v>2372</v>
      </c>
      <c r="V524" s="25" t="s">
        <v>80</v>
      </c>
      <c r="W524" s="25"/>
    </row>
    <row r="525" spans="1:23" ht="22.5" customHeight="1">
      <c r="A525" s="20">
        <v>46071.598425925928</v>
      </c>
      <c r="B525" s="21" t="s">
        <v>2373</v>
      </c>
      <c r="C525" s="38"/>
      <c r="D525" s="21" t="s">
        <v>24</v>
      </c>
      <c r="E525" s="22">
        <v>36217</v>
      </c>
      <c r="F525" s="21" t="s">
        <v>70</v>
      </c>
      <c r="G525" s="21" t="s">
        <v>2374</v>
      </c>
      <c r="H525" s="21" t="s">
        <v>111</v>
      </c>
      <c r="I525" s="6" t="str">
        <f>VLOOKUP(CLEAN(F525),'World Bank Categories'!$B$4:$C$220,2,FALSE)</f>
        <v>Middle income</v>
      </c>
      <c r="J525" s="21" t="s">
        <v>2375</v>
      </c>
      <c r="K525" s="21" t="s">
        <v>39</v>
      </c>
      <c r="L525" s="21" t="s">
        <v>30</v>
      </c>
      <c r="M525" s="21"/>
      <c r="N525" s="21"/>
      <c r="O525" s="21"/>
      <c r="P525" s="21" t="s">
        <v>31</v>
      </c>
      <c r="Q525" s="9" t="s">
        <v>32</v>
      </c>
      <c r="R525" s="10"/>
      <c r="S525" s="25" t="s">
        <v>2373</v>
      </c>
      <c r="T525" s="27">
        <v>36217</v>
      </c>
      <c r="U525" s="25" t="s">
        <v>2376</v>
      </c>
      <c r="V525" s="25" t="s">
        <v>80</v>
      </c>
      <c r="W525" s="25"/>
    </row>
    <row r="526" spans="1:23" ht="22.5" customHeight="1">
      <c r="A526" s="20">
        <v>46071.975393518522</v>
      </c>
      <c r="B526" s="21" t="s">
        <v>2377</v>
      </c>
      <c r="C526" s="38"/>
      <c r="D526" s="21" t="s">
        <v>24</v>
      </c>
      <c r="E526" s="22">
        <v>32590</v>
      </c>
      <c r="F526" s="21" t="s">
        <v>2378</v>
      </c>
      <c r="G526" s="21" t="s">
        <v>2379</v>
      </c>
      <c r="H526" s="21" t="s">
        <v>111</v>
      </c>
      <c r="I526" s="6" t="str">
        <f>VLOOKUP(CLEAN(F526),'World Bank Categories'!$B$4:$C$220,2,FALSE)</f>
        <v>Middle income</v>
      </c>
      <c r="J526" s="21" t="s">
        <v>2380</v>
      </c>
      <c r="K526" s="21" t="s">
        <v>39</v>
      </c>
      <c r="L526" s="21" t="s">
        <v>30</v>
      </c>
      <c r="M526" s="21"/>
      <c r="N526" s="21"/>
      <c r="O526" s="21"/>
      <c r="P526" s="21" t="s">
        <v>31</v>
      </c>
      <c r="Q526" s="9" t="s">
        <v>32</v>
      </c>
      <c r="R526" s="18"/>
      <c r="S526" s="25" t="s">
        <v>2377</v>
      </c>
      <c r="T526" s="27">
        <v>32590</v>
      </c>
      <c r="U526" s="25" t="s">
        <v>2381</v>
      </c>
      <c r="V526" s="25" t="s">
        <v>80</v>
      </c>
      <c r="W526" s="25"/>
    </row>
    <row r="527" spans="1:23" ht="22.5" customHeight="1">
      <c r="A527" s="20">
        <v>46072.009606481479</v>
      </c>
      <c r="B527" s="21" t="s">
        <v>2382</v>
      </c>
      <c r="C527" s="38"/>
      <c r="D527" s="21" t="s">
        <v>45</v>
      </c>
      <c r="E527" s="22">
        <v>35333</v>
      </c>
      <c r="F527" s="21" t="s">
        <v>2378</v>
      </c>
      <c r="G527" s="21" t="s">
        <v>2383</v>
      </c>
      <c r="H527" s="21" t="s">
        <v>2384</v>
      </c>
      <c r="I527" s="6" t="str">
        <f>VLOOKUP(CLEAN(F527),'World Bank Categories'!$B$4:$C$220,2,FALSE)</f>
        <v>Middle income</v>
      </c>
      <c r="J527" s="21" t="s">
        <v>2385</v>
      </c>
      <c r="K527" s="21" t="s">
        <v>29</v>
      </c>
      <c r="L527" s="21" t="s">
        <v>30</v>
      </c>
      <c r="M527" s="21"/>
      <c r="N527" s="21"/>
      <c r="O527" s="21"/>
      <c r="P527" s="21" t="s">
        <v>31</v>
      </c>
      <c r="Q527" s="9" t="s">
        <v>32</v>
      </c>
      <c r="R527" s="10" t="s">
        <v>33</v>
      </c>
      <c r="S527" s="25" t="s">
        <v>2382</v>
      </c>
      <c r="T527" s="27">
        <v>35333</v>
      </c>
      <c r="U527" s="25" t="s">
        <v>2385</v>
      </c>
      <c r="V527" s="25" t="s">
        <v>80</v>
      </c>
      <c r="W527" s="25"/>
    </row>
    <row r="528" spans="1:23" ht="22.5" customHeight="1">
      <c r="A528" s="20">
        <v>46074.745497685188</v>
      </c>
      <c r="B528" s="21" t="s">
        <v>2386</v>
      </c>
      <c r="C528" s="21" t="s">
        <v>2387</v>
      </c>
      <c r="D528" s="21" t="s">
        <v>24</v>
      </c>
      <c r="E528" s="22">
        <v>36615</v>
      </c>
      <c r="F528" s="21" t="s">
        <v>1053</v>
      </c>
      <c r="G528" s="21" t="s">
        <v>2388</v>
      </c>
      <c r="H528" s="21" t="s">
        <v>160</v>
      </c>
      <c r="I528" s="6" t="str">
        <f>VLOOKUP(CLEAN(F528),'World Bank Categories'!$B$4:$C$220,2,FALSE)</f>
        <v>High income</v>
      </c>
      <c r="J528" s="21" t="s">
        <v>2389</v>
      </c>
      <c r="K528" s="21" t="s">
        <v>29</v>
      </c>
      <c r="L528" s="21" t="s">
        <v>30</v>
      </c>
      <c r="M528" s="21"/>
      <c r="N528" s="21"/>
      <c r="O528" s="21"/>
      <c r="P528" s="21" t="s">
        <v>31</v>
      </c>
      <c r="Q528" s="9" t="s">
        <v>32</v>
      </c>
      <c r="R528" s="18" t="s">
        <v>43</v>
      </c>
      <c r="S528" s="25"/>
      <c r="T528" s="26"/>
      <c r="U528" s="25"/>
      <c r="V528" s="25"/>
      <c r="W528" s="25"/>
    </row>
    <row r="529" spans="1:23" ht="22.5" customHeight="1">
      <c r="A529" s="20">
        <v>46074.767384259256</v>
      </c>
      <c r="B529" s="21" t="s">
        <v>2390</v>
      </c>
      <c r="C529" s="21" t="s">
        <v>2391</v>
      </c>
      <c r="D529" s="21" t="s">
        <v>24</v>
      </c>
      <c r="E529" s="22">
        <v>37797</v>
      </c>
      <c r="F529" s="21" t="s">
        <v>1053</v>
      </c>
      <c r="G529" s="21" t="s">
        <v>2392</v>
      </c>
      <c r="H529" s="21" t="s">
        <v>160</v>
      </c>
      <c r="I529" s="6" t="str">
        <f>VLOOKUP(CLEAN(F529),'World Bank Categories'!$B$4:$C$220,2,FALSE)</f>
        <v>High income</v>
      </c>
      <c r="J529" s="21" t="s">
        <v>2393</v>
      </c>
      <c r="K529" s="21" t="s">
        <v>29</v>
      </c>
      <c r="L529" s="21" t="s">
        <v>30</v>
      </c>
      <c r="M529" s="21"/>
      <c r="N529" s="21"/>
      <c r="O529" s="21"/>
      <c r="P529" s="21" t="s">
        <v>31</v>
      </c>
      <c r="Q529" s="9" t="s">
        <v>32</v>
      </c>
      <c r="R529" s="10" t="s">
        <v>43</v>
      </c>
      <c r="S529" s="25" t="s">
        <v>2390</v>
      </c>
      <c r="T529" s="27">
        <v>37797</v>
      </c>
      <c r="U529" s="25" t="s">
        <v>2393</v>
      </c>
      <c r="V529" s="25" t="s">
        <v>80</v>
      </c>
      <c r="W529" s="25"/>
    </row>
    <row r="530" spans="1:23" ht="22.5" customHeight="1">
      <c r="A530" s="20">
        <v>46076.793553240743</v>
      </c>
      <c r="B530" s="21" t="s">
        <v>2394</v>
      </c>
      <c r="C530" s="38"/>
      <c r="D530" s="21" t="s">
        <v>24</v>
      </c>
      <c r="E530" s="22">
        <v>36175</v>
      </c>
      <c r="F530" s="21" t="s">
        <v>52</v>
      </c>
      <c r="G530" s="21" t="s">
        <v>2395</v>
      </c>
      <c r="H530" s="21" t="s">
        <v>2396</v>
      </c>
      <c r="I530" s="6" t="str">
        <f>VLOOKUP(CLEAN(F530),'World Bank Categories'!$B$4:$C$220,2,FALSE)</f>
        <v>Middle income</v>
      </c>
      <c r="J530" s="21" t="s">
        <v>2397</v>
      </c>
      <c r="K530" s="21" t="s">
        <v>29</v>
      </c>
      <c r="L530" s="21" t="s">
        <v>30</v>
      </c>
      <c r="M530" s="21"/>
      <c r="N530" s="21"/>
      <c r="O530" s="21"/>
      <c r="P530" s="21" t="s">
        <v>31</v>
      </c>
      <c r="Q530" s="9" t="s">
        <v>32</v>
      </c>
      <c r="R530" s="10" t="s">
        <v>43</v>
      </c>
      <c r="S530" s="25" t="s">
        <v>2398</v>
      </c>
      <c r="T530" s="26"/>
      <c r="U530" s="25"/>
      <c r="V530" s="25"/>
      <c r="W530" s="25"/>
    </row>
    <row r="531" spans="1:23" ht="22.5" customHeight="1">
      <c r="A531" s="20">
        <v>46078.314074074071</v>
      </c>
      <c r="B531" s="21" t="s">
        <v>2399</v>
      </c>
      <c r="C531" s="21" t="s">
        <v>2400</v>
      </c>
      <c r="D531" s="21" t="s">
        <v>24</v>
      </c>
      <c r="E531" s="22">
        <v>37677</v>
      </c>
      <c r="F531" s="21" t="s">
        <v>955</v>
      </c>
      <c r="G531" s="21" t="s">
        <v>2401</v>
      </c>
      <c r="H531" s="21" t="s">
        <v>2402</v>
      </c>
      <c r="I531" s="6" t="str">
        <f>VLOOKUP(CLEAN(F531),'World Bank Categories'!$B$4:$C$220,2,FALSE)</f>
        <v>High income</v>
      </c>
      <c r="J531" s="21" t="s">
        <v>2403</v>
      </c>
      <c r="K531" s="21" t="s">
        <v>29</v>
      </c>
      <c r="L531" s="21" t="s">
        <v>30</v>
      </c>
      <c r="M531" s="21"/>
      <c r="N531" s="21"/>
      <c r="O531" s="21"/>
      <c r="P531" s="21" t="s">
        <v>31</v>
      </c>
      <c r="Q531" s="9" t="s">
        <v>32</v>
      </c>
      <c r="R531" s="18" t="s">
        <v>43</v>
      </c>
      <c r="S531" s="25" t="s">
        <v>2399</v>
      </c>
      <c r="T531" s="27">
        <v>45713</v>
      </c>
      <c r="U531" s="25" t="s">
        <v>2404</v>
      </c>
      <c r="V531" s="25" t="s">
        <v>236</v>
      </c>
      <c r="W531" s="25"/>
    </row>
    <row r="532" spans="1:23" ht="22.5" customHeight="1">
      <c r="A532" s="20">
        <v>46078.314976851849</v>
      </c>
      <c r="B532" s="21" t="s">
        <v>2405</v>
      </c>
      <c r="C532" s="38"/>
      <c r="D532" s="21" t="s">
        <v>24</v>
      </c>
      <c r="E532" s="22">
        <v>37871</v>
      </c>
      <c r="F532" s="21" t="s">
        <v>955</v>
      </c>
      <c r="G532" s="21" t="s">
        <v>2406</v>
      </c>
      <c r="H532" s="21" t="s">
        <v>2407</v>
      </c>
      <c r="I532" s="6" t="str">
        <f>VLOOKUP(CLEAN(F532),'World Bank Categories'!$B$4:$C$220,2,FALSE)</f>
        <v>High income</v>
      </c>
      <c r="J532" s="21" t="s">
        <v>2408</v>
      </c>
      <c r="K532" s="21" t="s">
        <v>29</v>
      </c>
      <c r="L532" s="21" t="s">
        <v>30</v>
      </c>
      <c r="M532" s="21"/>
      <c r="N532" s="21"/>
      <c r="O532" s="21"/>
      <c r="P532" s="21" t="s">
        <v>31</v>
      </c>
      <c r="Q532" s="9" t="s">
        <v>32</v>
      </c>
      <c r="R532" s="10" t="s">
        <v>43</v>
      </c>
      <c r="S532" s="25" t="s">
        <v>2405</v>
      </c>
      <c r="T532" s="27">
        <v>37871</v>
      </c>
      <c r="U532" s="25" t="s">
        <v>2408</v>
      </c>
      <c r="V532" s="25" t="s">
        <v>80</v>
      </c>
      <c r="W532" s="25"/>
    </row>
    <row r="533" spans="1:23" ht="22.5" customHeight="1">
      <c r="A533" s="5">
        <v>46078.702383587966</v>
      </c>
      <c r="B533" s="6" t="s">
        <v>2409</v>
      </c>
      <c r="C533" s="6" t="s">
        <v>2410</v>
      </c>
      <c r="D533" s="6" t="s">
        <v>24</v>
      </c>
      <c r="E533" s="8">
        <v>39050</v>
      </c>
      <c r="F533" s="6" t="s">
        <v>1053</v>
      </c>
      <c r="G533" s="6" t="s">
        <v>2411</v>
      </c>
      <c r="H533" s="6" t="s">
        <v>66</v>
      </c>
      <c r="I533" s="6" t="str">
        <f>VLOOKUP(CLEAN(F533),'World Bank Categories'!$B$4:$C$220,2,FALSE)</f>
        <v>High income</v>
      </c>
      <c r="J533" s="6" t="s">
        <v>2412</v>
      </c>
      <c r="K533" s="6" t="s">
        <v>29</v>
      </c>
      <c r="L533" s="6" t="s">
        <v>30</v>
      </c>
      <c r="M533" s="7"/>
      <c r="N533" s="6"/>
      <c r="O533" s="6"/>
      <c r="P533" s="6" t="s">
        <v>31</v>
      </c>
      <c r="Q533" s="9" t="s">
        <v>32</v>
      </c>
      <c r="R533" s="18" t="s">
        <v>43</v>
      </c>
      <c r="S533" s="11" t="s">
        <v>2413</v>
      </c>
      <c r="T533" s="12"/>
      <c r="U533" s="12"/>
      <c r="V533" s="12"/>
      <c r="W533" s="12"/>
    </row>
    <row r="534" spans="1:23" ht="22.5" customHeight="1">
      <c r="A534" s="28">
        <v>46078.702731481484</v>
      </c>
      <c r="B534" s="29" t="s">
        <v>2414</v>
      </c>
      <c r="C534" s="29" t="s">
        <v>2415</v>
      </c>
      <c r="D534" s="29" t="s">
        <v>24</v>
      </c>
      <c r="E534" s="30">
        <v>35435</v>
      </c>
      <c r="F534" s="29" t="s">
        <v>1053</v>
      </c>
      <c r="G534" s="29" t="s">
        <v>2416</v>
      </c>
      <c r="H534" s="29" t="s">
        <v>160</v>
      </c>
      <c r="I534" s="6" t="str">
        <f>VLOOKUP(CLEAN(F534),'World Bank Categories'!$B$4:$C$220,2,FALSE)</f>
        <v>High income</v>
      </c>
      <c r="J534" s="29" t="s">
        <v>2417</v>
      </c>
      <c r="K534" s="29" t="s">
        <v>29</v>
      </c>
      <c r="L534" s="29" t="s">
        <v>30</v>
      </c>
      <c r="M534" s="29"/>
      <c r="N534" s="29"/>
      <c r="O534" s="29"/>
      <c r="P534" s="29" t="s">
        <v>31</v>
      </c>
      <c r="Q534" s="9" t="s">
        <v>32</v>
      </c>
      <c r="R534" s="10" t="s">
        <v>43</v>
      </c>
      <c r="S534" s="25" t="s">
        <v>2418</v>
      </c>
      <c r="T534" s="27">
        <v>35435</v>
      </c>
      <c r="U534" s="25" t="s">
        <v>2417</v>
      </c>
      <c r="V534" s="25" t="s">
        <v>154</v>
      </c>
      <c r="W534" s="25"/>
    </row>
    <row r="535" spans="1:23" ht="22.5" customHeight="1">
      <c r="A535" s="20">
        <v>46078.702835648146</v>
      </c>
      <c r="B535" s="21" t="s">
        <v>2419</v>
      </c>
      <c r="C535" s="21" t="s">
        <v>2420</v>
      </c>
      <c r="D535" s="21" t="s">
        <v>24</v>
      </c>
      <c r="E535" s="22">
        <v>37575</v>
      </c>
      <c r="F535" s="21" t="s">
        <v>1053</v>
      </c>
      <c r="G535" s="21" t="s">
        <v>2421</v>
      </c>
      <c r="H535" s="21" t="s">
        <v>66</v>
      </c>
      <c r="I535" s="6" t="str">
        <f>VLOOKUP(CLEAN(F535),'World Bank Categories'!$B$4:$C$220,2,FALSE)</f>
        <v>High income</v>
      </c>
      <c r="J535" s="21" t="s">
        <v>2422</v>
      </c>
      <c r="K535" s="21" t="s">
        <v>39</v>
      </c>
      <c r="L535" s="21" t="s">
        <v>162</v>
      </c>
      <c r="M535" s="21"/>
      <c r="N535" s="21"/>
      <c r="O535" s="21"/>
      <c r="P535" s="21" t="s">
        <v>31</v>
      </c>
      <c r="Q535" s="9" t="s">
        <v>32</v>
      </c>
      <c r="R535" s="18" t="s">
        <v>43</v>
      </c>
      <c r="S535" s="25" t="s">
        <v>2420</v>
      </c>
      <c r="T535" s="27">
        <v>37575</v>
      </c>
      <c r="U535" s="25" t="s">
        <v>2422</v>
      </c>
      <c r="V535" s="25" t="s">
        <v>463</v>
      </c>
      <c r="W535" s="25"/>
    </row>
    <row r="536" spans="1:23" ht="22.5" customHeight="1">
      <c r="A536" s="46">
        <v>46078.703460648147</v>
      </c>
      <c r="B536" s="47" t="s">
        <v>2423</v>
      </c>
      <c r="C536" s="47" t="s">
        <v>2424</v>
      </c>
      <c r="D536" s="47" t="s">
        <v>24</v>
      </c>
      <c r="E536" s="49">
        <v>38292</v>
      </c>
      <c r="F536" s="47" t="s">
        <v>1053</v>
      </c>
      <c r="G536" s="47" t="s">
        <v>2425</v>
      </c>
      <c r="H536" s="47" t="s">
        <v>66</v>
      </c>
      <c r="I536" s="6" t="str">
        <f>VLOOKUP(CLEAN(F536),'World Bank Categories'!$B$4:$C$220,2,FALSE)</f>
        <v>High income</v>
      </c>
      <c r="J536" s="47" t="s">
        <v>2426</v>
      </c>
      <c r="K536" s="47" t="s">
        <v>29</v>
      </c>
      <c r="L536" s="47" t="s">
        <v>30</v>
      </c>
      <c r="M536" s="47"/>
      <c r="N536" s="47"/>
      <c r="O536" s="47"/>
      <c r="P536" s="47" t="s">
        <v>31</v>
      </c>
      <c r="Q536" s="9" t="s">
        <v>32</v>
      </c>
      <c r="R536" s="10" t="s">
        <v>43</v>
      </c>
      <c r="S536" s="25" t="s">
        <v>2423</v>
      </c>
      <c r="T536" s="27">
        <v>38292</v>
      </c>
      <c r="U536" s="25" t="s">
        <v>2426</v>
      </c>
      <c r="V536" s="25" t="s">
        <v>80</v>
      </c>
      <c r="W536" s="25"/>
    </row>
    <row r="537" spans="1:23" ht="22.5" customHeight="1">
      <c r="A537" s="20">
        <v>46078.705289351848</v>
      </c>
      <c r="B537" s="21" t="s">
        <v>2427</v>
      </c>
      <c r="C537" s="21" t="s">
        <v>2428</v>
      </c>
      <c r="D537" s="21" t="s">
        <v>24</v>
      </c>
      <c r="E537" s="22">
        <v>38464</v>
      </c>
      <c r="F537" s="21" t="s">
        <v>1053</v>
      </c>
      <c r="G537" s="21" t="s">
        <v>2429</v>
      </c>
      <c r="H537" s="21" t="s">
        <v>160</v>
      </c>
      <c r="I537" s="6" t="str">
        <f>VLOOKUP(CLEAN(F537),'World Bank Categories'!$B$4:$C$220,2,FALSE)</f>
        <v>High income</v>
      </c>
      <c r="J537" s="21" t="s">
        <v>2430</v>
      </c>
      <c r="K537" s="21" t="s">
        <v>39</v>
      </c>
      <c r="L537" s="21" t="s">
        <v>621</v>
      </c>
      <c r="M537" s="21"/>
      <c r="N537" s="21"/>
      <c r="O537" s="21"/>
      <c r="P537" s="21" t="s">
        <v>31</v>
      </c>
      <c r="Q537" s="9" t="s">
        <v>32</v>
      </c>
      <c r="R537" s="18" t="s">
        <v>43</v>
      </c>
      <c r="S537" s="25" t="s">
        <v>2431</v>
      </c>
      <c r="T537" s="27">
        <v>38464</v>
      </c>
      <c r="U537" s="25" t="s">
        <v>2430</v>
      </c>
      <c r="V537" s="25" t="s">
        <v>154</v>
      </c>
      <c r="W537" s="25"/>
    </row>
    <row r="538" spans="1:23" ht="22.5" customHeight="1">
      <c r="A538" s="20">
        <v>46078.706226851849</v>
      </c>
      <c r="B538" s="21" t="s">
        <v>2432</v>
      </c>
      <c r="C538" s="21" t="s">
        <v>2433</v>
      </c>
      <c r="D538" s="21" t="s">
        <v>24</v>
      </c>
      <c r="E538" s="22">
        <v>38386</v>
      </c>
      <c r="F538" s="21" t="s">
        <v>1053</v>
      </c>
      <c r="G538" s="21" t="s">
        <v>2434</v>
      </c>
      <c r="H538" s="21" t="s">
        <v>160</v>
      </c>
      <c r="I538" s="6" t="str">
        <f>VLOOKUP(CLEAN(F538),'World Bank Categories'!$B$4:$C$220,2,FALSE)</f>
        <v>High income</v>
      </c>
      <c r="J538" s="21" t="s">
        <v>2435</v>
      </c>
      <c r="K538" s="21" t="s">
        <v>39</v>
      </c>
      <c r="L538" s="21" t="s">
        <v>152</v>
      </c>
      <c r="M538" s="21"/>
      <c r="N538" s="21"/>
      <c r="O538" s="21"/>
      <c r="P538" s="21" t="s">
        <v>31</v>
      </c>
      <c r="Q538" s="9" t="s">
        <v>32</v>
      </c>
      <c r="R538" s="10" t="s">
        <v>43</v>
      </c>
      <c r="S538" s="25" t="s">
        <v>2436</v>
      </c>
      <c r="T538" s="27">
        <v>38386</v>
      </c>
      <c r="U538" s="25" t="s">
        <v>2435</v>
      </c>
      <c r="V538" s="25" t="s">
        <v>154</v>
      </c>
      <c r="W538" s="25"/>
    </row>
    <row r="539" spans="1:23" ht="22.5" customHeight="1">
      <c r="A539" s="20">
        <v>46078.710069444445</v>
      </c>
      <c r="B539" s="21" t="s">
        <v>2437</v>
      </c>
      <c r="C539" s="21" t="s">
        <v>2438</v>
      </c>
      <c r="D539" s="21" t="s">
        <v>24</v>
      </c>
      <c r="E539" s="22">
        <v>37657</v>
      </c>
      <c r="F539" s="21" t="s">
        <v>1053</v>
      </c>
      <c r="G539" s="21" t="s">
        <v>2439</v>
      </c>
      <c r="H539" s="21" t="s">
        <v>368</v>
      </c>
      <c r="I539" s="6" t="str">
        <f>VLOOKUP(CLEAN(F539),'World Bank Categories'!$B$4:$C$220,2,FALSE)</f>
        <v>High income</v>
      </c>
      <c r="J539" s="21" t="s">
        <v>2440</v>
      </c>
      <c r="K539" s="21" t="s">
        <v>39</v>
      </c>
      <c r="L539" s="21" t="s">
        <v>1991</v>
      </c>
      <c r="M539" s="21"/>
      <c r="N539" s="21"/>
      <c r="O539" s="21"/>
      <c r="P539" s="21" t="s">
        <v>31</v>
      </c>
      <c r="Q539" s="9" t="s">
        <v>32</v>
      </c>
      <c r="R539" s="18" t="s">
        <v>43</v>
      </c>
      <c r="S539" s="25" t="s">
        <v>2441</v>
      </c>
      <c r="T539" s="27">
        <v>37657</v>
      </c>
      <c r="U539" s="25" t="s">
        <v>2440</v>
      </c>
      <c r="V539" s="25" t="s">
        <v>154</v>
      </c>
      <c r="W539" s="25"/>
    </row>
    <row r="540" spans="1:23" ht="22.5" customHeight="1">
      <c r="A540" s="20">
        <v>46078.7109837963</v>
      </c>
      <c r="B540" s="21" t="s">
        <v>2442</v>
      </c>
      <c r="C540" s="21" t="s">
        <v>2443</v>
      </c>
      <c r="D540" s="21" t="s">
        <v>24</v>
      </c>
      <c r="E540" s="22">
        <v>36664</v>
      </c>
      <c r="F540" s="21" t="s">
        <v>1053</v>
      </c>
      <c r="G540" s="21" t="s">
        <v>2444</v>
      </c>
      <c r="H540" s="21" t="s">
        <v>160</v>
      </c>
      <c r="I540" s="6" t="str">
        <f>VLOOKUP(CLEAN(F540),'World Bank Categories'!$B$4:$C$220,2,FALSE)</f>
        <v>High income</v>
      </c>
      <c r="J540" s="21" t="s">
        <v>2445</v>
      </c>
      <c r="K540" s="21" t="s">
        <v>39</v>
      </c>
      <c r="L540" s="21" t="s">
        <v>621</v>
      </c>
      <c r="M540" s="21"/>
      <c r="N540" s="21"/>
      <c r="O540" s="21"/>
      <c r="P540" s="21" t="s">
        <v>31</v>
      </c>
      <c r="Q540" s="9" t="s">
        <v>32</v>
      </c>
      <c r="R540" s="10" t="s">
        <v>43</v>
      </c>
      <c r="S540" s="25" t="s">
        <v>2446</v>
      </c>
      <c r="T540" s="27">
        <v>36664</v>
      </c>
      <c r="U540" s="25" t="s">
        <v>2445</v>
      </c>
      <c r="V540" s="25" t="s">
        <v>80</v>
      </c>
      <c r="W540" s="25"/>
    </row>
    <row r="541" spans="1:23" ht="22.5" customHeight="1">
      <c r="A541" s="28">
        <v>46078.711527777778</v>
      </c>
      <c r="B541" s="29" t="s">
        <v>2447</v>
      </c>
      <c r="C541" s="29" t="s">
        <v>2448</v>
      </c>
      <c r="D541" s="29" t="s">
        <v>24</v>
      </c>
      <c r="E541" s="30">
        <v>37132</v>
      </c>
      <c r="F541" s="29" t="s">
        <v>1053</v>
      </c>
      <c r="G541" s="29" t="s">
        <v>2449</v>
      </c>
      <c r="H541" s="29" t="s">
        <v>66</v>
      </c>
      <c r="I541" s="6" t="str">
        <f>VLOOKUP(CLEAN(F541),'World Bank Categories'!$B$4:$C$220,2,FALSE)</f>
        <v>High income</v>
      </c>
      <c r="J541" s="29" t="s">
        <v>2450</v>
      </c>
      <c r="K541" s="29" t="s">
        <v>29</v>
      </c>
      <c r="L541" s="29" t="s">
        <v>30</v>
      </c>
      <c r="M541" s="29"/>
      <c r="N541" s="29"/>
      <c r="O541" s="29"/>
      <c r="P541" s="29" t="s">
        <v>31</v>
      </c>
      <c r="Q541" s="9" t="s">
        <v>32</v>
      </c>
      <c r="R541" s="18" t="s">
        <v>43</v>
      </c>
      <c r="S541" s="25" t="s">
        <v>2451</v>
      </c>
      <c r="T541" s="27">
        <v>37132</v>
      </c>
      <c r="U541" s="25" t="s">
        <v>2450</v>
      </c>
      <c r="V541" s="25" t="s">
        <v>1192</v>
      </c>
      <c r="W541" s="25"/>
    </row>
    <row r="542" spans="1:23" ht="22.5" customHeight="1">
      <c r="A542" s="28">
        <v>46078.712523148148</v>
      </c>
      <c r="B542" s="29" t="s">
        <v>2452</v>
      </c>
      <c r="C542" s="29" t="s">
        <v>2453</v>
      </c>
      <c r="D542" s="29" t="s">
        <v>45</v>
      </c>
      <c r="E542" s="30">
        <v>37221</v>
      </c>
      <c r="F542" s="29" t="s">
        <v>1053</v>
      </c>
      <c r="G542" s="29" t="s">
        <v>2454</v>
      </c>
      <c r="H542" s="29" t="s">
        <v>66</v>
      </c>
      <c r="I542" s="6" t="str">
        <f>VLOOKUP(CLEAN(F542),'World Bank Categories'!$B$4:$C$220,2,FALSE)</f>
        <v>High income</v>
      </c>
      <c r="J542" s="29" t="s">
        <v>2455</v>
      </c>
      <c r="K542" s="29" t="s">
        <v>29</v>
      </c>
      <c r="L542" s="29" t="s">
        <v>30</v>
      </c>
      <c r="M542" s="29"/>
      <c r="N542" s="29"/>
      <c r="O542" s="29"/>
      <c r="P542" s="29" t="s">
        <v>31</v>
      </c>
      <c r="Q542" s="9" t="s">
        <v>32</v>
      </c>
      <c r="R542" s="10" t="s">
        <v>43</v>
      </c>
      <c r="S542" s="25" t="s">
        <v>2456</v>
      </c>
      <c r="T542" s="27">
        <v>37221</v>
      </c>
      <c r="U542" s="25" t="s">
        <v>2455</v>
      </c>
      <c r="V542" s="25" t="s">
        <v>154</v>
      </c>
      <c r="W542" s="25"/>
    </row>
    <row r="543" spans="1:23" ht="22.5" customHeight="1">
      <c r="A543" s="20">
        <v>46078.715509259258</v>
      </c>
      <c r="B543" s="21" t="s">
        <v>2457</v>
      </c>
      <c r="C543" s="21" t="s">
        <v>2458</v>
      </c>
      <c r="D543" s="21" t="s">
        <v>24</v>
      </c>
      <c r="E543" s="22">
        <v>38323</v>
      </c>
      <c r="F543" s="21" t="s">
        <v>1053</v>
      </c>
      <c r="G543" s="21" t="s">
        <v>2459</v>
      </c>
      <c r="H543" s="21" t="s">
        <v>66</v>
      </c>
      <c r="I543" s="6" t="str">
        <f>VLOOKUP(CLEAN(F543),'World Bank Categories'!$B$4:$C$220,2,FALSE)</f>
        <v>High income</v>
      </c>
      <c r="J543" s="21" t="s">
        <v>2460</v>
      </c>
      <c r="K543" s="21" t="s">
        <v>29</v>
      </c>
      <c r="L543" s="21" t="s">
        <v>30</v>
      </c>
      <c r="M543" s="21"/>
      <c r="N543" s="21"/>
      <c r="O543" s="21"/>
      <c r="P543" s="21" t="s">
        <v>31</v>
      </c>
      <c r="Q543" s="9" t="s">
        <v>32</v>
      </c>
      <c r="R543" s="18" t="s">
        <v>43</v>
      </c>
      <c r="S543" s="25" t="s">
        <v>2461</v>
      </c>
      <c r="T543" s="27">
        <v>38323</v>
      </c>
      <c r="U543" s="25" t="s">
        <v>2460</v>
      </c>
      <c r="V543" s="25" t="s">
        <v>154</v>
      </c>
      <c r="W543" s="25"/>
    </row>
    <row r="544" spans="1:23" ht="22.5" customHeight="1">
      <c r="A544" s="20">
        <v>46078.716423611113</v>
      </c>
      <c r="B544" s="21" t="s">
        <v>2462</v>
      </c>
      <c r="C544" s="21" t="s">
        <v>2463</v>
      </c>
      <c r="D544" s="21" t="s">
        <v>24</v>
      </c>
      <c r="E544" s="22">
        <v>35839</v>
      </c>
      <c r="F544" s="21" t="s">
        <v>1053</v>
      </c>
      <c r="G544" s="21" t="s">
        <v>2464</v>
      </c>
      <c r="H544" s="21" t="s">
        <v>2465</v>
      </c>
      <c r="I544" s="6" t="str">
        <f>VLOOKUP(CLEAN(F544),'World Bank Categories'!$B$4:$C$220,2,FALSE)</f>
        <v>High income</v>
      </c>
      <c r="J544" s="21" t="s">
        <v>2466</v>
      </c>
      <c r="K544" s="21" t="s">
        <v>29</v>
      </c>
      <c r="L544" s="21" t="s">
        <v>30</v>
      </c>
      <c r="M544" s="21"/>
      <c r="N544" s="21"/>
      <c r="O544" s="21"/>
      <c r="P544" s="21" t="s">
        <v>31</v>
      </c>
      <c r="Q544" s="9" t="s">
        <v>32</v>
      </c>
      <c r="R544" s="10" t="s">
        <v>43</v>
      </c>
      <c r="S544" s="25" t="s">
        <v>2462</v>
      </c>
      <c r="T544" s="27">
        <v>35839</v>
      </c>
      <c r="U544" s="25" t="s">
        <v>2466</v>
      </c>
      <c r="V544" s="25" t="s">
        <v>80</v>
      </c>
      <c r="W544" s="25"/>
    </row>
    <row r="545" spans="1:23" ht="22.5" customHeight="1">
      <c r="A545" s="20">
        <v>46078.719583333332</v>
      </c>
      <c r="B545" s="21" t="s">
        <v>2467</v>
      </c>
      <c r="C545" s="21" t="s">
        <v>2468</v>
      </c>
      <c r="D545" s="21" t="s">
        <v>24</v>
      </c>
      <c r="E545" s="22">
        <v>37390</v>
      </c>
      <c r="F545" s="21" t="s">
        <v>1053</v>
      </c>
      <c r="G545" s="21" t="s">
        <v>2469</v>
      </c>
      <c r="H545" s="21" t="s">
        <v>66</v>
      </c>
      <c r="I545" s="6" t="str">
        <f>VLOOKUP(CLEAN(F545),'World Bank Categories'!$B$4:$C$220,2,FALSE)</f>
        <v>High income</v>
      </c>
      <c r="J545" s="21" t="s">
        <v>2470</v>
      </c>
      <c r="K545" s="21" t="s">
        <v>29</v>
      </c>
      <c r="L545" s="21" t="s">
        <v>30</v>
      </c>
      <c r="M545" s="21"/>
      <c r="N545" s="21"/>
      <c r="O545" s="21"/>
      <c r="P545" s="21" t="s">
        <v>31</v>
      </c>
      <c r="Q545" s="9" t="s">
        <v>32</v>
      </c>
      <c r="R545" s="18" t="s">
        <v>43</v>
      </c>
      <c r="S545" s="25" t="s">
        <v>2467</v>
      </c>
      <c r="T545" s="27">
        <v>37390</v>
      </c>
      <c r="U545" s="25" t="s">
        <v>2470</v>
      </c>
      <c r="V545" s="25" t="s">
        <v>80</v>
      </c>
      <c r="W545" s="25"/>
    </row>
    <row r="546" spans="1:23" ht="22.5" customHeight="1">
      <c r="A546" s="20">
        <v>46078.739004629628</v>
      </c>
      <c r="B546" s="21" t="s">
        <v>2471</v>
      </c>
      <c r="C546" s="21" t="s">
        <v>2472</v>
      </c>
      <c r="D546" s="21" t="s">
        <v>45</v>
      </c>
      <c r="E546" s="22">
        <v>36540</v>
      </c>
      <c r="F546" s="21" t="s">
        <v>1053</v>
      </c>
      <c r="G546" s="21" t="s">
        <v>2473</v>
      </c>
      <c r="H546" s="21" t="s">
        <v>276</v>
      </c>
      <c r="I546" s="6" t="str">
        <f>VLOOKUP(CLEAN(F546),'World Bank Categories'!$B$4:$C$220,2,FALSE)</f>
        <v>High income</v>
      </c>
      <c r="J546" s="21" t="s">
        <v>2474</v>
      </c>
      <c r="K546" s="21" t="s">
        <v>39</v>
      </c>
      <c r="L546" s="21" t="s">
        <v>2475</v>
      </c>
      <c r="M546" s="21"/>
      <c r="N546" s="21"/>
      <c r="O546" s="21"/>
      <c r="P546" s="21" t="s">
        <v>31</v>
      </c>
      <c r="Q546" s="9" t="s">
        <v>32</v>
      </c>
      <c r="R546" s="10" t="s">
        <v>43</v>
      </c>
      <c r="S546" s="25" t="s">
        <v>2476</v>
      </c>
      <c r="T546" s="27">
        <v>36540</v>
      </c>
      <c r="U546" s="25" t="s">
        <v>2474</v>
      </c>
      <c r="V546" s="25" t="s">
        <v>80</v>
      </c>
      <c r="W546" s="25"/>
    </row>
    <row r="547" spans="1:23" ht="22.5" customHeight="1">
      <c r="A547" s="20">
        <v>46078.742581018516</v>
      </c>
      <c r="B547" s="21" t="s">
        <v>2477</v>
      </c>
      <c r="C547" s="21" t="s">
        <v>2478</v>
      </c>
      <c r="D547" s="21" t="s">
        <v>24</v>
      </c>
      <c r="E547" s="22">
        <v>38593</v>
      </c>
      <c r="F547" s="21" t="s">
        <v>1053</v>
      </c>
      <c r="G547" s="21" t="s">
        <v>2479</v>
      </c>
      <c r="H547" s="21" t="s">
        <v>66</v>
      </c>
      <c r="I547" s="6" t="str">
        <f>VLOOKUP(CLEAN(F547),'World Bank Categories'!$B$4:$C$220,2,FALSE)</f>
        <v>High income</v>
      </c>
      <c r="J547" s="21" t="s">
        <v>2480</v>
      </c>
      <c r="K547" s="21" t="s">
        <v>29</v>
      </c>
      <c r="L547" s="21" t="s">
        <v>30</v>
      </c>
      <c r="M547" s="21"/>
      <c r="N547" s="21"/>
      <c r="O547" s="21"/>
      <c r="P547" s="21" t="s">
        <v>31</v>
      </c>
      <c r="Q547" s="9" t="s">
        <v>32</v>
      </c>
      <c r="R547" s="18" t="s">
        <v>43</v>
      </c>
      <c r="S547" s="25" t="s">
        <v>2481</v>
      </c>
      <c r="T547" s="27">
        <v>38593</v>
      </c>
      <c r="U547" s="25" t="s">
        <v>2480</v>
      </c>
      <c r="V547" s="25" t="s">
        <v>154</v>
      </c>
      <c r="W547" s="25"/>
    </row>
    <row r="548" spans="1:23" ht="47.25" customHeight="1">
      <c r="A548" s="20">
        <v>46078.750011574077</v>
      </c>
      <c r="B548" s="21" t="s">
        <v>2482</v>
      </c>
      <c r="C548" s="21" t="s">
        <v>2483</v>
      </c>
      <c r="D548" s="21" t="s">
        <v>24</v>
      </c>
      <c r="E548" s="22">
        <v>34396</v>
      </c>
      <c r="F548" s="21" t="s">
        <v>1053</v>
      </c>
      <c r="G548" s="21" t="s">
        <v>1258</v>
      </c>
      <c r="H548" s="21" t="s">
        <v>2024</v>
      </c>
      <c r="I548" s="6" t="str">
        <f>VLOOKUP(CLEAN(F548),'World Bank Categories'!$B$4:$C$220,2,FALSE)</f>
        <v>High income</v>
      </c>
      <c r="J548" s="21" t="s">
        <v>2484</v>
      </c>
      <c r="K548" s="21" t="s">
        <v>39</v>
      </c>
      <c r="L548" s="21" t="s">
        <v>152</v>
      </c>
      <c r="M548" s="21"/>
      <c r="N548" s="21"/>
      <c r="O548" s="21"/>
      <c r="P548" s="21" t="s">
        <v>31</v>
      </c>
      <c r="Q548" s="9" t="s">
        <v>32</v>
      </c>
      <c r="R548" s="10" t="s">
        <v>43</v>
      </c>
      <c r="S548" s="25" t="s">
        <v>2482</v>
      </c>
      <c r="T548" s="27">
        <v>34396</v>
      </c>
      <c r="U548" s="25" t="s">
        <v>2484</v>
      </c>
      <c r="V548" s="25" t="s">
        <v>80</v>
      </c>
      <c r="W548" s="25"/>
    </row>
    <row r="549" spans="1:23" ht="22.5" customHeight="1">
      <c r="A549" s="20">
        <v>46078.758993055555</v>
      </c>
      <c r="B549" s="21" t="s">
        <v>2485</v>
      </c>
      <c r="C549" s="21" t="s">
        <v>2486</v>
      </c>
      <c r="D549" s="21" t="s">
        <v>24</v>
      </c>
      <c r="E549" s="22">
        <v>36963</v>
      </c>
      <c r="F549" s="21" t="s">
        <v>1053</v>
      </c>
      <c r="G549" s="21" t="s">
        <v>2487</v>
      </c>
      <c r="H549" s="21" t="s">
        <v>66</v>
      </c>
      <c r="I549" s="6" t="str">
        <f>VLOOKUP(CLEAN(F549),'World Bank Categories'!$B$4:$C$220,2,FALSE)</f>
        <v>High income</v>
      </c>
      <c r="J549" s="21" t="s">
        <v>2488</v>
      </c>
      <c r="K549" s="21" t="s">
        <v>39</v>
      </c>
      <c r="L549" s="21" t="s">
        <v>621</v>
      </c>
      <c r="M549" s="21"/>
      <c r="N549" s="21"/>
      <c r="O549" s="21"/>
      <c r="P549" s="21" t="s">
        <v>31</v>
      </c>
      <c r="Q549" s="9" t="s">
        <v>32</v>
      </c>
      <c r="R549" s="18" t="s">
        <v>43</v>
      </c>
      <c r="S549" s="25" t="s">
        <v>2485</v>
      </c>
      <c r="T549" s="27">
        <v>36963</v>
      </c>
      <c r="U549" s="25" t="s">
        <v>2488</v>
      </c>
      <c r="V549" s="25" t="s">
        <v>80</v>
      </c>
      <c r="W549" s="25"/>
    </row>
    <row r="550" spans="1:23" ht="22.5" customHeight="1">
      <c r="A550" s="20">
        <v>46078.983784722222</v>
      </c>
      <c r="B550" s="21" t="s">
        <v>2489</v>
      </c>
      <c r="C550" s="21" t="s">
        <v>2490</v>
      </c>
      <c r="D550" s="21" t="s">
        <v>24</v>
      </c>
      <c r="E550" s="22">
        <v>36641</v>
      </c>
      <c r="F550" s="21" t="s">
        <v>1053</v>
      </c>
      <c r="G550" s="21" t="s">
        <v>2353</v>
      </c>
      <c r="H550" s="21" t="s">
        <v>66</v>
      </c>
      <c r="I550" s="6" t="str">
        <f>VLOOKUP(CLEAN(F550),'World Bank Categories'!$B$4:$C$220,2,FALSE)</f>
        <v>High income</v>
      </c>
      <c r="J550" s="21" t="s">
        <v>2491</v>
      </c>
      <c r="K550" s="21" t="s">
        <v>29</v>
      </c>
      <c r="L550" s="21" t="s">
        <v>30</v>
      </c>
      <c r="M550" s="21"/>
      <c r="N550" s="21"/>
      <c r="O550" s="21"/>
      <c r="P550" s="21" t="s">
        <v>31</v>
      </c>
      <c r="Q550" s="9" t="s">
        <v>32</v>
      </c>
      <c r="R550" s="10" t="s">
        <v>43</v>
      </c>
      <c r="S550" s="25" t="s">
        <v>2492</v>
      </c>
      <c r="T550" s="27">
        <v>36641</v>
      </c>
      <c r="U550" s="25" t="s">
        <v>2491</v>
      </c>
      <c r="V550" s="25" t="s">
        <v>1967</v>
      </c>
      <c r="W550" s="25"/>
    </row>
    <row r="551" spans="1:23" ht="22.5" customHeight="1">
      <c r="A551" s="20">
        <v>46079.008171296293</v>
      </c>
      <c r="B551" s="21" t="s">
        <v>2493</v>
      </c>
      <c r="C551" s="21" t="s">
        <v>2494</v>
      </c>
      <c r="D551" s="21" t="s">
        <v>24</v>
      </c>
      <c r="E551" s="22">
        <v>38277</v>
      </c>
      <c r="F551" s="21" t="s">
        <v>1053</v>
      </c>
      <c r="G551" s="21" t="s">
        <v>2495</v>
      </c>
      <c r="H551" s="21" t="s">
        <v>66</v>
      </c>
      <c r="I551" s="6" t="str">
        <f>VLOOKUP(CLEAN(F551),'World Bank Categories'!$B$4:$C$220,2,FALSE)</f>
        <v>High income</v>
      </c>
      <c r="J551" s="21" t="s">
        <v>2496</v>
      </c>
      <c r="K551" s="21" t="s">
        <v>39</v>
      </c>
      <c r="L551" s="21" t="s">
        <v>152</v>
      </c>
      <c r="M551" s="21"/>
      <c r="N551" s="21"/>
      <c r="O551" s="21"/>
      <c r="P551" s="21" t="s">
        <v>31</v>
      </c>
      <c r="Q551" s="9" t="s">
        <v>32</v>
      </c>
      <c r="R551" s="18" t="s">
        <v>43</v>
      </c>
      <c r="S551" s="25" t="s">
        <v>2493</v>
      </c>
      <c r="T551" s="27">
        <v>38277</v>
      </c>
      <c r="U551" s="25" t="s">
        <v>2496</v>
      </c>
      <c r="V551" s="25" t="s">
        <v>80</v>
      </c>
      <c r="W551" s="25"/>
    </row>
    <row r="552" spans="1:23" ht="22.5" customHeight="1">
      <c r="A552" s="28">
        <v>46079.036712962959</v>
      </c>
      <c r="B552" s="29" t="s">
        <v>2497</v>
      </c>
      <c r="C552" s="29" t="s">
        <v>2498</v>
      </c>
      <c r="D552" s="29" t="s">
        <v>24</v>
      </c>
      <c r="E552" s="30">
        <v>38253</v>
      </c>
      <c r="F552" s="29" t="s">
        <v>1053</v>
      </c>
      <c r="G552" s="29" t="s">
        <v>2499</v>
      </c>
      <c r="H552" s="29" t="s">
        <v>578</v>
      </c>
      <c r="I552" s="6" t="str">
        <f>VLOOKUP(CLEAN(F552),'World Bank Categories'!$B$4:$C$220,2,FALSE)</f>
        <v>High income</v>
      </c>
      <c r="J552" s="29" t="s">
        <v>2500</v>
      </c>
      <c r="K552" s="29" t="s">
        <v>29</v>
      </c>
      <c r="L552" s="29" t="s">
        <v>30</v>
      </c>
      <c r="M552" s="29"/>
      <c r="N552" s="29"/>
      <c r="O552" s="29"/>
      <c r="P552" s="29" t="s">
        <v>31</v>
      </c>
      <c r="Q552" s="9" t="s">
        <v>32</v>
      </c>
      <c r="R552" s="10" t="s">
        <v>43</v>
      </c>
      <c r="S552" s="25" t="s">
        <v>2498</v>
      </c>
      <c r="T552" s="27">
        <v>38253</v>
      </c>
      <c r="U552" s="25" t="s">
        <v>2500</v>
      </c>
      <c r="V552" s="25" t="s">
        <v>463</v>
      </c>
      <c r="W552" s="25"/>
    </row>
    <row r="553" spans="1:23" ht="22.5" customHeight="1">
      <c r="A553" s="20">
        <v>46079.341226851851</v>
      </c>
      <c r="B553" s="21" t="s">
        <v>2501</v>
      </c>
      <c r="C553" s="38"/>
      <c r="D553" s="21" t="s">
        <v>24</v>
      </c>
      <c r="E553" s="22">
        <v>34944</v>
      </c>
      <c r="F553" s="21" t="s">
        <v>486</v>
      </c>
      <c r="G553" s="21" t="s">
        <v>2502</v>
      </c>
      <c r="H553" s="21" t="s">
        <v>2503</v>
      </c>
      <c r="I553" s="6" t="str">
        <f>VLOOKUP(CLEAN(F553),'World Bank Categories'!$B$4:$C$220,2,FALSE)</f>
        <v>High income</v>
      </c>
      <c r="J553" s="21" t="s">
        <v>2504</v>
      </c>
      <c r="K553" s="21" t="s">
        <v>29</v>
      </c>
      <c r="L553" s="21" t="s">
        <v>30</v>
      </c>
      <c r="M553" s="21"/>
      <c r="N553" s="21"/>
      <c r="O553" s="21"/>
      <c r="P553" s="21" t="s">
        <v>31</v>
      </c>
      <c r="Q553" s="9" t="s">
        <v>32</v>
      </c>
      <c r="R553" s="18" t="s">
        <v>33</v>
      </c>
      <c r="S553" s="25" t="s">
        <v>2505</v>
      </c>
      <c r="T553" s="27">
        <v>34944</v>
      </c>
      <c r="U553" s="25" t="s">
        <v>2504</v>
      </c>
      <c r="V553" s="25" t="s">
        <v>154</v>
      </c>
      <c r="W553" s="25"/>
    </row>
    <row r="554" spans="1:23" ht="22.5" customHeight="1">
      <c r="A554" s="20">
        <v>46080.035925925928</v>
      </c>
      <c r="B554" s="21" t="s">
        <v>2506</v>
      </c>
      <c r="C554" s="21" t="s">
        <v>2144</v>
      </c>
      <c r="D554" s="21" t="s">
        <v>24</v>
      </c>
      <c r="E554" s="22">
        <v>38604</v>
      </c>
      <c r="F554" s="21" t="s">
        <v>1053</v>
      </c>
      <c r="G554" s="21" t="s">
        <v>1258</v>
      </c>
      <c r="H554" s="21" t="s">
        <v>66</v>
      </c>
      <c r="I554" s="6" t="str">
        <f>VLOOKUP(CLEAN(F554),'World Bank Categories'!$B$4:$C$220,2,FALSE)</f>
        <v>High income</v>
      </c>
      <c r="J554" s="21" t="s">
        <v>2507</v>
      </c>
      <c r="K554" s="21" t="s">
        <v>39</v>
      </c>
      <c r="L554" s="21" t="s">
        <v>152</v>
      </c>
      <c r="M554" s="21"/>
      <c r="N554" s="21"/>
      <c r="O554" s="21"/>
      <c r="P554" s="21" t="s">
        <v>31</v>
      </c>
      <c r="Q554" s="9" t="s">
        <v>32</v>
      </c>
      <c r="R554" s="10" t="s">
        <v>43</v>
      </c>
      <c r="S554" s="25" t="s">
        <v>2506</v>
      </c>
      <c r="T554" s="27">
        <v>38604</v>
      </c>
      <c r="U554" s="25" t="s">
        <v>2507</v>
      </c>
      <c r="V554" s="25" t="s">
        <v>80</v>
      </c>
      <c r="W554" s="25"/>
    </row>
    <row r="555" spans="1:23" ht="22.5" customHeight="1">
      <c r="A555" s="20">
        <v>46080.037997685184</v>
      </c>
      <c r="B555" s="21" t="s">
        <v>2508</v>
      </c>
      <c r="C555" s="21" t="s">
        <v>2509</v>
      </c>
      <c r="D555" s="21" t="s">
        <v>45</v>
      </c>
      <c r="E555" s="22">
        <v>38670</v>
      </c>
      <c r="F555" s="21" t="s">
        <v>1053</v>
      </c>
      <c r="G555" s="21" t="s">
        <v>1258</v>
      </c>
      <c r="H555" s="21" t="s">
        <v>66</v>
      </c>
      <c r="I555" s="6" t="str">
        <f>VLOOKUP(CLEAN(F555),'World Bank Categories'!$B$4:$C$220,2,FALSE)</f>
        <v>High income</v>
      </c>
      <c r="J555" s="21" t="s">
        <v>2510</v>
      </c>
      <c r="K555" s="21" t="s">
        <v>39</v>
      </c>
      <c r="L555" s="21" t="s">
        <v>152</v>
      </c>
      <c r="M555" s="21"/>
      <c r="N555" s="21"/>
      <c r="O555" s="21"/>
      <c r="P555" s="21" t="s">
        <v>31</v>
      </c>
      <c r="Q555" s="9" t="s">
        <v>32</v>
      </c>
      <c r="R555" s="18" t="s">
        <v>43</v>
      </c>
      <c r="S555" s="25" t="s">
        <v>2511</v>
      </c>
      <c r="T555" s="27">
        <v>38670</v>
      </c>
      <c r="U555" s="25" t="s">
        <v>2510</v>
      </c>
      <c r="V555" s="25" t="s">
        <v>154</v>
      </c>
      <c r="W555" s="25"/>
    </row>
    <row r="556" spans="1:23" ht="22.5" customHeight="1">
      <c r="A556" s="28">
        <v>46080.042060185187</v>
      </c>
      <c r="B556" s="29" t="s">
        <v>2512</v>
      </c>
      <c r="C556" s="29" t="s">
        <v>2513</v>
      </c>
      <c r="D556" s="29" t="s">
        <v>24</v>
      </c>
      <c r="E556" s="30">
        <v>38524</v>
      </c>
      <c r="F556" s="29" t="s">
        <v>1053</v>
      </c>
      <c r="G556" s="29" t="s">
        <v>1258</v>
      </c>
      <c r="H556" s="29" t="s">
        <v>66</v>
      </c>
      <c r="I556" s="6" t="str">
        <f>VLOOKUP(CLEAN(F556),'World Bank Categories'!$B$4:$C$220,2,FALSE)</f>
        <v>High income</v>
      </c>
      <c r="J556" s="29" t="s">
        <v>2514</v>
      </c>
      <c r="K556" s="29" t="s">
        <v>39</v>
      </c>
      <c r="L556" s="29" t="s">
        <v>152</v>
      </c>
      <c r="M556" s="29" t="s">
        <v>2515</v>
      </c>
      <c r="N556" s="29"/>
      <c r="O556" s="29"/>
      <c r="P556" s="29" t="s">
        <v>31</v>
      </c>
      <c r="Q556" s="9" t="s">
        <v>32</v>
      </c>
      <c r="R556" s="10" t="s">
        <v>43</v>
      </c>
      <c r="S556" s="25" t="s">
        <v>2512</v>
      </c>
      <c r="T556" s="27">
        <v>38524</v>
      </c>
      <c r="U556" s="25" t="s">
        <v>2514</v>
      </c>
      <c r="V556" s="25" t="s">
        <v>80</v>
      </c>
      <c r="W556" s="25"/>
    </row>
    <row r="557" spans="1:23" ht="22.5" customHeight="1">
      <c r="A557" s="20">
        <v>46080.042071759257</v>
      </c>
      <c r="B557" s="21" t="s">
        <v>2516</v>
      </c>
      <c r="C557" s="21" t="s">
        <v>2517</v>
      </c>
      <c r="D557" s="21" t="s">
        <v>45</v>
      </c>
      <c r="E557" s="22">
        <v>38764</v>
      </c>
      <c r="F557" s="21" t="s">
        <v>1053</v>
      </c>
      <c r="G557" s="21" t="s">
        <v>1258</v>
      </c>
      <c r="H557" s="21" t="s">
        <v>160</v>
      </c>
      <c r="I557" s="6" t="str">
        <f>VLOOKUP(CLEAN(F557),'World Bank Categories'!$B$4:$C$220,2,FALSE)</f>
        <v>High income</v>
      </c>
      <c r="J557" s="21" t="s">
        <v>2518</v>
      </c>
      <c r="K557" s="21" t="s">
        <v>39</v>
      </c>
      <c r="L557" s="21" t="s">
        <v>152</v>
      </c>
      <c r="M557" s="21"/>
      <c r="N557" s="21"/>
      <c r="O557" s="21"/>
      <c r="P557" s="21" t="s">
        <v>31</v>
      </c>
      <c r="Q557" s="9" t="s">
        <v>32</v>
      </c>
      <c r="R557" s="18" t="s">
        <v>43</v>
      </c>
      <c r="S557" s="25" t="s">
        <v>2519</v>
      </c>
      <c r="T557" s="27">
        <v>38764</v>
      </c>
      <c r="U557" s="25" t="s">
        <v>2518</v>
      </c>
      <c r="V557" s="25" t="s">
        <v>1815</v>
      </c>
      <c r="W557" s="25"/>
    </row>
    <row r="558" spans="1:23" ht="22.5" customHeight="1">
      <c r="A558" s="20">
        <v>46080.053159722222</v>
      </c>
      <c r="B558" s="21" t="s">
        <v>2520</v>
      </c>
      <c r="C558" s="21" t="s">
        <v>2521</v>
      </c>
      <c r="D558" s="21" t="s">
        <v>24</v>
      </c>
      <c r="E558" s="22">
        <v>38723</v>
      </c>
      <c r="F558" s="21" t="s">
        <v>1053</v>
      </c>
      <c r="G558" s="21" t="s">
        <v>2522</v>
      </c>
      <c r="H558" s="21" t="s">
        <v>160</v>
      </c>
      <c r="I558" s="6" t="str">
        <f>VLOOKUP(CLEAN(F558),'World Bank Categories'!$B$4:$C$220,2,FALSE)</f>
        <v>High income</v>
      </c>
      <c r="J558" s="21" t="s">
        <v>2523</v>
      </c>
      <c r="K558" s="21" t="s">
        <v>29</v>
      </c>
      <c r="L558" s="21" t="s">
        <v>30</v>
      </c>
      <c r="M558" s="41"/>
      <c r="N558" s="21"/>
      <c r="O558" s="21"/>
      <c r="P558" s="21" t="s">
        <v>31</v>
      </c>
      <c r="Q558" s="9" t="s">
        <v>32</v>
      </c>
      <c r="R558" s="10" t="s">
        <v>43</v>
      </c>
      <c r="S558" s="25" t="s">
        <v>2524</v>
      </c>
      <c r="T558" s="27">
        <v>38723</v>
      </c>
      <c r="U558" s="25" t="s">
        <v>2523</v>
      </c>
      <c r="V558" s="25" t="s">
        <v>154</v>
      </c>
      <c r="W558" s="25"/>
    </row>
    <row r="559" spans="1:23" ht="22.5" customHeight="1">
      <c r="A559" s="20">
        <v>46080.209050925929</v>
      </c>
      <c r="B559" s="21" t="s">
        <v>2525</v>
      </c>
      <c r="C559" s="38"/>
      <c r="D559" s="21" t="s">
        <v>24</v>
      </c>
      <c r="E559" s="22">
        <v>36526</v>
      </c>
      <c r="F559" s="21" t="s">
        <v>1179</v>
      </c>
      <c r="G559" s="21" t="s">
        <v>2526</v>
      </c>
      <c r="H559" s="21" t="s">
        <v>138</v>
      </c>
      <c r="I559" s="6" t="str">
        <f>VLOOKUP(CLEAN(F559),'World Bank Categories'!$B$4:$C$220,2,FALSE)</f>
        <v>High income</v>
      </c>
      <c r="J559" s="21" t="s">
        <v>2527</v>
      </c>
      <c r="K559" s="21" t="s">
        <v>29</v>
      </c>
      <c r="L559" s="21" t="s">
        <v>30</v>
      </c>
      <c r="M559" s="21"/>
      <c r="N559" s="21"/>
      <c r="O559" s="21"/>
      <c r="P559" s="21" t="s">
        <v>31</v>
      </c>
      <c r="Q559" s="9" t="s">
        <v>32</v>
      </c>
      <c r="R559" s="18" t="s">
        <v>43</v>
      </c>
      <c r="S559" s="25" t="s">
        <v>2525</v>
      </c>
      <c r="T559" s="27">
        <v>36526</v>
      </c>
      <c r="U559" s="25" t="s">
        <v>2527</v>
      </c>
      <c r="V559" s="25" t="s">
        <v>80</v>
      </c>
      <c r="W559" s="25"/>
    </row>
    <row r="560" spans="1:23" ht="22.5" customHeight="1">
      <c r="A560" s="20">
        <v>46080.859664351854</v>
      </c>
      <c r="B560" s="21" t="s">
        <v>2528</v>
      </c>
      <c r="C560" s="38"/>
      <c r="D560" s="21" t="s">
        <v>24</v>
      </c>
      <c r="E560" s="22">
        <v>36108</v>
      </c>
      <c r="F560" s="21" t="s">
        <v>2529</v>
      </c>
      <c r="G560" s="21" t="s">
        <v>2530</v>
      </c>
      <c r="H560" s="21" t="s">
        <v>66</v>
      </c>
      <c r="I560" s="6" t="str">
        <f>VLOOKUP(CLEAN(F560),'World Bank Categories'!$B$4:$C$220,2,FALSE)</f>
        <v>Middle income</v>
      </c>
      <c r="J560" s="21" t="s">
        <v>2531</v>
      </c>
      <c r="K560" s="21" t="s">
        <v>29</v>
      </c>
      <c r="L560" s="21" t="s">
        <v>30</v>
      </c>
      <c r="M560" s="21"/>
      <c r="N560" s="21"/>
      <c r="O560" s="21"/>
      <c r="P560" s="21" t="s">
        <v>31</v>
      </c>
      <c r="Q560" s="9" t="s">
        <v>32</v>
      </c>
      <c r="R560" s="10" t="s">
        <v>33</v>
      </c>
      <c r="S560" s="25" t="s">
        <v>2532</v>
      </c>
      <c r="T560" s="27">
        <v>36108</v>
      </c>
      <c r="U560" s="25" t="s">
        <v>2531</v>
      </c>
      <c r="V560" s="25" t="s">
        <v>80</v>
      </c>
      <c r="W560" s="25"/>
    </row>
    <row r="561" spans="1:23" ht="22.5" customHeight="1">
      <c r="A561" s="46">
        <v>46080.868171296293</v>
      </c>
      <c r="B561" s="47" t="s">
        <v>2533</v>
      </c>
      <c r="C561" s="48"/>
      <c r="D561" s="47" t="s">
        <v>45</v>
      </c>
      <c r="E561" s="49">
        <v>36879</v>
      </c>
      <c r="F561" s="47" t="s">
        <v>52</v>
      </c>
      <c r="G561" s="47" t="s">
        <v>2534</v>
      </c>
      <c r="H561" s="47" t="s">
        <v>2535</v>
      </c>
      <c r="I561" s="6" t="str">
        <f>VLOOKUP(CLEAN(F561),'World Bank Categories'!$B$4:$C$220,2,FALSE)</f>
        <v>Middle income</v>
      </c>
      <c r="J561" s="47" t="s">
        <v>2536</v>
      </c>
      <c r="K561" s="47" t="s">
        <v>29</v>
      </c>
      <c r="L561" s="47" t="s">
        <v>30</v>
      </c>
      <c r="M561" s="47"/>
      <c r="N561" s="47"/>
      <c r="O561" s="47"/>
      <c r="P561" s="47" t="s">
        <v>31</v>
      </c>
      <c r="Q561" s="9" t="s">
        <v>32</v>
      </c>
      <c r="R561" s="18" t="s">
        <v>33</v>
      </c>
      <c r="S561" s="25" t="s">
        <v>2537</v>
      </c>
      <c r="T561" s="27">
        <v>36879</v>
      </c>
      <c r="U561" s="25" t="s">
        <v>2536</v>
      </c>
      <c r="V561" s="25" t="s">
        <v>154</v>
      </c>
      <c r="W561" s="25"/>
    </row>
    <row r="562" spans="1:23" ht="22.5" customHeight="1">
      <c r="A562" s="20">
        <v>46080.869525462964</v>
      </c>
      <c r="B562" s="21" t="s">
        <v>2538</v>
      </c>
      <c r="C562" s="38"/>
      <c r="D562" s="21" t="s">
        <v>24</v>
      </c>
      <c r="E562" s="22">
        <v>37805</v>
      </c>
      <c r="F562" s="21" t="s">
        <v>232</v>
      </c>
      <c r="G562" s="21" t="s">
        <v>1328</v>
      </c>
      <c r="H562" s="21" t="s">
        <v>66</v>
      </c>
      <c r="I562" s="6" t="str">
        <f>VLOOKUP(CLEAN(F562),'World Bank Categories'!$B$4:$C$220,2,FALSE)</f>
        <v>Middle income</v>
      </c>
      <c r="J562" s="21" t="s">
        <v>2539</v>
      </c>
      <c r="K562" s="21" t="s">
        <v>29</v>
      </c>
      <c r="L562" s="32">
        <v>46202</v>
      </c>
      <c r="M562" s="21"/>
      <c r="N562" s="21"/>
      <c r="O562" s="21"/>
      <c r="P562" s="21" t="s">
        <v>31</v>
      </c>
      <c r="Q562" s="9" t="s">
        <v>32</v>
      </c>
      <c r="R562" s="10"/>
      <c r="S562" s="25" t="s">
        <v>2538</v>
      </c>
      <c r="T562" s="27">
        <v>37805</v>
      </c>
      <c r="U562" s="25" t="s">
        <v>2539</v>
      </c>
      <c r="V562" s="25" t="s">
        <v>80</v>
      </c>
      <c r="W562" s="25"/>
    </row>
    <row r="563" spans="1:23" ht="22.5" customHeight="1">
      <c r="A563" s="46">
        <v>46080.875451388885</v>
      </c>
      <c r="B563" s="47" t="s">
        <v>2540</v>
      </c>
      <c r="C563" s="48"/>
      <c r="D563" s="47" t="s">
        <v>45</v>
      </c>
      <c r="E563" s="49">
        <v>24098</v>
      </c>
      <c r="F563" s="47" t="s">
        <v>64</v>
      </c>
      <c r="G563" s="47" t="s">
        <v>2541</v>
      </c>
      <c r="H563" s="47" t="s">
        <v>2542</v>
      </c>
      <c r="I563" s="6" t="str">
        <f>VLOOKUP(CLEAN(F563),'World Bank Categories'!$B$4:$C$220,2,FALSE)</f>
        <v>Middle income</v>
      </c>
      <c r="J563" s="47" t="s">
        <v>2543</v>
      </c>
      <c r="K563" s="47" t="s">
        <v>29</v>
      </c>
      <c r="L563" s="47" t="s">
        <v>30</v>
      </c>
      <c r="M563" s="47"/>
      <c r="N563" s="47"/>
      <c r="O563" s="47"/>
      <c r="P563" s="47" t="s">
        <v>31</v>
      </c>
      <c r="Q563" s="9" t="s">
        <v>32</v>
      </c>
      <c r="R563" s="18" t="s">
        <v>33</v>
      </c>
      <c r="S563" s="25" t="s">
        <v>2544</v>
      </c>
      <c r="T563" s="27">
        <v>24098</v>
      </c>
      <c r="U563" s="25" t="s">
        <v>2543</v>
      </c>
      <c r="V563" s="25" t="s">
        <v>154</v>
      </c>
      <c r="W563" s="25"/>
    </row>
    <row r="564" spans="1:23" ht="22.5" customHeight="1">
      <c r="A564" s="20">
        <v>46080.876215277778</v>
      </c>
      <c r="B564" s="21" t="s">
        <v>2545</v>
      </c>
      <c r="C564" s="38"/>
      <c r="D564" s="21" t="s">
        <v>24</v>
      </c>
      <c r="E564" s="22">
        <v>37200</v>
      </c>
      <c r="F564" s="21" t="s">
        <v>475</v>
      </c>
      <c r="G564" s="21" t="s">
        <v>2546</v>
      </c>
      <c r="H564" s="21" t="s">
        <v>2547</v>
      </c>
      <c r="I564" s="6" t="str">
        <f>VLOOKUP(CLEAN(F564),'World Bank Categories'!$B$4:$C$220,2,FALSE)</f>
        <v>Middle income</v>
      </c>
      <c r="J564" s="21" t="s">
        <v>2548</v>
      </c>
      <c r="K564" s="21" t="s">
        <v>39</v>
      </c>
      <c r="L564" s="21" t="s">
        <v>152</v>
      </c>
      <c r="M564" s="21"/>
      <c r="N564" s="21"/>
      <c r="O564" s="21"/>
      <c r="P564" s="21" t="s">
        <v>31</v>
      </c>
      <c r="Q564" s="9" t="s">
        <v>32</v>
      </c>
      <c r="R564" s="10"/>
      <c r="S564" s="25" t="s">
        <v>2549</v>
      </c>
      <c r="T564" s="27">
        <v>37222</v>
      </c>
      <c r="U564" s="25" t="s">
        <v>2548</v>
      </c>
      <c r="V564" s="25" t="s">
        <v>114</v>
      </c>
      <c r="W564" s="25"/>
    </row>
    <row r="565" spans="1:23" ht="22.5" customHeight="1">
      <c r="A565" s="20">
        <v>46080.87740740741</v>
      </c>
      <c r="B565" s="21" t="s">
        <v>2550</v>
      </c>
      <c r="C565" s="21" t="s">
        <v>871</v>
      </c>
      <c r="D565" s="21" t="s">
        <v>45</v>
      </c>
      <c r="E565" s="22">
        <v>29112</v>
      </c>
      <c r="F565" s="21" t="s">
        <v>52</v>
      </c>
      <c r="G565" s="21" t="s">
        <v>2551</v>
      </c>
      <c r="H565" s="21" t="s">
        <v>2552</v>
      </c>
      <c r="I565" s="6" t="str">
        <f>VLOOKUP(CLEAN(F565),'World Bank Categories'!$B$4:$C$220,2,FALSE)</f>
        <v>Middle income</v>
      </c>
      <c r="J565" s="21" t="s">
        <v>2553</v>
      </c>
      <c r="K565" s="21" t="s">
        <v>29</v>
      </c>
      <c r="L565" s="21" t="s">
        <v>152</v>
      </c>
      <c r="M565" s="21"/>
      <c r="N565" s="21"/>
      <c r="O565" s="21"/>
      <c r="P565" s="21" t="s">
        <v>31</v>
      </c>
      <c r="Q565" s="9" t="s">
        <v>32</v>
      </c>
      <c r="R565" s="10"/>
      <c r="S565" s="25" t="s">
        <v>2554</v>
      </c>
      <c r="T565" s="27">
        <v>45975</v>
      </c>
      <c r="U565" s="25" t="s">
        <v>2553</v>
      </c>
      <c r="V565" s="25" t="s">
        <v>114</v>
      </c>
      <c r="W565" s="25"/>
    </row>
    <row r="566" spans="1:23" ht="22.5" customHeight="1">
      <c r="A566" s="20">
        <v>46080.878599537034</v>
      </c>
      <c r="B566" s="21" t="s">
        <v>2555</v>
      </c>
      <c r="C566" s="38"/>
      <c r="D566" s="21" t="s">
        <v>24</v>
      </c>
      <c r="E566" s="22">
        <v>35342</v>
      </c>
      <c r="F566" s="21" t="s">
        <v>2556</v>
      </c>
      <c r="G566" s="21" t="s">
        <v>2557</v>
      </c>
      <c r="H566" s="21" t="s">
        <v>2558</v>
      </c>
      <c r="I566" s="6" t="str">
        <f>VLOOKUP(CLEAN(F566),'World Bank Categories'!$B$4:$C$220,2,FALSE)</f>
        <v>Middle income</v>
      </c>
      <c r="J566" s="21" t="s">
        <v>2559</v>
      </c>
      <c r="K566" s="21" t="s">
        <v>29</v>
      </c>
      <c r="L566" s="21" t="s">
        <v>30</v>
      </c>
      <c r="M566" s="41"/>
      <c r="N566" s="21"/>
      <c r="O566" s="21"/>
      <c r="P566" s="21" t="s">
        <v>31</v>
      </c>
      <c r="Q566" s="9" t="s">
        <v>32</v>
      </c>
      <c r="R566" s="18" t="s">
        <v>33</v>
      </c>
      <c r="S566" s="25" t="s">
        <v>2555</v>
      </c>
      <c r="T566" s="27">
        <v>35342</v>
      </c>
      <c r="U566" s="25" t="s">
        <v>2559</v>
      </c>
      <c r="V566" s="25" t="s">
        <v>80</v>
      </c>
      <c r="W566" s="25"/>
    </row>
    <row r="567" spans="1:23" ht="22.5" customHeight="1">
      <c r="A567" s="50">
        <v>46080.885729166665</v>
      </c>
      <c r="B567" s="51" t="s">
        <v>2560</v>
      </c>
      <c r="C567" s="52"/>
      <c r="D567" s="51" t="s">
        <v>45</v>
      </c>
      <c r="E567" s="53">
        <v>36433</v>
      </c>
      <c r="F567" s="51" t="s">
        <v>652</v>
      </c>
      <c r="G567" s="51" t="s">
        <v>2561</v>
      </c>
      <c r="H567" s="51" t="s">
        <v>2562</v>
      </c>
      <c r="I567" s="6" t="str">
        <f>VLOOKUP(CLEAN(F567),'World Bank Categories'!$B$4:$C$220,2,FALSE)</f>
        <v>Middle income</v>
      </c>
      <c r="J567" s="51" t="s">
        <v>2563</v>
      </c>
      <c r="K567" s="51" t="s">
        <v>39</v>
      </c>
      <c r="L567" s="51" t="s">
        <v>152</v>
      </c>
      <c r="M567" s="51"/>
      <c r="N567" s="51"/>
      <c r="O567" s="51"/>
      <c r="P567" s="51" t="s">
        <v>31</v>
      </c>
      <c r="Q567" s="9" t="s">
        <v>32</v>
      </c>
      <c r="R567" s="10" t="s">
        <v>33</v>
      </c>
      <c r="S567" s="25" t="s">
        <v>2564</v>
      </c>
      <c r="T567" s="27">
        <v>36524</v>
      </c>
      <c r="U567" s="25" t="s">
        <v>2563</v>
      </c>
      <c r="V567" s="25" t="s">
        <v>2565</v>
      </c>
      <c r="W567" s="25"/>
    </row>
    <row r="568" spans="1:23" ht="22.5" customHeight="1">
      <c r="A568" s="20">
        <v>46080.886435185188</v>
      </c>
      <c r="B568" s="21" t="s">
        <v>2566</v>
      </c>
      <c r="C568" s="38"/>
      <c r="D568" s="21" t="s">
        <v>45</v>
      </c>
      <c r="E568" s="22">
        <v>27845</v>
      </c>
      <c r="F568" s="21" t="s">
        <v>416</v>
      </c>
      <c r="G568" s="21" t="s">
        <v>2567</v>
      </c>
      <c r="H568" s="21" t="s">
        <v>2568</v>
      </c>
      <c r="I568" s="6" t="str">
        <f>VLOOKUP(CLEAN(F568),'World Bank Categories'!$B$4:$C$220,2,FALSE)</f>
        <v>Middle income</v>
      </c>
      <c r="J568" s="21" t="s">
        <v>2569</v>
      </c>
      <c r="K568" s="21" t="s">
        <v>29</v>
      </c>
      <c r="L568" s="21" t="s">
        <v>30</v>
      </c>
      <c r="M568" s="21"/>
      <c r="N568" s="21"/>
      <c r="O568" s="21"/>
      <c r="P568" s="21" t="s">
        <v>31</v>
      </c>
      <c r="Q568" s="9" t="s">
        <v>32</v>
      </c>
      <c r="R568" s="18" t="s">
        <v>33</v>
      </c>
      <c r="S568" s="25" t="s">
        <v>2566</v>
      </c>
      <c r="T568" s="27">
        <v>27845</v>
      </c>
      <c r="U568" s="25" t="s">
        <v>2570</v>
      </c>
      <c r="V568" s="25" t="s">
        <v>80</v>
      </c>
      <c r="W568" s="25"/>
    </row>
    <row r="569" spans="1:23" ht="22.5" customHeight="1">
      <c r="A569" s="46">
        <v>46080.893807870372</v>
      </c>
      <c r="B569" s="47" t="s">
        <v>2571</v>
      </c>
      <c r="C569" s="47" t="s">
        <v>2572</v>
      </c>
      <c r="D569" s="47" t="s">
        <v>45</v>
      </c>
      <c r="E569" s="49">
        <v>35568</v>
      </c>
      <c r="F569" s="47" t="s">
        <v>208</v>
      </c>
      <c r="G569" s="47" t="s">
        <v>2573</v>
      </c>
      <c r="H569" s="47" t="s">
        <v>2574</v>
      </c>
      <c r="I569" s="6" t="str">
        <f>VLOOKUP(CLEAN(F569),'World Bank Categories'!$B$4:$C$220,2,FALSE)</f>
        <v>Low income</v>
      </c>
      <c r="J569" s="47" t="s">
        <v>2575</v>
      </c>
      <c r="K569" s="47" t="s">
        <v>39</v>
      </c>
      <c r="L569" s="47" t="s">
        <v>162</v>
      </c>
      <c r="M569" s="47"/>
      <c r="N569" s="47"/>
      <c r="O569" s="47"/>
      <c r="P569" s="47" t="s">
        <v>31</v>
      </c>
      <c r="Q569" s="9" t="s">
        <v>32</v>
      </c>
      <c r="R569" s="10"/>
      <c r="S569" s="25" t="s">
        <v>2576</v>
      </c>
      <c r="T569" s="27">
        <v>35568</v>
      </c>
      <c r="U569" s="25" t="s">
        <v>2575</v>
      </c>
      <c r="V569" s="25" t="s">
        <v>316</v>
      </c>
      <c r="W569" s="25"/>
    </row>
    <row r="570" spans="1:23" ht="22.5" customHeight="1">
      <c r="A570" s="20">
        <v>46080.913981481484</v>
      </c>
      <c r="B570" s="21" t="s">
        <v>2577</v>
      </c>
      <c r="C570" s="21" t="s">
        <v>2578</v>
      </c>
      <c r="D570" s="21" t="s">
        <v>24</v>
      </c>
      <c r="E570" s="22">
        <v>34500</v>
      </c>
      <c r="F570" s="21" t="s">
        <v>52</v>
      </c>
      <c r="G570" s="21" t="s">
        <v>2579</v>
      </c>
      <c r="H570" s="21" t="s">
        <v>2580</v>
      </c>
      <c r="I570" s="6" t="str">
        <f>VLOOKUP(CLEAN(F570),'World Bank Categories'!$B$4:$C$220,2,FALSE)</f>
        <v>Middle income</v>
      </c>
      <c r="J570" s="21" t="s">
        <v>2581</v>
      </c>
      <c r="K570" s="21" t="s">
        <v>29</v>
      </c>
      <c r="L570" s="21" t="s">
        <v>30</v>
      </c>
      <c r="M570" s="21" t="s">
        <v>2582</v>
      </c>
      <c r="N570" s="21"/>
      <c r="O570" s="21"/>
      <c r="P570" s="21" t="s">
        <v>31</v>
      </c>
      <c r="Q570" s="9" t="s">
        <v>32</v>
      </c>
      <c r="R570" s="18" t="s">
        <v>33</v>
      </c>
      <c r="S570" s="25" t="s">
        <v>2577</v>
      </c>
      <c r="T570" s="27">
        <v>34500</v>
      </c>
      <c r="U570" s="25" t="s">
        <v>2581</v>
      </c>
      <c r="V570" s="25" t="s">
        <v>80</v>
      </c>
      <c r="W570" s="25"/>
    </row>
    <row r="571" spans="1:23" ht="22.5" customHeight="1">
      <c r="A571" s="20">
        <v>46080.922395833331</v>
      </c>
      <c r="B571" s="21" t="s">
        <v>2583</v>
      </c>
      <c r="C571" s="38"/>
      <c r="D571" s="21" t="s">
        <v>24</v>
      </c>
      <c r="E571" s="22">
        <v>36759</v>
      </c>
      <c r="F571" s="21" t="s">
        <v>732</v>
      </c>
      <c r="G571" s="21" t="s">
        <v>2584</v>
      </c>
      <c r="H571" s="21" t="s">
        <v>2585</v>
      </c>
      <c r="I571" s="6" t="str">
        <f>VLOOKUP(CLEAN(F571),'World Bank Categories'!$B$4:$C$220,2,FALSE)</f>
        <v>Middle income</v>
      </c>
      <c r="J571" s="21" t="s">
        <v>2586</v>
      </c>
      <c r="K571" s="21" t="s">
        <v>29</v>
      </c>
      <c r="L571" s="21" t="s">
        <v>241</v>
      </c>
      <c r="M571" s="21"/>
      <c r="N571" s="21"/>
      <c r="O571" s="21"/>
      <c r="P571" s="21" t="s">
        <v>31</v>
      </c>
      <c r="Q571" s="9" t="s">
        <v>32</v>
      </c>
      <c r="R571" s="10"/>
      <c r="S571" s="25" t="s">
        <v>2583</v>
      </c>
      <c r="T571" s="27">
        <v>36759</v>
      </c>
      <c r="U571" s="25" t="s">
        <v>2586</v>
      </c>
      <c r="V571" s="25" t="s">
        <v>80</v>
      </c>
      <c r="W571" s="25"/>
    </row>
    <row r="572" spans="1:23" ht="22.5" customHeight="1">
      <c r="A572" s="20">
        <v>46080.932673611111</v>
      </c>
      <c r="B572" s="21" t="s">
        <v>2587</v>
      </c>
      <c r="C572" s="21" t="s">
        <v>2587</v>
      </c>
      <c r="D572" s="21" t="s">
        <v>45</v>
      </c>
      <c r="E572" s="22">
        <v>35634</v>
      </c>
      <c r="F572" s="21" t="s">
        <v>208</v>
      </c>
      <c r="G572" s="21" t="s">
        <v>2588</v>
      </c>
      <c r="H572" s="21" t="s">
        <v>2589</v>
      </c>
      <c r="I572" s="6" t="str">
        <f>VLOOKUP(CLEAN(F572),'World Bank Categories'!$B$4:$C$220,2,FALSE)</f>
        <v>Low income</v>
      </c>
      <c r="J572" s="21" t="s">
        <v>2590</v>
      </c>
      <c r="K572" s="21" t="s">
        <v>29</v>
      </c>
      <c r="L572" s="32">
        <v>46202</v>
      </c>
      <c r="M572" s="21"/>
      <c r="N572" s="21"/>
      <c r="O572" s="21"/>
      <c r="P572" s="21" t="s">
        <v>31</v>
      </c>
      <c r="Q572" s="9" t="s">
        <v>32</v>
      </c>
      <c r="R572" s="18" t="s">
        <v>33</v>
      </c>
      <c r="S572" s="25" t="s">
        <v>2587</v>
      </c>
      <c r="T572" s="27">
        <v>35634</v>
      </c>
      <c r="U572" s="25" t="s">
        <v>2590</v>
      </c>
      <c r="V572" s="25" t="s">
        <v>80</v>
      </c>
      <c r="W572" s="25"/>
    </row>
    <row r="573" spans="1:23" ht="22.5" customHeight="1">
      <c r="A573" s="28">
        <v>46080.938287037039</v>
      </c>
      <c r="B573" s="29" t="s">
        <v>2591</v>
      </c>
      <c r="C573" s="45"/>
      <c r="D573" s="29" t="s">
        <v>24</v>
      </c>
      <c r="E573" s="30">
        <v>35302</v>
      </c>
      <c r="F573" s="29" t="s">
        <v>475</v>
      </c>
      <c r="G573" s="29" t="s">
        <v>2592</v>
      </c>
      <c r="H573" s="29" t="s">
        <v>2593</v>
      </c>
      <c r="I573" s="6" t="str">
        <f>VLOOKUP(CLEAN(F573),'World Bank Categories'!$B$4:$C$220,2,FALSE)</f>
        <v>Middle income</v>
      </c>
      <c r="J573" s="29" t="s">
        <v>2594</v>
      </c>
      <c r="K573" s="29" t="s">
        <v>39</v>
      </c>
      <c r="L573" s="29" t="s">
        <v>30</v>
      </c>
      <c r="M573" s="29"/>
      <c r="N573" s="29"/>
      <c r="O573" s="29"/>
      <c r="P573" s="29" t="s">
        <v>31</v>
      </c>
      <c r="Q573" s="9" t="s">
        <v>32</v>
      </c>
      <c r="R573" s="10" t="s">
        <v>33</v>
      </c>
      <c r="S573" s="25" t="s">
        <v>2591</v>
      </c>
      <c r="T573" s="27">
        <v>35302</v>
      </c>
      <c r="U573" s="25" t="s">
        <v>2594</v>
      </c>
      <c r="V573" s="25" t="s">
        <v>80</v>
      </c>
      <c r="W573" s="25"/>
    </row>
    <row r="574" spans="1:23" ht="22.5" customHeight="1">
      <c r="A574" s="46">
        <v>46080.945185185185</v>
      </c>
      <c r="B574" s="47" t="s">
        <v>2595</v>
      </c>
      <c r="C574" s="48"/>
      <c r="D574" s="47" t="s">
        <v>45</v>
      </c>
      <c r="E574" s="49">
        <v>33632</v>
      </c>
      <c r="F574" s="47" t="s">
        <v>2596</v>
      </c>
      <c r="G574" s="47" t="s">
        <v>2597</v>
      </c>
      <c r="H574" s="47" t="s">
        <v>111</v>
      </c>
      <c r="I574" s="6" t="str">
        <f>VLOOKUP(CLEAN(F574),'World Bank Categories'!$B$4:$C$220,2,FALSE)</f>
        <v>Middle income</v>
      </c>
      <c r="J574" s="47" t="s">
        <v>2598</v>
      </c>
      <c r="K574" s="47" t="s">
        <v>39</v>
      </c>
      <c r="L574" s="47" t="s">
        <v>162</v>
      </c>
      <c r="M574" s="47"/>
      <c r="N574" s="47"/>
      <c r="O574" s="47"/>
      <c r="P574" s="47" t="s">
        <v>31</v>
      </c>
      <c r="Q574" s="9" t="s">
        <v>32</v>
      </c>
      <c r="R574" s="18" t="s">
        <v>33</v>
      </c>
      <c r="S574" s="25" t="s">
        <v>2595</v>
      </c>
      <c r="T574" s="27">
        <v>33632</v>
      </c>
      <c r="U574" s="25" t="s">
        <v>2598</v>
      </c>
      <c r="V574" s="25" t="s">
        <v>80</v>
      </c>
      <c r="W574" s="25"/>
    </row>
    <row r="575" spans="1:23" ht="22.5" customHeight="1">
      <c r="A575" s="28">
        <v>46080.951956018522</v>
      </c>
      <c r="B575" s="29" t="s">
        <v>2599</v>
      </c>
      <c r="C575" s="45"/>
      <c r="D575" s="29" t="s">
        <v>24</v>
      </c>
      <c r="E575" s="30">
        <v>46200</v>
      </c>
      <c r="F575" s="29" t="s">
        <v>470</v>
      </c>
      <c r="G575" s="29" t="s">
        <v>2600</v>
      </c>
      <c r="H575" s="29" t="s">
        <v>2601</v>
      </c>
      <c r="I575" s="6" t="str">
        <f>VLOOKUP(CLEAN(F575),'World Bank Categories'!$B$4:$C$220,2,FALSE)</f>
        <v>Middle income</v>
      </c>
      <c r="J575" s="29" t="s">
        <v>2602</v>
      </c>
      <c r="K575" s="29" t="s">
        <v>29</v>
      </c>
      <c r="L575" s="29" t="s">
        <v>30</v>
      </c>
      <c r="M575" s="29"/>
      <c r="N575" s="29"/>
      <c r="O575" s="29"/>
      <c r="P575" s="29" t="s">
        <v>31</v>
      </c>
      <c r="Q575" s="9" t="s">
        <v>32</v>
      </c>
      <c r="R575" s="10" t="s">
        <v>33</v>
      </c>
      <c r="S575" s="25" t="s">
        <v>2603</v>
      </c>
      <c r="T575" s="27">
        <v>37065</v>
      </c>
      <c r="U575" s="25" t="s">
        <v>2602</v>
      </c>
      <c r="V575" s="25" t="s">
        <v>114</v>
      </c>
      <c r="W575" s="25"/>
    </row>
    <row r="576" spans="1:23" ht="22.5" customHeight="1">
      <c r="A576" s="28">
        <v>46080.955277777779</v>
      </c>
      <c r="B576" s="29" t="s">
        <v>2604</v>
      </c>
      <c r="C576" s="45"/>
      <c r="D576" s="29" t="s">
        <v>24</v>
      </c>
      <c r="E576" s="30">
        <v>28446</v>
      </c>
      <c r="F576" s="29" t="s">
        <v>1063</v>
      </c>
      <c r="G576" s="29" t="s">
        <v>2605</v>
      </c>
      <c r="H576" s="29" t="s">
        <v>2606</v>
      </c>
      <c r="I576" s="6" t="str">
        <f>VLOOKUP(CLEAN(F576),'World Bank Categories'!$B$4:$C$220,2,FALSE)</f>
        <v>Middle income</v>
      </c>
      <c r="J576" s="29" t="s">
        <v>2607</v>
      </c>
      <c r="K576" s="29" t="s">
        <v>39</v>
      </c>
      <c r="L576" s="29" t="s">
        <v>30</v>
      </c>
      <c r="M576" s="29"/>
      <c r="N576" s="29"/>
      <c r="O576" s="29"/>
      <c r="P576" s="29" t="s">
        <v>31</v>
      </c>
      <c r="Q576" s="9" t="s">
        <v>32</v>
      </c>
      <c r="R576" s="18" t="s">
        <v>33</v>
      </c>
      <c r="S576" s="25" t="s">
        <v>2604</v>
      </c>
      <c r="T576" s="27">
        <v>28446</v>
      </c>
      <c r="U576" s="25" t="s">
        <v>2607</v>
      </c>
      <c r="V576" s="25" t="s">
        <v>80</v>
      </c>
      <c r="W576" s="25"/>
    </row>
    <row r="577" spans="1:23" ht="22.5" customHeight="1">
      <c r="A577" s="28">
        <v>46081.001759259256</v>
      </c>
      <c r="B577" s="29" t="s">
        <v>2608</v>
      </c>
      <c r="C577" s="45"/>
      <c r="D577" s="29" t="s">
        <v>45</v>
      </c>
      <c r="E577" s="30">
        <v>34121</v>
      </c>
      <c r="F577" s="21" t="s">
        <v>980</v>
      </c>
      <c r="G577" s="29" t="s">
        <v>2609</v>
      </c>
      <c r="H577" s="29" t="s">
        <v>111</v>
      </c>
      <c r="I577" s="6" t="str">
        <f>VLOOKUP(CLEAN(F577),'World Bank Categories'!$B$4:$C$220,2,FALSE)</f>
        <v>Middle income</v>
      </c>
      <c r="J577" s="29" t="s">
        <v>2610</v>
      </c>
      <c r="K577" s="29" t="s">
        <v>29</v>
      </c>
      <c r="L577" s="29" t="s">
        <v>152</v>
      </c>
      <c r="M577" s="29"/>
      <c r="N577" s="29"/>
      <c r="O577" s="29"/>
      <c r="P577" s="29" t="s">
        <v>31</v>
      </c>
      <c r="Q577" s="9" t="s">
        <v>32</v>
      </c>
      <c r="R577" s="10" t="s">
        <v>33</v>
      </c>
      <c r="S577" s="25" t="s">
        <v>2608</v>
      </c>
      <c r="T577" s="27">
        <v>34121</v>
      </c>
      <c r="U577" s="25" t="s">
        <v>2611</v>
      </c>
      <c r="V577" s="25" t="s">
        <v>80</v>
      </c>
      <c r="W577" s="25"/>
    </row>
    <row r="578" spans="1:23" ht="22.5" customHeight="1">
      <c r="A578" s="28">
        <v>46081.022592592592</v>
      </c>
      <c r="B578" s="29" t="s">
        <v>2612</v>
      </c>
      <c r="C578" s="45"/>
      <c r="D578" s="29" t="s">
        <v>45</v>
      </c>
      <c r="E578" s="30">
        <v>28807</v>
      </c>
      <c r="F578" s="29" t="s">
        <v>1316</v>
      </c>
      <c r="G578" s="29" t="s">
        <v>2613</v>
      </c>
      <c r="H578" s="29" t="s">
        <v>738</v>
      </c>
      <c r="I578" s="6" t="str">
        <f>VLOOKUP(CLEAN(F578),'World Bank Categories'!$B$4:$C$220,2,FALSE)</f>
        <v>Low income</v>
      </c>
      <c r="J578" s="29" t="s">
        <v>2614</v>
      </c>
      <c r="K578" s="29" t="s">
        <v>39</v>
      </c>
      <c r="L578" s="29" t="s">
        <v>162</v>
      </c>
      <c r="M578" s="29"/>
      <c r="N578" s="29"/>
      <c r="O578" s="29"/>
      <c r="P578" s="29" t="s">
        <v>31</v>
      </c>
      <c r="Q578" s="9" t="s">
        <v>32</v>
      </c>
      <c r="R578" s="18" t="s">
        <v>33</v>
      </c>
      <c r="S578" s="25" t="s">
        <v>2615</v>
      </c>
      <c r="T578" s="27">
        <v>28807</v>
      </c>
      <c r="U578" s="25" t="s">
        <v>2614</v>
      </c>
      <c r="V578" s="25" t="s">
        <v>80</v>
      </c>
      <c r="W578" s="25"/>
    </row>
    <row r="579" spans="1:23" ht="22.5" customHeight="1">
      <c r="A579" s="46">
        <v>46081.028078703705</v>
      </c>
      <c r="B579" s="47" t="s">
        <v>2616</v>
      </c>
      <c r="C579" s="48"/>
      <c r="D579" s="47" t="s">
        <v>24</v>
      </c>
      <c r="E579" s="49">
        <v>24960</v>
      </c>
      <c r="F579" s="47" t="s">
        <v>1179</v>
      </c>
      <c r="G579" s="47" t="s">
        <v>2617</v>
      </c>
      <c r="H579" s="47" t="s">
        <v>66</v>
      </c>
      <c r="I579" s="6" t="str">
        <f>VLOOKUP(CLEAN(F579),'World Bank Categories'!$B$4:$C$220,2,FALSE)</f>
        <v>High income</v>
      </c>
      <c r="J579" s="47" t="s">
        <v>2618</v>
      </c>
      <c r="K579" s="47" t="s">
        <v>29</v>
      </c>
      <c r="L579" s="47" t="s">
        <v>30</v>
      </c>
      <c r="M579" s="47" t="s">
        <v>2619</v>
      </c>
      <c r="N579" s="47"/>
      <c r="O579" s="47"/>
      <c r="P579" s="47" t="s">
        <v>31</v>
      </c>
      <c r="Q579" s="9" t="s">
        <v>32</v>
      </c>
      <c r="R579" s="10" t="s">
        <v>33</v>
      </c>
      <c r="S579" s="25" t="s">
        <v>2616</v>
      </c>
      <c r="T579" s="27">
        <v>46052</v>
      </c>
      <c r="U579" s="25" t="s">
        <v>2618</v>
      </c>
      <c r="V579" s="25" t="s">
        <v>236</v>
      </c>
      <c r="W579" s="25"/>
    </row>
    <row r="580" spans="1:23" ht="22.5" customHeight="1">
      <c r="A580" s="20">
        <v>46081.049039351848</v>
      </c>
      <c r="B580" s="21" t="s">
        <v>2620</v>
      </c>
      <c r="C580" s="38"/>
      <c r="D580" s="21" t="s">
        <v>24</v>
      </c>
      <c r="E580" s="22">
        <v>33387</v>
      </c>
      <c r="F580" s="21" t="s">
        <v>438</v>
      </c>
      <c r="G580" s="21" t="s">
        <v>2621</v>
      </c>
      <c r="H580" s="21" t="s">
        <v>2622</v>
      </c>
      <c r="I580" s="6" t="str">
        <f>VLOOKUP(CLEAN(F580),'World Bank Categories'!$B$4:$C$220,2,FALSE)</f>
        <v>Middle income</v>
      </c>
      <c r="J580" s="21" t="s">
        <v>2623</v>
      </c>
      <c r="K580" s="21" t="s">
        <v>39</v>
      </c>
      <c r="L580" s="21" t="s">
        <v>30</v>
      </c>
      <c r="M580" s="21"/>
      <c r="N580" s="21"/>
      <c r="O580" s="21"/>
      <c r="P580" s="21" t="s">
        <v>31</v>
      </c>
      <c r="Q580" s="9" t="s">
        <v>32</v>
      </c>
      <c r="R580" s="18" t="s">
        <v>33</v>
      </c>
      <c r="S580" s="25" t="s">
        <v>2624</v>
      </c>
      <c r="T580" s="27">
        <v>33387</v>
      </c>
      <c r="U580" s="25" t="s">
        <v>2623</v>
      </c>
      <c r="V580" s="25" t="s">
        <v>80</v>
      </c>
      <c r="W580" s="25"/>
    </row>
    <row r="581" spans="1:23" ht="22.5" customHeight="1">
      <c r="A581" s="28">
        <v>46081.069374999999</v>
      </c>
      <c r="B581" s="29" t="s">
        <v>2625</v>
      </c>
      <c r="C581" s="45"/>
      <c r="D581" s="29" t="s">
        <v>24</v>
      </c>
      <c r="E581" s="30">
        <v>33925</v>
      </c>
      <c r="F581" s="29" t="s">
        <v>438</v>
      </c>
      <c r="G581" s="29" t="s">
        <v>1068</v>
      </c>
      <c r="H581" s="29" t="s">
        <v>957</v>
      </c>
      <c r="I581" s="6" t="str">
        <f>VLOOKUP(CLEAN(F581),'World Bank Categories'!$B$4:$C$220,2,FALSE)</f>
        <v>Middle income</v>
      </c>
      <c r="J581" s="29" t="s">
        <v>2626</v>
      </c>
      <c r="K581" s="29" t="s">
        <v>39</v>
      </c>
      <c r="L581" s="29" t="s">
        <v>30</v>
      </c>
      <c r="M581" s="29"/>
      <c r="N581" s="29"/>
      <c r="O581" s="29"/>
      <c r="P581" s="29" t="s">
        <v>31</v>
      </c>
      <c r="Q581" s="9" t="s">
        <v>32</v>
      </c>
      <c r="R581" s="10" t="s">
        <v>33</v>
      </c>
      <c r="S581" s="25" t="s">
        <v>2627</v>
      </c>
      <c r="T581" s="27">
        <v>33925</v>
      </c>
      <c r="U581" s="25" t="s">
        <v>2626</v>
      </c>
      <c r="V581" s="25" t="s">
        <v>1670</v>
      </c>
      <c r="W581" s="25"/>
    </row>
    <row r="582" spans="1:23" ht="22.5" customHeight="1">
      <c r="A582" s="28">
        <v>46081.076956018522</v>
      </c>
      <c r="B582" s="29" t="s">
        <v>2628</v>
      </c>
      <c r="C582" s="45"/>
      <c r="D582" s="29" t="s">
        <v>24</v>
      </c>
      <c r="E582" s="30">
        <v>19023</v>
      </c>
      <c r="F582" s="29" t="s">
        <v>1316</v>
      </c>
      <c r="G582" s="29" t="s">
        <v>2629</v>
      </c>
      <c r="H582" s="29" t="s">
        <v>2630</v>
      </c>
      <c r="I582" s="6" t="str">
        <f>VLOOKUP(CLEAN(F582),'World Bank Categories'!$B$4:$C$220,2,FALSE)</f>
        <v>Low income</v>
      </c>
      <c r="J582" s="29" t="s">
        <v>2631</v>
      </c>
      <c r="K582" s="29" t="s">
        <v>39</v>
      </c>
      <c r="L582" s="29" t="s">
        <v>152</v>
      </c>
      <c r="M582" s="29"/>
      <c r="N582" s="29"/>
      <c r="O582" s="29"/>
      <c r="P582" s="29" t="s">
        <v>31</v>
      </c>
      <c r="Q582" s="9" t="s">
        <v>32</v>
      </c>
      <c r="R582" s="18" t="s">
        <v>33</v>
      </c>
      <c r="S582" s="25" t="s">
        <v>2632</v>
      </c>
      <c r="T582" s="27">
        <v>19023</v>
      </c>
      <c r="U582" s="25" t="s">
        <v>2631</v>
      </c>
      <c r="V582" s="25" t="s">
        <v>80</v>
      </c>
      <c r="W582" s="25"/>
    </row>
    <row r="583" spans="1:23" ht="22.5" customHeight="1">
      <c r="A583" s="28">
        <v>46081.111898148149</v>
      </c>
      <c r="B583" s="29" t="s">
        <v>2633</v>
      </c>
      <c r="C583" s="29" t="s">
        <v>2634</v>
      </c>
      <c r="D583" s="29" t="s">
        <v>45</v>
      </c>
      <c r="E583" s="30">
        <v>28090</v>
      </c>
      <c r="F583" s="29" t="s">
        <v>1316</v>
      </c>
      <c r="G583" s="29" t="s">
        <v>2613</v>
      </c>
      <c r="H583" s="29" t="s">
        <v>2635</v>
      </c>
      <c r="I583" s="6" t="str">
        <f>VLOOKUP(CLEAN(F583),'World Bank Categories'!$B$4:$C$220,2,FALSE)</f>
        <v>Low income</v>
      </c>
      <c r="J583" s="29" t="s">
        <v>2636</v>
      </c>
      <c r="K583" s="29" t="s">
        <v>39</v>
      </c>
      <c r="L583" s="29" t="s">
        <v>30</v>
      </c>
      <c r="M583" s="29"/>
      <c r="N583" s="29"/>
      <c r="O583" s="29"/>
      <c r="P583" s="29" t="s">
        <v>31</v>
      </c>
      <c r="Q583" s="9" t="s">
        <v>32</v>
      </c>
      <c r="R583" s="10" t="s">
        <v>33</v>
      </c>
      <c r="S583" s="25" t="s">
        <v>2633</v>
      </c>
      <c r="T583" s="27">
        <v>28090</v>
      </c>
      <c r="U583" s="25" t="s">
        <v>2636</v>
      </c>
      <c r="V583" s="25" t="s">
        <v>80</v>
      </c>
      <c r="W583" s="25"/>
    </row>
    <row r="584" spans="1:23" ht="22.5" hidden="1" customHeight="1">
      <c r="A584" s="20">
        <v>46081.133032407408</v>
      </c>
      <c r="B584" s="21" t="s">
        <v>2637</v>
      </c>
      <c r="C584" s="38"/>
      <c r="D584" s="21" t="s">
        <v>24</v>
      </c>
      <c r="E584" s="22">
        <v>35638</v>
      </c>
      <c r="F584" s="21" t="s">
        <v>322</v>
      </c>
      <c r="G584" s="21" t="s">
        <v>2638</v>
      </c>
      <c r="H584" s="21" t="s">
        <v>2639</v>
      </c>
      <c r="I584" s="6" t="str">
        <f>VLOOKUP(CLEAN(F584),'World Bank Categories'!$B$4:$C$220,2,FALSE)</f>
        <v>Middle income</v>
      </c>
      <c r="J584" s="21" t="s">
        <v>2640</v>
      </c>
      <c r="K584" s="21" t="s">
        <v>29</v>
      </c>
      <c r="L584" s="32">
        <v>46202</v>
      </c>
      <c r="M584" s="21"/>
      <c r="N584" s="21"/>
      <c r="O584" s="21"/>
      <c r="P584" s="21" t="s">
        <v>31</v>
      </c>
      <c r="Q584" s="23" t="s">
        <v>56</v>
      </c>
      <c r="R584" s="24"/>
      <c r="S584" s="25"/>
      <c r="T584" s="26"/>
      <c r="U584" s="25"/>
      <c r="V584" s="25"/>
      <c r="W584" s="25"/>
    </row>
    <row r="585" spans="1:23" ht="22.5" customHeight="1">
      <c r="A585" s="46">
        <v>46081.14634259259</v>
      </c>
      <c r="B585" s="47" t="s">
        <v>2641</v>
      </c>
      <c r="C585" s="48"/>
      <c r="D585" s="47" t="s">
        <v>24</v>
      </c>
      <c r="E585" s="49">
        <v>37659</v>
      </c>
      <c r="F585" s="21" t="s">
        <v>208</v>
      </c>
      <c r="G585" s="47" t="s">
        <v>2642</v>
      </c>
      <c r="H585" s="47" t="s">
        <v>66</v>
      </c>
      <c r="I585" s="6" t="str">
        <f>VLOOKUP(CLEAN(F585),'World Bank Categories'!$B$4:$C$220,2,FALSE)</f>
        <v>Low income</v>
      </c>
      <c r="J585" s="47" t="s">
        <v>2643</v>
      </c>
      <c r="K585" s="47" t="s">
        <v>39</v>
      </c>
      <c r="L585" s="47" t="s">
        <v>30</v>
      </c>
      <c r="M585" s="47"/>
      <c r="N585" s="47"/>
      <c r="O585" s="47"/>
      <c r="P585" s="47" t="s">
        <v>31</v>
      </c>
      <c r="Q585" s="9" t="s">
        <v>32</v>
      </c>
      <c r="R585" s="18" t="s">
        <v>33</v>
      </c>
      <c r="S585" s="25" t="s">
        <v>2641</v>
      </c>
      <c r="T585" s="27">
        <v>37659</v>
      </c>
      <c r="U585" s="25" t="s">
        <v>2643</v>
      </c>
      <c r="V585" s="25" t="s">
        <v>80</v>
      </c>
      <c r="W585" s="25"/>
    </row>
    <row r="586" spans="1:23" ht="22.5" customHeight="1">
      <c r="A586" s="28">
        <v>46081.1641087963</v>
      </c>
      <c r="B586" s="29" t="s">
        <v>2644</v>
      </c>
      <c r="C586" s="45"/>
      <c r="D586" s="29" t="s">
        <v>45</v>
      </c>
      <c r="E586" s="30">
        <v>36941</v>
      </c>
      <c r="F586" s="21" t="s">
        <v>208</v>
      </c>
      <c r="G586" s="29" t="s">
        <v>2645</v>
      </c>
      <c r="H586" s="29" t="s">
        <v>2646</v>
      </c>
      <c r="I586" s="6" t="str">
        <f>VLOOKUP(CLEAN(F586),'World Bank Categories'!$B$4:$C$220,2,FALSE)</f>
        <v>Low income</v>
      </c>
      <c r="J586" s="29" t="s">
        <v>2647</v>
      </c>
      <c r="K586" s="29" t="s">
        <v>39</v>
      </c>
      <c r="L586" s="29" t="s">
        <v>30</v>
      </c>
      <c r="M586" s="29"/>
      <c r="N586" s="29"/>
      <c r="O586" s="29"/>
      <c r="P586" s="29" t="s">
        <v>31</v>
      </c>
      <c r="Q586" s="9" t="s">
        <v>32</v>
      </c>
      <c r="R586" s="10" t="s">
        <v>2648</v>
      </c>
      <c r="S586" s="25" t="s">
        <v>2644</v>
      </c>
      <c r="T586" s="27">
        <v>36941</v>
      </c>
      <c r="U586" s="25" t="s">
        <v>2649</v>
      </c>
      <c r="V586" s="25" t="s">
        <v>101</v>
      </c>
      <c r="W586" s="25"/>
    </row>
    <row r="587" spans="1:23" ht="22.5" customHeight="1">
      <c r="A587" s="46">
        <v>46081.196712962963</v>
      </c>
      <c r="B587" s="47" t="s">
        <v>2650</v>
      </c>
      <c r="C587" s="47" t="s">
        <v>2650</v>
      </c>
      <c r="D587" s="47" t="s">
        <v>24</v>
      </c>
      <c r="E587" s="49">
        <v>34029</v>
      </c>
      <c r="F587" s="47" t="s">
        <v>346</v>
      </c>
      <c r="G587" s="47" t="s">
        <v>2651</v>
      </c>
      <c r="H587" s="47" t="s">
        <v>1006</v>
      </c>
      <c r="I587" s="6" t="str">
        <f>VLOOKUP(CLEAN(F587),'World Bank Categories'!$B$4:$C$220,2,FALSE)</f>
        <v>Middle income</v>
      </c>
      <c r="J587" s="47" t="s">
        <v>2652</v>
      </c>
      <c r="K587" s="47" t="s">
        <v>29</v>
      </c>
      <c r="L587" s="47" t="s">
        <v>30</v>
      </c>
      <c r="M587" s="47"/>
      <c r="N587" s="47"/>
      <c r="O587" s="47"/>
      <c r="P587" s="47" t="s">
        <v>31</v>
      </c>
      <c r="Q587" s="9" t="s">
        <v>32</v>
      </c>
      <c r="R587" s="18"/>
      <c r="S587" s="25" t="s">
        <v>2650</v>
      </c>
      <c r="T587" s="27">
        <v>34043</v>
      </c>
      <c r="U587" s="25" t="s">
        <v>2652</v>
      </c>
      <c r="V587" s="25" t="s">
        <v>236</v>
      </c>
      <c r="W587" s="25"/>
    </row>
    <row r="588" spans="1:23" ht="22.5" customHeight="1">
      <c r="A588" s="35">
        <v>46081.198796296296</v>
      </c>
      <c r="B588" s="36" t="s">
        <v>2653</v>
      </c>
      <c r="C588" s="55"/>
      <c r="D588" s="36" t="s">
        <v>24</v>
      </c>
      <c r="E588" s="37">
        <v>33190</v>
      </c>
      <c r="F588" s="36" t="s">
        <v>623</v>
      </c>
      <c r="G588" s="36" t="s">
        <v>2654</v>
      </c>
      <c r="H588" s="36" t="s">
        <v>2655</v>
      </c>
      <c r="I588" s="6" t="str">
        <f>VLOOKUP(CLEAN(F588),'World Bank Categories'!$B$4:$C$220,2,FALSE)</f>
        <v>Middle income</v>
      </c>
      <c r="J588" s="36" t="s">
        <v>2656</v>
      </c>
      <c r="K588" s="36" t="s">
        <v>29</v>
      </c>
      <c r="L588" s="36" t="s">
        <v>30</v>
      </c>
      <c r="M588" s="36"/>
      <c r="N588" s="36"/>
      <c r="O588" s="36"/>
      <c r="P588" s="36" t="s">
        <v>31</v>
      </c>
      <c r="Q588" s="9" t="s">
        <v>32</v>
      </c>
      <c r="R588" s="10" t="s">
        <v>33</v>
      </c>
      <c r="S588" s="25" t="s">
        <v>2653</v>
      </c>
      <c r="T588" s="27">
        <v>33190</v>
      </c>
      <c r="U588" s="25" t="s">
        <v>2656</v>
      </c>
      <c r="V588" s="25" t="s">
        <v>80</v>
      </c>
      <c r="W588" s="25"/>
    </row>
    <row r="589" spans="1:23" ht="22.5" customHeight="1">
      <c r="A589" s="20">
        <v>46081.22179398148</v>
      </c>
      <c r="B589" s="21" t="s">
        <v>2657</v>
      </c>
      <c r="C589" s="38"/>
      <c r="D589" s="21" t="s">
        <v>24</v>
      </c>
      <c r="E589" s="22">
        <v>30314</v>
      </c>
      <c r="F589" s="21" t="s">
        <v>198</v>
      </c>
      <c r="G589" s="21" t="s">
        <v>586</v>
      </c>
      <c r="H589" s="21" t="s">
        <v>882</v>
      </c>
      <c r="I589" s="6" t="str">
        <f>VLOOKUP(CLEAN(F589),'World Bank Categories'!$B$4:$C$220,2,FALSE)</f>
        <v>Middle income</v>
      </c>
      <c r="J589" s="21" t="s">
        <v>2658</v>
      </c>
      <c r="K589" s="21" t="s">
        <v>29</v>
      </c>
      <c r="L589" s="21" t="s">
        <v>30</v>
      </c>
      <c r="M589" s="21" t="s">
        <v>2659</v>
      </c>
      <c r="N589" s="21"/>
      <c r="O589" s="21"/>
      <c r="P589" s="21" t="s">
        <v>31</v>
      </c>
      <c r="Q589" s="9" t="s">
        <v>32</v>
      </c>
      <c r="R589" s="18" t="s">
        <v>43</v>
      </c>
      <c r="S589" s="25" t="s">
        <v>2657</v>
      </c>
      <c r="T589" s="27">
        <v>30314</v>
      </c>
      <c r="U589" s="25" t="s">
        <v>2658</v>
      </c>
      <c r="V589" s="25" t="s">
        <v>80</v>
      </c>
      <c r="W589" s="25"/>
    </row>
    <row r="590" spans="1:23" ht="22.5" customHeight="1">
      <c r="A590" s="20">
        <v>46081.225115740737</v>
      </c>
      <c r="B590" s="21" t="s">
        <v>2660</v>
      </c>
      <c r="C590" s="38"/>
      <c r="D590" s="21" t="s">
        <v>45</v>
      </c>
      <c r="E590" s="22">
        <v>36162</v>
      </c>
      <c r="F590" s="21" t="s">
        <v>380</v>
      </c>
      <c r="G590" s="21" t="s">
        <v>2661</v>
      </c>
      <c r="H590" s="21" t="s">
        <v>66</v>
      </c>
      <c r="I590" s="6" t="str">
        <f>VLOOKUP(CLEAN(F590),'World Bank Categories'!$B$4:$C$220,2,FALSE)</f>
        <v>Low income</v>
      </c>
      <c r="J590" s="21" t="s">
        <v>2662</v>
      </c>
      <c r="K590" s="21" t="s">
        <v>29</v>
      </c>
      <c r="L590" s="32">
        <v>46202</v>
      </c>
      <c r="M590" s="21"/>
      <c r="N590" s="21"/>
      <c r="O590" s="21"/>
      <c r="P590" s="21" t="s">
        <v>31</v>
      </c>
      <c r="Q590" s="9" t="s">
        <v>32</v>
      </c>
      <c r="R590" s="10"/>
      <c r="S590" s="25" t="s">
        <v>2660</v>
      </c>
      <c r="T590" s="27">
        <v>36162</v>
      </c>
      <c r="U590" s="25" t="s">
        <v>2662</v>
      </c>
      <c r="V590" s="25" t="s">
        <v>80</v>
      </c>
      <c r="W590" s="25"/>
    </row>
    <row r="591" spans="1:23" ht="22.5" customHeight="1">
      <c r="A591" s="46">
        <v>46081.269328703704</v>
      </c>
      <c r="B591" s="47" t="s">
        <v>2663</v>
      </c>
      <c r="C591" s="48"/>
      <c r="D591" s="47" t="s">
        <v>24</v>
      </c>
      <c r="E591" s="49">
        <v>36397</v>
      </c>
      <c r="F591" s="21" t="s">
        <v>208</v>
      </c>
      <c r="G591" s="47" t="s">
        <v>2664</v>
      </c>
      <c r="H591" s="47" t="s">
        <v>2665</v>
      </c>
      <c r="I591" s="6" t="str">
        <f>VLOOKUP(CLEAN(F591),'World Bank Categories'!$B$4:$C$220,2,FALSE)</f>
        <v>Low income</v>
      </c>
      <c r="J591" s="47" t="s">
        <v>2666</v>
      </c>
      <c r="K591" s="47" t="s">
        <v>29</v>
      </c>
      <c r="L591" s="47" t="s">
        <v>30</v>
      </c>
      <c r="M591" s="47"/>
      <c r="N591" s="47"/>
      <c r="O591" s="47"/>
      <c r="P591" s="47" t="s">
        <v>31</v>
      </c>
      <c r="Q591" s="9" t="s">
        <v>32</v>
      </c>
      <c r="R591" s="18" t="s">
        <v>33</v>
      </c>
      <c r="S591" s="25" t="s">
        <v>2663</v>
      </c>
      <c r="T591" s="27">
        <v>36397</v>
      </c>
      <c r="U591" s="25" t="s">
        <v>2666</v>
      </c>
      <c r="V591" s="25" t="s">
        <v>80</v>
      </c>
      <c r="W591" s="25"/>
    </row>
    <row r="592" spans="1:23" ht="22.5" customHeight="1">
      <c r="A592" s="28">
        <v>46081.352256944447</v>
      </c>
      <c r="B592" s="29" t="s">
        <v>2667</v>
      </c>
      <c r="C592" s="45"/>
      <c r="D592" s="29" t="s">
        <v>45</v>
      </c>
      <c r="E592" s="30">
        <v>19426</v>
      </c>
      <c r="F592" s="29" t="s">
        <v>203</v>
      </c>
      <c r="G592" s="29" t="s">
        <v>2668</v>
      </c>
      <c r="H592" s="29" t="s">
        <v>1891</v>
      </c>
      <c r="I592" s="6" t="str">
        <f>VLOOKUP(CLEAN(F592),'World Bank Categories'!$B$4:$C$220,2,FALSE)</f>
        <v>Middle income</v>
      </c>
      <c r="J592" s="29" t="s">
        <v>2669</v>
      </c>
      <c r="K592" s="29" t="s">
        <v>39</v>
      </c>
      <c r="L592" s="29" t="s">
        <v>162</v>
      </c>
      <c r="M592" s="29"/>
      <c r="N592" s="29"/>
      <c r="O592" s="29"/>
      <c r="P592" s="29" t="s">
        <v>31</v>
      </c>
      <c r="Q592" s="9" t="s">
        <v>32</v>
      </c>
      <c r="R592" s="10" t="s">
        <v>33</v>
      </c>
      <c r="S592" s="25" t="s">
        <v>2667</v>
      </c>
      <c r="T592" s="27">
        <v>19426</v>
      </c>
      <c r="U592" s="25" t="s">
        <v>2669</v>
      </c>
      <c r="V592" s="25" t="s">
        <v>80</v>
      </c>
      <c r="W592" s="25"/>
    </row>
    <row r="593" spans="1:23" ht="22.5" customHeight="1">
      <c r="A593" s="20">
        <v>46081.476782407408</v>
      </c>
      <c r="B593" s="21" t="s">
        <v>2670</v>
      </c>
      <c r="C593" s="21" t="s">
        <v>2671</v>
      </c>
      <c r="D593" s="21" t="s">
        <v>24</v>
      </c>
      <c r="E593" s="22">
        <v>27686</v>
      </c>
      <c r="F593" s="21" t="s">
        <v>1063</v>
      </c>
      <c r="G593" s="21" t="s">
        <v>2672</v>
      </c>
      <c r="H593" s="21" t="s">
        <v>2673</v>
      </c>
      <c r="I593" s="6" t="str">
        <f>VLOOKUP(CLEAN(F593),'World Bank Categories'!$B$4:$C$220,2,FALSE)</f>
        <v>Middle income</v>
      </c>
      <c r="J593" s="21" t="s">
        <v>2674</v>
      </c>
      <c r="K593" s="21" t="s">
        <v>29</v>
      </c>
      <c r="L593" s="21" t="s">
        <v>30</v>
      </c>
      <c r="M593" s="21" t="s">
        <v>2675</v>
      </c>
      <c r="N593" s="21"/>
      <c r="O593" s="21"/>
      <c r="P593" s="21" t="s">
        <v>31</v>
      </c>
      <c r="Q593" s="9" t="s">
        <v>32</v>
      </c>
      <c r="R593" s="18" t="s">
        <v>33</v>
      </c>
      <c r="S593" s="25" t="s">
        <v>2676</v>
      </c>
      <c r="T593" s="27">
        <v>27686</v>
      </c>
      <c r="U593" s="25" t="s">
        <v>2674</v>
      </c>
      <c r="V593" s="25" t="s">
        <v>1159</v>
      </c>
      <c r="W593" s="25"/>
    </row>
    <row r="594" spans="1:23" ht="22.5" customHeight="1">
      <c r="A594" s="50">
        <v>46081.571921296294</v>
      </c>
      <c r="B594" s="51" t="s">
        <v>2677</v>
      </c>
      <c r="C594" s="52"/>
      <c r="D594" s="51" t="s">
        <v>24</v>
      </c>
      <c r="E594" s="53">
        <v>25411</v>
      </c>
      <c r="F594" s="51" t="s">
        <v>416</v>
      </c>
      <c r="G594" s="51" t="s">
        <v>209</v>
      </c>
      <c r="H594" s="51" t="s">
        <v>2678</v>
      </c>
      <c r="I594" s="6" t="str">
        <f>VLOOKUP(CLEAN(F594),'World Bank Categories'!$B$4:$C$220,2,FALSE)</f>
        <v>Middle income</v>
      </c>
      <c r="J594" s="51" t="s">
        <v>2679</v>
      </c>
      <c r="K594" s="51" t="s">
        <v>29</v>
      </c>
      <c r="L594" s="51" t="s">
        <v>30</v>
      </c>
      <c r="M594" s="63"/>
      <c r="N594" s="51"/>
      <c r="O594" s="51"/>
      <c r="P594" s="51" t="s">
        <v>31</v>
      </c>
      <c r="Q594" s="9" t="s">
        <v>32</v>
      </c>
      <c r="R594" s="10" t="s">
        <v>33</v>
      </c>
      <c r="S594" s="25" t="s">
        <v>2677</v>
      </c>
      <c r="T594" s="27">
        <v>25411</v>
      </c>
      <c r="U594" s="25" t="s">
        <v>2679</v>
      </c>
      <c r="V594" s="25" t="s">
        <v>80</v>
      </c>
      <c r="W594" s="25"/>
    </row>
    <row r="595" spans="1:23" ht="22.5" customHeight="1">
      <c r="A595" s="46">
        <v>46081.582303240742</v>
      </c>
      <c r="B595" s="47" t="s">
        <v>2680</v>
      </c>
      <c r="C595" s="48"/>
      <c r="D595" s="47" t="s">
        <v>45</v>
      </c>
      <c r="E595" s="49">
        <v>33509</v>
      </c>
      <c r="F595" s="47" t="s">
        <v>475</v>
      </c>
      <c r="G595" s="47" t="s">
        <v>2681</v>
      </c>
      <c r="H595" s="47" t="s">
        <v>2682</v>
      </c>
      <c r="I595" s="6" t="str">
        <f>VLOOKUP(CLEAN(F595),'World Bank Categories'!$B$4:$C$220,2,FALSE)</f>
        <v>Middle income</v>
      </c>
      <c r="J595" s="47" t="s">
        <v>2683</v>
      </c>
      <c r="K595" s="47" t="s">
        <v>29</v>
      </c>
      <c r="L595" s="47" t="s">
        <v>30</v>
      </c>
      <c r="M595" s="47"/>
      <c r="N595" s="47"/>
      <c r="O595" s="47"/>
      <c r="P595" s="47" t="s">
        <v>31</v>
      </c>
      <c r="Q595" s="9" t="s">
        <v>32</v>
      </c>
      <c r="R595" s="18" t="s">
        <v>33</v>
      </c>
      <c r="S595" s="25" t="s">
        <v>2684</v>
      </c>
      <c r="T595" s="27">
        <v>33509</v>
      </c>
      <c r="U595" s="25" t="s">
        <v>2683</v>
      </c>
      <c r="V595" s="25" t="s">
        <v>154</v>
      </c>
      <c r="W595" s="25"/>
    </row>
    <row r="596" spans="1:23" ht="22.5" customHeight="1">
      <c r="A596" s="28">
        <v>46081.624062499999</v>
      </c>
      <c r="B596" s="29" t="s">
        <v>2685</v>
      </c>
      <c r="C596" s="29" t="s">
        <v>941</v>
      </c>
      <c r="D596" s="29" t="s">
        <v>45</v>
      </c>
      <c r="E596" s="30">
        <v>34242</v>
      </c>
      <c r="F596" s="29" t="s">
        <v>2378</v>
      </c>
      <c r="G596" s="29" t="s">
        <v>2686</v>
      </c>
      <c r="H596" s="29" t="s">
        <v>418</v>
      </c>
      <c r="I596" s="6" t="str">
        <f>VLOOKUP(CLEAN(F596),'World Bank Categories'!$B$4:$C$220,2,FALSE)</f>
        <v>Middle income</v>
      </c>
      <c r="J596" s="29" t="s">
        <v>2687</v>
      </c>
      <c r="K596" s="29" t="s">
        <v>39</v>
      </c>
      <c r="L596" s="29" t="s">
        <v>30</v>
      </c>
      <c r="M596" s="29"/>
      <c r="N596" s="29"/>
      <c r="O596" s="29"/>
      <c r="P596" s="29" t="s">
        <v>31</v>
      </c>
      <c r="Q596" s="9" t="s">
        <v>32</v>
      </c>
      <c r="R596" s="10" t="s">
        <v>33</v>
      </c>
      <c r="S596" s="25" t="s">
        <v>2685</v>
      </c>
      <c r="T596" s="27">
        <v>34242</v>
      </c>
      <c r="U596" s="25" t="s">
        <v>2688</v>
      </c>
      <c r="V596" s="25" t="s">
        <v>80</v>
      </c>
      <c r="W596" s="25"/>
    </row>
    <row r="597" spans="1:23" ht="22.5" customHeight="1">
      <c r="A597" s="20">
        <v>46081.648831018516</v>
      </c>
      <c r="B597" s="21" t="s">
        <v>2689</v>
      </c>
      <c r="C597" s="38"/>
      <c r="D597" s="21" t="s">
        <v>45</v>
      </c>
      <c r="E597" s="22">
        <v>28388</v>
      </c>
      <c r="F597" s="21" t="s">
        <v>732</v>
      </c>
      <c r="G597" s="21" t="s">
        <v>2690</v>
      </c>
      <c r="H597" s="21" t="s">
        <v>2691</v>
      </c>
      <c r="I597" s="6" t="str">
        <f>VLOOKUP(CLEAN(F597),'World Bank Categories'!$B$4:$C$220,2,FALSE)</f>
        <v>Middle income</v>
      </c>
      <c r="J597" s="21" t="s">
        <v>2692</v>
      </c>
      <c r="K597" s="21" t="s">
        <v>29</v>
      </c>
      <c r="L597" s="32">
        <v>46202</v>
      </c>
      <c r="M597" s="21"/>
      <c r="N597" s="21"/>
      <c r="O597" s="21"/>
      <c r="P597" s="21" t="s">
        <v>31</v>
      </c>
      <c r="Q597" s="9" t="s">
        <v>32</v>
      </c>
      <c r="R597" s="18" t="s">
        <v>33</v>
      </c>
      <c r="S597" s="25" t="s">
        <v>2693</v>
      </c>
      <c r="T597" s="27">
        <v>28388</v>
      </c>
      <c r="U597" s="25" t="s">
        <v>2692</v>
      </c>
      <c r="V597" s="25" t="s">
        <v>1670</v>
      </c>
      <c r="W597" s="25"/>
    </row>
    <row r="598" spans="1:23" ht="22.5" customHeight="1">
      <c r="A598" s="28">
        <v>46081.65861111111</v>
      </c>
      <c r="B598" s="29" t="s">
        <v>2694</v>
      </c>
      <c r="C598" s="45"/>
      <c r="D598" s="29" t="s">
        <v>45</v>
      </c>
      <c r="E598" s="30">
        <v>34879</v>
      </c>
      <c r="F598" s="29" t="s">
        <v>416</v>
      </c>
      <c r="G598" s="29" t="s">
        <v>2695</v>
      </c>
      <c r="H598" s="29" t="s">
        <v>1049</v>
      </c>
      <c r="I598" s="6" t="str">
        <f>VLOOKUP(CLEAN(F598),'World Bank Categories'!$B$4:$C$220,2,FALSE)</f>
        <v>Middle income</v>
      </c>
      <c r="J598" s="29" t="s">
        <v>2696</v>
      </c>
      <c r="K598" s="29" t="s">
        <v>29</v>
      </c>
      <c r="L598" s="29" t="s">
        <v>30</v>
      </c>
      <c r="M598" s="62"/>
      <c r="N598" s="29"/>
      <c r="O598" s="29"/>
      <c r="P598" s="29" t="s">
        <v>31</v>
      </c>
      <c r="Q598" s="9" t="s">
        <v>32</v>
      </c>
      <c r="R598" s="10" t="s">
        <v>33</v>
      </c>
      <c r="S598" s="25" t="s">
        <v>2694</v>
      </c>
      <c r="T598" s="27">
        <v>34879</v>
      </c>
      <c r="U598" s="25" t="s">
        <v>2696</v>
      </c>
      <c r="V598" s="25" t="s">
        <v>80</v>
      </c>
      <c r="W598" s="25"/>
    </row>
    <row r="599" spans="1:23" ht="22.5" customHeight="1">
      <c r="A599" s="28">
        <v>46081.65861111111</v>
      </c>
      <c r="B599" s="29" t="s">
        <v>2697</v>
      </c>
      <c r="C599" s="29" t="s">
        <v>2698</v>
      </c>
      <c r="D599" s="29" t="s">
        <v>45</v>
      </c>
      <c r="E599" s="30">
        <v>35854</v>
      </c>
      <c r="F599" s="29" t="s">
        <v>416</v>
      </c>
      <c r="G599" s="29" t="s">
        <v>2699</v>
      </c>
      <c r="H599" s="29" t="s">
        <v>418</v>
      </c>
      <c r="I599" s="6" t="str">
        <f>VLOOKUP(CLEAN(F599),'World Bank Categories'!$B$4:$C$220,2,FALSE)</f>
        <v>Middle income</v>
      </c>
      <c r="J599" s="29" t="s">
        <v>2700</v>
      </c>
      <c r="K599" s="29" t="s">
        <v>29</v>
      </c>
      <c r="L599" s="29" t="s">
        <v>30</v>
      </c>
      <c r="M599" s="62"/>
      <c r="N599" s="29"/>
      <c r="O599" s="29"/>
      <c r="P599" s="29" t="s">
        <v>31</v>
      </c>
      <c r="Q599" s="9" t="s">
        <v>32</v>
      </c>
      <c r="R599" s="18" t="s">
        <v>33</v>
      </c>
      <c r="S599" s="25" t="s">
        <v>2697</v>
      </c>
      <c r="T599" s="27">
        <v>35854</v>
      </c>
      <c r="U599" s="25" t="s">
        <v>2701</v>
      </c>
      <c r="V599" s="25" t="s">
        <v>101</v>
      </c>
      <c r="W599" s="25"/>
    </row>
    <row r="600" spans="1:23" ht="22.5" customHeight="1">
      <c r="A600" s="50">
        <v>46081.71802083333</v>
      </c>
      <c r="B600" s="51" t="s">
        <v>2702</v>
      </c>
      <c r="C600" s="52"/>
      <c r="D600" s="51" t="s">
        <v>24</v>
      </c>
      <c r="E600" s="53">
        <v>28127</v>
      </c>
      <c r="F600" s="51" t="s">
        <v>2703</v>
      </c>
      <c r="G600" s="51" t="s">
        <v>2704</v>
      </c>
      <c r="H600" s="51" t="s">
        <v>2705</v>
      </c>
      <c r="I600" s="6" t="str">
        <f>VLOOKUP(CLEAN(F600),'World Bank Categories'!$B$4:$C$220,2,FALSE)</f>
        <v>High income</v>
      </c>
      <c r="J600" s="51" t="s">
        <v>2706</v>
      </c>
      <c r="K600" s="51" t="s">
        <v>29</v>
      </c>
      <c r="L600" s="51" t="s">
        <v>30</v>
      </c>
      <c r="M600" s="51" t="s">
        <v>2707</v>
      </c>
      <c r="N600" s="51"/>
      <c r="O600" s="51"/>
      <c r="P600" s="51" t="s">
        <v>31</v>
      </c>
      <c r="Q600" s="9" t="s">
        <v>32</v>
      </c>
      <c r="R600" s="10" t="s">
        <v>33</v>
      </c>
      <c r="S600" s="25" t="s">
        <v>2708</v>
      </c>
      <c r="T600" s="27">
        <v>28127</v>
      </c>
      <c r="U600" s="25" t="s">
        <v>2706</v>
      </c>
      <c r="V600" s="25" t="s">
        <v>154</v>
      </c>
      <c r="W600" s="25"/>
    </row>
    <row r="601" spans="1:23" ht="22.5" customHeight="1">
      <c r="A601" s="20">
        <v>46081.857997685183</v>
      </c>
      <c r="B601" s="21" t="s">
        <v>2709</v>
      </c>
      <c r="C601" s="21" t="s">
        <v>2709</v>
      </c>
      <c r="D601" s="21" t="s">
        <v>24</v>
      </c>
      <c r="E601" s="22">
        <v>37748</v>
      </c>
      <c r="F601" s="21" t="s">
        <v>1053</v>
      </c>
      <c r="G601" s="21" t="s">
        <v>2710</v>
      </c>
      <c r="H601" s="21" t="s">
        <v>1995</v>
      </c>
      <c r="I601" s="6" t="str">
        <f>VLOOKUP(CLEAN(F601),'World Bank Categories'!$B$4:$C$220,2,FALSE)</f>
        <v>High income</v>
      </c>
      <c r="J601" s="21" t="s">
        <v>2711</v>
      </c>
      <c r="K601" s="21" t="s">
        <v>29</v>
      </c>
      <c r="L601" s="21" t="s">
        <v>30</v>
      </c>
      <c r="M601" s="21"/>
      <c r="N601" s="21"/>
      <c r="O601" s="21"/>
      <c r="P601" s="21" t="s">
        <v>31</v>
      </c>
      <c r="Q601" s="9" t="s">
        <v>32</v>
      </c>
      <c r="R601" s="18" t="s">
        <v>43</v>
      </c>
      <c r="S601" s="25" t="s">
        <v>2709</v>
      </c>
      <c r="T601" s="27">
        <v>37748</v>
      </c>
      <c r="U601" s="25" t="s">
        <v>2711</v>
      </c>
      <c r="V601" s="25" t="s">
        <v>80</v>
      </c>
      <c r="W601" s="25"/>
    </row>
    <row r="602" spans="1:23" ht="22.5" customHeight="1">
      <c r="A602" s="20">
        <v>46082.065625000003</v>
      </c>
      <c r="B602" s="21" t="s">
        <v>2717</v>
      </c>
      <c r="C602" s="21" t="s">
        <v>2717</v>
      </c>
      <c r="D602" s="21" t="s">
        <v>24</v>
      </c>
      <c r="E602" s="22">
        <v>34422</v>
      </c>
      <c r="F602" s="21" t="s">
        <v>416</v>
      </c>
      <c r="G602" s="21" t="s">
        <v>417</v>
      </c>
      <c r="H602" s="21" t="s">
        <v>111</v>
      </c>
      <c r="I602" s="6" t="str">
        <f>VLOOKUP(CLEAN(F602),'World Bank Categories'!$B$4:$C$220,2,FALSE)</f>
        <v>Middle income</v>
      </c>
      <c r="J602" s="21" t="s">
        <v>2718</v>
      </c>
      <c r="K602" s="21" t="s">
        <v>29</v>
      </c>
      <c r="L602" s="21" t="s">
        <v>30</v>
      </c>
      <c r="M602" s="21"/>
      <c r="N602" s="21"/>
      <c r="O602" s="21"/>
      <c r="P602" s="21" t="s">
        <v>31</v>
      </c>
      <c r="Q602" s="9" t="s">
        <v>32</v>
      </c>
      <c r="R602" s="18" t="s">
        <v>33</v>
      </c>
      <c r="S602" s="25" t="s">
        <v>2717</v>
      </c>
      <c r="T602" s="27">
        <v>34422</v>
      </c>
      <c r="U602" s="25" t="s">
        <v>2718</v>
      </c>
      <c r="V602" s="25" t="s">
        <v>80</v>
      </c>
      <c r="W602" s="25"/>
    </row>
    <row r="603" spans="1:23" ht="22.5" customHeight="1">
      <c r="A603" s="46">
        <v>46082.537951388891</v>
      </c>
      <c r="B603" s="47" t="s">
        <v>2719</v>
      </c>
      <c r="C603" s="48"/>
      <c r="D603" s="47" t="s">
        <v>24</v>
      </c>
      <c r="E603" s="49">
        <v>29158</v>
      </c>
      <c r="F603" s="47" t="s">
        <v>2720</v>
      </c>
      <c r="G603" s="47" t="s">
        <v>2721</v>
      </c>
      <c r="H603" s="47" t="s">
        <v>2722</v>
      </c>
      <c r="I603" s="6" t="str">
        <f>VLOOKUP(CLEAN(F603),'World Bank Categories'!$B$4:$C$220,2,FALSE)</f>
        <v>Middle income</v>
      </c>
      <c r="J603" s="47" t="s">
        <v>2723</v>
      </c>
      <c r="K603" s="47" t="s">
        <v>39</v>
      </c>
      <c r="L603" s="47" t="s">
        <v>1991</v>
      </c>
      <c r="M603" s="47"/>
      <c r="N603" s="47"/>
      <c r="O603" s="47"/>
      <c r="P603" s="47" t="s">
        <v>31</v>
      </c>
      <c r="Q603" s="9" t="s">
        <v>32</v>
      </c>
      <c r="R603" s="10" t="s">
        <v>33</v>
      </c>
      <c r="S603" s="25" t="s">
        <v>2724</v>
      </c>
      <c r="T603" s="27">
        <v>29158</v>
      </c>
      <c r="U603" s="25" t="s">
        <v>2725</v>
      </c>
      <c r="V603" s="25" t="s">
        <v>154</v>
      </c>
      <c r="W603" s="25"/>
    </row>
    <row r="604" spans="1:23" ht="22.5" customHeight="1">
      <c r="A604" s="20">
        <v>46082.558865740742</v>
      </c>
      <c r="B604" s="21" t="s">
        <v>2726</v>
      </c>
      <c r="C604" s="21" t="s">
        <v>2727</v>
      </c>
      <c r="D604" s="21" t="s">
        <v>24</v>
      </c>
      <c r="E604" s="22">
        <v>38621</v>
      </c>
      <c r="F604" s="21" t="s">
        <v>1053</v>
      </c>
      <c r="G604" s="21" t="s">
        <v>2728</v>
      </c>
      <c r="H604" s="21" t="s">
        <v>66</v>
      </c>
      <c r="I604" s="6" t="str">
        <f>VLOOKUP(CLEAN(F604),'World Bank Categories'!$B$4:$C$220,2,FALSE)</f>
        <v>High income</v>
      </c>
      <c r="J604" s="21" t="s">
        <v>2729</v>
      </c>
      <c r="K604" s="21" t="s">
        <v>39</v>
      </c>
      <c r="L604" s="21" t="s">
        <v>621</v>
      </c>
      <c r="M604" s="21"/>
      <c r="N604" s="21"/>
      <c r="O604" s="21"/>
      <c r="P604" s="21" t="s">
        <v>31</v>
      </c>
      <c r="Q604" s="9" t="s">
        <v>32</v>
      </c>
      <c r="R604" s="18" t="s">
        <v>43</v>
      </c>
      <c r="S604" s="25" t="s">
        <v>2730</v>
      </c>
      <c r="T604" s="27">
        <v>38621</v>
      </c>
      <c r="U604" s="25" t="s">
        <v>2731</v>
      </c>
      <c r="V604" s="25" t="s">
        <v>101</v>
      </c>
      <c r="W604" s="25"/>
    </row>
    <row r="605" spans="1:23" ht="22.5" customHeight="1">
      <c r="A605" s="50">
        <v>46082.645868055559</v>
      </c>
      <c r="B605" s="51" t="s">
        <v>2732</v>
      </c>
      <c r="C605" s="52"/>
      <c r="D605" s="51" t="s">
        <v>24</v>
      </c>
      <c r="E605" s="53">
        <v>29018</v>
      </c>
      <c r="F605" s="51" t="s">
        <v>380</v>
      </c>
      <c r="G605" s="51" t="s">
        <v>2733</v>
      </c>
      <c r="H605" s="51" t="s">
        <v>2734</v>
      </c>
      <c r="I605" s="6" t="str">
        <f>VLOOKUP(CLEAN(F605),'World Bank Categories'!$B$4:$C$220,2,FALSE)</f>
        <v>Low income</v>
      </c>
      <c r="J605" s="51" t="s">
        <v>2735</v>
      </c>
      <c r="K605" s="51" t="s">
        <v>29</v>
      </c>
      <c r="L605" s="51" t="s">
        <v>30</v>
      </c>
      <c r="M605" s="51"/>
      <c r="N605" s="51"/>
      <c r="O605" s="51"/>
      <c r="P605" s="51" t="s">
        <v>31</v>
      </c>
      <c r="Q605" s="9" t="s">
        <v>32</v>
      </c>
      <c r="R605" s="10" t="s">
        <v>33</v>
      </c>
      <c r="S605" s="25" t="s">
        <v>2736</v>
      </c>
      <c r="T605" s="27">
        <v>29018</v>
      </c>
      <c r="U605" s="25" t="s">
        <v>2735</v>
      </c>
      <c r="V605" s="25" t="s">
        <v>154</v>
      </c>
      <c r="W605" s="25"/>
    </row>
    <row r="606" spans="1:23" ht="22.5" customHeight="1">
      <c r="A606" s="20">
        <v>46082.772592592592</v>
      </c>
      <c r="B606" s="21" t="s">
        <v>2737</v>
      </c>
      <c r="C606" s="38"/>
      <c r="D606" s="21" t="s">
        <v>45</v>
      </c>
      <c r="E606" s="22">
        <v>37058</v>
      </c>
      <c r="F606" s="21" t="s">
        <v>2738</v>
      </c>
      <c r="G606" s="21" t="s">
        <v>2739</v>
      </c>
      <c r="H606" s="21" t="s">
        <v>2740</v>
      </c>
      <c r="I606" s="6" t="str">
        <f>VLOOKUP(CLEAN(F606),'World Bank Categories'!$B$4:$C$220,2,FALSE)</f>
        <v>High income</v>
      </c>
      <c r="J606" s="21" t="s">
        <v>2741</v>
      </c>
      <c r="K606" s="21" t="s">
        <v>29</v>
      </c>
      <c r="L606" s="21" t="s">
        <v>30</v>
      </c>
      <c r="M606" s="21"/>
      <c r="N606" s="21"/>
      <c r="O606" s="21"/>
      <c r="P606" s="21" t="s">
        <v>31</v>
      </c>
      <c r="Q606" s="9" t="s">
        <v>32</v>
      </c>
      <c r="R606" s="18" t="s">
        <v>33</v>
      </c>
      <c r="S606" s="25" t="s">
        <v>2737</v>
      </c>
      <c r="T606" s="27">
        <v>37058</v>
      </c>
      <c r="U606" s="25" t="s">
        <v>2741</v>
      </c>
      <c r="V606" s="25" t="s">
        <v>80</v>
      </c>
      <c r="W606" s="25"/>
    </row>
    <row r="607" spans="1:23" ht="22.5" customHeight="1">
      <c r="A607" s="28">
        <v>46082.823206018518</v>
      </c>
      <c r="B607" s="29" t="s">
        <v>2742</v>
      </c>
      <c r="C607" s="45"/>
      <c r="D607" s="29" t="s">
        <v>24</v>
      </c>
      <c r="E607" s="30">
        <v>31078</v>
      </c>
      <c r="F607" s="29" t="s">
        <v>380</v>
      </c>
      <c r="G607" s="29" t="s">
        <v>2743</v>
      </c>
      <c r="H607" s="29" t="s">
        <v>72</v>
      </c>
      <c r="I607" s="6" t="str">
        <f>VLOOKUP(CLEAN(F607),'World Bank Categories'!$B$4:$C$220,2,FALSE)</f>
        <v>Low income</v>
      </c>
      <c r="J607" s="29" t="s">
        <v>2744</v>
      </c>
      <c r="K607" s="29" t="s">
        <v>29</v>
      </c>
      <c r="L607" s="29" t="s">
        <v>30</v>
      </c>
      <c r="M607" s="29"/>
      <c r="N607" s="29"/>
      <c r="O607" s="29"/>
      <c r="P607" s="29" t="s">
        <v>31</v>
      </c>
      <c r="Q607" s="9" t="s">
        <v>32</v>
      </c>
      <c r="R607" s="10" t="s">
        <v>33</v>
      </c>
      <c r="S607" s="25" t="s">
        <v>2745</v>
      </c>
      <c r="T607" s="27">
        <v>31078</v>
      </c>
      <c r="U607" s="25" t="s">
        <v>2744</v>
      </c>
      <c r="V607" s="25" t="s">
        <v>80</v>
      </c>
      <c r="W607" s="25"/>
    </row>
    <row r="608" spans="1:23" ht="22.5" customHeight="1">
      <c r="A608" s="20">
        <v>46082.846666666665</v>
      </c>
      <c r="B608" s="21" t="s">
        <v>2746</v>
      </c>
      <c r="C608" s="38"/>
      <c r="D608" s="21" t="s">
        <v>24</v>
      </c>
      <c r="E608" s="57">
        <v>32331</v>
      </c>
      <c r="F608" s="21" t="s">
        <v>1277</v>
      </c>
      <c r="G608" s="21" t="s">
        <v>1278</v>
      </c>
      <c r="H608" s="21" t="s">
        <v>98</v>
      </c>
      <c r="I608" s="6" t="str">
        <f>VLOOKUP(CLEAN(F608),'World Bank Categories'!$B$4:$C$220,2,FALSE)</f>
        <v>Middle income</v>
      </c>
      <c r="J608" s="21" t="s">
        <v>2747</v>
      </c>
      <c r="K608" s="21" t="s">
        <v>39</v>
      </c>
      <c r="L608" s="21" t="s">
        <v>30</v>
      </c>
      <c r="M608" s="21"/>
      <c r="N608" s="21"/>
      <c r="O608" s="21"/>
      <c r="P608" s="21" t="s">
        <v>31</v>
      </c>
      <c r="Q608" s="9" t="s">
        <v>32</v>
      </c>
      <c r="R608" s="18" t="s">
        <v>33</v>
      </c>
      <c r="S608" s="25" t="s">
        <v>2746</v>
      </c>
      <c r="T608" s="27">
        <v>32331</v>
      </c>
      <c r="U608" s="25" t="s">
        <v>2747</v>
      </c>
      <c r="V608" s="25" t="s">
        <v>80</v>
      </c>
      <c r="W608" s="25"/>
    </row>
    <row r="609" spans="1:23" ht="22.5" customHeight="1">
      <c r="A609" s="20">
        <v>46082.891967592594</v>
      </c>
      <c r="B609" s="21" t="s">
        <v>2748</v>
      </c>
      <c r="C609" s="21" t="s">
        <v>2749</v>
      </c>
      <c r="D609" s="21" t="s">
        <v>24</v>
      </c>
      <c r="E609" s="22">
        <v>37373</v>
      </c>
      <c r="F609" s="21" t="s">
        <v>332</v>
      </c>
      <c r="G609" s="21" t="s">
        <v>2750</v>
      </c>
      <c r="H609" s="21" t="s">
        <v>66</v>
      </c>
      <c r="I609" s="6" t="str">
        <f>VLOOKUP(CLEAN(F609),'World Bank Categories'!$B$4:$C$220,2,FALSE)</f>
        <v>High income</v>
      </c>
      <c r="J609" s="21" t="s">
        <v>2751</v>
      </c>
      <c r="K609" s="21" t="s">
        <v>39</v>
      </c>
      <c r="L609" s="21" t="s">
        <v>162</v>
      </c>
      <c r="M609" s="21"/>
      <c r="N609" s="21"/>
      <c r="O609" s="21"/>
      <c r="P609" s="21" t="s">
        <v>31</v>
      </c>
      <c r="Q609" s="9" t="s">
        <v>32</v>
      </c>
      <c r="R609" s="10" t="s">
        <v>43</v>
      </c>
      <c r="S609" s="25" t="s">
        <v>2748</v>
      </c>
      <c r="T609" s="27">
        <v>37373</v>
      </c>
      <c r="U609" s="25" t="s">
        <v>2751</v>
      </c>
      <c r="V609" s="25" t="s">
        <v>80</v>
      </c>
      <c r="W609" s="25"/>
    </row>
    <row r="610" spans="1:23" ht="22.5" customHeight="1">
      <c r="A610" s="20">
        <v>46082.918946759259</v>
      </c>
      <c r="B610" s="21" t="s">
        <v>2752</v>
      </c>
      <c r="C610" s="21" t="s">
        <v>2753</v>
      </c>
      <c r="D610" s="21" t="s">
        <v>24</v>
      </c>
      <c r="E610" s="22">
        <v>38572</v>
      </c>
      <c r="F610" s="21" t="s">
        <v>1053</v>
      </c>
      <c r="G610" s="21" t="s">
        <v>2754</v>
      </c>
      <c r="H610" s="21" t="s">
        <v>66</v>
      </c>
      <c r="I610" s="6" t="str">
        <f>VLOOKUP(CLEAN(F610),'World Bank Categories'!$B$4:$C$220,2,FALSE)</f>
        <v>High income</v>
      </c>
      <c r="J610" s="21" t="s">
        <v>2755</v>
      </c>
      <c r="K610" s="21" t="s">
        <v>29</v>
      </c>
      <c r="L610" s="21" t="s">
        <v>30</v>
      </c>
      <c r="M610" s="41"/>
      <c r="N610" s="21"/>
      <c r="O610" s="21"/>
      <c r="P610" s="21" t="s">
        <v>31</v>
      </c>
      <c r="Q610" s="9" t="s">
        <v>32</v>
      </c>
      <c r="R610" s="18" t="s">
        <v>43</v>
      </c>
      <c r="S610" s="25" t="s">
        <v>2756</v>
      </c>
      <c r="T610" s="27">
        <v>38572</v>
      </c>
      <c r="U610" s="25" t="s">
        <v>2755</v>
      </c>
      <c r="V610" s="25" t="s">
        <v>463</v>
      </c>
      <c r="W610" s="25"/>
    </row>
    <row r="611" spans="1:23" ht="22.5" customHeight="1">
      <c r="A611" s="20">
        <v>46082.927511574075</v>
      </c>
      <c r="B611" s="21" t="s">
        <v>2757</v>
      </c>
      <c r="C611" s="38"/>
      <c r="D611" s="21" t="s">
        <v>24</v>
      </c>
      <c r="E611" s="22">
        <v>34892</v>
      </c>
      <c r="F611" s="21" t="s">
        <v>2378</v>
      </c>
      <c r="G611" s="21" t="s">
        <v>2758</v>
      </c>
      <c r="H611" s="21" t="s">
        <v>2759</v>
      </c>
      <c r="I611" s="6" t="str">
        <f>VLOOKUP(CLEAN(F611),'World Bank Categories'!$B$4:$C$220,2,FALSE)</f>
        <v>Middle income</v>
      </c>
      <c r="J611" s="21" t="s">
        <v>2760</v>
      </c>
      <c r="K611" s="21" t="s">
        <v>39</v>
      </c>
      <c r="L611" s="21" t="s">
        <v>621</v>
      </c>
      <c r="M611" s="21" t="s">
        <v>2761</v>
      </c>
      <c r="N611" s="21"/>
      <c r="O611" s="21"/>
      <c r="P611" s="21" t="s">
        <v>31</v>
      </c>
      <c r="Q611" s="9" t="s">
        <v>32</v>
      </c>
      <c r="R611" s="10" t="s">
        <v>33</v>
      </c>
      <c r="S611" s="25" t="s">
        <v>2762</v>
      </c>
      <c r="T611" s="27">
        <v>34892</v>
      </c>
      <c r="U611" s="25" t="s">
        <v>2763</v>
      </c>
      <c r="V611" s="25" t="s">
        <v>80</v>
      </c>
      <c r="W611" s="25"/>
    </row>
    <row r="612" spans="1:23" ht="22.5" customHeight="1">
      <c r="A612" s="20">
        <v>46082.942025462966</v>
      </c>
      <c r="B612" s="21" t="s">
        <v>2764</v>
      </c>
      <c r="C612" s="38"/>
      <c r="D612" s="21" t="s">
        <v>45</v>
      </c>
      <c r="E612" s="22">
        <v>34188</v>
      </c>
      <c r="F612" s="21" t="s">
        <v>52</v>
      </c>
      <c r="G612" s="21" t="s">
        <v>209</v>
      </c>
      <c r="H612" s="21" t="s">
        <v>2765</v>
      </c>
      <c r="I612" s="6" t="str">
        <f>VLOOKUP(CLEAN(F612),'World Bank Categories'!$B$4:$C$220,2,FALSE)</f>
        <v>Middle income</v>
      </c>
      <c r="J612" s="21" t="s">
        <v>2766</v>
      </c>
      <c r="K612" s="21" t="s">
        <v>29</v>
      </c>
      <c r="L612" s="21" t="s">
        <v>30</v>
      </c>
      <c r="M612" s="21"/>
      <c r="N612" s="21"/>
      <c r="O612" s="21"/>
      <c r="P612" s="21" t="s">
        <v>31</v>
      </c>
      <c r="Q612" s="9" t="s">
        <v>32</v>
      </c>
      <c r="R612" s="18" t="s">
        <v>33</v>
      </c>
      <c r="S612" s="25" t="s">
        <v>2767</v>
      </c>
      <c r="T612" s="27">
        <v>34188</v>
      </c>
      <c r="U612" s="25" t="s">
        <v>2766</v>
      </c>
      <c r="V612" s="25" t="s">
        <v>154</v>
      </c>
      <c r="W612" s="25"/>
    </row>
    <row r="613" spans="1:23" ht="22.5" customHeight="1">
      <c r="A613" s="20">
        <v>46082.943784722222</v>
      </c>
      <c r="B613" s="21" t="s">
        <v>2768</v>
      </c>
      <c r="C613" s="21" t="s">
        <v>2769</v>
      </c>
      <c r="D613" s="21" t="s">
        <v>45</v>
      </c>
      <c r="E613" s="22">
        <v>20073</v>
      </c>
      <c r="F613" s="21" t="s">
        <v>1745</v>
      </c>
      <c r="G613" s="21" t="s">
        <v>2770</v>
      </c>
      <c r="H613" s="21" t="s">
        <v>1655</v>
      </c>
      <c r="I613" s="6" t="str">
        <f>VLOOKUP(CLEAN(F613),'World Bank Categories'!$B$4:$C$220,2,FALSE)</f>
        <v>High income</v>
      </c>
      <c r="J613" s="21" t="s">
        <v>2771</v>
      </c>
      <c r="K613" s="21" t="s">
        <v>39</v>
      </c>
      <c r="L613" s="21" t="s">
        <v>621</v>
      </c>
      <c r="M613" s="21" t="s">
        <v>2772</v>
      </c>
      <c r="N613" s="21"/>
      <c r="O613" s="21"/>
      <c r="P613" s="21" t="s">
        <v>31</v>
      </c>
      <c r="Q613" s="9" t="s">
        <v>32</v>
      </c>
      <c r="R613" s="10" t="s">
        <v>43</v>
      </c>
      <c r="S613" s="25" t="s">
        <v>2773</v>
      </c>
      <c r="T613" s="27">
        <v>20073</v>
      </c>
      <c r="U613" s="25" t="s">
        <v>2774</v>
      </c>
      <c r="V613" s="25" t="s">
        <v>129</v>
      </c>
      <c r="W613" s="25"/>
    </row>
    <row r="614" spans="1:23" ht="22.5" customHeight="1">
      <c r="A614" s="20">
        <v>46083.003923611112</v>
      </c>
      <c r="B614" s="21" t="s">
        <v>2775</v>
      </c>
      <c r="C614" s="21" t="s">
        <v>2776</v>
      </c>
      <c r="D614" s="21" t="s">
        <v>24</v>
      </c>
      <c r="E614" s="22">
        <v>21255</v>
      </c>
      <c r="F614" s="21" t="s">
        <v>2777</v>
      </c>
      <c r="G614" s="21" t="s">
        <v>2770</v>
      </c>
      <c r="H614" s="21" t="s">
        <v>2778</v>
      </c>
      <c r="I614" s="6" t="str">
        <f>VLOOKUP(CLEAN(F614),'World Bank Categories'!$B$4:$C$220,2,FALSE)</f>
        <v>High income</v>
      </c>
      <c r="J614" s="21" t="s">
        <v>2779</v>
      </c>
      <c r="K614" s="21" t="s">
        <v>39</v>
      </c>
      <c r="L614" s="21" t="s">
        <v>621</v>
      </c>
      <c r="M614" s="21" t="s">
        <v>2780</v>
      </c>
      <c r="N614" s="21"/>
      <c r="O614" s="21"/>
      <c r="P614" s="21" t="s">
        <v>31</v>
      </c>
      <c r="Q614" s="9" t="s">
        <v>32</v>
      </c>
      <c r="R614" s="18" t="s">
        <v>43</v>
      </c>
      <c r="S614" s="25" t="s">
        <v>2781</v>
      </c>
      <c r="T614" s="27">
        <v>21255</v>
      </c>
      <c r="U614" s="25" t="s">
        <v>2774</v>
      </c>
      <c r="V614" s="25" t="s">
        <v>129</v>
      </c>
      <c r="W614" s="25"/>
    </row>
    <row r="615" spans="1:23" ht="22.5" customHeight="1">
      <c r="A615" s="20">
        <v>46083.169641203705</v>
      </c>
      <c r="B615" s="21" t="s">
        <v>2782</v>
      </c>
      <c r="C615" s="38"/>
      <c r="D615" s="21" t="s">
        <v>24</v>
      </c>
      <c r="E615" s="22">
        <v>27382</v>
      </c>
      <c r="F615" s="21" t="s">
        <v>416</v>
      </c>
      <c r="G615" s="21" t="s">
        <v>2783</v>
      </c>
      <c r="H615" s="21" t="s">
        <v>2784</v>
      </c>
      <c r="I615" s="6" t="str">
        <f>VLOOKUP(CLEAN(F615),'World Bank Categories'!$B$4:$C$220,2,FALSE)</f>
        <v>Middle income</v>
      </c>
      <c r="J615" s="21" t="s">
        <v>2785</v>
      </c>
      <c r="K615" s="21" t="s">
        <v>39</v>
      </c>
      <c r="L615" s="21" t="s">
        <v>30</v>
      </c>
      <c r="M615" s="21"/>
      <c r="N615" s="21"/>
      <c r="O615" s="21"/>
      <c r="P615" s="21" t="s">
        <v>31</v>
      </c>
      <c r="Q615" s="9" t="s">
        <v>32</v>
      </c>
      <c r="R615" s="10" t="s">
        <v>43</v>
      </c>
      <c r="S615" s="25" t="s">
        <v>2786</v>
      </c>
      <c r="T615" s="27">
        <v>27382</v>
      </c>
      <c r="U615" s="25" t="s">
        <v>2785</v>
      </c>
      <c r="V615" s="25" t="s">
        <v>154</v>
      </c>
      <c r="W615" s="25"/>
    </row>
    <row r="616" spans="1:23" ht="22.5" customHeight="1">
      <c r="A616" s="46">
        <v>46083.199374999997</v>
      </c>
      <c r="B616" s="47" t="s">
        <v>2787</v>
      </c>
      <c r="C616" s="47" t="s">
        <v>2788</v>
      </c>
      <c r="D616" s="47" t="s">
        <v>45</v>
      </c>
      <c r="E616" s="49">
        <v>28232</v>
      </c>
      <c r="F616" s="47" t="s">
        <v>380</v>
      </c>
      <c r="G616" s="47" t="s">
        <v>2789</v>
      </c>
      <c r="H616" s="47" t="s">
        <v>2790</v>
      </c>
      <c r="I616" s="6" t="str">
        <f>VLOOKUP(CLEAN(F616),'World Bank Categories'!$B$4:$C$220,2,FALSE)</f>
        <v>Low income</v>
      </c>
      <c r="J616" s="47" t="s">
        <v>2791</v>
      </c>
      <c r="K616" s="47" t="s">
        <v>29</v>
      </c>
      <c r="L616" s="47" t="s">
        <v>241</v>
      </c>
      <c r="M616" s="47"/>
      <c r="N616" s="47"/>
      <c r="O616" s="47"/>
      <c r="P616" s="47" t="s">
        <v>31</v>
      </c>
      <c r="Q616" s="9" t="s">
        <v>32</v>
      </c>
      <c r="R616" s="18" t="s">
        <v>33</v>
      </c>
      <c r="S616" s="25" t="s">
        <v>2792</v>
      </c>
      <c r="T616" s="27">
        <v>28232</v>
      </c>
      <c r="U616" s="25" t="s">
        <v>2791</v>
      </c>
      <c r="V616" s="25" t="s">
        <v>316</v>
      </c>
      <c r="W616" s="25"/>
    </row>
    <row r="617" spans="1:23" ht="22.5" customHeight="1">
      <c r="A617" s="20">
        <v>46083.303900462961</v>
      </c>
      <c r="B617" s="21" t="s">
        <v>2793</v>
      </c>
      <c r="C617" s="38"/>
      <c r="D617" s="21" t="s">
        <v>45</v>
      </c>
      <c r="E617" s="22">
        <v>28061</v>
      </c>
      <c r="F617" s="21" t="s">
        <v>35</v>
      </c>
      <c r="G617" s="21" t="s">
        <v>2794</v>
      </c>
      <c r="H617" s="21" t="s">
        <v>2795</v>
      </c>
      <c r="I617" s="6" t="str">
        <f>VLOOKUP(CLEAN(F617),'World Bank Categories'!$B$4:$C$220,2,FALSE)</f>
        <v>Middle income</v>
      </c>
      <c r="J617" s="21" t="s">
        <v>2796</v>
      </c>
      <c r="K617" s="21" t="s">
        <v>39</v>
      </c>
      <c r="L617" s="21" t="s">
        <v>30</v>
      </c>
      <c r="M617" s="21"/>
      <c r="N617" s="21"/>
      <c r="O617" s="21"/>
      <c r="P617" s="21" t="s">
        <v>31</v>
      </c>
      <c r="Q617" s="9" t="s">
        <v>32</v>
      </c>
      <c r="R617" s="18" t="s">
        <v>33</v>
      </c>
      <c r="S617" s="25" t="s">
        <v>2793</v>
      </c>
      <c r="T617" s="27">
        <v>28061</v>
      </c>
      <c r="U617" s="25" t="s">
        <v>2796</v>
      </c>
      <c r="V617" s="25" t="s">
        <v>80</v>
      </c>
      <c r="W617" s="25"/>
    </row>
    <row r="618" spans="1:23" ht="22.5" customHeight="1">
      <c r="A618" s="28">
        <v>46083.525185185186</v>
      </c>
      <c r="B618" s="29" t="s">
        <v>2797</v>
      </c>
      <c r="C618" s="29" t="s">
        <v>2798</v>
      </c>
      <c r="D618" s="29" t="s">
        <v>45</v>
      </c>
      <c r="E618" s="30">
        <v>24860</v>
      </c>
      <c r="F618" s="29" t="s">
        <v>1932</v>
      </c>
      <c r="G618" s="29" t="s">
        <v>2799</v>
      </c>
      <c r="H618" s="29" t="s">
        <v>276</v>
      </c>
      <c r="I618" s="6" t="str">
        <f>VLOOKUP(CLEAN(F618),'World Bank Categories'!$B$4:$C$220,2,FALSE)</f>
        <v>Middle income</v>
      </c>
      <c r="J618" s="29" t="s">
        <v>2800</v>
      </c>
      <c r="K618" s="29" t="s">
        <v>29</v>
      </c>
      <c r="L618" s="29" t="s">
        <v>30</v>
      </c>
      <c r="M618" s="62"/>
      <c r="N618" s="29"/>
      <c r="O618" s="29"/>
      <c r="P618" s="29" t="s">
        <v>31</v>
      </c>
      <c r="Q618" s="9" t="s">
        <v>32</v>
      </c>
      <c r="R618" s="10" t="s">
        <v>33</v>
      </c>
      <c r="S618" s="25" t="s">
        <v>2801</v>
      </c>
      <c r="T618" s="27">
        <v>24860</v>
      </c>
      <c r="U618" s="25" t="s">
        <v>2802</v>
      </c>
      <c r="V618" s="25" t="s">
        <v>154</v>
      </c>
      <c r="W618" s="25"/>
    </row>
    <row r="619" spans="1:23" ht="22.5" customHeight="1">
      <c r="A619" s="64">
        <v>46083.629594907405</v>
      </c>
      <c r="B619" s="65" t="s">
        <v>2803</v>
      </c>
      <c r="C619" s="66"/>
      <c r="D619" s="65" t="s">
        <v>24</v>
      </c>
      <c r="E619" s="67">
        <v>29258</v>
      </c>
      <c r="F619" s="65" t="s">
        <v>245</v>
      </c>
      <c r="G619" s="65" t="s">
        <v>2804</v>
      </c>
      <c r="H619" s="65" t="s">
        <v>933</v>
      </c>
      <c r="I619" s="6" t="str">
        <f>VLOOKUP(CLEAN(F619),'World Bank Categories'!$B$4:$C$220,2,FALSE)</f>
        <v>Middle income</v>
      </c>
      <c r="J619" s="65" t="s">
        <v>2805</v>
      </c>
      <c r="K619" s="65" t="s">
        <v>29</v>
      </c>
      <c r="L619" s="65" t="s">
        <v>162</v>
      </c>
      <c r="M619" s="65"/>
      <c r="N619" s="65"/>
      <c r="O619" s="65"/>
      <c r="P619" s="65" t="s">
        <v>31</v>
      </c>
      <c r="Q619" s="68" t="s">
        <v>32</v>
      </c>
      <c r="R619" s="18" t="s">
        <v>33</v>
      </c>
      <c r="S619" s="69" t="s">
        <v>2806</v>
      </c>
      <c r="T619" s="27">
        <v>29258</v>
      </c>
      <c r="U619" s="25" t="s">
        <v>2807</v>
      </c>
      <c r="V619" s="25" t="s">
        <v>80</v>
      </c>
      <c r="W619" s="25"/>
    </row>
    <row r="620" spans="1:23" ht="22.5" customHeight="1">
      <c r="A620" s="70">
        <v>46083.690393518518</v>
      </c>
      <c r="B620" s="71" t="s">
        <v>2808</v>
      </c>
      <c r="C620" s="72"/>
      <c r="D620" s="71" t="s">
        <v>45</v>
      </c>
      <c r="E620" s="73">
        <v>36377</v>
      </c>
      <c r="F620" s="71" t="s">
        <v>2529</v>
      </c>
      <c r="G620" s="71" t="s">
        <v>2809</v>
      </c>
      <c r="H620" s="71" t="s">
        <v>2810</v>
      </c>
      <c r="I620" s="6" t="str">
        <f>VLOOKUP(CLEAN(F620),'World Bank Categories'!$B$4:$C$220,2,FALSE)</f>
        <v>Middle income</v>
      </c>
      <c r="J620" s="71" t="s">
        <v>2811</v>
      </c>
      <c r="K620" s="71" t="s">
        <v>29</v>
      </c>
      <c r="L620" s="71" t="s">
        <v>30</v>
      </c>
      <c r="M620" s="71"/>
      <c r="N620" s="71"/>
      <c r="O620" s="71"/>
      <c r="P620" s="71" t="s">
        <v>31</v>
      </c>
      <c r="Q620" s="68" t="s">
        <v>32</v>
      </c>
      <c r="R620" s="10" t="s">
        <v>33</v>
      </c>
      <c r="S620" s="74" t="s">
        <v>2808</v>
      </c>
      <c r="T620" s="27">
        <v>36377</v>
      </c>
      <c r="U620" s="25" t="s">
        <v>2811</v>
      </c>
      <c r="V620" s="25" t="s">
        <v>80</v>
      </c>
      <c r="W620" s="25"/>
    </row>
    <row r="621" spans="1:23" ht="22.5" customHeight="1">
      <c r="A621" s="75">
        <v>46083.699548611112</v>
      </c>
      <c r="B621" s="76" t="s">
        <v>2812</v>
      </c>
      <c r="C621" s="77"/>
      <c r="D621" s="76" t="s">
        <v>24</v>
      </c>
      <c r="E621" s="78">
        <v>20765</v>
      </c>
      <c r="F621" s="76" t="s">
        <v>2556</v>
      </c>
      <c r="G621" s="76" t="s">
        <v>2813</v>
      </c>
      <c r="H621" s="76" t="s">
        <v>2558</v>
      </c>
      <c r="I621" s="6" t="str">
        <f>VLOOKUP(CLEAN(F621),'World Bank Categories'!$B$4:$C$220,2,FALSE)</f>
        <v>Middle income</v>
      </c>
      <c r="J621" s="76" t="s">
        <v>2814</v>
      </c>
      <c r="K621" s="76" t="s">
        <v>39</v>
      </c>
      <c r="L621" s="76" t="s">
        <v>30</v>
      </c>
      <c r="M621" s="76"/>
      <c r="N621" s="76"/>
      <c r="O621" s="76"/>
      <c r="P621" s="76" t="s">
        <v>31</v>
      </c>
      <c r="Q621" s="68" t="s">
        <v>32</v>
      </c>
      <c r="R621" s="18" t="s">
        <v>33</v>
      </c>
      <c r="S621" s="69" t="s">
        <v>2812</v>
      </c>
      <c r="T621" s="27">
        <v>20765</v>
      </c>
      <c r="U621" s="25" t="s">
        <v>2815</v>
      </c>
      <c r="V621" s="25" t="s">
        <v>80</v>
      </c>
      <c r="W621" s="25"/>
    </row>
    <row r="622" spans="1:23" ht="22.5" hidden="1" customHeight="1">
      <c r="A622" s="70">
        <v>46083.963807870372</v>
      </c>
      <c r="B622" s="71" t="s">
        <v>2816</v>
      </c>
      <c r="C622" s="72"/>
      <c r="D622" s="71" t="s">
        <v>45</v>
      </c>
      <c r="E622" s="73">
        <v>37532</v>
      </c>
      <c r="F622" s="71" t="s">
        <v>2529</v>
      </c>
      <c r="G622" s="71" t="s">
        <v>2817</v>
      </c>
      <c r="H622" s="71" t="s">
        <v>368</v>
      </c>
      <c r="I622" s="6" t="str">
        <f>VLOOKUP(CLEAN(F622),'World Bank Categories'!$B$4:$C$220,2,FALSE)</f>
        <v>Middle income</v>
      </c>
      <c r="J622" s="71" t="s">
        <v>2818</v>
      </c>
      <c r="K622" s="71" t="s">
        <v>29</v>
      </c>
      <c r="L622" s="71" t="s">
        <v>30</v>
      </c>
      <c r="M622" s="71"/>
      <c r="N622" s="71"/>
      <c r="O622" s="71"/>
      <c r="P622" s="71" t="s">
        <v>31</v>
      </c>
      <c r="Q622" s="79" t="s">
        <v>56</v>
      </c>
      <c r="R622" s="24"/>
      <c r="S622" s="74"/>
      <c r="T622" s="26"/>
      <c r="U622" s="25"/>
      <c r="V622" s="25"/>
      <c r="W622" s="25"/>
    </row>
    <row r="623" spans="1:23" ht="22.5" customHeight="1">
      <c r="A623" s="80">
        <v>46084.007034907409</v>
      </c>
      <c r="B623" s="81" t="s">
        <v>2819</v>
      </c>
      <c r="C623" s="82"/>
      <c r="D623" s="81" t="s">
        <v>45</v>
      </c>
      <c r="E623" s="83">
        <v>37358</v>
      </c>
      <c r="F623" s="81" t="s">
        <v>1983</v>
      </c>
      <c r="G623" s="81" t="s">
        <v>2820</v>
      </c>
      <c r="H623" s="84" t="s">
        <v>66</v>
      </c>
      <c r="I623" s="6" t="str">
        <f>VLOOKUP(CLEAN(F623),'World Bank Categories'!$B$4:$C$220,2,FALSE)</f>
        <v>High income</v>
      </c>
      <c r="J623" s="84" t="s">
        <v>2821</v>
      </c>
      <c r="K623" s="84" t="s">
        <v>29</v>
      </c>
      <c r="L623" s="84" t="s">
        <v>30</v>
      </c>
      <c r="M623" s="85"/>
      <c r="N623" s="84"/>
      <c r="O623" s="84"/>
      <c r="P623" s="84" t="s">
        <v>31</v>
      </c>
      <c r="Q623" s="9" t="s">
        <v>32</v>
      </c>
      <c r="R623" s="10"/>
      <c r="S623" s="86" t="s">
        <v>2819</v>
      </c>
      <c r="T623" s="12"/>
      <c r="U623" s="12"/>
      <c r="V623" s="12"/>
      <c r="W623" s="12"/>
    </row>
    <row r="624" spans="1:23" ht="22.5" customHeight="1">
      <c r="A624" s="70">
        <v>46084.088391203702</v>
      </c>
      <c r="B624" s="71" t="s">
        <v>2822</v>
      </c>
      <c r="C624" s="71" t="s">
        <v>2822</v>
      </c>
      <c r="D624" s="71" t="s">
        <v>24</v>
      </c>
      <c r="E624" s="73">
        <v>37798</v>
      </c>
      <c r="F624" s="71" t="s">
        <v>83</v>
      </c>
      <c r="G624" s="71" t="s">
        <v>2823</v>
      </c>
      <c r="H624" s="71" t="s">
        <v>66</v>
      </c>
      <c r="I624" s="6" t="str">
        <f>VLOOKUP(CLEAN(F624),'World Bank Categories'!$B$4:$C$220,2,FALSE)</f>
        <v>Low income</v>
      </c>
      <c r="J624" s="71" t="s">
        <v>2824</v>
      </c>
      <c r="K624" s="71" t="s">
        <v>29</v>
      </c>
      <c r="L624" s="71" t="s">
        <v>30</v>
      </c>
      <c r="M624" s="71"/>
      <c r="N624" s="71"/>
      <c r="O624" s="71"/>
      <c r="P624" s="71" t="s">
        <v>31</v>
      </c>
      <c r="Q624" s="68" t="s">
        <v>32</v>
      </c>
      <c r="R624" s="18" t="s">
        <v>33</v>
      </c>
      <c r="S624" s="74" t="s">
        <v>2822</v>
      </c>
      <c r="T624" s="27">
        <v>37798</v>
      </c>
      <c r="U624" s="25" t="s">
        <v>2824</v>
      </c>
      <c r="V624" s="25" t="s">
        <v>80</v>
      </c>
      <c r="W624" s="25"/>
    </row>
    <row r="625" spans="1:23" ht="22.5" customHeight="1">
      <c r="A625" s="64">
        <v>46084.189768518518</v>
      </c>
      <c r="B625" s="65" t="s">
        <v>2825</v>
      </c>
      <c r="C625" s="66"/>
      <c r="D625" s="65" t="s">
        <v>45</v>
      </c>
      <c r="E625" s="67">
        <v>31765</v>
      </c>
      <c r="F625" s="65" t="s">
        <v>2596</v>
      </c>
      <c r="G625" s="65" t="s">
        <v>2826</v>
      </c>
      <c r="H625" s="65" t="s">
        <v>2827</v>
      </c>
      <c r="I625" s="6" t="str">
        <f>VLOOKUP(CLEAN(F625),'World Bank Categories'!$B$4:$C$220,2,FALSE)</f>
        <v>Middle income</v>
      </c>
      <c r="J625" s="65" t="s">
        <v>2828</v>
      </c>
      <c r="K625" s="65" t="s">
        <v>39</v>
      </c>
      <c r="L625" s="65" t="s">
        <v>152</v>
      </c>
      <c r="M625" s="65"/>
      <c r="N625" s="65"/>
      <c r="O625" s="65"/>
      <c r="P625" s="65" t="s">
        <v>31</v>
      </c>
      <c r="Q625" s="68" t="s">
        <v>32</v>
      </c>
      <c r="R625" s="10" t="s">
        <v>33</v>
      </c>
      <c r="S625" s="69" t="s">
        <v>2825</v>
      </c>
      <c r="T625" s="27">
        <v>31765</v>
      </c>
      <c r="U625" s="25" t="s">
        <v>2828</v>
      </c>
      <c r="V625" s="25" t="s">
        <v>80</v>
      </c>
      <c r="W625" s="25"/>
    </row>
    <row r="626" spans="1:23" ht="22.5" customHeight="1">
      <c r="A626" s="64">
        <v>46084.255891203706</v>
      </c>
      <c r="B626" s="65" t="s">
        <v>2829</v>
      </c>
      <c r="C626" s="65" t="s">
        <v>1238</v>
      </c>
      <c r="D626" s="65" t="s">
        <v>24</v>
      </c>
      <c r="E626" s="67">
        <v>22439</v>
      </c>
      <c r="F626" s="65" t="s">
        <v>623</v>
      </c>
      <c r="G626" s="65" t="s">
        <v>2830</v>
      </c>
      <c r="H626" s="65" t="s">
        <v>111</v>
      </c>
      <c r="I626" s="6" t="str">
        <f>VLOOKUP(CLEAN(F626),'World Bank Categories'!$B$4:$C$220,2,FALSE)</f>
        <v>Middle income</v>
      </c>
      <c r="J626" s="65" t="s">
        <v>2831</v>
      </c>
      <c r="K626" s="65" t="s">
        <v>29</v>
      </c>
      <c r="L626" s="65" t="s">
        <v>30</v>
      </c>
      <c r="M626" s="65"/>
      <c r="N626" s="65"/>
      <c r="O626" s="65"/>
      <c r="P626" s="65" t="s">
        <v>31</v>
      </c>
      <c r="Q626" s="68" t="s">
        <v>32</v>
      </c>
      <c r="R626" s="10" t="s">
        <v>33</v>
      </c>
      <c r="S626" s="69" t="s">
        <v>2829</v>
      </c>
      <c r="T626" s="27">
        <v>22439</v>
      </c>
      <c r="U626" s="25" t="s">
        <v>2831</v>
      </c>
      <c r="V626" s="25" t="s">
        <v>80</v>
      </c>
      <c r="W626" s="25"/>
    </row>
    <row r="627" spans="1:23" ht="22.5" customHeight="1">
      <c r="A627" s="70">
        <v>46084.361712962964</v>
      </c>
      <c r="B627" s="71" t="s">
        <v>2832</v>
      </c>
      <c r="C627" s="72"/>
      <c r="D627" s="71" t="s">
        <v>24</v>
      </c>
      <c r="E627" s="73">
        <v>36059</v>
      </c>
      <c r="F627" s="71" t="s">
        <v>310</v>
      </c>
      <c r="G627" s="71" t="s">
        <v>2833</v>
      </c>
      <c r="H627" s="71" t="s">
        <v>2834</v>
      </c>
      <c r="I627" s="6" t="str">
        <f>VLOOKUP(CLEAN(F627),'World Bank Categories'!$B$4:$C$220,2,FALSE)</f>
        <v>High income</v>
      </c>
      <c r="J627" s="71" t="s">
        <v>2835</v>
      </c>
      <c r="K627" s="71" t="s">
        <v>39</v>
      </c>
      <c r="L627" s="71" t="s">
        <v>621</v>
      </c>
      <c r="M627" s="71"/>
      <c r="N627" s="71"/>
      <c r="O627" s="71"/>
      <c r="P627" s="71" t="s">
        <v>31</v>
      </c>
      <c r="Q627" s="68" t="s">
        <v>32</v>
      </c>
      <c r="R627" s="18" t="s">
        <v>33</v>
      </c>
      <c r="S627" s="74" t="s">
        <v>2836</v>
      </c>
      <c r="T627" s="27">
        <v>36059</v>
      </c>
      <c r="U627" s="25" t="s">
        <v>2837</v>
      </c>
      <c r="V627" s="25" t="s">
        <v>463</v>
      </c>
      <c r="W627" s="25"/>
    </row>
    <row r="628" spans="1:23" ht="22.5" customHeight="1">
      <c r="A628" s="75">
        <v>46084.374386574076</v>
      </c>
      <c r="B628" s="76" t="s">
        <v>2838</v>
      </c>
      <c r="C628" s="77"/>
      <c r="D628" s="76" t="s">
        <v>24</v>
      </c>
      <c r="E628" s="78">
        <v>30208</v>
      </c>
      <c r="F628" s="76" t="s">
        <v>245</v>
      </c>
      <c r="G628" s="76" t="s">
        <v>2839</v>
      </c>
      <c r="H628" s="76" t="s">
        <v>2840</v>
      </c>
      <c r="I628" s="6" t="str">
        <f>VLOOKUP(CLEAN(F628),'World Bank Categories'!$B$4:$C$220,2,FALSE)</f>
        <v>Middle income</v>
      </c>
      <c r="J628" s="76" t="s">
        <v>2841</v>
      </c>
      <c r="K628" s="76" t="s">
        <v>29</v>
      </c>
      <c r="L628" s="76" t="s">
        <v>30</v>
      </c>
      <c r="M628" s="76" t="s">
        <v>2842</v>
      </c>
      <c r="N628" s="76"/>
      <c r="O628" s="76"/>
      <c r="P628" s="76" t="s">
        <v>31</v>
      </c>
      <c r="Q628" s="68" t="s">
        <v>32</v>
      </c>
      <c r="R628" s="10" t="s">
        <v>43</v>
      </c>
      <c r="S628" s="69" t="s">
        <v>2838</v>
      </c>
      <c r="T628" s="27">
        <v>30208</v>
      </c>
      <c r="U628" s="25" t="s">
        <v>2841</v>
      </c>
      <c r="V628" s="25" t="s">
        <v>80</v>
      </c>
      <c r="W628" s="25"/>
    </row>
    <row r="629" spans="1:23" ht="22.5" customHeight="1">
      <c r="A629" s="87">
        <v>46084.641041666669</v>
      </c>
      <c r="B629" s="88" t="s">
        <v>2843</v>
      </c>
      <c r="C629" s="89"/>
      <c r="D629" s="88" t="s">
        <v>24</v>
      </c>
      <c r="E629" s="90">
        <v>27375</v>
      </c>
      <c r="F629" s="88" t="s">
        <v>416</v>
      </c>
      <c r="G629" s="88" t="s">
        <v>2844</v>
      </c>
      <c r="H629" s="88" t="s">
        <v>2845</v>
      </c>
      <c r="I629" s="6" t="str">
        <f>VLOOKUP(CLEAN(F629),'World Bank Categories'!$B$4:$C$220,2,FALSE)</f>
        <v>Middle income</v>
      </c>
      <c r="J629" s="88" t="s">
        <v>2846</v>
      </c>
      <c r="K629" s="88" t="s">
        <v>39</v>
      </c>
      <c r="L629" s="88" t="s">
        <v>30</v>
      </c>
      <c r="M629" s="88"/>
      <c r="N629" s="88"/>
      <c r="O629" s="88"/>
      <c r="P629" s="88" t="s">
        <v>31</v>
      </c>
      <c r="Q629" s="91" t="s">
        <v>32</v>
      </c>
      <c r="R629" s="18" t="s">
        <v>33</v>
      </c>
      <c r="S629" s="74" t="s">
        <v>2843</v>
      </c>
      <c r="T629" s="27">
        <v>27375</v>
      </c>
      <c r="U629" s="25" t="s">
        <v>2846</v>
      </c>
      <c r="V629" s="25" t="s">
        <v>80</v>
      </c>
      <c r="W629" s="25"/>
    </row>
    <row r="630" spans="1:23" ht="22.5" customHeight="1">
      <c r="A630" s="75">
        <v>46084.682534722226</v>
      </c>
      <c r="B630" s="76" t="s">
        <v>2847</v>
      </c>
      <c r="C630" s="77"/>
      <c r="D630" s="76" t="s">
        <v>24</v>
      </c>
      <c r="E630" s="78">
        <v>30137</v>
      </c>
      <c r="F630" s="76" t="s">
        <v>416</v>
      </c>
      <c r="G630" s="76" t="s">
        <v>2848</v>
      </c>
      <c r="H630" s="76" t="s">
        <v>2849</v>
      </c>
      <c r="I630" s="6" t="str">
        <f>VLOOKUP(CLEAN(F630),'World Bank Categories'!$B$4:$C$220,2,FALSE)</f>
        <v>Middle income</v>
      </c>
      <c r="J630" s="76" t="s">
        <v>2850</v>
      </c>
      <c r="K630" s="76" t="s">
        <v>29</v>
      </c>
      <c r="L630" s="76" t="s">
        <v>30</v>
      </c>
      <c r="M630" s="76" t="s">
        <v>2851</v>
      </c>
      <c r="N630" s="92" t="s">
        <v>2852</v>
      </c>
      <c r="O630" s="76" t="s">
        <v>214</v>
      </c>
      <c r="P630" s="76" t="s">
        <v>31</v>
      </c>
      <c r="Q630" s="68" t="s">
        <v>32</v>
      </c>
      <c r="R630" s="10"/>
      <c r="S630" s="69" t="s">
        <v>2847</v>
      </c>
      <c r="T630" s="27">
        <v>30137</v>
      </c>
      <c r="U630" s="25" t="s">
        <v>2850</v>
      </c>
      <c r="V630" s="25" t="s">
        <v>80</v>
      </c>
      <c r="W630" s="25"/>
    </row>
    <row r="631" spans="1:23" ht="22.5" customHeight="1">
      <c r="A631" s="70">
        <v>46084.69127314815</v>
      </c>
      <c r="B631" s="71" t="s">
        <v>2853</v>
      </c>
      <c r="C631" s="72"/>
      <c r="D631" s="71" t="s">
        <v>45</v>
      </c>
      <c r="E631" s="73">
        <v>31130</v>
      </c>
      <c r="F631" s="71" t="s">
        <v>416</v>
      </c>
      <c r="G631" s="71" t="s">
        <v>209</v>
      </c>
      <c r="H631" s="71" t="s">
        <v>2854</v>
      </c>
      <c r="I631" s="6" t="str">
        <f>VLOOKUP(CLEAN(F631),'World Bank Categories'!$B$4:$C$220,2,FALSE)</f>
        <v>Middle income</v>
      </c>
      <c r="J631" s="71" t="s">
        <v>2855</v>
      </c>
      <c r="K631" s="71" t="s">
        <v>29</v>
      </c>
      <c r="L631" s="71" t="s">
        <v>30</v>
      </c>
      <c r="M631" s="71"/>
      <c r="N631" s="71"/>
      <c r="O631" s="71"/>
      <c r="P631" s="71" t="s">
        <v>31</v>
      </c>
      <c r="Q631" s="68" t="s">
        <v>32</v>
      </c>
      <c r="R631" s="18"/>
      <c r="S631" s="74" t="s">
        <v>2853</v>
      </c>
      <c r="T631" s="27">
        <v>31130</v>
      </c>
      <c r="U631" s="25" t="s">
        <v>2855</v>
      </c>
      <c r="V631" s="25" t="s">
        <v>80</v>
      </c>
      <c r="W631" s="25"/>
    </row>
    <row r="632" spans="1:23" ht="22.5" customHeight="1">
      <c r="A632" s="93">
        <v>46084.711944444447</v>
      </c>
      <c r="B632" s="94" t="s">
        <v>2856</v>
      </c>
      <c r="C632" s="95"/>
      <c r="D632" s="94" t="s">
        <v>45</v>
      </c>
      <c r="E632" s="96">
        <v>36406</v>
      </c>
      <c r="F632" s="94" t="s">
        <v>475</v>
      </c>
      <c r="G632" s="94" t="s">
        <v>2857</v>
      </c>
      <c r="H632" s="94" t="s">
        <v>90</v>
      </c>
      <c r="I632" s="6" t="str">
        <f>VLOOKUP(CLEAN(F632),'World Bank Categories'!$B$4:$C$220,2,FALSE)</f>
        <v>Middle income</v>
      </c>
      <c r="J632" s="94" t="s">
        <v>2858</v>
      </c>
      <c r="K632" s="94" t="s">
        <v>39</v>
      </c>
      <c r="L632" s="94" t="s">
        <v>30</v>
      </c>
      <c r="M632" s="94"/>
      <c r="N632" s="94"/>
      <c r="O632" s="94"/>
      <c r="P632" s="94" t="s">
        <v>31</v>
      </c>
      <c r="Q632" s="68" t="s">
        <v>32</v>
      </c>
      <c r="R632" s="10" t="s">
        <v>43</v>
      </c>
      <c r="S632" s="69" t="s">
        <v>2856</v>
      </c>
      <c r="T632" s="27">
        <v>36406</v>
      </c>
      <c r="U632" s="25" t="s">
        <v>2858</v>
      </c>
      <c r="V632" s="25" t="s">
        <v>80</v>
      </c>
      <c r="W632" s="25"/>
    </row>
    <row r="633" spans="1:23" ht="22.5" customHeight="1">
      <c r="A633" s="70">
        <v>46084.73159722222</v>
      </c>
      <c r="B633" s="71" t="s">
        <v>2859</v>
      </c>
      <c r="C633" s="71" t="s">
        <v>2860</v>
      </c>
      <c r="D633" s="71" t="s">
        <v>24</v>
      </c>
      <c r="E633" s="73">
        <v>34952</v>
      </c>
      <c r="F633" s="71" t="s">
        <v>416</v>
      </c>
      <c r="G633" s="71" t="s">
        <v>2861</v>
      </c>
      <c r="H633" s="71" t="s">
        <v>2862</v>
      </c>
      <c r="I633" s="6" t="str">
        <f>VLOOKUP(CLEAN(F633),'World Bank Categories'!$B$4:$C$220,2,FALSE)</f>
        <v>Middle income</v>
      </c>
      <c r="J633" s="71" t="s">
        <v>2863</v>
      </c>
      <c r="K633" s="71" t="s">
        <v>29</v>
      </c>
      <c r="L633" s="71" t="s">
        <v>30</v>
      </c>
      <c r="M633" s="71"/>
      <c r="N633" s="71"/>
      <c r="O633" s="71"/>
      <c r="P633" s="71" t="s">
        <v>31</v>
      </c>
      <c r="Q633" s="68" t="s">
        <v>32</v>
      </c>
      <c r="R633" s="18"/>
      <c r="S633" s="74" t="s">
        <v>2864</v>
      </c>
      <c r="T633" s="27">
        <v>34952</v>
      </c>
      <c r="U633" s="25" t="s">
        <v>2863</v>
      </c>
      <c r="V633" s="25" t="s">
        <v>80</v>
      </c>
      <c r="W633" s="25"/>
    </row>
    <row r="634" spans="1:23" ht="22.5" customHeight="1">
      <c r="A634" s="70">
        <v>46084.7733912037</v>
      </c>
      <c r="B634" s="71" t="s">
        <v>2865</v>
      </c>
      <c r="C634" s="72"/>
      <c r="D634" s="71" t="s">
        <v>45</v>
      </c>
      <c r="E634" s="73">
        <v>30301</v>
      </c>
      <c r="F634" s="71" t="s">
        <v>612</v>
      </c>
      <c r="G634" s="71" t="s">
        <v>2866</v>
      </c>
      <c r="H634" s="71" t="s">
        <v>2867</v>
      </c>
      <c r="I634" s="6" t="str">
        <f>VLOOKUP(CLEAN(F634),'World Bank Categories'!$B$4:$C$220,2,FALSE)</f>
        <v>Low income</v>
      </c>
      <c r="J634" s="71" t="s">
        <v>2868</v>
      </c>
      <c r="K634" s="71" t="s">
        <v>29</v>
      </c>
      <c r="L634" s="71" t="s">
        <v>30</v>
      </c>
      <c r="M634" s="71"/>
      <c r="N634" s="71"/>
      <c r="O634" s="71"/>
      <c r="P634" s="71" t="s">
        <v>31</v>
      </c>
      <c r="Q634" s="68" t="s">
        <v>32</v>
      </c>
      <c r="R634" s="18" t="s">
        <v>33</v>
      </c>
      <c r="S634" s="74" t="s">
        <v>2869</v>
      </c>
      <c r="T634" s="27">
        <v>30301</v>
      </c>
      <c r="U634" s="25" t="s">
        <v>2868</v>
      </c>
      <c r="V634" s="25" t="s">
        <v>2870</v>
      </c>
      <c r="W634" s="25"/>
    </row>
    <row r="635" spans="1:23" ht="22.5" customHeight="1">
      <c r="A635" s="75">
        <v>46084.838807870372</v>
      </c>
      <c r="B635" s="76" t="s">
        <v>2871</v>
      </c>
      <c r="C635" s="77"/>
      <c r="D635" s="76" t="s">
        <v>24</v>
      </c>
      <c r="E635" s="78">
        <v>37593</v>
      </c>
      <c r="F635" s="76" t="s">
        <v>322</v>
      </c>
      <c r="G635" s="76" t="s">
        <v>2872</v>
      </c>
      <c r="H635" s="76" t="s">
        <v>138</v>
      </c>
      <c r="I635" s="6" t="str">
        <f>VLOOKUP(CLEAN(F635),'World Bank Categories'!$B$4:$C$220,2,FALSE)</f>
        <v>Middle income</v>
      </c>
      <c r="J635" s="76" t="s">
        <v>2873</v>
      </c>
      <c r="K635" s="76" t="s">
        <v>39</v>
      </c>
      <c r="L635" s="76" t="s">
        <v>30</v>
      </c>
      <c r="M635" s="76"/>
      <c r="N635" s="76"/>
      <c r="O635" s="76"/>
      <c r="P635" s="76" t="s">
        <v>31</v>
      </c>
      <c r="Q635" s="68" t="s">
        <v>32</v>
      </c>
      <c r="R635" s="10"/>
      <c r="S635" s="69" t="s">
        <v>2874</v>
      </c>
      <c r="T635" s="27">
        <v>37593</v>
      </c>
      <c r="U635" s="25" t="s">
        <v>2873</v>
      </c>
      <c r="V635" s="25" t="s">
        <v>463</v>
      </c>
      <c r="W635" s="25"/>
    </row>
    <row r="636" spans="1:23" ht="22.5" customHeight="1">
      <c r="A636" s="70">
        <v>46084.924722222226</v>
      </c>
      <c r="B636" s="71" t="s">
        <v>2875</v>
      </c>
      <c r="C636" s="72"/>
      <c r="D636" s="71" t="s">
        <v>45</v>
      </c>
      <c r="E636" s="73">
        <v>36422</v>
      </c>
      <c r="F636" s="71" t="s">
        <v>70</v>
      </c>
      <c r="G636" s="71" t="s">
        <v>892</v>
      </c>
      <c r="H636" s="71" t="s">
        <v>98</v>
      </c>
      <c r="I636" s="6" t="str">
        <f>VLOOKUP(CLEAN(F636),'World Bank Categories'!$B$4:$C$220,2,FALSE)</f>
        <v>Middle income</v>
      </c>
      <c r="J636" s="71" t="s">
        <v>2876</v>
      </c>
      <c r="K636" s="71" t="s">
        <v>29</v>
      </c>
      <c r="L636" s="71" t="s">
        <v>241</v>
      </c>
      <c r="M636" s="71"/>
      <c r="N636" s="71"/>
      <c r="O636" s="71"/>
      <c r="P636" s="71" t="s">
        <v>31</v>
      </c>
      <c r="Q636" s="91" t="s">
        <v>32</v>
      </c>
      <c r="R636" s="18"/>
      <c r="S636" s="74" t="s">
        <v>2875</v>
      </c>
      <c r="T636" s="27">
        <v>36422</v>
      </c>
      <c r="U636" s="25" t="s">
        <v>2876</v>
      </c>
      <c r="V636" s="25" t="s">
        <v>80</v>
      </c>
      <c r="W636" s="25"/>
    </row>
    <row r="637" spans="1:23" ht="22.5" customHeight="1">
      <c r="A637" s="97">
        <v>46084.932546296295</v>
      </c>
      <c r="B637" s="98" t="s">
        <v>2877</v>
      </c>
      <c r="C637" s="99"/>
      <c r="D637" s="98" t="s">
        <v>24</v>
      </c>
      <c r="E637" s="100">
        <v>35658</v>
      </c>
      <c r="F637" s="98" t="s">
        <v>438</v>
      </c>
      <c r="G637" s="98" t="s">
        <v>2878</v>
      </c>
      <c r="H637" s="98" t="s">
        <v>2879</v>
      </c>
      <c r="I637" s="6" t="str">
        <f>VLOOKUP(CLEAN(F637),'World Bank Categories'!$B$4:$C$220,2,FALSE)</f>
        <v>Middle income</v>
      </c>
      <c r="J637" s="98" t="s">
        <v>2880</v>
      </c>
      <c r="K637" s="98" t="s">
        <v>39</v>
      </c>
      <c r="L637" s="98" t="s">
        <v>30</v>
      </c>
      <c r="M637" s="98"/>
      <c r="N637" s="98"/>
      <c r="O637" s="98"/>
      <c r="P637" s="98" t="s">
        <v>31</v>
      </c>
      <c r="Q637" s="68" t="s">
        <v>32</v>
      </c>
      <c r="R637" s="10" t="s">
        <v>33</v>
      </c>
      <c r="S637" s="69" t="s">
        <v>2877</v>
      </c>
      <c r="T637" s="27">
        <v>35658</v>
      </c>
      <c r="U637" s="25" t="s">
        <v>2881</v>
      </c>
      <c r="V637" s="25" t="s">
        <v>80</v>
      </c>
      <c r="W637" s="25"/>
    </row>
    <row r="638" spans="1:23" ht="22.5" customHeight="1">
      <c r="A638" s="70">
        <v>46084.940023148149</v>
      </c>
      <c r="B638" s="71" t="s">
        <v>2882</v>
      </c>
      <c r="C638" s="71" t="s">
        <v>2883</v>
      </c>
      <c r="D638" s="71" t="s">
        <v>24</v>
      </c>
      <c r="E638" s="73">
        <v>38781</v>
      </c>
      <c r="F638" s="71" t="s">
        <v>1053</v>
      </c>
      <c r="G638" s="71" t="s">
        <v>2884</v>
      </c>
      <c r="H638" s="71" t="s">
        <v>2885</v>
      </c>
      <c r="I638" s="6" t="str">
        <f>VLOOKUP(CLEAN(F638),'World Bank Categories'!$B$4:$C$220,2,FALSE)</f>
        <v>High income</v>
      </c>
      <c r="J638" s="71" t="s">
        <v>2886</v>
      </c>
      <c r="K638" s="71" t="s">
        <v>39</v>
      </c>
      <c r="L638" s="71" t="s">
        <v>152</v>
      </c>
      <c r="M638" s="71"/>
      <c r="N638" s="71"/>
      <c r="O638" s="71"/>
      <c r="P638" s="71" t="s">
        <v>31</v>
      </c>
      <c r="Q638" s="68" t="s">
        <v>32</v>
      </c>
      <c r="R638" s="18" t="s">
        <v>43</v>
      </c>
      <c r="S638" s="74" t="s">
        <v>2887</v>
      </c>
      <c r="T638" s="27">
        <v>38781</v>
      </c>
      <c r="U638" s="25" t="s">
        <v>2886</v>
      </c>
      <c r="V638" s="25" t="s">
        <v>80</v>
      </c>
      <c r="W638" s="25"/>
    </row>
    <row r="639" spans="1:23" ht="22.5" customHeight="1">
      <c r="A639" s="70">
        <v>46084.998831018522</v>
      </c>
      <c r="B639" s="71" t="s">
        <v>2888</v>
      </c>
      <c r="C639" s="72"/>
      <c r="D639" s="71" t="s">
        <v>24</v>
      </c>
      <c r="E639" s="73">
        <v>37032</v>
      </c>
      <c r="F639" s="71" t="s">
        <v>2713</v>
      </c>
      <c r="G639" s="71" t="s">
        <v>2714</v>
      </c>
      <c r="H639" s="71" t="s">
        <v>368</v>
      </c>
      <c r="I639" s="6" t="str">
        <f>VLOOKUP(CLEAN(F639),'World Bank Categories'!$B$4:$C$220,2,FALSE)</f>
        <v>High income</v>
      </c>
      <c r="J639" s="71" t="s">
        <v>2889</v>
      </c>
      <c r="K639" s="71" t="s">
        <v>29</v>
      </c>
      <c r="L639" s="71" t="s">
        <v>30</v>
      </c>
      <c r="M639" s="71"/>
      <c r="N639" s="71"/>
      <c r="O639" s="71"/>
      <c r="P639" s="71" t="s">
        <v>31</v>
      </c>
      <c r="Q639" s="91" t="s">
        <v>32</v>
      </c>
      <c r="R639" s="18" t="s">
        <v>43</v>
      </c>
      <c r="S639" s="74" t="s">
        <v>2888</v>
      </c>
      <c r="T639" s="27">
        <v>37032</v>
      </c>
      <c r="U639" s="25" t="s">
        <v>2889</v>
      </c>
      <c r="V639" s="25" t="s">
        <v>80</v>
      </c>
      <c r="W639" s="25"/>
    </row>
    <row r="640" spans="1:23" ht="22.5" customHeight="1">
      <c r="A640" s="97">
        <v>46085.003020833334</v>
      </c>
      <c r="B640" s="98" t="s">
        <v>2890</v>
      </c>
      <c r="C640" s="99"/>
      <c r="D640" s="98" t="s">
        <v>24</v>
      </c>
      <c r="E640" s="100">
        <v>38631</v>
      </c>
      <c r="F640" s="76" t="s">
        <v>70</v>
      </c>
      <c r="G640" s="98" t="s">
        <v>77</v>
      </c>
      <c r="H640" s="98" t="s">
        <v>2891</v>
      </c>
      <c r="I640" s="6" t="str">
        <f>VLOOKUP(CLEAN(F640),'World Bank Categories'!$B$4:$C$220,2,FALSE)</f>
        <v>Middle income</v>
      </c>
      <c r="J640" s="98" t="s">
        <v>2892</v>
      </c>
      <c r="K640" s="98" t="s">
        <v>29</v>
      </c>
      <c r="L640" s="98" t="s">
        <v>30</v>
      </c>
      <c r="M640" s="98"/>
      <c r="N640" s="98"/>
      <c r="O640" s="98"/>
      <c r="P640" s="98" t="s">
        <v>31</v>
      </c>
      <c r="Q640" s="68" t="s">
        <v>32</v>
      </c>
      <c r="R640" s="10" t="s">
        <v>33</v>
      </c>
      <c r="S640" s="69" t="s">
        <v>2890</v>
      </c>
      <c r="T640" s="27">
        <v>38631</v>
      </c>
      <c r="U640" s="25" t="s">
        <v>2892</v>
      </c>
      <c r="V640" s="25" t="s">
        <v>80</v>
      </c>
      <c r="W640" s="25"/>
    </row>
    <row r="641" spans="1:23" ht="22.5" customHeight="1">
      <c r="A641" s="87">
        <v>46085.092615740738</v>
      </c>
      <c r="B641" s="88" t="s">
        <v>2893</v>
      </c>
      <c r="C641" s="89"/>
      <c r="D641" s="88" t="s">
        <v>24</v>
      </c>
      <c r="E641" s="90">
        <v>38881</v>
      </c>
      <c r="F641" s="88" t="s">
        <v>416</v>
      </c>
      <c r="G641" s="88" t="s">
        <v>2894</v>
      </c>
      <c r="H641" s="88" t="s">
        <v>66</v>
      </c>
      <c r="I641" s="6" t="str">
        <f>VLOOKUP(CLEAN(F641),'World Bank Categories'!$B$4:$C$220,2,FALSE)</f>
        <v>Middle income</v>
      </c>
      <c r="J641" s="88" t="s">
        <v>2895</v>
      </c>
      <c r="K641" s="88" t="s">
        <v>29</v>
      </c>
      <c r="L641" s="88" t="s">
        <v>30</v>
      </c>
      <c r="M641" s="88"/>
      <c r="N641" s="88"/>
      <c r="O641" s="88"/>
      <c r="P641" s="88" t="s">
        <v>31</v>
      </c>
      <c r="Q641" s="68" t="s">
        <v>32</v>
      </c>
      <c r="R641" s="18" t="s">
        <v>33</v>
      </c>
      <c r="S641" s="74" t="s">
        <v>2896</v>
      </c>
      <c r="T641" s="27">
        <v>38881</v>
      </c>
      <c r="U641" s="25" t="s">
        <v>2895</v>
      </c>
      <c r="V641" s="25" t="s">
        <v>2897</v>
      </c>
      <c r="W641" s="25"/>
    </row>
    <row r="642" spans="1:23" ht="22.5" customHeight="1">
      <c r="A642" s="64">
        <v>46085.165127314816</v>
      </c>
      <c r="B642" s="65" t="s">
        <v>2898</v>
      </c>
      <c r="C642" s="66"/>
      <c r="D642" s="65" t="s">
        <v>24</v>
      </c>
      <c r="E642" s="67">
        <v>26230</v>
      </c>
      <c r="F642" s="65" t="s">
        <v>2556</v>
      </c>
      <c r="G642" s="65" t="s">
        <v>2899</v>
      </c>
      <c r="H642" s="65" t="s">
        <v>2900</v>
      </c>
      <c r="I642" s="6" t="str">
        <f>VLOOKUP(CLEAN(F642),'World Bank Categories'!$B$4:$C$220,2,FALSE)</f>
        <v>Middle income</v>
      </c>
      <c r="J642" s="65" t="s">
        <v>2901</v>
      </c>
      <c r="K642" s="65" t="s">
        <v>39</v>
      </c>
      <c r="L642" s="65" t="s">
        <v>30</v>
      </c>
      <c r="M642" s="65"/>
      <c r="N642" s="65"/>
      <c r="O642" s="65"/>
      <c r="P642" s="65" t="s">
        <v>31</v>
      </c>
      <c r="Q642" s="91" t="s">
        <v>32</v>
      </c>
      <c r="R642" s="10" t="s">
        <v>33</v>
      </c>
      <c r="S642" s="69" t="s">
        <v>2898</v>
      </c>
      <c r="T642" s="27">
        <v>26230</v>
      </c>
      <c r="U642" s="25" t="s">
        <v>2901</v>
      </c>
      <c r="V642" s="25" t="s">
        <v>80</v>
      </c>
      <c r="W642" s="25"/>
    </row>
    <row r="643" spans="1:23" ht="22.5" customHeight="1">
      <c r="A643" s="70">
        <v>46085.349826388891</v>
      </c>
      <c r="B643" s="71" t="s">
        <v>2902</v>
      </c>
      <c r="C643" s="72"/>
      <c r="D643" s="71" t="s">
        <v>24</v>
      </c>
      <c r="E643" s="73">
        <v>27926</v>
      </c>
      <c r="F643" s="71" t="s">
        <v>623</v>
      </c>
      <c r="G643" s="71" t="s">
        <v>2903</v>
      </c>
      <c r="H643" s="71" t="s">
        <v>90</v>
      </c>
      <c r="I643" s="6" t="str">
        <f>VLOOKUP(CLEAN(F643),'World Bank Categories'!$B$4:$C$220,2,FALSE)</f>
        <v>Middle income</v>
      </c>
      <c r="J643" s="71" t="s">
        <v>2904</v>
      </c>
      <c r="K643" s="71" t="s">
        <v>39</v>
      </c>
      <c r="L643" s="71" t="s">
        <v>30</v>
      </c>
      <c r="M643" s="71"/>
      <c r="N643" s="71"/>
      <c r="O643" s="71"/>
      <c r="P643" s="71" t="s">
        <v>31</v>
      </c>
      <c r="Q643" s="68" t="s">
        <v>32</v>
      </c>
      <c r="R643" s="18" t="s">
        <v>33</v>
      </c>
      <c r="S643" s="74" t="s">
        <v>2905</v>
      </c>
      <c r="T643" s="27">
        <v>27926</v>
      </c>
      <c r="U643" s="25" t="s">
        <v>2904</v>
      </c>
      <c r="V643" s="25" t="s">
        <v>1670</v>
      </c>
      <c r="W643" s="25"/>
    </row>
    <row r="644" spans="1:23" ht="22.5" customHeight="1">
      <c r="A644" s="64">
        <v>46085.642418981479</v>
      </c>
      <c r="B644" s="65" t="s">
        <v>2906</v>
      </c>
      <c r="C644" s="65" t="s">
        <v>2907</v>
      </c>
      <c r="D644" s="65" t="s">
        <v>24</v>
      </c>
      <c r="E644" s="67">
        <v>38814</v>
      </c>
      <c r="F644" s="65" t="s">
        <v>1053</v>
      </c>
      <c r="G644" s="65" t="s">
        <v>2908</v>
      </c>
      <c r="H644" s="65" t="s">
        <v>66</v>
      </c>
      <c r="I644" s="6" t="str">
        <f>VLOOKUP(CLEAN(F644),'World Bank Categories'!$B$4:$C$220,2,FALSE)</f>
        <v>High income</v>
      </c>
      <c r="J644" s="65" t="s">
        <v>2909</v>
      </c>
      <c r="K644" s="65" t="s">
        <v>29</v>
      </c>
      <c r="L644" s="65" t="s">
        <v>30</v>
      </c>
      <c r="M644" s="65"/>
      <c r="N644" s="65"/>
      <c r="O644" s="65"/>
      <c r="P644" s="65" t="s">
        <v>31</v>
      </c>
      <c r="Q644" s="68" t="s">
        <v>32</v>
      </c>
      <c r="R644" s="10" t="s">
        <v>43</v>
      </c>
      <c r="S644" s="69" t="s">
        <v>2906</v>
      </c>
      <c r="T644" s="27">
        <v>38814</v>
      </c>
      <c r="U644" s="25" t="s">
        <v>2910</v>
      </c>
      <c r="V644" s="25" t="s">
        <v>80</v>
      </c>
      <c r="W644" s="25"/>
    </row>
    <row r="645" spans="1:23" ht="22.5" customHeight="1">
      <c r="A645" s="75">
        <v>46085.783090277779</v>
      </c>
      <c r="B645" s="76" t="s">
        <v>2911</v>
      </c>
      <c r="C645" s="77"/>
      <c r="D645" s="76" t="s">
        <v>45</v>
      </c>
      <c r="E645" s="78">
        <v>38008</v>
      </c>
      <c r="F645" s="76" t="s">
        <v>438</v>
      </c>
      <c r="G645" s="76" t="s">
        <v>2912</v>
      </c>
      <c r="H645" s="76" t="s">
        <v>66</v>
      </c>
      <c r="I645" s="6" t="str">
        <f>VLOOKUP(CLEAN(F645),'World Bank Categories'!$B$4:$C$220,2,FALSE)</f>
        <v>Middle income</v>
      </c>
      <c r="J645" s="76" t="s">
        <v>2913</v>
      </c>
      <c r="K645" s="76" t="s">
        <v>29</v>
      </c>
      <c r="L645" s="76" t="s">
        <v>30</v>
      </c>
      <c r="M645" s="76"/>
      <c r="N645" s="76"/>
      <c r="O645" s="76"/>
      <c r="P645" s="76" t="s">
        <v>31</v>
      </c>
      <c r="Q645" s="68" t="s">
        <v>32</v>
      </c>
      <c r="R645" s="10"/>
      <c r="S645" s="69" t="s">
        <v>2911</v>
      </c>
      <c r="T645" s="27">
        <v>38008</v>
      </c>
      <c r="U645" s="25" t="s">
        <v>2913</v>
      </c>
      <c r="V645" s="25" t="s">
        <v>80</v>
      </c>
      <c r="W645" s="25"/>
    </row>
    <row r="646" spans="1:23" ht="22.5" customHeight="1">
      <c r="A646" s="70">
        <v>46085.825254629628</v>
      </c>
      <c r="B646" s="71" t="s">
        <v>2914</v>
      </c>
      <c r="C646" s="71" t="s">
        <v>2914</v>
      </c>
      <c r="D646" s="71" t="s">
        <v>45</v>
      </c>
      <c r="E646" s="73">
        <v>21478</v>
      </c>
      <c r="F646" s="71" t="s">
        <v>64</v>
      </c>
      <c r="G646" s="71" t="s">
        <v>2915</v>
      </c>
      <c r="H646" s="71" t="s">
        <v>2916</v>
      </c>
      <c r="I646" s="6" t="str">
        <f>VLOOKUP(CLEAN(F646),'World Bank Categories'!$B$4:$C$220,2,FALSE)</f>
        <v>Middle income</v>
      </c>
      <c r="J646" s="71" t="s">
        <v>2917</v>
      </c>
      <c r="K646" s="71" t="s">
        <v>29</v>
      </c>
      <c r="L646" s="71" t="s">
        <v>30</v>
      </c>
      <c r="M646" s="71"/>
      <c r="N646" s="71"/>
      <c r="O646" s="71"/>
      <c r="P646" s="71" t="s">
        <v>31</v>
      </c>
      <c r="Q646" s="68" t="s">
        <v>32</v>
      </c>
      <c r="R646" s="18" t="s">
        <v>33</v>
      </c>
      <c r="S646" s="74" t="s">
        <v>2914</v>
      </c>
      <c r="T646" s="27">
        <v>21478</v>
      </c>
      <c r="U646" s="25" t="s">
        <v>2918</v>
      </c>
      <c r="V646" s="25" t="s">
        <v>101</v>
      </c>
      <c r="W646" s="25"/>
    </row>
    <row r="647" spans="1:23" ht="22.5" customHeight="1">
      <c r="A647" s="70">
        <v>46086.028368055559</v>
      </c>
      <c r="B647" s="71" t="s">
        <v>2919</v>
      </c>
      <c r="C647" s="72"/>
      <c r="D647" s="71" t="s">
        <v>24</v>
      </c>
      <c r="E647" s="73">
        <v>35346</v>
      </c>
      <c r="F647" s="71" t="s">
        <v>70</v>
      </c>
      <c r="G647" s="71" t="s">
        <v>2920</v>
      </c>
      <c r="H647" s="71" t="s">
        <v>66</v>
      </c>
      <c r="I647" s="6" t="str">
        <f>VLOOKUP(CLEAN(F647),'World Bank Categories'!$B$4:$C$220,2,FALSE)</f>
        <v>Middle income</v>
      </c>
      <c r="J647" s="71" t="s">
        <v>2921</v>
      </c>
      <c r="K647" s="71" t="s">
        <v>29</v>
      </c>
      <c r="L647" s="101">
        <v>46202</v>
      </c>
      <c r="M647" s="71"/>
      <c r="N647" s="71"/>
      <c r="O647" s="71"/>
      <c r="P647" s="71" t="s">
        <v>31</v>
      </c>
      <c r="Q647" s="68" t="s">
        <v>32</v>
      </c>
      <c r="R647" s="18"/>
      <c r="S647" s="74" t="s">
        <v>2922</v>
      </c>
      <c r="T647" s="27">
        <v>35346</v>
      </c>
      <c r="U647" s="25" t="s">
        <v>2923</v>
      </c>
      <c r="V647" s="25" t="s">
        <v>2924</v>
      </c>
      <c r="W647" s="25"/>
    </row>
    <row r="648" spans="1:23" ht="22.5" customHeight="1">
      <c r="A648" s="97">
        <v>46086.617395833331</v>
      </c>
      <c r="B648" s="98" t="s">
        <v>2925</v>
      </c>
      <c r="C648" s="99"/>
      <c r="D648" s="98" t="s">
        <v>24</v>
      </c>
      <c r="E648" s="100">
        <v>38570</v>
      </c>
      <c r="F648" s="98" t="s">
        <v>297</v>
      </c>
      <c r="G648" s="98" t="s">
        <v>2926</v>
      </c>
      <c r="H648" s="98" t="s">
        <v>66</v>
      </c>
      <c r="I648" s="6" t="str">
        <f>VLOOKUP(CLEAN(F648),'World Bank Categories'!$B$4:$C$220,2,FALSE)</f>
        <v>Middle income</v>
      </c>
      <c r="J648" s="98" t="s">
        <v>2927</v>
      </c>
      <c r="K648" s="98" t="s">
        <v>29</v>
      </c>
      <c r="L648" s="98" t="s">
        <v>30</v>
      </c>
      <c r="M648" s="98"/>
      <c r="N648" s="98"/>
      <c r="O648" s="98"/>
      <c r="P648" s="98" t="s">
        <v>31</v>
      </c>
      <c r="Q648" s="68" t="s">
        <v>32</v>
      </c>
      <c r="R648" s="10" t="s">
        <v>33</v>
      </c>
      <c r="S648" s="69" t="s">
        <v>2925</v>
      </c>
      <c r="T648" s="27">
        <v>38570</v>
      </c>
      <c r="U648" s="25" t="s">
        <v>2927</v>
      </c>
      <c r="V648" s="25" t="s">
        <v>80</v>
      </c>
      <c r="W648" s="25"/>
    </row>
    <row r="649" spans="1:23" ht="22.5" customHeight="1">
      <c r="A649" s="70">
        <v>46086.709016203706</v>
      </c>
      <c r="B649" s="71" t="s">
        <v>2928</v>
      </c>
      <c r="C649" s="71" t="s">
        <v>2929</v>
      </c>
      <c r="D649" s="71" t="s">
        <v>45</v>
      </c>
      <c r="E649" s="73">
        <v>37047</v>
      </c>
      <c r="F649" s="71" t="s">
        <v>1053</v>
      </c>
      <c r="G649" s="71" t="s">
        <v>2930</v>
      </c>
      <c r="H649" s="71" t="s">
        <v>66</v>
      </c>
      <c r="I649" s="6" t="str">
        <f>VLOOKUP(CLEAN(F649),'World Bank Categories'!$B$4:$C$220,2,FALSE)</f>
        <v>High income</v>
      </c>
      <c r="J649" s="71" t="s">
        <v>2931</v>
      </c>
      <c r="K649" s="71" t="s">
        <v>39</v>
      </c>
      <c r="L649" s="71" t="s">
        <v>152</v>
      </c>
      <c r="M649" s="71"/>
      <c r="N649" s="71"/>
      <c r="O649" s="71"/>
      <c r="P649" s="71" t="s">
        <v>31</v>
      </c>
      <c r="Q649" s="68" t="s">
        <v>32</v>
      </c>
      <c r="R649" s="18" t="s">
        <v>43</v>
      </c>
      <c r="S649" s="74" t="s">
        <v>2932</v>
      </c>
      <c r="T649" s="27">
        <v>37047</v>
      </c>
      <c r="U649" s="25" t="s">
        <v>2931</v>
      </c>
      <c r="V649" s="25" t="s">
        <v>80</v>
      </c>
      <c r="W649" s="25"/>
    </row>
    <row r="650" spans="1:23" ht="22.5" customHeight="1">
      <c r="A650" s="97">
        <v>46086.891643518517</v>
      </c>
      <c r="B650" s="98" t="s">
        <v>2933</v>
      </c>
      <c r="C650" s="98" t="s">
        <v>2934</v>
      </c>
      <c r="D650" s="98" t="s">
        <v>45</v>
      </c>
      <c r="E650" s="100">
        <v>39093</v>
      </c>
      <c r="F650" s="98" t="s">
        <v>1053</v>
      </c>
      <c r="G650" s="98" t="s">
        <v>2935</v>
      </c>
      <c r="H650" s="98" t="s">
        <v>66</v>
      </c>
      <c r="I650" s="6" t="str">
        <f>VLOOKUP(CLEAN(F650),'World Bank Categories'!$B$4:$C$220,2,FALSE)</f>
        <v>High income</v>
      </c>
      <c r="J650" s="98" t="s">
        <v>2936</v>
      </c>
      <c r="K650" s="98" t="s">
        <v>29</v>
      </c>
      <c r="L650" s="98" t="s">
        <v>30</v>
      </c>
      <c r="M650" s="98"/>
      <c r="N650" s="98"/>
      <c r="O650" s="98"/>
      <c r="P650" s="98" t="s">
        <v>31</v>
      </c>
      <c r="Q650" s="68" t="s">
        <v>32</v>
      </c>
      <c r="R650" s="10" t="s">
        <v>43</v>
      </c>
      <c r="S650" s="69" t="s">
        <v>2937</v>
      </c>
      <c r="T650" s="27">
        <v>39093</v>
      </c>
      <c r="U650" s="25" t="s">
        <v>2936</v>
      </c>
      <c r="V650" s="25" t="s">
        <v>154</v>
      </c>
      <c r="W650" s="25"/>
    </row>
    <row r="651" spans="1:23" ht="22.5" customHeight="1">
      <c r="A651" s="87">
        <v>46086.901967592596</v>
      </c>
      <c r="B651" s="88" t="s">
        <v>2938</v>
      </c>
      <c r="C651" s="89"/>
      <c r="D651" s="88" t="s">
        <v>45</v>
      </c>
      <c r="E651" s="90">
        <v>34979</v>
      </c>
      <c r="F651" s="88" t="s">
        <v>612</v>
      </c>
      <c r="G651" s="88" t="s">
        <v>2939</v>
      </c>
      <c r="H651" s="88" t="s">
        <v>186</v>
      </c>
      <c r="I651" s="6" t="str">
        <f>VLOOKUP(CLEAN(F651),'World Bank Categories'!$B$4:$C$220,2,FALSE)</f>
        <v>Low income</v>
      </c>
      <c r="J651" s="88" t="s">
        <v>2940</v>
      </c>
      <c r="K651" s="88" t="s">
        <v>29</v>
      </c>
      <c r="L651" s="88" t="s">
        <v>30</v>
      </c>
      <c r="M651" s="88"/>
      <c r="N651" s="88"/>
      <c r="O651" s="88"/>
      <c r="P651" s="88" t="s">
        <v>31</v>
      </c>
      <c r="Q651" s="68" t="s">
        <v>32</v>
      </c>
      <c r="R651" s="18" t="s">
        <v>33</v>
      </c>
      <c r="S651" s="74" t="s">
        <v>2941</v>
      </c>
      <c r="T651" s="27">
        <v>34979</v>
      </c>
      <c r="U651" s="25" t="s">
        <v>2940</v>
      </c>
      <c r="V651" s="25" t="s">
        <v>154</v>
      </c>
      <c r="W651" s="25"/>
    </row>
    <row r="652" spans="1:23" ht="22.5" customHeight="1">
      <c r="A652" s="97">
        <v>46086.937673611108</v>
      </c>
      <c r="B652" s="98" t="s">
        <v>2942</v>
      </c>
      <c r="C652" s="99"/>
      <c r="D652" s="98" t="s">
        <v>45</v>
      </c>
      <c r="E652" s="100">
        <v>36450</v>
      </c>
      <c r="F652" s="76" t="s">
        <v>227</v>
      </c>
      <c r="G652" s="98" t="s">
        <v>2943</v>
      </c>
      <c r="H652" s="98" t="s">
        <v>2944</v>
      </c>
      <c r="I652" s="6" t="str">
        <f>VLOOKUP(CLEAN(F652),'World Bank Categories'!$B$4:$C$220,2,FALSE)</f>
        <v>Middle income</v>
      </c>
      <c r="J652" s="98" t="s">
        <v>2945</v>
      </c>
      <c r="K652" s="98" t="s">
        <v>29</v>
      </c>
      <c r="L652" s="98" t="s">
        <v>30</v>
      </c>
      <c r="M652" s="98"/>
      <c r="N652" s="98"/>
      <c r="O652" s="98"/>
      <c r="P652" s="98" t="s">
        <v>31</v>
      </c>
      <c r="Q652" s="68" t="s">
        <v>32</v>
      </c>
      <c r="R652" s="10" t="s">
        <v>33</v>
      </c>
      <c r="S652" s="69" t="s">
        <v>2942</v>
      </c>
      <c r="T652" s="27">
        <v>36450</v>
      </c>
      <c r="U652" s="25" t="s">
        <v>2945</v>
      </c>
      <c r="V652" s="25" t="s">
        <v>80</v>
      </c>
      <c r="W652" s="25"/>
    </row>
    <row r="653" spans="1:23" ht="22.5" customHeight="1">
      <c r="A653" s="70">
        <v>46087.185717592591</v>
      </c>
      <c r="B653" s="71" t="s">
        <v>2946</v>
      </c>
      <c r="C653" s="72"/>
      <c r="D653" s="71" t="s">
        <v>45</v>
      </c>
      <c r="E653" s="73">
        <v>36160</v>
      </c>
      <c r="F653" s="71" t="s">
        <v>799</v>
      </c>
      <c r="G653" s="71" t="s">
        <v>1203</v>
      </c>
      <c r="H653" s="71" t="s">
        <v>2947</v>
      </c>
      <c r="I653" s="6" t="str">
        <f>VLOOKUP(CLEAN(F653),'World Bank Categories'!$B$4:$C$220,2,FALSE)</f>
        <v>Low income</v>
      </c>
      <c r="J653" s="71" t="s">
        <v>2948</v>
      </c>
      <c r="K653" s="71" t="s">
        <v>29</v>
      </c>
      <c r="L653" s="71" t="s">
        <v>30</v>
      </c>
      <c r="M653" s="71"/>
      <c r="N653" s="71"/>
      <c r="O653" s="71"/>
      <c r="P653" s="71" t="s">
        <v>31</v>
      </c>
      <c r="Q653" s="68" t="s">
        <v>32</v>
      </c>
      <c r="R653" s="18"/>
      <c r="S653" s="74" t="s">
        <v>2946</v>
      </c>
      <c r="T653" s="27">
        <v>36160</v>
      </c>
      <c r="U653" s="25" t="s">
        <v>2948</v>
      </c>
      <c r="V653" s="25" t="s">
        <v>80</v>
      </c>
      <c r="W653" s="25"/>
    </row>
    <row r="654" spans="1:23" ht="22.5" customHeight="1">
      <c r="A654" s="102">
        <v>46087.654456018521</v>
      </c>
      <c r="B654" s="103" t="s">
        <v>2949</v>
      </c>
      <c r="C654" s="104"/>
      <c r="D654" s="103" t="s">
        <v>24</v>
      </c>
      <c r="E654" s="105">
        <v>35746</v>
      </c>
      <c r="F654" s="103" t="s">
        <v>297</v>
      </c>
      <c r="G654" s="103" t="s">
        <v>2950</v>
      </c>
      <c r="H654" s="103" t="s">
        <v>1069</v>
      </c>
      <c r="I654" s="6" t="str">
        <f>VLOOKUP(CLEAN(F654),'World Bank Categories'!$B$4:$C$220,2,FALSE)</f>
        <v>Middle income</v>
      </c>
      <c r="J654" s="103" t="s">
        <v>2951</v>
      </c>
      <c r="K654" s="103" t="s">
        <v>39</v>
      </c>
      <c r="L654" s="103" t="s">
        <v>162</v>
      </c>
      <c r="M654" s="103"/>
      <c r="N654" s="103"/>
      <c r="O654" s="103"/>
      <c r="P654" s="103" t="s">
        <v>31</v>
      </c>
      <c r="Q654" s="68" t="s">
        <v>32</v>
      </c>
      <c r="R654" s="10" t="s">
        <v>33</v>
      </c>
      <c r="S654" s="69" t="s">
        <v>2952</v>
      </c>
      <c r="T654" s="27">
        <v>35746</v>
      </c>
      <c r="U654" s="25" t="s">
        <v>2951</v>
      </c>
      <c r="V654" s="25" t="s">
        <v>154</v>
      </c>
      <c r="W654" s="25"/>
    </row>
    <row r="655" spans="1:23" ht="22.5" customHeight="1">
      <c r="A655" s="106">
        <v>46087.750578703701</v>
      </c>
      <c r="B655" s="107" t="s">
        <v>2953</v>
      </c>
      <c r="C655" s="108"/>
      <c r="D655" s="107" t="s">
        <v>45</v>
      </c>
      <c r="E655" s="109">
        <v>36422</v>
      </c>
      <c r="F655" s="71" t="s">
        <v>208</v>
      </c>
      <c r="G655" s="107" t="s">
        <v>2310</v>
      </c>
      <c r="H655" s="107" t="s">
        <v>138</v>
      </c>
      <c r="I655" s="6" t="str">
        <f>VLOOKUP(CLEAN(F655),'World Bank Categories'!$B$4:$C$220,2,FALSE)</f>
        <v>Low income</v>
      </c>
      <c r="J655" s="107" t="s">
        <v>2954</v>
      </c>
      <c r="K655" s="107" t="s">
        <v>29</v>
      </c>
      <c r="L655" s="107" t="s">
        <v>30</v>
      </c>
      <c r="M655" s="107"/>
      <c r="N655" s="107"/>
      <c r="O655" s="107"/>
      <c r="P655" s="107" t="s">
        <v>31</v>
      </c>
      <c r="Q655" s="68" t="s">
        <v>32</v>
      </c>
      <c r="R655" s="18"/>
      <c r="S655" s="74" t="s">
        <v>2953</v>
      </c>
      <c r="T655" s="27">
        <v>36422</v>
      </c>
      <c r="U655" s="25" t="s">
        <v>2954</v>
      </c>
      <c r="V655" s="25" t="s">
        <v>80</v>
      </c>
      <c r="W655" s="25"/>
    </row>
    <row r="656" spans="1:23" ht="22.5" customHeight="1">
      <c r="A656" s="102">
        <v>46087.776956018519</v>
      </c>
      <c r="B656" s="103" t="s">
        <v>2955</v>
      </c>
      <c r="C656" s="104"/>
      <c r="D656" s="103" t="s">
        <v>45</v>
      </c>
      <c r="E656" s="105">
        <v>35340</v>
      </c>
      <c r="F656" s="76" t="s">
        <v>70</v>
      </c>
      <c r="G656" s="103" t="s">
        <v>2956</v>
      </c>
      <c r="H656" s="103" t="s">
        <v>98</v>
      </c>
      <c r="I656" s="6" t="str">
        <f>VLOOKUP(CLEAN(F656),'World Bank Categories'!$B$4:$C$220,2,FALSE)</f>
        <v>Middle income</v>
      </c>
      <c r="J656" s="103" t="s">
        <v>2957</v>
      </c>
      <c r="K656" s="103" t="s">
        <v>29</v>
      </c>
      <c r="L656" s="103" t="s">
        <v>30</v>
      </c>
      <c r="M656" s="103"/>
      <c r="N656" s="103"/>
      <c r="O656" s="103"/>
      <c r="P656" s="103" t="s">
        <v>31</v>
      </c>
      <c r="Q656" s="68" t="s">
        <v>32</v>
      </c>
      <c r="R656" s="10"/>
      <c r="S656" s="69" t="s">
        <v>2958</v>
      </c>
      <c r="T656" s="27">
        <v>35340</v>
      </c>
      <c r="U656" s="25" t="s">
        <v>2959</v>
      </c>
      <c r="V656" s="25" t="s">
        <v>129</v>
      </c>
      <c r="W656" s="25"/>
    </row>
    <row r="657" spans="1:23" ht="22.5" hidden="1" customHeight="1">
      <c r="A657" s="106">
        <v>46088.047476851854</v>
      </c>
      <c r="B657" s="107" t="s">
        <v>2960</v>
      </c>
      <c r="C657" s="107" t="s">
        <v>2961</v>
      </c>
      <c r="D657" s="107" t="s">
        <v>45</v>
      </c>
      <c r="E657" s="109">
        <v>33097</v>
      </c>
      <c r="F657" s="71" t="s">
        <v>70</v>
      </c>
      <c r="G657" s="107" t="s">
        <v>2962</v>
      </c>
      <c r="H657" s="107" t="s">
        <v>66</v>
      </c>
      <c r="I657" s="6" t="str">
        <f>VLOOKUP(CLEAN(F657),'World Bank Categories'!$B$4:$C$220,2,FALSE)</f>
        <v>Middle income</v>
      </c>
      <c r="J657" s="107" t="s">
        <v>1910</v>
      </c>
      <c r="K657" s="107" t="s">
        <v>29</v>
      </c>
      <c r="L657" s="107" t="s">
        <v>30</v>
      </c>
      <c r="M657" s="107"/>
      <c r="N657" s="107"/>
      <c r="O657" s="107"/>
      <c r="P657" s="107" t="s">
        <v>31</v>
      </c>
      <c r="Q657" s="79" t="s">
        <v>56</v>
      </c>
      <c r="R657" s="24"/>
      <c r="S657" s="74"/>
      <c r="T657" s="26"/>
      <c r="U657" s="25"/>
      <c r="V657" s="25"/>
      <c r="W657" s="25"/>
    </row>
    <row r="658" spans="1:23" ht="22.5" customHeight="1">
      <c r="A658" s="102">
        <v>46088.135439814818</v>
      </c>
      <c r="B658" s="103" t="s">
        <v>2963</v>
      </c>
      <c r="C658" s="104"/>
      <c r="D658" s="103" t="s">
        <v>24</v>
      </c>
      <c r="E658" s="105">
        <v>36163</v>
      </c>
      <c r="F658" s="103" t="s">
        <v>58</v>
      </c>
      <c r="G658" s="103" t="s">
        <v>2872</v>
      </c>
      <c r="H658" s="103" t="s">
        <v>2964</v>
      </c>
      <c r="I658" s="6" t="str">
        <f>VLOOKUP(CLEAN(F658),'World Bank Categories'!$B$4:$C$220,2,FALSE)</f>
        <v>Middle income</v>
      </c>
      <c r="J658" s="103" t="s">
        <v>2965</v>
      </c>
      <c r="K658" s="103" t="s">
        <v>29</v>
      </c>
      <c r="L658" s="103" t="s">
        <v>30</v>
      </c>
      <c r="M658" s="103"/>
      <c r="N658" s="103"/>
      <c r="O658" s="103"/>
      <c r="P658" s="103" t="s">
        <v>31</v>
      </c>
      <c r="Q658" s="68" t="s">
        <v>32</v>
      </c>
      <c r="R658" s="18" t="s">
        <v>33</v>
      </c>
      <c r="S658" s="69" t="s">
        <v>2963</v>
      </c>
      <c r="T658" s="27">
        <v>36163</v>
      </c>
      <c r="U658" s="25" t="s">
        <v>2965</v>
      </c>
      <c r="V658" s="25" t="s">
        <v>80</v>
      </c>
      <c r="W658" s="25"/>
    </row>
    <row r="659" spans="1:23" ht="22.5" customHeight="1">
      <c r="A659" s="106">
        <v>46089.878460648149</v>
      </c>
      <c r="B659" s="107" t="s">
        <v>2966</v>
      </c>
      <c r="C659" s="107" t="s">
        <v>2967</v>
      </c>
      <c r="D659" s="107" t="s">
        <v>24</v>
      </c>
      <c r="E659" s="109">
        <v>36731</v>
      </c>
      <c r="F659" s="107" t="s">
        <v>980</v>
      </c>
      <c r="G659" s="107" t="s">
        <v>2968</v>
      </c>
      <c r="H659" s="107" t="s">
        <v>2969</v>
      </c>
      <c r="I659" s="6" t="str">
        <f>VLOOKUP(CLEAN(F659),'World Bank Categories'!$B$4:$C$220,2,FALSE)</f>
        <v>Middle income</v>
      </c>
      <c r="J659" s="107" t="s">
        <v>2970</v>
      </c>
      <c r="K659" s="107" t="s">
        <v>39</v>
      </c>
      <c r="L659" s="107" t="s">
        <v>1991</v>
      </c>
      <c r="M659" s="107"/>
      <c r="N659" s="107"/>
      <c r="O659" s="107"/>
      <c r="P659" s="107" t="s">
        <v>31</v>
      </c>
      <c r="Q659" s="68" t="s">
        <v>32</v>
      </c>
      <c r="R659" s="18"/>
      <c r="S659" s="74" t="s">
        <v>2971</v>
      </c>
      <c r="T659" s="27">
        <v>36731</v>
      </c>
      <c r="U659" s="25" t="s">
        <v>2972</v>
      </c>
      <c r="V659" s="25" t="s">
        <v>80</v>
      </c>
      <c r="W659" s="25"/>
    </row>
    <row r="660" spans="1:23" ht="22.5" customHeight="1">
      <c r="A660" s="106">
        <v>46090.053472222222</v>
      </c>
      <c r="B660" s="107" t="s">
        <v>2973</v>
      </c>
      <c r="C660" s="108"/>
      <c r="D660" s="107" t="s">
        <v>24</v>
      </c>
      <c r="E660" s="109">
        <v>38330</v>
      </c>
      <c r="F660" s="71" t="s">
        <v>227</v>
      </c>
      <c r="G660" s="107" t="s">
        <v>2974</v>
      </c>
      <c r="H660" s="107" t="s">
        <v>1407</v>
      </c>
      <c r="I660" s="6" t="str">
        <f>VLOOKUP(CLEAN(F660),'World Bank Categories'!$B$4:$C$220,2,FALSE)</f>
        <v>Middle income</v>
      </c>
      <c r="J660" s="107" t="s">
        <v>2975</v>
      </c>
      <c r="K660" s="107" t="s">
        <v>29</v>
      </c>
      <c r="L660" s="107" t="s">
        <v>30</v>
      </c>
      <c r="M660" s="107"/>
      <c r="N660" s="107"/>
      <c r="O660" s="107"/>
      <c r="P660" s="107" t="s">
        <v>31</v>
      </c>
      <c r="Q660" s="68" t="s">
        <v>32</v>
      </c>
      <c r="R660" s="18" t="s">
        <v>33</v>
      </c>
      <c r="S660" s="74" t="s">
        <v>2973</v>
      </c>
      <c r="T660" s="27">
        <v>38330</v>
      </c>
      <c r="U660" s="25" t="s">
        <v>2975</v>
      </c>
      <c r="V660" s="25" t="s">
        <v>80</v>
      </c>
      <c r="W660" s="25"/>
    </row>
    <row r="661" spans="1:23" ht="22.5" customHeight="1">
      <c r="A661" s="102">
        <v>46090.304791666669</v>
      </c>
      <c r="B661" s="103" t="s">
        <v>2976</v>
      </c>
      <c r="C661" s="104"/>
      <c r="D661" s="103" t="s">
        <v>24</v>
      </c>
      <c r="E661" s="105">
        <v>29089</v>
      </c>
      <c r="F661" s="103" t="s">
        <v>1958</v>
      </c>
      <c r="G661" s="103" t="s">
        <v>2977</v>
      </c>
      <c r="H661" s="103" t="s">
        <v>2978</v>
      </c>
      <c r="I661" s="6" t="str">
        <f>VLOOKUP(CLEAN(F661),'World Bank Categories'!$B$4:$C$220,2,FALSE)</f>
        <v>Middle income</v>
      </c>
      <c r="J661" s="103" t="s">
        <v>2979</v>
      </c>
      <c r="K661" s="103" t="s">
        <v>39</v>
      </c>
      <c r="L661" s="103" t="s">
        <v>30</v>
      </c>
      <c r="M661" s="103" t="s">
        <v>2980</v>
      </c>
      <c r="N661" s="103"/>
      <c r="O661" s="103"/>
      <c r="P661" s="103" t="s">
        <v>31</v>
      </c>
      <c r="Q661" s="68" t="s">
        <v>32</v>
      </c>
      <c r="R661" s="10" t="s">
        <v>33</v>
      </c>
      <c r="S661" s="69" t="s">
        <v>2981</v>
      </c>
      <c r="T661" s="27">
        <v>29089</v>
      </c>
      <c r="U661" s="25" t="s">
        <v>2979</v>
      </c>
      <c r="V661" s="25" t="s">
        <v>154</v>
      </c>
      <c r="W661" s="25"/>
    </row>
    <row r="662" spans="1:23" ht="22.5" customHeight="1">
      <c r="A662" s="110">
        <v>46090.384432870371</v>
      </c>
      <c r="B662" s="111" t="s">
        <v>2982</v>
      </c>
      <c r="C662" s="111" t="s">
        <v>2983</v>
      </c>
      <c r="D662" s="111" t="s">
        <v>45</v>
      </c>
      <c r="E662" s="112">
        <v>32873</v>
      </c>
      <c r="F662" s="111" t="s">
        <v>799</v>
      </c>
      <c r="G662" s="111" t="s">
        <v>209</v>
      </c>
      <c r="H662" s="111" t="s">
        <v>2984</v>
      </c>
      <c r="I662" s="6" t="str">
        <f>VLOOKUP(CLEAN(F662),'World Bank Categories'!$B$4:$C$220,2,FALSE)</f>
        <v>Low income</v>
      </c>
      <c r="J662" s="111" t="s">
        <v>2985</v>
      </c>
      <c r="K662" s="111" t="s">
        <v>29</v>
      </c>
      <c r="L662" s="111" t="s">
        <v>30</v>
      </c>
      <c r="M662" s="111" t="s">
        <v>2986</v>
      </c>
      <c r="N662" s="107" t="s">
        <v>2987</v>
      </c>
      <c r="O662" s="6" t="s">
        <v>444</v>
      </c>
      <c r="P662" s="111" t="s">
        <v>31</v>
      </c>
      <c r="Q662" s="68" t="s">
        <v>32</v>
      </c>
      <c r="R662" s="18" t="s">
        <v>33</v>
      </c>
      <c r="S662" s="74" t="s">
        <v>2988</v>
      </c>
      <c r="T662" s="27">
        <v>32873</v>
      </c>
      <c r="U662" s="25" t="s">
        <v>2985</v>
      </c>
      <c r="V662" s="25" t="s">
        <v>316</v>
      </c>
      <c r="W662" s="25"/>
    </row>
    <row r="663" spans="1:23" ht="22.5" customHeight="1">
      <c r="A663" s="113">
        <v>46090.973138078705</v>
      </c>
      <c r="B663" s="114" t="s">
        <v>2989</v>
      </c>
      <c r="C663" s="114"/>
      <c r="D663" s="114" t="s">
        <v>24</v>
      </c>
      <c r="E663" s="115">
        <v>32164</v>
      </c>
      <c r="F663" s="114" t="s">
        <v>322</v>
      </c>
      <c r="G663" s="114" t="s">
        <v>2990</v>
      </c>
      <c r="H663" s="114" t="s">
        <v>1595</v>
      </c>
      <c r="I663" s="6" t="str">
        <f>VLOOKUP(CLEAN(F663),'World Bank Categories'!$B$4:$C$220,2,FALSE)</f>
        <v>Middle income</v>
      </c>
      <c r="J663" s="114" t="s">
        <v>2991</v>
      </c>
      <c r="K663" s="114" t="s">
        <v>29</v>
      </c>
      <c r="L663" s="114" t="s">
        <v>30</v>
      </c>
      <c r="M663" s="114"/>
      <c r="N663" s="114"/>
      <c r="O663" s="114"/>
      <c r="P663" s="114" t="s">
        <v>31</v>
      </c>
      <c r="Q663" s="91" t="s">
        <v>32</v>
      </c>
      <c r="R663" s="18" t="s">
        <v>33</v>
      </c>
      <c r="S663" s="74" t="s">
        <v>2992</v>
      </c>
      <c r="T663" s="27">
        <v>32164</v>
      </c>
      <c r="U663" s="25" t="s">
        <v>2993</v>
      </c>
      <c r="V663" s="25" t="s">
        <v>154</v>
      </c>
      <c r="W663" s="25"/>
    </row>
    <row r="664" spans="1:23" ht="22.5" customHeight="1">
      <c r="A664" s="116">
        <v>46091.055028171293</v>
      </c>
      <c r="B664" s="117" t="s">
        <v>2994</v>
      </c>
      <c r="C664" s="117"/>
      <c r="D664" s="117" t="s">
        <v>45</v>
      </c>
      <c r="E664" s="118">
        <v>38488</v>
      </c>
      <c r="F664" s="117" t="s">
        <v>232</v>
      </c>
      <c r="G664" s="117" t="s">
        <v>2995</v>
      </c>
      <c r="H664" s="117" t="s">
        <v>2996</v>
      </c>
      <c r="I664" s="6" t="str">
        <f>VLOOKUP(CLEAN(F664),'World Bank Categories'!$B$4:$C$220,2,FALSE)</f>
        <v>Middle income</v>
      </c>
      <c r="J664" s="117" t="s">
        <v>2997</v>
      </c>
      <c r="K664" s="117" t="s">
        <v>29</v>
      </c>
      <c r="L664" s="117" t="s">
        <v>162</v>
      </c>
      <c r="M664" s="117"/>
      <c r="N664" s="117"/>
      <c r="O664" s="117"/>
      <c r="P664" s="117" t="s">
        <v>31</v>
      </c>
      <c r="Q664" s="9" t="s">
        <v>32</v>
      </c>
      <c r="R664" s="119"/>
      <c r="S664" s="69" t="s">
        <v>2998</v>
      </c>
      <c r="T664" s="27">
        <v>38488</v>
      </c>
      <c r="U664" s="25" t="s">
        <v>2997</v>
      </c>
      <c r="V664" s="25" t="s">
        <v>80</v>
      </c>
      <c r="W664" s="25"/>
    </row>
    <row r="665" spans="1:23" ht="22.5" customHeight="1">
      <c r="A665" s="80">
        <v>46091.535045034718</v>
      </c>
      <c r="B665" s="81" t="s">
        <v>2999</v>
      </c>
      <c r="C665" s="82"/>
      <c r="D665" s="81" t="s">
        <v>45</v>
      </c>
      <c r="E665" s="83">
        <v>32078</v>
      </c>
      <c r="F665" s="81" t="s">
        <v>208</v>
      </c>
      <c r="G665" s="81" t="s">
        <v>3000</v>
      </c>
      <c r="H665" s="120" t="s">
        <v>3001</v>
      </c>
      <c r="I665" s="6" t="str">
        <f>VLOOKUP(CLEAN(F665),'World Bank Categories'!$B$4:$C$220,2,FALSE)</f>
        <v>Low income</v>
      </c>
      <c r="J665" s="120" t="s">
        <v>3002</v>
      </c>
      <c r="K665" s="120" t="s">
        <v>29</v>
      </c>
      <c r="L665" s="120" t="s">
        <v>1168</v>
      </c>
      <c r="M665" s="121"/>
      <c r="N665" s="120"/>
      <c r="O665" s="120"/>
      <c r="P665" s="120" t="s">
        <v>31</v>
      </c>
      <c r="Q665" s="9" t="s">
        <v>32</v>
      </c>
      <c r="R665" s="10" t="s">
        <v>33</v>
      </c>
      <c r="S665" s="122" t="s">
        <v>3003</v>
      </c>
      <c r="T665" s="12"/>
      <c r="U665" s="12"/>
      <c r="V665" s="12"/>
      <c r="W665" s="12"/>
    </row>
    <row r="666" spans="1:23" ht="22.5" customHeight="1">
      <c r="A666" s="123">
        <v>46091.944881631949</v>
      </c>
      <c r="B666" s="124" t="s">
        <v>3004</v>
      </c>
      <c r="C666" s="124"/>
      <c r="D666" s="124" t="s">
        <v>24</v>
      </c>
      <c r="E666" s="125">
        <v>35775</v>
      </c>
      <c r="F666" s="124" t="s">
        <v>245</v>
      </c>
      <c r="G666" s="124" t="s">
        <v>3005</v>
      </c>
      <c r="H666" s="124" t="s">
        <v>3006</v>
      </c>
      <c r="I666" s="6" t="str">
        <f>VLOOKUP(CLEAN(F666),'World Bank Categories'!$B$4:$C$220,2,FALSE)</f>
        <v>Middle income</v>
      </c>
      <c r="J666" s="124" t="s">
        <v>3007</v>
      </c>
      <c r="K666" s="124" t="s">
        <v>39</v>
      </c>
      <c r="L666" s="124" t="s">
        <v>621</v>
      </c>
      <c r="M666" s="124" t="s">
        <v>3008</v>
      </c>
      <c r="N666" s="124"/>
      <c r="O666" s="124"/>
      <c r="P666" s="124" t="s">
        <v>31</v>
      </c>
      <c r="Q666" s="91" t="s">
        <v>32</v>
      </c>
      <c r="R666" s="18" t="s">
        <v>33</v>
      </c>
      <c r="S666" s="74" t="s">
        <v>3009</v>
      </c>
      <c r="T666" s="27">
        <v>35775</v>
      </c>
      <c r="U666" s="25" t="s">
        <v>3007</v>
      </c>
      <c r="V666" s="25" t="s">
        <v>154</v>
      </c>
      <c r="W666" s="25"/>
    </row>
    <row r="667" spans="1:23" ht="22.5" customHeight="1">
      <c r="A667" s="126">
        <v>46092.047262187501</v>
      </c>
      <c r="B667" s="127" t="s">
        <v>3010</v>
      </c>
      <c r="C667" s="127" t="s">
        <v>3011</v>
      </c>
      <c r="D667" s="127" t="s">
        <v>24</v>
      </c>
      <c r="E667" s="128">
        <v>25482</v>
      </c>
      <c r="F667" s="127" t="s">
        <v>422</v>
      </c>
      <c r="G667" s="127" t="s">
        <v>3012</v>
      </c>
      <c r="H667" s="127" t="s">
        <v>3013</v>
      </c>
      <c r="I667" s="6" t="str">
        <f>VLOOKUP(CLEAN(F667),'World Bank Categories'!$B$4:$C$220,2,FALSE)</f>
        <v>Middle income</v>
      </c>
      <c r="J667" s="127" t="s">
        <v>3014</v>
      </c>
      <c r="K667" s="127" t="s">
        <v>39</v>
      </c>
      <c r="L667" s="127" t="s">
        <v>162</v>
      </c>
      <c r="M667" s="127"/>
      <c r="N667" s="127"/>
      <c r="O667" s="127"/>
      <c r="P667" s="127" t="s">
        <v>31</v>
      </c>
      <c r="Q667" s="68" t="s">
        <v>32</v>
      </c>
      <c r="R667" s="10"/>
      <c r="S667" s="69" t="s">
        <v>3010</v>
      </c>
      <c r="T667" s="27">
        <v>25482</v>
      </c>
      <c r="U667" s="25" t="s">
        <v>3014</v>
      </c>
      <c r="V667" s="25" t="s">
        <v>80</v>
      </c>
      <c r="W667" s="25"/>
    </row>
    <row r="668" spans="1:23" ht="22.5" customHeight="1">
      <c r="A668" s="123">
        <v>46092.231993333335</v>
      </c>
      <c r="B668" s="124" t="s">
        <v>3015</v>
      </c>
      <c r="C668" s="124" t="s">
        <v>3015</v>
      </c>
      <c r="D668" s="124" t="s">
        <v>24</v>
      </c>
      <c r="E668" s="125">
        <v>36988</v>
      </c>
      <c r="F668" s="124" t="s">
        <v>1362</v>
      </c>
      <c r="G668" s="124" t="s">
        <v>1363</v>
      </c>
      <c r="H668" s="124" t="s">
        <v>3016</v>
      </c>
      <c r="I668" s="6" t="str">
        <f>VLOOKUP(CLEAN(F668),'World Bank Categories'!$B$4:$C$220,2,FALSE)</f>
        <v>Middle income</v>
      </c>
      <c r="J668" s="124" t="s">
        <v>3017</v>
      </c>
      <c r="K668" s="124" t="s">
        <v>29</v>
      </c>
      <c r="L668" s="124" t="s">
        <v>30</v>
      </c>
      <c r="M668" s="124"/>
      <c r="N668" s="124"/>
      <c r="O668" s="124"/>
      <c r="P668" s="124" t="s">
        <v>31</v>
      </c>
      <c r="Q668" s="68" t="s">
        <v>32</v>
      </c>
      <c r="R668" s="18" t="s">
        <v>33</v>
      </c>
      <c r="S668" s="74" t="s">
        <v>3015</v>
      </c>
      <c r="T668" s="27">
        <v>36988</v>
      </c>
      <c r="U668" s="25" t="s">
        <v>3017</v>
      </c>
      <c r="V668" s="25" t="s">
        <v>80</v>
      </c>
      <c r="W668" s="25"/>
    </row>
    <row r="669" spans="1:23" ht="22.5" customHeight="1">
      <c r="A669" s="126">
        <v>46092.232045069446</v>
      </c>
      <c r="B669" s="127" t="s">
        <v>3018</v>
      </c>
      <c r="C669" s="127" t="s">
        <v>3018</v>
      </c>
      <c r="D669" s="127" t="s">
        <v>45</v>
      </c>
      <c r="E669" s="128">
        <v>37138</v>
      </c>
      <c r="F669" s="127" t="s">
        <v>1362</v>
      </c>
      <c r="G669" s="127" t="s">
        <v>1363</v>
      </c>
      <c r="H669" s="127" t="s">
        <v>48</v>
      </c>
      <c r="I669" s="6" t="str">
        <f>VLOOKUP(CLEAN(F669),'World Bank Categories'!$B$4:$C$220,2,FALSE)</f>
        <v>Middle income</v>
      </c>
      <c r="J669" s="127" t="s">
        <v>3019</v>
      </c>
      <c r="K669" s="127" t="s">
        <v>29</v>
      </c>
      <c r="L669" s="127" t="s">
        <v>30</v>
      </c>
      <c r="M669" s="127"/>
      <c r="N669" s="127"/>
      <c r="O669" s="127"/>
      <c r="P669" s="127" t="s">
        <v>31</v>
      </c>
      <c r="Q669" s="68" t="s">
        <v>32</v>
      </c>
      <c r="R669" s="119" t="s">
        <v>33</v>
      </c>
      <c r="S669" s="69" t="s">
        <v>3020</v>
      </c>
      <c r="T669" s="27">
        <v>37138</v>
      </c>
      <c r="U669" s="25" t="s">
        <v>3019</v>
      </c>
      <c r="V669" s="25" t="s">
        <v>154</v>
      </c>
      <c r="W669" s="25"/>
    </row>
    <row r="670" spans="1:23" ht="22.5" customHeight="1">
      <c r="A670" s="116">
        <v>46093.087686423612</v>
      </c>
      <c r="B670" s="117" t="s">
        <v>3021</v>
      </c>
      <c r="C670" s="117"/>
      <c r="D670" s="117" t="s">
        <v>45</v>
      </c>
      <c r="E670" s="118">
        <v>27592</v>
      </c>
      <c r="F670" s="117" t="s">
        <v>3022</v>
      </c>
      <c r="G670" s="117" t="s">
        <v>3023</v>
      </c>
      <c r="H670" s="117" t="s">
        <v>186</v>
      </c>
      <c r="I670" s="6" t="str">
        <f>VLOOKUP(CLEAN(F670),'World Bank Categories'!$B$4:$C$220,2,FALSE)</f>
        <v>Middle income</v>
      </c>
      <c r="J670" s="117" t="s">
        <v>3024</v>
      </c>
      <c r="K670" s="117" t="s">
        <v>29</v>
      </c>
      <c r="L670" s="117" t="s">
        <v>30</v>
      </c>
      <c r="M670" s="117"/>
      <c r="N670" s="117"/>
      <c r="O670" s="117"/>
      <c r="P670" s="117" t="s">
        <v>31</v>
      </c>
      <c r="Q670" s="9" t="s">
        <v>32</v>
      </c>
      <c r="R670" s="119" t="s">
        <v>43</v>
      </c>
      <c r="S670" s="103" t="s">
        <v>3025</v>
      </c>
      <c r="T670" s="129">
        <v>27592</v>
      </c>
      <c r="U670" s="33" t="s">
        <v>3024</v>
      </c>
      <c r="V670" s="33" t="s">
        <v>80</v>
      </c>
      <c r="W670" s="33"/>
    </row>
    <row r="671" spans="1:23" ht="22.5" customHeight="1">
      <c r="A671" s="126">
        <v>46093.9166965162</v>
      </c>
      <c r="B671" s="127" t="s">
        <v>3026</v>
      </c>
      <c r="C671" s="127"/>
      <c r="D671" s="127" t="s">
        <v>24</v>
      </c>
      <c r="E671" s="128">
        <v>23417</v>
      </c>
      <c r="F671" s="127" t="s">
        <v>623</v>
      </c>
      <c r="G671" s="127" t="s">
        <v>3027</v>
      </c>
      <c r="H671" s="127" t="s">
        <v>3028</v>
      </c>
      <c r="I671" s="6" t="str">
        <f>VLOOKUP(CLEAN(F671),'World Bank Categories'!$B$4:$C$220,2,FALSE)</f>
        <v>Middle income</v>
      </c>
      <c r="J671" s="127" t="s">
        <v>3029</v>
      </c>
      <c r="K671" s="127" t="s">
        <v>29</v>
      </c>
      <c r="L671" s="127" t="s">
        <v>241</v>
      </c>
      <c r="M671" s="127" t="s">
        <v>3030</v>
      </c>
      <c r="N671" s="127"/>
      <c r="O671" s="127"/>
      <c r="P671" s="127" t="s">
        <v>31</v>
      </c>
      <c r="Q671" s="130" t="s">
        <v>32</v>
      </c>
      <c r="R671" s="18" t="s">
        <v>33</v>
      </c>
      <c r="S671" s="127"/>
      <c r="W671" s="12"/>
    </row>
    <row r="672" spans="1:23" ht="22.5" customHeight="1">
      <c r="A672" s="123">
        <v>46094.126172592594</v>
      </c>
      <c r="B672" s="124" t="s">
        <v>3031</v>
      </c>
      <c r="C672" s="124" t="s">
        <v>3032</v>
      </c>
      <c r="D672" s="124" t="s">
        <v>24</v>
      </c>
      <c r="E672" s="125">
        <v>38034</v>
      </c>
      <c r="F672" s="124" t="s">
        <v>70</v>
      </c>
      <c r="G672" s="124" t="s">
        <v>3033</v>
      </c>
      <c r="H672" s="124" t="s">
        <v>66</v>
      </c>
      <c r="I672" s="6" t="str">
        <f>VLOOKUP(CLEAN(F672),'World Bank Categories'!$B$4:$C$220,2,FALSE)</f>
        <v>Middle income</v>
      </c>
      <c r="J672" s="124" t="s">
        <v>3034</v>
      </c>
      <c r="K672" s="124" t="s">
        <v>29</v>
      </c>
      <c r="L672" s="124" t="s">
        <v>162</v>
      </c>
      <c r="M672" s="124"/>
      <c r="N672" s="124"/>
      <c r="O672" s="124"/>
      <c r="P672" s="124" t="s">
        <v>31</v>
      </c>
      <c r="Q672" s="130" t="s">
        <v>32</v>
      </c>
      <c r="R672" s="18"/>
      <c r="S672" s="124"/>
      <c r="W672" s="12"/>
    </row>
    <row r="673" spans="1:23" ht="22.5" customHeight="1">
      <c r="A673" s="123">
        <v>46094.758651180557</v>
      </c>
      <c r="B673" s="124" t="s">
        <v>3035</v>
      </c>
      <c r="C673" s="124" t="s">
        <v>871</v>
      </c>
      <c r="D673" s="124" t="s">
        <v>24</v>
      </c>
      <c r="E673" s="125">
        <v>27229</v>
      </c>
      <c r="F673" s="124" t="s">
        <v>227</v>
      </c>
      <c r="G673" s="124" t="s">
        <v>3036</v>
      </c>
      <c r="H673" s="124" t="s">
        <v>3037</v>
      </c>
      <c r="I673" s="6" t="str">
        <f>VLOOKUP(CLEAN(F673),'World Bank Categories'!$B$4:$C$220,2,FALSE)</f>
        <v>Middle income</v>
      </c>
      <c r="J673" s="124" t="s">
        <v>3038</v>
      </c>
      <c r="K673" s="124" t="s">
        <v>29</v>
      </c>
      <c r="L673" s="124" t="s">
        <v>30</v>
      </c>
      <c r="M673" s="124"/>
      <c r="N673" s="124"/>
      <c r="O673" s="124"/>
      <c r="P673" s="124" t="s">
        <v>31</v>
      </c>
      <c r="Q673" s="130" t="s">
        <v>32</v>
      </c>
      <c r="R673" s="10" t="s">
        <v>33</v>
      </c>
      <c r="S673" s="124"/>
      <c r="W673" s="12"/>
    </row>
    <row r="674" spans="1:23" ht="22.5" customHeight="1">
      <c r="A674" s="123">
        <v>46095.11671037037</v>
      </c>
      <c r="B674" s="124" t="s">
        <v>3039</v>
      </c>
      <c r="C674" s="124"/>
      <c r="D674" s="124" t="s">
        <v>24</v>
      </c>
      <c r="E674" s="125">
        <v>37191</v>
      </c>
      <c r="F674" s="124" t="s">
        <v>3040</v>
      </c>
      <c r="G674" s="124" t="s">
        <v>3041</v>
      </c>
      <c r="H674" s="124" t="s">
        <v>3042</v>
      </c>
      <c r="I674" s="6" t="str">
        <f>VLOOKUP(CLEAN(F674),'World Bank Categories'!$B$4:$C$220,2,FALSE)</f>
        <v>High income</v>
      </c>
      <c r="J674" s="124" t="s">
        <v>3043</v>
      </c>
      <c r="K674" s="124" t="s">
        <v>29</v>
      </c>
      <c r="L674" s="124" t="s">
        <v>30</v>
      </c>
      <c r="M674" s="124"/>
      <c r="N674" s="124"/>
      <c r="O674" s="124"/>
      <c r="P674" s="124" t="s">
        <v>31</v>
      </c>
      <c r="Q674" s="130" t="s">
        <v>32</v>
      </c>
      <c r="R674" s="10" t="s">
        <v>43</v>
      </c>
      <c r="S674" s="124"/>
      <c r="W674" s="12"/>
    </row>
    <row r="675" spans="1:23" ht="22.5" customHeight="1">
      <c r="A675" s="131">
        <v>46096.718495266206</v>
      </c>
      <c r="B675" s="132" t="s">
        <v>3044</v>
      </c>
      <c r="C675" s="132"/>
      <c r="D675" s="132" t="s">
        <v>45</v>
      </c>
      <c r="E675" s="133">
        <v>33666</v>
      </c>
      <c r="F675" s="132" t="s">
        <v>3045</v>
      </c>
      <c r="G675" s="132" t="s">
        <v>3046</v>
      </c>
      <c r="H675" s="132" t="s">
        <v>1595</v>
      </c>
      <c r="I675" s="6" t="str">
        <f>VLOOKUP(CLEAN(F675),'World Bank Categories'!$B$4:$C$220,2,FALSE)</f>
        <v>Middle income</v>
      </c>
      <c r="J675" s="132" t="s">
        <v>3047</v>
      </c>
      <c r="K675" s="132" t="s">
        <v>29</v>
      </c>
      <c r="L675" s="132" t="s">
        <v>30</v>
      </c>
      <c r="M675" s="132"/>
      <c r="N675" s="132"/>
      <c r="O675" s="132"/>
      <c r="P675" s="132" t="s">
        <v>31</v>
      </c>
      <c r="Q675" s="130" t="s">
        <v>32</v>
      </c>
      <c r="R675" s="18" t="s">
        <v>33</v>
      </c>
      <c r="S675" s="127"/>
      <c r="W675" s="12"/>
    </row>
    <row r="676" spans="1:23" ht="22.5" customHeight="1">
      <c r="A676" s="134">
        <v>46096.756837523149</v>
      </c>
      <c r="B676" s="135" t="s">
        <v>3048</v>
      </c>
      <c r="C676" s="135" t="s">
        <v>3049</v>
      </c>
      <c r="D676" s="135" t="s">
        <v>24</v>
      </c>
      <c r="E676" s="136">
        <v>29214</v>
      </c>
      <c r="F676" s="135" t="s">
        <v>732</v>
      </c>
      <c r="G676" s="135" t="s">
        <v>3050</v>
      </c>
      <c r="H676" s="135" t="s">
        <v>3051</v>
      </c>
      <c r="I676" s="6" t="str">
        <f>VLOOKUP(CLEAN(F676),'World Bank Categories'!$B$4:$C$220,2,FALSE)</f>
        <v>Middle income</v>
      </c>
      <c r="J676" s="135" t="s">
        <v>3052</v>
      </c>
      <c r="K676" s="135" t="s">
        <v>39</v>
      </c>
      <c r="L676" s="135" t="s">
        <v>152</v>
      </c>
      <c r="M676" s="135"/>
      <c r="N676" s="135"/>
      <c r="O676" s="135"/>
      <c r="P676" s="135" t="s">
        <v>31</v>
      </c>
      <c r="Q676" s="130" t="s">
        <v>32</v>
      </c>
      <c r="R676" s="10" t="s">
        <v>33</v>
      </c>
      <c r="S676" s="135"/>
      <c r="T676" s="40"/>
      <c r="U676" s="40"/>
      <c r="V676" s="40"/>
      <c r="W676" s="40"/>
    </row>
    <row r="677" spans="1:23" ht="22.5" customHeight="1">
      <c r="A677" s="137">
        <v>46098.971370509258</v>
      </c>
      <c r="B677" s="12" t="s">
        <v>3053</v>
      </c>
      <c r="D677" s="12" t="s">
        <v>45</v>
      </c>
      <c r="E677" s="138">
        <v>37300</v>
      </c>
      <c r="F677" s="139" t="s">
        <v>2713</v>
      </c>
      <c r="G677" s="12" t="s">
        <v>3054</v>
      </c>
      <c r="H677" s="12" t="s">
        <v>66</v>
      </c>
      <c r="I677" s="6" t="str">
        <f>VLOOKUP(CLEAN(F677),'World Bank Categories'!$B$4:$C$220,2,FALSE)</f>
        <v>High income</v>
      </c>
      <c r="J677" s="12" t="s">
        <v>3055</v>
      </c>
      <c r="K677" s="12" t="s">
        <v>29</v>
      </c>
      <c r="L677" s="12" t="s">
        <v>162</v>
      </c>
      <c r="P677" s="12" t="s">
        <v>31</v>
      </c>
      <c r="Q677" s="130" t="s">
        <v>32</v>
      </c>
      <c r="R677" s="18" t="s">
        <v>43</v>
      </c>
      <c r="S677" s="140" t="s">
        <v>3056</v>
      </c>
      <c r="W677" s="12"/>
    </row>
    <row r="678" spans="1:23" ht="22.5" customHeight="1">
      <c r="A678" s="137">
        <v>46099.043631666667</v>
      </c>
      <c r="B678" s="12" t="s">
        <v>3057</v>
      </c>
      <c r="D678" s="12" t="s">
        <v>24</v>
      </c>
      <c r="E678" s="138">
        <v>32021</v>
      </c>
      <c r="F678" s="141" t="s">
        <v>438</v>
      </c>
      <c r="G678" s="12" t="s">
        <v>3058</v>
      </c>
      <c r="H678" s="12" t="s">
        <v>2691</v>
      </c>
      <c r="I678" s="6" t="str">
        <f>VLOOKUP(CLEAN(F678),'World Bank Categories'!$B$4:$C$220,2,FALSE)</f>
        <v>Middle income</v>
      </c>
      <c r="J678" s="12" t="s">
        <v>3059</v>
      </c>
      <c r="K678" s="12" t="s">
        <v>39</v>
      </c>
      <c r="L678" s="12" t="s">
        <v>30</v>
      </c>
      <c r="P678" s="12" t="s">
        <v>31</v>
      </c>
      <c r="Q678" s="130" t="s">
        <v>32</v>
      </c>
      <c r="R678" s="10" t="s">
        <v>33</v>
      </c>
      <c r="S678" s="142" t="s">
        <v>3060</v>
      </c>
      <c r="W678" s="12"/>
    </row>
    <row r="679" spans="1:23" ht="22.5" customHeight="1">
      <c r="A679" s="137">
        <v>46099.052083877315</v>
      </c>
      <c r="B679" s="12" t="s">
        <v>3061</v>
      </c>
      <c r="C679" s="12" t="s">
        <v>3061</v>
      </c>
      <c r="D679" s="12" t="s">
        <v>24</v>
      </c>
      <c r="E679" s="138">
        <v>36587</v>
      </c>
      <c r="F679" s="139" t="s">
        <v>1179</v>
      </c>
      <c r="G679" s="12" t="s">
        <v>3062</v>
      </c>
      <c r="H679" s="12" t="s">
        <v>66</v>
      </c>
      <c r="I679" s="6" t="str">
        <f>VLOOKUP(CLEAN(F679),'World Bank Categories'!$B$4:$C$220,2,FALSE)</f>
        <v>High income</v>
      </c>
      <c r="J679" s="12" t="s">
        <v>3063</v>
      </c>
      <c r="K679" s="12" t="s">
        <v>29</v>
      </c>
      <c r="L679" s="12" t="s">
        <v>30</v>
      </c>
      <c r="P679" s="12" t="s">
        <v>31</v>
      </c>
      <c r="Q679" s="130" t="s">
        <v>32</v>
      </c>
      <c r="R679" s="18" t="s">
        <v>43</v>
      </c>
      <c r="S679" s="140" t="s">
        <v>3061</v>
      </c>
      <c r="W679" s="12"/>
    </row>
    <row r="680" spans="1:23" ht="22.5" customHeight="1">
      <c r="A680" s="137">
        <v>46099.073697627318</v>
      </c>
      <c r="B680" s="12" t="s">
        <v>3064</v>
      </c>
      <c r="D680" s="12" t="s">
        <v>45</v>
      </c>
      <c r="E680" s="138">
        <v>34032</v>
      </c>
      <c r="F680" s="141" t="s">
        <v>3065</v>
      </c>
      <c r="G680" s="12" t="s">
        <v>3066</v>
      </c>
      <c r="H680" s="12" t="s">
        <v>3067</v>
      </c>
      <c r="I680" s="6" t="str">
        <f>VLOOKUP(CLEAN(F680),'World Bank Categories'!$B$4:$C$220,2,FALSE)</f>
        <v>Middle income</v>
      </c>
      <c r="J680" s="12" t="s">
        <v>3068</v>
      </c>
      <c r="K680" s="12" t="s">
        <v>29</v>
      </c>
      <c r="L680" s="12" t="s">
        <v>30</v>
      </c>
      <c r="P680" s="12" t="s">
        <v>31</v>
      </c>
      <c r="Q680" s="130" t="s">
        <v>32</v>
      </c>
      <c r="R680" s="10" t="s">
        <v>33</v>
      </c>
      <c r="S680" s="142"/>
      <c r="W680" s="12"/>
    </row>
    <row r="681" spans="1:23" ht="22.5" customHeight="1">
      <c r="A681" s="137">
        <v>46099.165703587962</v>
      </c>
      <c r="B681" s="12" t="s">
        <v>3069</v>
      </c>
      <c r="D681" s="12" t="s">
        <v>45</v>
      </c>
      <c r="E681" s="138">
        <v>29346</v>
      </c>
      <c r="F681" s="141" t="s">
        <v>1932</v>
      </c>
      <c r="G681" s="12" t="s">
        <v>3070</v>
      </c>
      <c r="H681" s="12" t="s">
        <v>111</v>
      </c>
      <c r="I681" s="6" t="str">
        <f>VLOOKUP(CLEAN(F681),'World Bank Categories'!$B$4:$C$220,2,FALSE)</f>
        <v>Middle income</v>
      </c>
      <c r="J681" s="12" t="s">
        <v>3071</v>
      </c>
      <c r="K681" s="12" t="s">
        <v>29</v>
      </c>
      <c r="L681" s="12" t="s">
        <v>30</v>
      </c>
      <c r="P681" s="12" t="s">
        <v>31</v>
      </c>
      <c r="Q681" s="130" t="s">
        <v>32</v>
      </c>
      <c r="R681" s="10" t="s">
        <v>33</v>
      </c>
      <c r="S681" s="142" t="s">
        <v>3072</v>
      </c>
      <c r="W681" s="12"/>
    </row>
    <row r="682" spans="1:23" ht="22.5" customHeight="1">
      <c r="A682" s="137">
        <v>46099.21128447917</v>
      </c>
      <c r="B682" s="12" t="s">
        <v>3073</v>
      </c>
      <c r="C682" s="12" t="s">
        <v>3074</v>
      </c>
      <c r="D682" s="12" t="s">
        <v>45</v>
      </c>
      <c r="E682" s="138">
        <v>38173</v>
      </c>
      <c r="F682" s="139" t="s">
        <v>70</v>
      </c>
      <c r="G682" s="12" t="s">
        <v>2374</v>
      </c>
      <c r="H682" s="12" t="s">
        <v>186</v>
      </c>
      <c r="I682" s="6" t="str">
        <f>VLOOKUP(CLEAN(F682),'World Bank Categories'!$B$4:$C$220,2,FALSE)</f>
        <v>Middle income</v>
      </c>
      <c r="J682" s="12" t="s">
        <v>3075</v>
      </c>
      <c r="K682" s="12" t="s">
        <v>29</v>
      </c>
      <c r="L682" s="143" t="s">
        <v>656</v>
      </c>
      <c r="M682" s="12" t="s">
        <v>3076</v>
      </c>
      <c r="P682" s="12" t="s">
        <v>31</v>
      </c>
      <c r="Q682" s="130" t="s">
        <v>32</v>
      </c>
      <c r="R682" s="18"/>
      <c r="S682" s="140" t="s">
        <v>3077</v>
      </c>
      <c r="W682" s="12"/>
    </row>
    <row r="683" spans="1:23" ht="22.5" customHeight="1">
      <c r="A683" s="137">
        <v>46099.350211296296</v>
      </c>
      <c r="B683" s="12" t="s">
        <v>3078</v>
      </c>
      <c r="D683" s="12" t="s">
        <v>45</v>
      </c>
      <c r="E683" s="138">
        <v>25525</v>
      </c>
      <c r="F683" s="141" t="s">
        <v>346</v>
      </c>
      <c r="G683" s="12" t="s">
        <v>209</v>
      </c>
      <c r="H683" s="12" t="s">
        <v>3079</v>
      </c>
      <c r="I683" s="6" t="str">
        <f>VLOOKUP(CLEAN(F683),'World Bank Categories'!$B$4:$C$220,2,FALSE)</f>
        <v>Middle income</v>
      </c>
      <c r="J683" s="12" t="s">
        <v>3080</v>
      </c>
      <c r="K683" s="12" t="s">
        <v>29</v>
      </c>
      <c r="L683" s="12" t="s">
        <v>30</v>
      </c>
      <c r="M683" s="12" t="s">
        <v>3081</v>
      </c>
      <c r="P683" s="12" t="s">
        <v>31</v>
      </c>
      <c r="Q683" s="130" t="s">
        <v>32</v>
      </c>
      <c r="R683" s="10" t="s">
        <v>33</v>
      </c>
      <c r="S683" s="142" t="s">
        <v>3082</v>
      </c>
      <c r="W683" s="12"/>
    </row>
    <row r="684" spans="1:23" ht="22.5" customHeight="1">
      <c r="A684" s="137">
        <v>46099.75315960648</v>
      </c>
      <c r="B684" s="12" t="s">
        <v>3083</v>
      </c>
      <c r="D684" s="12" t="s">
        <v>45</v>
      </c>
      <c r="E684" s="138">
        <v>30619</v>
      </c>
      <c r="F684" s="141" t="s">
        <v>380</v>
      </c>
      <c r="G684" s="12" t="s">
        <v>3084</v>
      </c>
      <c r="H684" s="12" t="s">
        <v>3085</v>
      </c>
      <c r="I684" s="6" t="str">
        <f>VLOOKUP(CLEAN(F684),'World Bank Categories'!$B$4:$C$220,2,FALSE)</f>
        <v>Low income</v>
      </c>
      <c r="J684" s="12" t="s">
        <v>3086</v>
      </c>
      <c r="K684" s="12" t="s">
        <v>29</v>
      </c>
      <c r="L684" s="12" t="s">
        <v>30</v>
      </c>
      <c r="P684" s="12" t="s">
        <v>31</v>
      </c>
      <c r="Q684" s="130" t="s">
        <v>32</v>
      </c>
      <c r="R684" s="10" t="s">
        <v>33</v>
      </c>
      <c r="S684" s="142" t="s">
        <v>3087</v>
      </c>
      <c r="W684" s="12"/>
    </row>
    <row r="685" spans="1:23" ht="22.5" customHeight="1">
      <c r="A685" s="137">
        <v>46099.905534398145</v>
      </c>
      <c r="B685" s="12" t="s">
        <v>3088</v>
      </c>
      <c r="D685" s="12" t="s">
        <v>45</v>
      </c>
      <c r="E685" s="138">
        <v>33660</v>
      </c>
      <c r="F685" s="139" t="s">
        <v>2720</v>
      </c>
      <c r="G685" s="12" t="s">
        <v>3089</v>
      </c>
      <c r="H685" s="12" t="s">
        <v>3090</v>
      </c>
      <c r="I685" s="6" t="str">
        <f>VLOOKUP(CLEAN(F685),'World Bank Categories'!$B$4:$C$220,2,FALSE)</f>
        <v>Middle income</v>
      </c>
      <c r="J685" s="12" t="s">
        <v>3091</v>
      </c>
      <c r="K685" s="12" t="s">
        <v>29</v>
      </c>
      <c r="L685" s="12" t="s">
        <v>30</v>
      </c>
      <c r="P685" s="12" t="s">
        <v>31</v>
      </c>
      <c r="Q685" s="130" t="s">
        <v>32</v>
      </c>
      <c r="R685" s="18" t="s">
        <v>33</v>
      </c>
      <c r="S685" s="140" t="s">
        <v>3092</v>
      </c>
      <c r="W685" s="12"/>
    </row>
    <row r="686" spans="1:23" ht="22.5" customHeight="1">
      <c r="A686" s="137">
        <v>46100.677165335648</v>
      </c>
      <c r="B686" s="12" t="s">
        <v>3093</v>
      </c>
      <c r="C686" s="12" t="s">
        <v>3094</v>
      </c>
      <c r="D686" s="12" t="s">
        <v>45</v>
      </c>
      <c r="E686" s="138">
        <v>37910</v>
      </c>
      <c r="F686" s="141" t="s">
        <v>1053</v>
      </c>
      <c r="G686" s="12" t="s">
        <v>3095</v>
      </c>
      <c r="H686" s="12" t="s">
        <v>160</v>
      </c>
      <c r="I686" s="6" t="str">
        <f>VLOOKUP(CLEAN(F686),'World Bank Categories'!$B$4:$C$220,2,FALSE)</f>
        <v>High income</v>
      </c>
      <c r="J686" s="12" t="s">
        <v>3096</v>
      </c>
      <c r="K686" s="12" t="s">
        <v>29</v>
      </c>
      <c r="L686" s="12" t="s">
        <v>30</v>
      </c>
      <c r="P686" s="12" t="s">
        <v>31</v>
      </c>
      <c r="Q686" s="130" t="s">
        <v>32</v>
      </c>
      <c r="R686" s="10" t="s">
        <v>43</v>
      </c>
      <c r="S686" s="142" t="s">
        <v>3097</v>
      </c>
      <c r="W686" s="12"/>
    </row>
    <row r="687" spans="1:23" ht="22.5" customHeight="1">
      <c r="A687" s="137">
        <v>46100.89842143518</v>
      </c>
      <c r="B687" s="12" t="s">
        <v>3098</v>
      </c>
      <c r="D687" s="12" t="s">
        <v>45</v>
      </c>
      <c r="E687" s="138">
        <v>36768</v>
      </c>
      <c r="F687" s="141" t="s">
        <v>838</v>
      </c>
      <c r="G687" s="12" t="s">
        <v>3099</v>
      </c>
      <c r="H687" s="12" t="s">
        <v>66</v>
      </c>
      <c r="I687" s="6" t="str">
        <f>VLOOKUP(CLEAN(F687),'World Bank Categories'!$B$4:$C$220,2,FALSE)</f>
        <v>Middle income</v>
      </c>
      <c r="J687" s="12" t="s">
        <v>3100</v>
      </c>
      <c r="K687" s="12" t="s">
        <v>29</v>
      </c>
      <c r="L687" s="12" t="s">
        <v>30</v>
      </c>
      <c r="P687" s="12" t="s">
        <v>31</v>
      </c>
      <c r="Q687" s="130" t="s">
        <v>32</v>
      </c>
      <c r="R687" s="18" t="s">
        <v>33</v>
      </c>
      <c r="S687" s="142" t="s">
        <v>3098</v>
      </c>
      <c r="W687" s="12"/>
    </row>
    <row r="688" spans="1:23" ht="22.5" customHeight="1">
      <c r="A688" s="137">
        <v>46101.032405983795</v>
      </c>
      <c r="B688" s="12" t="s">
        <v>3101</v>
      </c>
      <c r="D688" s="12" t="s">
        <v>45</v>
      </c>
      <c r="E688" s="138">
        <v>27175</v>
      </c>
      <c r="F688" s="139" t="s">
        <v>232</v>
      </c>
      <c r="G688" s="12" t="s">
        <v>209</v>
      </c>
      <c r="H688" s="12" t="s">
        <v>3102</v>
      </c>
      <c r="I688" s="6" t="str">
        <f>VLOOKUP(CLEAN(F688),'World Bank Categories'!$B$4:$C$220,2,FALSE)</f>
        <v>Middle income</v>
      </c>
      <c r="J688" s="12" t="s">
        <v>3103</v>
      </c>
      <c r="K688" s="12" t="s">
        <v>29</v>
      </c>
      <c r="L688" s="12" t="s">
        <v>30</v>
      </c>
      <c r="P688" s="12" t="s">
        <v>31</v>
      </c>
      <c r="Q688" s="130" t="s">
        <v>32</v>
      </c>
      <c r="R688" s="10" t="s">
        <v>33</v>
      </c>
      <c r="S688" s="140" t="s">
        <v>3101</v>
      </c>
      <c r="W688" s="12"/>
    </row>
    <row r="689" spans="1:23" ht="22.5" customHeight="1">
      <c r="A689" s="137">
        <v>46101.508015451385</v>
      </c>
      <c r="B689" s="12" t="s">
        <v>3104</v>
      </c>
      <c r="C689" s="12" t="s">
        <v>3105</v>
      </c>
      <c r="D689" s="12" t="s">
        <v>24</v>
      </c>
      <c r="E689" s="138">
        <v>36544</v>
      </c>
      <c r="F689" s="141" t="s">
        <v>1053</v>
      </c>
      <c r="G689" s="12" t="s">
        <v>3106</v>
      </c>
      <c r="H689" s="12" t="s">
        <v>66</v>
      </c>
      <c r="I689" s="6" t="str">
        <f>VLOOKUP(CLEAN(F689),'World Bank Categories'!$B$4:$C$220,2,FALSE)</f>
        <v>High income</v>
      </c>
      <c r="J689" s="12" t="s">
        <v>3107</v>
      </c>
      <c r="K689" s="12" t="s">
        <v>39</v>
      </c>
      <c r="L689" s="12" t="s">
        <v>3108</v>
      </c>
      <c r="P689" s="12" t="s">
        <v>31</v>
      </c>
      <c r="Q689" s="130" t="s">
        <v>32</v>
      </c>
      <c r="R689" s="18" t="s">
        <v>43</v>
      </c>
      <c r="S689" s="142" t="s">
        <v>3109</v>
      </c>
      <c r="W689" s="12"/>
    </row>
    <row r="690" spans="1:23" ht="22.5" customHeight="1">
      <c r="A690" s="137">
        <v>46101.684119259255</v>
      </c>
      <c r="B690" s="12" t="s">
        <v>3110</v>
      </c>
      <c r="C690" s="12" t="s">
        <v>3111</v>
      </c>
      <c r="D690" s="12" t="s">
        <v>45</v>
      </c>
      <c r="E690" s="138">
        <v>33970</v>
      </c>
      <c r="F690" s="139" t="s">
        <v>83</v>
      </c>
      <c r="G690" s="12" t="s">
        <v>3112</v>
      </c>
      <c r="H690" s="12" t="s">
        <v>3113</v>
      </c>
      <c r="I690" s="6" t="str">
        <f>VLOOKUP(CLEAN(F690),'World Bank Categories'!$B$4:$C$220,2,FALSE)</f>
        <v>Low income</v>
      </c>
      <c r="J690" s="12" t="s">
        <v>3114</v>
      </c>
      <c r="K690" s="12" t="s">
        <v>29</v>
      </c>
      <c r="L690" s="12" t="s">
        <v>30</v>
      </c>
      <c r="P690" s="12" t="s">
        <v>31</v>
      </c>
      <c r="Q690" s="130" t="s">
        <v>32</v>
      </c>
      <c r="R690" s="119" t="s">
        <v>33</v>
      </c>
      <c r="S690" s="140" t="s">
        <v>3115</v>
      </c>
      <c r="W690" s="12"/>
    </row>
    <row r="691" spans="1:23" ht="22.5" customHeight="1">
      <c r="A691" s="144">
        <v>46101.865912997688</v>
      </c>
      <c r="B691" s="40" t="s">
        <v>3116</v>
      </c>
      <c r="C691" s="40" t="s">
        <v>3117</v>
      </c>
      <c r="D691" s="40" t="s">
        <v>45</v>
      </c>
      <c r="E691" s="145">
        <v>18055</v>
      </c>
      <c r="F691" s="146" t="s">
        <v>1745</v>
      </c>
      <c r="G691" s="40" t="s">
        <v>3118</v>
      </c>
      <c r="H691" s="40" t="s">
        <v>3119</v>
      </c>
      <c r="I691" s="6" t="str">
        <f>VLOOKUP(CLEAN(F691),'World Bank Categories'!$B$4:$C$220,2,FALSE)</f>
        <v>High income</v>
      </c>
      <c r="J691" s="40" t="s">
        <v>3120</v>
      </c>
      <c r="K691" s="40" t="s">
        <v>39</v>
      </c>
      <c r="L691" s="40" t="s">
        <v>152</v>
      </c>
      <c r="M691" s="40"/>
      <c r="N691" s="40"/>
      <c r="O691" s="40"/>
      <c r="P691" s="40" t="s">
        <v>31</v>
      </c>
      <c r="Q691" s="130" t="s">
        <v>32</v>
      </c>
      <c r="R691" s="119" t="s">
        <v>43</v>
      </c>
      <c r="S691" s="147" t="s">
        <v>3121</v>
      </c>
      <c r="T691" s="40"/>
      <c r="U691" s="40"/>
      <c r="V691" s="40"/>
      <c r="W691" s="40"/>
    </row>
    <row r="692" spans="1:23" ht="22.5" customHeight="1">
      <c r="A692" s="137">
        <v>46102.655898171295</v>
      </c>
      <c r="B692" s="12" t="s">
        <v>3122</v>
      </c>
      <c r="D692" s="12" t="s">
        <v>24</v>
      </c>
      <c r="E692" s="138">
        <v>36326</v>
      </c>
      <c r="F692" s="12" t="s">
        <v>58</v>
      </c>
      <c r="G692" s="12" t="s">
        <v>3123</v>
      </c>
      <c r="H692" s="12" t="s">
        <v>3124</v>
      </c>
      <c r="I692" s="6" t="str">
        <f>VLOOKUP(CLEAN(F692),'World Bank Categories'!$B$4:$C$220,2,FALSE)</f>
        <v>Middle income</v>
      </c>
      <c r="J692" s="12" t="s">
        <v>3125</v>
      </c>
      <c r="K692" s="12" t="s">
        <v>29</v>
      </c>
      <c r="L692" s="12" t="s">
        <v>30</v>
      </c>
      <c r="P692" s="12" t="s">
        <v>31</v>
      </c>
      <c r="Q692" s="130" t="s">
        <v>32</v>
      </c>
      <c r="R692" s="148" t="s">
        <v>43</v>
      </c>
      <c r="S692" s="149" t="s">
        <v>3126</v>
      </c>
      <c r="T692" s="150">
        <v>36326</v>
      </c>
      <c r="U692" s="149" t="s">
        <v>3125</v>
      </c>
      <c r="V692" s="151" t="s">
        <v>3127</v>
      </c>
      <c r="W692" s="151"/>
    </row>
    <row r="693" spans="1:23" ht="22.5" customHeight="1">
      <c r="A693" s="137">
        <v>46104.807750555556</v>
      </c>
      <c r="B693" s="12" t="s">
        <v>3128</v>
      </c>
      <c r="D693" s="12" t="s">
        <v>45</v>
      </c>
      <c r="E693" s="138">
        <v>27929</v>
      </c>
      <c r="F693" s="12" t="s">
        <v>1179</v>
      </c>
      <c r="G693" s="12" t="s">
        <v>3129</v>
      </c>
      <c r="H693" s="12" t="s">
        <v>3130</v>
      </c>
      <c r="I693" s="6" t="str">
        <f>VLOOKUP(CLEAN(F693),'World Bank Categories'!$B$4:$C$220,2,FALSE)</f>
        <v>High income</v>
      </c>
      <c r="J693" s="12" t="s">
        <v>3131</v>
      </c>
      <c r="K693" s="12" t="s">
        <v>29</v>
      </c>
      <c r="L693" s="12" t="s">
        <v>30</v>
      </c>
      <c r="P693" s="12" t="s">
        <v>31</v>
      </c>
      <c r="Q693" s="130" t="s">
        <v>32</v>
      </c>
      <c r="R693" s="152" t="s">
        <v>33</v>
      </c>
      <c r="S693" s="149" t="s">
        <v>3132</v>
      </c>
      <c r="T693" s="150">
        <v>27929</v>
      </c>
      <c r="U693" s="149" t="s">
        <v>3131</v>
      </c>
      <c r="V693" s="151" t="s">
        <v>3127</v>
      </c>
      <c r="W693" s="151"/>
    </row>
    <row r="694" spans="1:23" ht="22.5" customHeight="1">
      <c r="A694" s="137">
        <v>46104.846566180553</v>
      </c>
      <c r="B694" s="12" t="s">
        <v>3133</v>
      </c>
      <c r="C694" s="12" t="s">
        <v>3134</v>
      </c>
      <c r="D694" s="12" t="s">
        <v>24</v>
      </c>
      <c r="E694" s="138">
        <v>37708</v>
      </c>
      <c r="F694" s="141" t="s">
        <v>1053</v>
      </c>
      <c r="G694" s="12" t="s">
        <v>3135</v>
      </c>
      <c r="H694" s="12" t="s">
        <v>3136</v>
      </c>
      <c r="I694" s="6" t="str">
        <f>VLOOKUP(CLEAN(F694),'World Bank Categories'!$B$4:$C$220,2,FALSE)</f>
        <v>High income</v>
      </c>
      <c r="J694" s="12" t="s">
        <v>3137</v>
      </c>
      <c r="K694" s="12" t="s">
        <v>29</v>
      </c>
      <c r="L694" s="12" t="s">
        <v>30</v>
      </c>
      <c r="P694" s="12" t="s">
        <v>31</v>
      </c>
      <c r="Q694" s="130" t="s">
        <v>32</v>
      </c>
      <c r="R694" s="148" t="s">
        <v>43</v>
      </c>
      <c r="S694" s="149" t="s">
        <v>3138</v>
      </c>
      <c r="T694" s="150">
        <v>37708</v>
      </c>
      <c r="U694" s="149" t="s">
        <v>3137</v>
      </c>
      <c r="V694" s="151" t="s">
        <v>3127</v>
      </c>
      <c r="W694" s="151"/>
    </row>
    <row r="695" spans="1:23" ht="22.5" customHeight="1">
      <c r="A695" s="137">
        <v>46106.797548599541</v>
      </c>
      <c r="B695" s="12" t="s">
        <v>3139</v>
      </c>
      <c r="C695" s="12" t="s">
        <v>3140</v>
      </c>
      <c r="D695" s="12" t="s">
        <v>24</v>
      </c>
      <c r="E695" s="138">
        <v>35488</v>
      </c>
      <c r="F695" s="12" t="s">
        <v>70</v>
      </c>
      <c r="G695" s="12" t="s">
        <v>3141</v>
      </c>
      <c r="H695" s="12" t="s">
        <v>98</v>
      </c>
      <c r="I695" s="6" t="str">
        <f>VLOOKUP(CLEAN(F695),'World Bank Categories'!$B$4:$C$220,2,FALSE)</f>
        <v>Middle income</v>
      </c>
      <c r="J695" s="12" t="s">
        <v>3142</v>
      </c>
      <c r="K695" s="12" t="s">
        <v>29</v>
      </c>
      <c r="L695" s="12" t="s">
        <v>30</v>
      </c>
      <c r="P695" s="12" t="s">
        <v>31</v>
      </c>
      <c r="Q695" s="130" t="s">
        <v>32</v>
      </c>
      <c r="R695" s="152"/>
      <c r="S695" s="149" t="s">
        <v>3143</v>
      </c>
      <c r="T695" s="150">
        <v>35488</v>
      </c>
      <c r="U695" s="149" t="s">
        <v>3142</v>
      </c>
      <c r="V695" s="151" t="s">
        <v>3127</v>
      </c>
      <c r="W695" s="151"/>
    </row>
    <row r="696" spans="1:23" ht="22.5" customHeight="1">
      <c r="A696" s="137">
        <v>46106.798691354168</v>
      </c>
      <c r="B696" s="12" t="s">
        <v>3144</v>
      </c>
      <c r="D696" s="12" t="s">
        <v>45</v>
      </c>
      <c r="E696" s="138">
        <v>37493</v>
      </c>
      <c r="F696" s="12" t="s">
        <v>52</v>
      </c>
      <c r="G696" s="12" t="s">
        <v>3145</v>
      </c>
      <c r="H696" s="12" t="s">
        <v>66</v>
      </c>
      <c r="I696" s="6" t="str">
        <f>VLOOKUP(CLEAN(F696),'World Bank Categories'!$B$4:$C$220,2,FALSE)</f>
        <v>Middle income</v>
      </c>
      <c r="J696" s="12" t="s">
        <v>3146</v>
      </c>
      <c r="K696" s="12" t="s">
        <v>29</v>
      </c>
      <c r="L696" s="12" t="s">
        <v>30</v>
      </c>
      <c r="P696" s="12" t="s">
        <v>31</v>
      </c>
      <c r="Q696" s="130" t="s">
        <v>32</v>
      </c>
      <c r="R696" s="148"/>
      <c r="S696" s="149" t="s">
        <v>3147</v>
      </c>
      <c r="T696" s="150">
        <v>37493</v>
      </c>
      <c r="U696" s="149" t="s">
        <v>3146</v>
      </c>
      <c r="V696" s="151" t="s">
        <v>3127</v>
      </c>
      <c r="W696" s="151"/>
    </row>
    <row r="697" spans="1:23" ht="22.5" customHeight="1">
      <c r="A697" s="137">
        <v>46106.800996782404</v>
      </c>
      <c r="B697" s="12" t="s">
        <v>3148</v>
      </c>
      <c r="D697" s="12" t="s">
        <v>24</v>
      </c>
      <c r="E697" s="138">
        <v>33452</v>
      </c>
      <c r="F697" s="12" t="s">
        <v>732</v>
      </c>
      <c r="G697" s="12" t="s">
        <v>3149</v>
      </c>
      <c r="H697" s="12" t="s">
        <v>3150</v>
      </c>
      <c r="I697" s="6" t="str">
        <f>VLOOKUP(CLEAN(F697),'World Bank Categories'!$B$4:$C$220,2,FALSE)</f>
        <v>Middle income</v>
      </c>
      <c r="J697" s="12" t="s">
        <v>3151</v>
      </c>
      <c r="K697" s="12" t="s">
        <v>29</v>
      </c>
      <c r="L697" s="12" t="s">
        <v>30</v>
      </c>
      <c r="P697" s="12" t="s">
        <v>31</v>
      </c>
      <c r="Q697" s="130" t="s">
        <v>32</v>
      </c>
      <c r="R697" s="152" t="s">
        <v>33</v>
      </c>
      <c r="S697" s="149" t="s">
        <v>3148</v>
      </c>
      <c r="T697" s="150">
        <v>33452</v>
      </c>
      <c r="U697" s="149" t="s">
        <v>3151</v>
      </c>
      <c r="V697" s="151" t="s">
        <v>3127</v>
      </c>
      <c r="W697" s="151"/>
    </row>
    <row r="698" spans="1:23" ht="22.5" customHeight="1">
      <c r="A698" s="137">
        <v>46106.824802013885</v>
      </c>
      <c r="B698" s="12" t="s">
        <v>3152</v>
      </c>
      <c r="D698" s="12" t="s">
        <v>45</v>
      </c>
      <c r="E698" s="138">
        <v>33603</v>
      </c>
      <c r="F698" s="12" t="s">
        <v>799</v>
      </c>
      <c r="G698" s="12" t="s">
        <v>3153</v>
      </c>
      <c r="H698" s="12" t="s">
        <v>3154</v>
      </c>
      <c r="I698" s="6" t="str">
        <f>VLOOKUP(CLEAN(F698),'World Bank Categories'!$B$4:$C$220,2,FALSE)</f>
        <v>Low income</v>
      </c>
      <c r="J698" s="12" t="s">
        <v>3155</v>
      </c>
      <c r="K698" s="12" t="s">
        <v>29</v>
      </c>
      <c r="L698" s="12" t="s">
        <v>30</v>
      </c>
      <c r="P698" s="12" t="s">
        <v>31</v>
      </c>
      <c r="Q698" s="130" t="s">
        <v>32</v>
      </c>
      <c r="R698" s="148"/>
      <c r="S698" s="149" t="s">
        <v>3156</v>
      </c>
      <c r="T698" s="150">
        <v>33603</v>
      </c>
      <c r="U698" s="149" t="s">
        <v>3155</v>
      </c>
      <c r="V698" s="151" t="s">
        <v>3127</v>
      </c>
      <c r="W698" s="151"/>
    </row>
    <row r="699" spans="1:23" ht="22.5" customHeight="1">
      <c r="A699" s="137">
        <v>46107.035129432872</v>
      </c>
      <c r="B699" s="12" t="s">
        <v>3157</v>
      </c>
      <c r="D699" s="12" t="s">
        <v>45</v>
      </c>
      <c r="E699" s="138">
        <v>32319</v>
      </c>
      <c r="F699" s="141" t="s">
        <v>838</v>
      </c>
      <c r="G699" s="12" t="s">
        <v>3158</v>
      </c>
      <c r="H699" s="12" t="s">
        <v>186</v>
      </c>
      <c r="I699" s="6" t="str">
        <f>VLOOKUP(CLEAN(F699),'World Bank Categories'!$B$4:$C$220,2,FALSE)</f>
        <v>Middle income</v>
      </c>
      <c r="J699" s="12" t="s">
        <v>3159</v>
      </c>
      <c r="K699" s="12" t="s">
        <v>29</v>
      </c>
      <c r="L699" s="12" t="s">
        <v>30</v>
      </c>
      <c r="P699" s="12" t="s">
        <v>31</v>
      </c>
      <c r="Q699" s="130" t="s">
        <v>32</v>
      </c>
      <c r="R699" s="152" t="s">
        <v>33</v>
      </c>
      <c r="S699" s="149" t="s">
        <v>3160</v>
      </c>
      <c r="T699" s="150">
        <v>32319</v>
      </c>
      <c r="U699" s="149" t="s">
        <v>3161</v>
      </c>
      <c r="V699" s="151" t="s">
        <v>3127</v>
      </c>
      <c r="W699" s="151"/>
    </row>
    <row r="700" spans="1:23" ht="22.5" customHeight="1">
      <c r="A700" s="137">
        <v>46107.043179270833</v>
      </c>
      <c r="B700" s="12" t="s">
        <v>3162</v>
      </c>
      <c r="D700" s="12" t="s">
        <v>45</v>
      </c>
      <c r="E700" s="138">
        <v>28885</v>
      </c>
      <c r="F700" s="141" t="s">
        <v>838</v>
      </c>
      <c r="G700" s="12" t="s">
        <v>3163</v>
      </c>
      <c r="H700" s="12" t="s">
        <v>111</v>
      </c>
      <c r="I700" s="6" t="str">
        <f>VLOOKUP(CLEAN(F700),'World Bank Categories'!$B$4:$C$220,2,FALSE)</f>
        <v>Middle income</v>
      </c>
      <c r="J700" s="12" t="s">
        <v>3164</v>
      </c>
      <c r="K700" s="12" t="s">
        <v>29</v>
      </c>
      <c r="L700" s="143" t="s">
        <v>1168</v>
      </c>
      <c r="P700" s="12" t="s">
        <v>31</v>
      </c>
      <c r="Q700" s="130" t="s">
        <v>32</v>
      </c>
      <c r="R700" s="148" t="s">
        <v>33</v>
      </c>
      <c r="S700" s="149" t="s">
        <v>3165</v>
      </c>
      <c r="T700" s="150">
        <v>28885</v>
      </c>
      <c r="U700" s="149" t="s">
        <v>3166</v>
      </c>
      <c r="V700" s="151" t="s">
        <v>3127</v>
      </c>
      <c r="W700" s="151"/>
    </row>
    <row r="701" spans="1:23" ht="22.5" customHeight="1">
      <c r="A701" s="137">
        <v>46107.133913229161</v>
      </c>
      <c r="B701" s="12" t="s">
        <v>3167</v>
      </c>
      <c r="D701" s="12" t="s">
        <v>24</v>
      </c>
      <c r="E701" s="138">
        <v>29327</v>
      </c>
      <c r="F701" s="12" t="s">
        <v>232</v>
      </c>
      <c r="G701" s="12" t="s">
        <v>3168</v>
      </c>
      <c r="H701" s="12" t="s">
        <v>186</v>
      </c>
      <c r="I701" s="6" t="str">
        <f>VLOOKUP(CLEAN(F701),'World Bank Categories'!$B$4:$C$220,2,FALSE)</f>
        <v>Middle income</v>
      </c>
      <c r="J701" s="12" t="s">
        <v>3169</v>
      </c>
      <c r="K701" s="12" t="s">
        <v>39</v>
      </c>
      <c r="L701" s="12" t="s">
        <v>621</v>
      </c>
      <c r="M701" s="12" t="s">
        <v>3170</v>
      </c>
      <c r="N701" s="12" t="s">
        <v>3171</v>
      </c>
      <c r="O701" s="12" t="s">
        <v>214</v>
      </c>
      <c r="P701" s="12" t="s">
        <v>31</v>
      </c>
      <c r="Q701" s="130" t="s">
        <v>32</v>
      </c>
      <c r="R701" s="153" t="s">
        <v>43</v>
      </c>
      <c r="S701" s="149" t="s">
        <v>1921</v>
      </c>
      <c r="T701" s="150">
        <v>29327</v>
      </c>
      <c r="U701" s="154" t="s">
        <v>1924</v>
      </c>
      <c r="V701" s="151" t="s">
        <v>3172</v>
      </c>
      <c r="W701" s="151"/>
    </row>
    <row r="702" spans="1:23" ht="22.5" customHeight="1">
      <c r="A702" s="137">
        <v>46107.149783993053</v>
      </c>
      <c r="B702" s="12" t="s">
        <v>3173</v>
      </c>
      <c r="D702" s="12" t="s">
        <v>45</v>
      </c>
      <c r="E702" s="138">
        <v>27674</v>
      </c>
      <c r="F702" s="12" t="s">
        <v>232</v>
      </c>
      <c r="G702" s="12" t="s">
        <v>2671</v>
      </c>
      <c r="H702" s="12" t="s">
        <v>54</v>
      </c>
      <c r="I702" s="6" t="str">
        <f>VLOOKUP(CLEAN(F702),'World Bank Categories'!$B$4:$C$220,2,FALSE)</f>
        <v>Middle income</v>
      </c>
      <c r="J702" s="12" t="s">
        <v>3169</v>
      </c>
      <c r="K702" s="12" t="s">
        <v>39</v>
      </c>
      <c r="L702" s="12" t="s">
        <v>621</v>
      </c>
      <c r="M702" s="12" t="s">
        <v>3174</v>
      </c>
      <c r="P702" s="12" t="s">
        <v>31</v>
      </c>
      <c r="Q702" s="130" t="s">
        <v>32</v>
      </c>
      <c r="R702" s="155" t="s">
        <v>43</v>
      </c>
      <c r="S702" s="149" t="s">
        <v>3175</v>
      </c>
      <c r="T702" s="150">
        <v>27674</v>
      </c>
      <c r="U702" s="154" t="s">
        <v>3176</v>
      </c>
      <c r="V702" s="151" t="s">
        <v>3172</v>
      </c>
      <c r="W702" s="151"/>
    </row>
    <row r="703" spans="1:23" ht="22.5" customHeight="1">
      <c r="A703" s="137">
        <v>46107.673210289351</v>
      </c>
      <c r="B703" s="12" t="s">
        <v>3177</v>
      </c>
      <c r="D703" s="12" t="s">
        <v>45</v>
      </c>
      <c r="E703" s="138">
        <v>35766</v>
      </c>
      <c r="F703" s="12" t="s">
        <v>486</v>
      </c>
      <c r="G703" s="12" t="s">
        <v>209</v>
      </c>
      <c r="H703" s="12" t="s">
        <v>3178</v>
      </c>
      <c r="I703" s="6" t="str">
        <f>VLOOKUP(CLEAN(F703),'World Bank Categories'!$B$4:$C$220,2,FALSE)</f>
        <v>High income</v>
      </c>
      <c r="J703" s="12" t="s">
        <v>3179</v>
      </c>
      <c r="K703" s="12" t="s">
        <v>29</v>
      </c>
      <c r="L703" s="12" t="s">
        <v>30</v>
      </c>
      <c r="P703" s="12" t="s">
        <v>31</v>
      </c>
      <c r="Q703" s="130" t="s">
        <v>32</v>
      </c>
      <c r="R703" s="152" t="s">
        <v>33</v>
      </c>
      <c r="S703" s="149" t="s">
        <v>3180</v>
      </c>
      <c r="T703" s="150">
        <v>35766</v>
      </c>
      <c r="U703" s="149" t="s">
        <v>3179</v>
      </c>
      <c r="V703" s="151" t="s">
        <v>3127</v>
      </c>
      <c r="W703" s="151"/>
    </row>
    <row r="704" spans="1:23" ht="22.5" customHeight="1">
      <c r="A704" s="137">
        <v>46107.910014629626</v>
      </c>
      <c r="B704" s="12" t="s">
        <v>3181</v>
      </c>
      <c r="D704" s="12" t="s">
        <v>24</v>
      </c>
      <c r="E704" s="138">
        <v>26825</v>
      </c>
      <c r="F704" s="12" t="s">
        <v>2777</v>
      </c>
      <c r="G704" s="12" t="s">
        <v>3182</v>
      </c>
      <c r="H704" s="12" t="s">
        <v>1756</v>
      </c>
      <c r="I704" s="6" t="str">
        <f>VLOOKUP(CLEAN(F704),'World Bank Categories'!$B$4:$C$220,2,FALSE)</f>
        <v>High income</v>
      </c>
      <c r="J704" s="12" t="s">
        <v>3183</v>
      </c>
      <c r="K704" s="12" t="s">
        <v>29</v>
      </c>
      <c r="L704" s="12" t="s">
        <v>30</v>
      </c>
      <c r="P704" s="12" t="s">
        <v>31</v>
      </c>
      <c r="Q704" s="130" t="s">
        <v>32</v>
      </c>
      <c r="R704" s="148" t="s">
        <v>43</v>
      </c>
      <c r="S704" s="156" t="s">
        <v>3181</v>
      </c>
      <c r="T704" s="150">
        <v>26825</v>
      </c>
      <c r="U704" s="149" t="s">
        <v>3183</v>
      </c>
      <c r="V704" s="151" t="s">
        <v>3127</v>
      </c>
      <c r="W704" s="151"/>
    </row>
    <row r="705" spans="1:23" ht="22.5" customHeight="1">
      <c r="A705" s="137">
        <v>46109.011199224537</v>
      </c>
      <c r="B705" s="12" t="s">
        <v>3184</v>
      </c>
      <c r="D705" s="12" t="s">
        <v>24</v>
      </c>
      <c r="E705" s="138">
        <v>37755</v>
      </c>
      <c r="F705" s="12" t="s">
        <v>3185</v>
      </c>
      <c r="G705" s="12" t="s">
        <v>3186</v>
      </c>
      <c r="H705" s="12" t="s">
        <v>3187</v>
      </c>
      <c r="I705" s="6" t="str">
        <f>VLOOKUP(CLEAN(F705),'World Bank Categories'!$B$4:$C$220,2,FALSE)</f>
        <v>Middle income</v>
      </c>
      <c r="J705" s="12" t="s">
        <v>3188</v>
      </c>
      <c r="K705" s="12" t="s">
        <v>29</v>
      </c>
      <c r="L705" s="12" t="s">
        <v>30</v>
      </c>
      <c r="P705" s="12" t="s">
        <v>31</v>
      </c>
      <c r="Q705" s="130" t="s">
        <v>32</v>
      </c>
      <c r="R705" s="148" t="s">
        <v>33</v>
      </c>
      <c r="S705" s="149" t="s">
        <v>3189</v>
      </c>
      <c r="T705" s="150">
        <v>37755</v>
      </c>
      <c r="U705" s="149" t="s">
        <v>3188</v>
      </c>
      <c r="V705" s="151" t="s">
        <v>3127</v>
      </c>
      <c r="W705" s="151"/>
    </row>
    <row r="706" spans="1:23" ht="22.5" customHeight="1">
      <c r="A706" s="137">
        <v>46109.104472592589</v>
      </c>
      <c r="B706" s="12" t="s">
        <v>3190</v>
      </c>
      <c r="C706" s="12" t="s">
        <v>3191</v>
      </c>
      <c r="D706" s="12" t="s">
        <v>24</v>
      </c>
      <c r="E706" s="138">
        <v>36097</v>
      </c>
      <c r="F706" s="12" t="s">
        <v>3192</v>
      </c>
      <c r="G706" s="12" t="s">
        <v>209</v>
      </c>
      <c r="H706" s="12" t="s">
        <v>3193</v>
      </c>
      <c r="I706" s="6" t="str">
        <f>VLOOKUP(CLEAN(F706),'World Bank Categories'!$B$4:$C$220,2,FALSE)</f>
        <v>Middle income</v>
      </c>
      <c r="J706" s="12" t="s">
        <v>3194</v>
      </c>
      <c r="K706" s="12" t="s">
        <v>29</v>
      </c>
      <c r="L706" s="12" t="s">
        <v>30</v>
      </c>
      <c r="P706" s="12" t="s">
        <v>31</v>
      </c>
      <c r="Q706" s="130" t="s">
        <v>32</v>
      </c>
      <c r="R706" s="152" t="s">
        <v>33</v>
      </c>
      <c r="S706" s="149" t="s">
        <v>3190</v>
      </c>
      <c r="T706" s="150">
        <v>36097</v>
      </c>
      <c r="U706" s="149" t="s">
        <v>3194</v>
      </c>
      <c r="V706" s="151" t="s">
        <v>3127</v>
      </c>
      <c r="W706" s="151"/>
    </row>
    <row r="707" spans="1:23" ht="22.5" customHeight="1">
      <c r="A707" s="137">
        <v>46109.253704988427</v>
      </c>
      <c r="B707" s="12" t="s">
        <v>3195</v>
      </c>
      <c r="C707" s="12" t="s">
        <v>3196</v>
      </c>
      <c r="D707" s="12" t="s">
        <v>24</v>
      </c>
      <c r="E707" s="138">
        <v>37565</v>
      </c>
      <c r="F707" s="12" t="s">
        <v>612</v>
      </c>
      <c r="G707" s="12" t="s">
        <v>3197</v>
      </c>
      <c r="H707" s="12" t="s">
        <v>3198</v>
      </c>
      <c r="I707" s="6" t="str">
        <f>VLOOKUP(CLEAN(F707),'World Bank Categories'!$B$4:$C$220,2,FALSE)</f>
        <v>Low income</v>
      </c>
      <c r="J707" s="12" t="s">
        <v>3199</v>
      </c>
      <c r="K707" s="12" t="s">
        <v>29</v>
      </c>
      <c r="L707" s="12" t="s">
        <v>30</v>
      </c>
      <c r="P707" s="12" t="s">
        <v>31</v>
      </c>
      <c r="Q707" s="130" t="s">
        <v>32</v>
      </c>
      <c r="R707" s="148" t="s">
        <v>33</v>
      </c>
      <c r="S707" s="149" t="s">
        <v>3200</v>
      </c>
      <c r="T707" s="150">
        <v>37565</v>
      </c>
      <c r="U707" s="149" t="s">
        <v>3199</v>
      </c>
      <c r="V707" s="151" t="s">
        <v>3127</v>
      </c>
      <c r="W707" s="151"/>
    </row>
    <row r="708" spans="1:23" ht="22.5" customHeight="1">
      <c r="A708" s="137">
        <v>46110.544456307871</v>
      </c>
      <c r="B708" s="12" t="s">
        <v>3201</v>
      </c>
      <c r="C708" s="12" t="s">
        <v>3202</v>
      </c>
      <c r="D708" s="12" t="s">
        <v>45</v>
      </c>
      <c r="E708" s="138">
        <v>38426</v>
      </c>
      <c r="F708" s="12" t="s">
        <v>1053</v>
      </c>
      <c r="G708" s="12" t="s">
        <v>3203</v>
      </c>
      <c r="H708" s="12" t="s">
        <v>66</v>
      </c>
      <c r="I708" s="6" t="str">
        <f>VLOOKUP(CLEAN(F708),'World Bank Categories'!$B$4:$C$220,2,FALSE)</f>
        <v>High income</v>
      </c>
      <c r="J708" s="12" t="s">
        <v>3204</v>
      </c>
      <c r="K708" s="12" t="s">
        <v>29</v>
      </c>
      <c r="L708" s="12" t="s">
        <v>30</v>
      </c>
      <c r="P708" s="12" t="s">
        <v>31</v>
      </c>
      <c r="Q708" s="130" t="s">
        <v>32</v>
      </c>
      <c r="R708" s="148" t="s">
        <v>43</v>
      </c>
      <c r="S708" s="149" t="s">
        <v>3205</v>
      </c>
      <c r="T708" s="150">
        <v>38426</v>
      </c>
      <c r="U708" s="149" t="s">
        <v>3204</v>
      </c>
      <c r="V708" s="151" t="s">
        <v>3127</v>
      </c>
      <c r="W708" s="151"/>
    </row>
    <row r="709" spans="1:23" ht="22.5" customHeight="1">
      <c r="A709" s="137">
        <v>46110.979662141202</v>
      </c>
      <c r="B709" s="12" t="s">
        <v>3206</v>
      </c>
      <c r="C709" s="12" t="s">
        <v>3207</v>
      </c>
      <c r="D709" s="12" t="s">
        <v>24</v>
      </c>
      <c r="E709" s="138">
        <v>37949</v>
      </c>
      <c r="F709" s="12" t="s">
        <v>1053</v>
      </c>
      <c r="G709" s="12" t="s">
        <v>3208</v>
      </c>
      <c r="H709" s="12" t="s">
        <v>160</v>
      </c>
      <c r="I709" s="6" t="str">
        <f>VLOOKUP(CLEAN(F709),'World Bank Categories'!$B$4:$C$220,2,FALSE)</f>
        <v>High income</v>
      </c>
      <c r="J709" s="12" t="s">
        <v>3209</v>
      </c>
      <c r="K709" s="12" t="s">
        <v>29</v>
      </c>
      <c r="L709" s="12" t="s">
        <v>30</v>
      </c>
      <c r="P709" s="12" t="s">
        <v>31</v>
      </c>
      <c r="Q709" s="130" t="s">
        <v>32</v>
      </c>
      <c r="R709" s="152" t="s">
        <v>43</v>
      </c>
      <c r="S709" s="149" t="s">
        <v>3210</v>
      </c>
      <c r="T709" s="150">
        <v>37949</v>
      </c>
      <c r="U709" s="149" t="s">
        <v>3209</v>
      </c>
      <c r="V709" s="151" t="s">
        <v>3127</v>
      </c>
      <c r="W709" s="151"/>
    </row>
    <row r="710" spans="1:23" ht="22.5" customHeight="1">
      <c r="A710" s="137">
        <v>46110.985707106476</v>
      </c>
      <c r="B710" s="12" t="s">
        <v>3211</v>
      </c>
      <c r="C710" s="12" t="s">
        <v>3212</v>
      </c>
      <c r="D710" s="12" t="s">
        <v>24</v>
      </c>
      <c r="E710" s="138">
        <v>38765</v>
      </c>
      <c r="F710" s="12" t="s">
        <v>1053</v>
      </c>
      <c r="G710" s="12" t="s">
        <v>3213</v>
      </c>
      <c r="H710" s="12" t="s">
        <v>66</v>
      </c>
      <c r="I710" s="6" t="str">
        <f>VLOOKUP(CLEAN(F710),'World Bank Categories'!$B$4:$C$220,2,FALSE)</f>
        <v>High income</v>
      </c>
      <c r="J710" s="12" t="s">
        <v>3214</v>
      </c>
      <c r="K710" s="12" t="s">
        <v>29</v>
      </c>
      <c r="L710" s="12" t="s">
        <v>30</v>
      </c>
      <c r="P710" s="12" t="s">
        <v>31</v>
      </c>
      <c r="Q710" s="130" t="s">
        <v>32</v>
      </c>
      <c r="R710" s="148" t="s">
        <v>43</v>
      </c>
      <c r="S710" s="149" t="s">
        <v>3215</v>
      </c>
      <c r="T710" s="150">
        <v>38765</v>
      </c>
      <c r="U710" s="149" t="s">
        <v>3214</v>
      </c>
      <c r="V710" s="151" t="s">
        <v>3127</v>
      </c>
      <c r="W710" s="151"/>
    </row>
    <row r="711" spans="1:23" ht="22.5" customHeight="1">
      <c r="A711" s="137">
        <v>46111.250159618052</v>
      </c>
      <c r="B711" s="12" t="s">
        <v>2309</v>
      </c>
      <c r="D711" s="12" t="s">
        <v>24</v>
      </c>
      <c r="E711" s="138">
        <v>37610</v>
      </c>
      <c r="F711" s="12" t="s">
        <v>208</v>
      </c>
      <c r="G711" s="12" t="s">
        <v>412</v>
      </c>
      <c r="H711" s="12" t="s">
        <v>3216</v>
      </c>
      <c r="I711" s="6" t="str">
        <f>VLOOKUP(CLEAN(F711),'World Bank Categories'!$B$4:$C$220,2,FALSE)</f>
        <v>Low income</v>
      </c>
      <c r="J711" s="12" t="s">
        <v>2312</v>
      </c>
      <c r="K711" s="12" t="s">
        <v>29</v>
      </c>
      <c r="L711" s="12" t="s">
        <v>162</v>
      </c>
      <c r="P711" s="12" t="s">
        <v>31</v>
      </c>
      <c r="Q711" s="130" t="s">
        <v>32</v>
      </c>
      <c r="R711" s="152"/>
      <c r="S711" s="149" t="s">
        <v>2309</v>
      </c>
      <c r="T711" s="150">
        <v>37610</v>
      </c>
      <c r="U711" s="149" t="s">
        <v>2312</v>
      </c>
      <c r="V711" s="151" t="s">
        <v>3127</v>
      </c>
      <c r="W711" s="151"/>
    </row>
    <row r="712" spans="1:23" ht="22.5" customHeight="1">
      <c r="A712" s="137">
        <v>46111.383069097225</v>
      </c>
      <c r="B712" s="12" t="s">
        <v>3217</v>
      </c>
      <c r="D712" s="12" t="s">
        <v>24</v>
      </c>
      <c r="E712" s="138">
        <v>25751</v>
      </c>
      <c r="F712" s="12" t="s">
        <v>1387</v>
      </c>
      <c r="G712" s="12" t="s">
        <v>3218</v>
      </c>
      <c r="H712" s="12" t="s">
        <v>3219</v>
      </c>
      <c r="I712" s="6" t="str">
        <f>VLOOKUP(CLEAN(F712),'World Bank Categories'!$B$4:$C$220,2,FALSE)</f>
        <v>Middle income</v>
      </c>
      <c r="J712" s="12" t="s">
        <v>3220</v>
      </c>
      <c r="K712" s="12" t="s">
        <v>39</v>
      </c>
      <c r="L712" s="12" t="s">
        <v>30</v>
      </c>
      <c r="P712" s="12" t="s">
        <v>31</v>
      </c>
      <c r="Q712" s="130" t="s">
        <v>32</v>
      </c>
      <c r="R712" s="148" t="s">
        <v>33</v>
      </c>
      <c r="S712" s="149" t="s">
        <v>3221</v>
      </c>
      <c r="T712" s="150">
        <v>25751</v>
      </c>
      <c r="U712" s="149" t="s">
        <v>3220</v>
      </c>
      <c r="V712" s="151" t="s">
        <v>3127</v>
      </c>
      <c r="W712" s="151"/>
    </row>
    <row r="713" spans="1:23" ht="22.5" customHeight="1">
      <c r="A713" s="137">
        <v>46111.54476167824</v>
      </c>
      <c r="B713" s="12" t="s">
        <v>3222</v>
      </c>
      <c r="D713" s="12" t="s">
        <v>24</v>
      </c>
      <c r="E713" s="138">
        <v>37401</v>
      </c>
      <c r="F713" s="12" t="s">
        <v>1179</v>
      </c>
      <c r="G713" s="12" t="s">
        <v>3223</v>
      </c>
      <c r="H713" s="12" t="s">
        <v>368</v>
      </c>
      <c r="I713" s="6" t="str">
        <f>VLOOKUP(CLEAN(F713),'World Bank Categories'!$B$4:$C$220,2,FALSE)</f>
        <v>High income</v>
      </c>
      <c r="J713" s="12" t="s">
        <v>3224</v>
      </c>
      <c r="K713" s="12" t="s">
        <v>29</v>
      </c>
      <c r="L713" s="12" t="s">
        <v>30</v>
      </c>
      <c r="P713" s="12" t="s">
        <v>31</v>
      </c>
      <c r="Q713" s="130" t="s">
        <v>32</v>
      </c>
      <c r="R713" s="152" t="s">
        <v>43</v>
      </c>
      <c r="S713" s="149" t="s">
        <v>3225</v>
      </c>
      <c r="T713" s="150">
        <v>37401</v>
      </c>
      <c r="U713" s="149" t="s">
        <v>3224</v>
      </c>
      <c r="V713" s="151" t="s">
        <v>3127</v>
      </c>
      <c r="W713" s="151"/>
    </row>
    <row r="714" spans="1:23" ht="22.5" customHeight="1">
      <c r="A714" s="137">
        <v>46111.615777349536</v>
      </c>
      <c r="B714" s="12" t="s">
        <v>3226</v>
      </c>
      <c r="C714" s="12" t="s">
        <v>3227</v>
      </c>
      <c r="D714" s="12" t="s">
        <v>24</v>
      </c>
      <c r="E714" s="138">
        <v>33700</v>
      </c>
      <c r="F714" s="12" t="s">
        <v>88</v>
      </c>
      <c r="G714" s="12" t="s">
        <v>3228</v>
      </c>
      <c r="H714" s="12" t="s">
        <v>3229</v>
      </c>
      <c r="I714" s="6" t="str">
        <f>VLOOKUP(CLEAN(F714),'World Bank Categories'!$B$4:$C$220,2,FALSE)</f>
        <v>Low income</v>
      </c>
      <c r="J714" s="12" t="s">
        <v>3230</v>
      </c>
      <c r="K714" s="12" t="s">
        <v>39</v>
      </c>
      <c r="L714" s="12" t="s">
        <v>30</v>
      </c>
      <c r="P714" s="12" t="s">
        <v>31</v>
      </c>
      <c r="Q714" s="130" t="s">
        <v>32</v>
      </c>
      <c r="R714" s="148"/>
      <c r="S714" s="149" t="s">
        <v>3231</v>
      </c>
      <c r="T714" s="157">
        <v>33500</v>
      </c>
      <c r="U714" s="149" t="s">
        <v>3230</v>
      </c>
      <c r="V714" s="151" t="s">
        <v>3232</v>
      </c>
      <c r="W714" s="151"/>
    </row>
    <row r="715" spans="1:23" ht="22.5" customHeight="1">
      <c r="A715" s="137">
        <v>46111.701133159717</v>
      </c>
      <c r="B715" s="12" t="s">
        <v>3233</v>
      </c>
      <c r="C715" s="12" t="s">
        <v>3234</v>
      </c>
      <c r="D715" s="12" t="s">
        <v>24</v>
      </c>
      <c r="E715" s="138">
        <v>38465</v>
      </c>
      <c r="F715" s="12" t="s">
        <v>1053</v>
      </c>
      <c r="G715" s="12" t="s">
        <v>3235</v>
      </c>
      <c r="H715" s="12" t="s">
        <v>160</v>
      </c>
      <c r="I715" s="6" t="str">
        <f>VLOOKUP(CLEAN(F715),'World Bank Categories'!$B$4:$C$220,2,FALSE)</f>
        <v>High income</v>
      </c>
      <c r="J715" s="12" t="s">
        <v>3236</v>
      </c>
      <c r="K715" s="12" t="s">
        <v>39</v>
      </c>
      <c r="L715" s="12" t="s">
        <v>621</v>
      </c>
      <c r="P715" s="12" t="s">
        <v>31</v>
      </c>
      <c r="Q715" s="130" t="s">
        <v>32</v>
      </c>
      <c r="R715" s="152" t="s">
        <v>43</v>
      </c>
      <c r="S715" s="149" t="s">
        <v>3233</v>
      </c>
      <c r="T715" s="150">
        <v>38465</v>
      </c>
      <c r="U715" s="149" t="s">
        <v>3236</v>
      </c>
      <c r="V715" s="151" t="s">
        <v>3127</v>
      </c>
      <c r="W715" s="151"/>
    </row>
    <row r="716" spans="1:23" ht="22.5" customHeight="1">
      <c r="A716" s="137">
        <v>46111.91575112268</v>
      </c>
      <c r="B716" s="12" t="s">
        <v>3237</v>
      </c>
      <c r="C716" s="12" t="s">
        <v>3238</v>
      </c>
      <c r="D716" s="12" t="s">
        <v>45</v>
      </c>
      <c r="E716" s="138">
        <v>31413</v>
      </c>
      <c r="F716" s="12" t="s">
        <v>1316</v>
      </c>
      <c r="G716" s="12" t="s">
        <v>3239</v>
      </c>
      <c r="H716" s="12" t="s">
        <v>247</v>
      </c>
      <c r="I716" s="6" t="str">
        <f>VLOOKUP(CLEAN(F716),'World Bank Categories'!$B$4:$C$220,2,FALSE)</f>
        <v>Low income</v>
      </c>
      <c r="J716" s="12" t="s">
        <v>3240</v>
      </c>
      <c r="K716" s="12" t="s">
        <v>29</v>
      </c>
      <c r="L716" s="12" t="s">
        <v>30</v>
      </c>
      <c r="P716" s="12" t="s">
        <v>31</v>
      </c>
      <c r="Q716" s="130" t="s">
        <v>32</v>
      </c>
      <c r="R716" s="148"/>
      <c r="S716" s="149" t="s">
        <v>3241</v>
      </c>
      <c r="T716" s="150">
        <v>31413</v>
      </c>
      <c r="U716" s="149" t="s">
        <v>3240</v>
      </c>
      <c r="V716" s="151" t="s">
        <v>3127</v>
      </c>
      <c r="W716" s="151"/>
    </row>
    <row r="717" spans="1:23" ht="22.5" customHeight="1">
      <c r="A717" s="137">
        <v>46111.919361006949</v>
      </c>
      <c r="B717" s="12" t="s">
        <v>3242</v>
      </c>
      <c r="C717" s="12" t="s">
        <v>3243</v>
      </c>
      <c r="D717" s="12" t="s">
        <v>24</v>
      </c>
      <c r="E717" s="138">
        <v>28491</v>
      </c>
      <c r="F717" s="12" t="s">
        <v>1316</v>
      </c>
      <c r="G717" s="12" t="s">
        <v>3244</v>
      </c>
      <c r="H717" s="12" t="s">
        <v>247</v>
      </c>
      <c r="I717" s="6" t="str">
        <f>VLOOKUP(CLEAN(F717),'World Bank Categories'!$B$4:$C$220,2,FALSE)</f>
        <v>Low income</v>
      </c>
      <c r="J717" s="12" t="s">
        <v>3245</v>
      </c>
      <c r="K717" s="12" t="s">
        <v>29</v>
      </c>
      <c r="L717" s="12" t="s">
        <v>30</v>
      </c>
      <c r="P717" s="12" t="s">
        <v>31</v>
      </c>
      <c r="Q717" s="130" t="s">
        <v>32</v>
      </c>
      <c r="R717" s="152"/>
      <c r="S717" s="149" t="s">
        <v>3246</v>
      </c>
      <c r="T717" s="150">
        <v>28491</v>
      </c>
      <c r="U717" s="149" t="s">
        <v>3247</v>
      </c>
      <c r="V717" s="151" t="s">
        <v>3127</v>
      </c>
      <c r="W717" s="151"/>
    </row>
    <row r="718" spans="1:23" ht="22.5" customHeight="1">
      <c r="A718" s="137">
        <v>46112.435909965279</v>
      </c>
      <c r="B718" s="12" t="s">
        <v>3248</v>
      </c>
      <c r="D718" s="12" t="s">
        <v>24</v>
      </c>
      <c r="E718" s="138">
        <v>20122</v>
      </c>
      <c r="F718" s="12" t="s">
        <v>198</v>
      </c>
      <c r="G718" s="12" t="s">
        <v>3249</v>
      </c>
      <c r="H718" s="12" t="s">
        <v>3250</v>
      </c>
      <c r="I718" s="6" t="str">
        <f>VLOOKUP(CLEAN(F718),'World Bank Categories'!$B$4:$C$220,2,FALSE)</f>
        <v>Middle income</v>
      </c>
      <c r="J718" s="12" t="s">
        <v>3251</v>
      </c>
      <c r="K718" s="12" t="s">
        <v>29</v>
      </c>
      <c r="L718" s="12" t="s">
        <v>30</v>
      </c>
      <c r="P718" s="12" t="s">
        <v>31</v>
      </c>
      <c r="Q718" s="130" t="s">
        <v>32</v>
      </c>
      <c r="R718" s="148" t="s">
        <v>43</v>
      </c>
      <c r="S718" s="149" t="s">
        <v>3252</v>
      </c>
      <c r="T718" s="150">
        <v>20122</v>
      </c>
      <c r="U718" s="149" t="s">
        <v>3251</v>
      </c>
      <c r="V718" s="151" t="s">
        <v>3127</v>
      </c>
      <c r="W718" s="151"/>
    </row>
    <row r="719" spans="1:23" ht="22.5" customHeight="1">
      <c r="A719" s="137">
        <v>46112.435999317131</v>
      </c>
      <c r="B719" s="12" t="s">
        <v>3253</v>
      </c>
      <c r="D719" s="12" t="s">
        <v>24</v>
      </c>
      <c r="E719" s="138">
        <v>28244</v>
      </c>
      <c r="F719" s="12" t="s">
        <v>198</v>
      </c>
      <c r="G719" s="12" t="s">
        <v>3254</v>
      </c>
      <c r="H719" s="12" t="s">
        <v>3255</v>
      </c>
      <c r="I719" s="6" t="str">
        <f>VLOOKUP(CLEAN(F719),'World Bank Categories'!$B$4:$C$220,2,FALSE)</f>
        <v>Middle income</v>
      </c>
      <c r="J719" s="12" t="s">
        <v>3256</v>
      </c>
      <c r="K719" s="12" t="s">
        <v>29</v>
      </c>
      <c r="L719" s="12" t="s">
        <v>30</v>
      </c>
      <c r="P719" s="12" t="s">
        <v>31</v>
      </c>
      <c r="Q719" s="130" t="s">
        <v>32</v>
      </c>
      <c r="R719" s="152" t="s">
        <v>43</v>
      </c>
      <c r="S719" s="149" t="s">
        <v>3257</v>
      </c>
      <c r="T719" s="150">
        <v>28244</v>
      </c>
      <c r="U719" s="149" t="s">
        <v>3256</v>
      </c>
      <c r="V719" s="151" t="s">
        <v>3127</v>
      </c>
      <c r="W719" s="151"/>
    </row>
    <row r="720" spans="1:23" ht="22.5" customHeight="1">
      <c r="A720" s="137">
        <v>46112.615925509264</v>
      </c>
      <c r="B720" s="12" t="s">
        <v>3258</v>
      </c>
      <c r="C720" s="12" t="s">
        <v>3259</v>
      </c>
      <c r="D720" s="12" t="s">
        <v>45</v>
      </c>
      <c r="E720" s="138">
        <v>38342</v>
      </c>
      <c r="F720" s="12" t="s">
        <v>1053</v>
      </c>
      <c r="G720" s="12" t="s">
        <v>3260</v>
      </c>
      <c r="H720" s="12" t="s">
        <v>66</v>
      </c>
      <c r="I720" s="6" t="str">
        <f>VLOOKUP(CLEAN(F720),'World Bank Categories'!$B$4:$C$220,2,FALSE)</f>
        <v>High income</v>
      </c>
      <c r="J720" s="12" t="s">
        <v>3261</v>
      </c>
      <c r="K720" s="12" t="s">
        <v>29</v>
      </c>
      <c r="L720" s="12" t="s">
        <v>30</v>
      </c>
      <c r="P720" s="12" t="s">
        <v>31</v>
      </c>
      <c r="Q720" s="130" t="s">
        <v>32</v>
      </c>
      <c r="R720" s="148" t="s">
        <v>43</v>
      </c>
      <c r="S720" s="149" t="s">
        <v>3258</v>
      </c>
      <c r="T720" s="150">
        <v>38342</v>
      </c>
      <c r="U720" s="149" t="s">
        <v>3262</v>
      </c>
      <c r="V720" s="151" t="s">
        <v>3127</v>
      </c>
      <c r="W720" s="151"/>
    </row>
    <row r="721" spans="1:23" ht="22.5" customHeight="1">
      <c r="A721" s="158">
        <v>46112.779139918981</v>
      </c>
      <c r="B721" s="159" t="s">
        <v>3263</v>
      </c>
      <c r="C721" s="159" t="s">
        <v>3264</v>
      </c>
      <c r="D721" s="159" t="s">
        <v>24</v>
      </c>
      <c r="E721" s="160">
        <v>32819</v>
      </c>
      <c r="F721" s="159" t="s">
        <v>88</v>
      </c>
      <c r="G721" s="159" t="s">
        <v>3265</v>
      </c>
      <c r="H721" s="159" t="s">
        <v>3266</v>
      </c>
      <c r="I721" s="6" t="str">
        <f>VLOOKUP(CLEAN(F721),'World Bank Categories'!$B$4:$C$220,2,FALSE)</f>
        <v>Low income</v>
      </c>
      <c r="J721" s="159" t="s">
        <v>3267</v>
      </c>
      <c r="K721" s="159" t="s">
        <v>39</v>
      </c>
      <c r="L721" s="159" t="s">
        <v>30</v>
      </c>
      <c r="M721" s="159"/>
      <c r="N721" s="159"/>
      <c r="O721" s="161"/>
      <c r="P721" s="159" t="s">
        <v>31</v>
      </c>
      <c r="Q721" s="130" t="s">
        <v>32</v>
      </c>
      <c r="R721" s="162"/>
      <c r="S721" s="163"/>
      <c r="T721" s="164"/>
      <c r="U721" s="163"/>
      <c r="V721" s="165"/>
      <c r="W721" s="165"/>
    </row>
    <row r="722" spans="1:23" ht="22.5" customHeight="1">
      <c r="A722" s="137">
        <v>46112.78750421296</v>
      </c>
      <c r="B722" s="12" t="s">
        <v>3268</v>
      </c>
      <c r="D722" s="12" t="s">
        <v>45</v>
      </c>
      <c r="E722" s="138">
        <v>32938</v>
      </c>
      <c r="F722" s="12" t="s">
        <v>799</v>
      </c>
      <c r="G722" s="12" t="s">
        <v>3269</v>
      </c>
      <c r="H722" s="12" t="s">
        <v>3270</v>
      </c>
      <c r="I722" s="6" t="str">
        <f>VLOOKUP(CLEAN(F722),'World Bank Categories'!$B$4:$C$220,2,FALSE)</f>
        <v>Low income</v>
      </c>
      <c r="J722" s="12" t="s">
        <v>3271</v>
      </c>
      <c r="K722" s="12" t="s">
        <v>29</v>
      </c>
      <c r="L722" s="12" t="s">
        <v>30</v>
      </c>
      <c r="P722" s="12" t="s">
        <v>31</v>
      </c>
      <c r="Q722" s="130" t="s">
        <v>32</v>
      </c>
      <c r="R722" s="152"/>
      <c r="S722" s="149" t="s">
        <v>3268</v>
      </c>
      <c r="T722" s="150">
        <v>32938</v>
      </c>
      <c r="U722" s="149" t="s">
        <v>3271</v>
      </c>
      <c r="V722" s="151" t="s">
        <v>3127</v>
      </c>
      <c r="W722" s="151"/>
    </row>
    <row r="723" spans="1:23" ht="22.5" customHeight="1">
      <c r="A723" s="137">
        <v>46113.165243506941</v>
      </c>
      <c r="B723" s="12" t="s">
        <v>3272</v>
      </c>
      <c r="D723" s="12" t="s">
        <v>45</v>
      </c>
      <c r="E723" s="138">
        <v>34856</v>
      </c>
      <c r="F723" s="12" t="s">
        <v>3273</v>
      </c>
      <c r="G723" s="12" t="s">
        <v>3274</v>
      </c>
      <c r="H723" s="12" t="s">
        <v>1513</v>
      </c>
      <c r="I723" s="6" t="str">
        <f>VLOOKUP(CLEAN(F723),'World Bank Categories'!$B$4:$C$220,2,FALSE)</f>
        <v>Low income</v>
      </c>
      <c r="J723" s="12" t="s">
        <v>3275</v>
      </c>
      <c r="K723" s="12" t="s">
        <v>29</v>
      </c>
      <c r="L723" s="12" t="s">
        <v>30</v>
      </c>
      <c r="P723" s="12" t="s">
        <v>31</v>
      </c>
      <c r="Q723" s="130" t="s">
        <v>32</v>
      </c>
      <c r="R723" s="152" t="s">
        <v>33</v>
      </c>
      <c r="S723" s="149" t="s">
        <v>3276</v>
      </c>
      <c r="T723" s="150">
        <v>34856</v>
      </c>
      <c r="U723" s="149" t="s">
        <v>3277</v>
      </c>
      <c r="V723" s="151" t="s">
        <v>3127</v>
      </c>
      <c r="W723" s="151"/>
    </row>
    <row r="724" spans="1:23" ht="22.5" customHeight="1">
      <c r="A724" s="137">
        <v>46114.724901319445</v>
      </c>
      <c r="B724" s="12" t="s">
        <v>3278</v>
      </c>
      <c r="D724" s="12" t="s">
        <v>24</v>
      </c>
      <c r="E724" s="138">
        <v>36674</v>
      </c>
      <c r="F724" s="12" t="s">
        <v>433</v>
      </c>
      <c r="G724" s="12" t="s">
        <v>3279</v>
      </c>
      <c r="H724" s="12" t="s">
        <v>191</v>
      </c>
      <c r="I724" s="6" t="str">
        <f>VLOOKUP(CLEAN(F724),'World Bank Categories'!$B$4:$C$220,2,FALSE)</f>
        <v>Low income</v>
      </c>
      <c r="J724" s="12" t="s">
        <v>3280</v>
      </c>
      <c r="K724" s="12" t="s">
        <v>39</v>
      </c>
      <c r="L724" s="12" t="s">
        <v>30</v>
      </c>
      <c r="P724" s="12" t="s">
        <v>31</v>
      </c>
      <c r="Q724" s="130" t="s">
        <v>32</v>
      </c>
      <c r="R724" s="148" t="s">
        <v>33</v>
      </c>
      <c r="S724" s="149" t="s">
        <v>3281</v>
      </c>
      <c r="T724" s="150">
        <v>36674</v>
      </c>
      <c r="U724" s="149" t="s">
        <v>3280</v>
      </c>
      <c r="V724" s="151" t="s">
        <v>3127</v>
      </c>
      <c r="W724" s="151"/>
    </row>
    <row r="725" spans="1:23" ht="22.5" customHeight="1">
      <c r="A725" s="137">
        <v>46115.181551145834</v>
      </c>
      <c r="B725" s="12" t="s">
        <v>3282</v>
      </c>
      <c r="D725" s="12" t="s">
        <v>45</v>
      </c>
      <c r="E725" s="138">
        <v>30667</v>
      </c>
      <c r="F725" s="12" t="s">
        <v>612</v>
      </c>
      <c r="G725" s="12" t="s">
        <v>3283</v>
      </c>
      <c r="H725" s="12" t="s">
        <v>186</v>
      </c>
      <c r="I725" s="6" t="str">
        <f>VLOOKUP(CLEAN(F725),'World Bank Categories'!$B$4:$C$220,2,FALSE)</f>
        <v>Low income</v>
      </c>
      <c r="J725" s="12" t="s">
        <v>3284</v>
      </c>
      <c r="K725" s="12" t="s">
        <v>29</v>
      </c>
      <c r="L725" s="143" t="s">
        <v>1168</v>
      </c>
      <c r="P725" s="12" t="s">
        <v>31</v>
      </c>
      <c r="Q725" s="130" t="s">
        <v>32</v>
      </c>
      <c r="R725" s="152"/>
      <c r="S725" s="149" t="s">
        <v>3285</v>
      </c>
      <c r="T725" s="150">
        <v>30667</v>
      </c>
      <c r="U725" s="149" t="s">
        <v>3284</v>
      </c>
      <c r="V725" s="151" t="s">
        <v>3127</v>
      </c>
      <c r="W725" s="151"/>
    </row>
    <row r="726" spans="1:23" ht="22.5" customHeight="1">
      <c r="A726" s="137">
        <v>46115.465900729163</v>
      </c>
      <c r="B726" s="12" t="s">
        <v>3286</v>
      </c>
      <c r="D726" s="12" t="s">
        <v>24</v>
      </c>
      <c r="E726" s="138">
        <v>30324</v>
      </c>
      <c r="F726" s="12" t="s">
        <v>1958</v>
      </c>
      <c r="G726" s="12" t="s">
        <v>3287</v>
      </c>
      <c r="H726" s="12" t="s">
        <v>1069</v>
      </c>
      <c r="I726" s="6" t="str">
        <f>VLOOKUP(CLEAN(F726),'World Bank Categories'!$B$4:$C$220,2,FALSE)</f>
        <v>Middle income</v>
      </c>
      <c r="J726" s="12" t="s">
        <v>3288</v>
      </c>
      <c r="K726" s="12" t="s">
        <v>29</v>
      </c>
      <c r="L726" s="12" t="s">
        <v>30</v>
      </c>
      <c r="P726" s="12" t="s">
        <v>31</v>
      </c>
      <c r="Q726" s="130" t="s">
        <v>32</v>
      </c>
      <c r="R726" s="148" t="s">
        <v>43</v>
      </c>
      <c r="S726" s="149" t="s">
        <v>3286</v>
      </c>
      <c r="T726" s="150">
        <v>30324</v>
      </c>
      <c r="U726" s="149" t="s">
        <v>3288</v>
      </c>
      <c r="V726" s="151" t="s">
        <v>3127</v>
      </c>
      <c r="W726" s="151"/>
    </row>
    <row r="727" spans="1:23" ht="22.5" customHeight="1">
      <c r="A727" s="166">
        <v>46118.092334965273</v>
      </c>
      <c r="B727" s="167" t="s">
        <v>3289</v>
      </c>
      <c r="C727" s="168"/>
      <c r="D727" s="167" t="s">
        <v>24</v>
      </c>
      <c r="E727" s="169">
        <v>35624</v>
      </c>
      <c r="F727" s="167" t="s">
        <v>3040</v>
      </c>
      <c r="G727" s="167" t="s">
        <v>209</v>
      </c>
      <c r="H727" s="167" t="s">
        <v>90</v>
      </c>
      <c r="I727" s="6" t="str">
        <f>VLOOKUP(CLEAN(F727),'World Bank Categories'!$B$4:$C$220,2,FALSE)</f>
        <v>High income</v>
      </c>
      <c r="J727" s="167" t="s">
        <v>3290</v>
      </c>
      <c r="K727" s="167" t="s">
        <v>29</v>
      </c>
      <c r="L727" s="167" t="s">
        <v>30</v>
      </c>
      <c r="M727" s="167"/>
      <c r="N727" s="167"/>
      <c r="O727" s="168"/>
      <c r="P727" s="167" t="s">
        <v>2293</v>
      </c>
      <c r="Q727" s="130" t="s">
        <v>32</v>
      </c>
      <c r="R727" s="162" t="s">
        <v>43</v>
      </c>
      <c r="S727" s="163"/>
      <c r="T727" s="164"/>
      <c r="U727" s="163"/>
      <c r="V727" s="165"/>
      <c r="W727" s="165"/>
    </row>
    <row r="728" spans="1:23" ht="22.5" customHeight="1">
      <c r="A728" s="137">
        <v>46118.985081180552</v>
      </c>
      <c r="B728" s="12" t="s">
        <v>3291</v>
      </c>
      <c r="C728" s="12" t="s">
        <v>3292</v>
      </c>
      <c r="D728" s="12" t="s">
        <v>45</v>
      </c>
      <c r="E728" s="138">
        <v>35339</v>
      </c>
      <c r="F728" s="12" t="s">
        <v>3293</v>
      </c>
      <c r="G728" s="12" t="s">
        <v>3294</v>
      </c>
      <c r="H728" s="12" t="s">
        <v>3295</v>
      </c>
      <c r="I728" s="6" t="str">
        <f>VLOOKUP(CLEAN(F728),'World Bank Categories'!$B$4:$C$220,2,FALSE)</f>
        <v>Middle income</v>
      </c>
      <c r="J728" s="12" t="s">
        <v>3296</v>
      </c>
      <c r="K728" s="12" t="s">
        <v>29</v>
      </c>
      <c r="L728" s="12" t="s">
        <v>30</v>
      </c>
      <c r="P728" s="12" t="s">
        <v>31</v>
      </c>
      <c r="Q728" s="130" t="s">
        <v>32</v>
      </c>
      <c r="R728" s="148" t="s">
        <v>33</v>
      </c>
      <c r="S728" s="149" t="s">
        <v>3297</v>
      </c>
      <c r="T728" s="150">
        <v>35339</v>
      </c>
      <c r="U728" s="149" t="s">
        <v>3296</v>
      </c>
      <c r="V728" s="170" t="s">
        <v>3127</v>
      </c>
      <c r="W728" s="170"/>
    </row>
    <row r="729" spans="1:23" ht="22.5" customHeight="1">
      <c r="A729" s="158">
        <v>46121.787122002315</v>
      </c>
      <c r="B729" s="159" t="s">
        <v>3298</v>
      </c>
      <c r="C729" s="161"/>
      <c r="D729" s="159" t="s">
        <v>45</v>
      </c>
      <c r="E729" s="160">
        <v>32515</v>
      </c>
      <c r="F729" s="159" t="s">
        <v>3040</v>
      </c>
      <c r="G729" s="159" t="s">
        <v>3299</v>
      </c>
      <c r="H729" s="159" t="s">
        <v>2162</v>
      </c>
      <c r="I729" s="6" t="str">
        <f>VLOOKUP(CLEAN(F729),'World Bank Categories'!$B$4:$C$220,2,FALSE)</f>
        <v>High income</v>
      </c>
      <c r="J729" s="159" t="s">
        <v>3300</v>
      </c>
      <c r="K729" s="159" t="s">
        <v>29</v>
      </c>
      <c r="L729" s="159" t="s">
        <v>30</v>
      </c>
      <c r="M729" s="159"/>
      <c r="N729" s="159"/>
      <c r="O729" s="171"/>
      <c r="P729" s="159" t="s">
        <v>31</v>
      </c>
      <c r="Q729" s="130" t="s">
        <v>32</v>
      </c>
      <c r="R729" s="162" t="s">
        <v>43</v>
      </c>
      <c r="S729" s="172"/>
      <c r="T729" s="173"/>
      <c r="U729" s="172"/>
      <c r="V729" s="151"/>
      <c r="W729" s="151"/>
    </row>
    <row r="730" spans="1:23" ht="22.5" customHeight="1">
      <c r="A730" s="137">
        <v>46121.994184513889</v>
      </c>
      <c r="B730" s="12" t="s">
        <v>3301</v>
      </c>
      <c r="D730" s="12" t="s">
        <v>45</v>
      </c>
      <c r="E730" s="138">
        <v>31016</v>
      </c>
      <c r="F730" s="12" t="s">
        <v>232</v>
      </c>
      <c r="G730" s="12" t="s">
        <v>3302</v>
      </c>
      <c r="H730" s="12" t="s">
        <v>3303</v>
      </c>
      <c r="I730" s="6" t="str">
        <f>VLOOKUP(CLEAN(F730),'World Bank Categories'!$B$4:$C$220,2,FALSE)</f>
        <v>Middle income</v>
      </c>
      <c r="J730" s="12" t="s">
        <v>3304</v>
      </c>
      <c r="K730" s="12" t="s">
        <v>29</v>
      </c>
      <c r="L730" s="12" t="s">
        <v>30</v>
      </c>
      <c r="P730" s="12" t="s">
        <v>31</v>
      </c>
      <c r="Q730" s="130" t="s">
        <v>32</v>
      </c>
      <c r="R730" s="174" t="s">
        <v>33</v>
      </c>
      <c r="S730" s="172" t="s">
        <v>3305</v>
      </c>
      <c r="T730" s="173">
        <v>31016</v>
      </c>
      <c r="U730" s="172" t="s">
        <v>3304</v>
      </c>
      <c r="V730" s="151" t="s">
        <v>3127</v>
      </c>
      <c r="W730" s="151"/>
    </row>
    <row r="731" spans="1:23" ht="22.5" customHeight="1">
      <c r="A731" s="175">
        <v>46122.730261215278</v>
      </c>
      <c r="B731" s="176" t="s">
        <v>3306</v>
      </c>
      <c r="C731" s="176" t="s">
        <v>3307</v>
      </c>
      <c r="D731" s="176" t="s">
        <v>45</v>
      </c>
      <c r="E731" s="177">
        <v>31381</v>
      </c>
      <c r="F731" s="176" t="s">
        <v>1053</v>
      </c>
      <c r="G731" s="176" t="s">
        <v>3308</v>
      </c>
      <c r="H731" s="176" t="s">
        <v>3309</v>
      </c>
      <c r="I731" s="6" t="str">
        <f>VLOOKUP(CLEAN(F731),'World Bank Categories'!$B$4:$C$220,2,FALSE)</f>
        <v>High income</v>
      </c>
      <c r="J731" s="176" t="s">
        <v>3310</v>
      </c>
      <c r="K731" s="176" t="s">
        <v>39</v>
      </c>
      <c r="L731" s="176" t="s">
        <v>152</v>
      </c>
      <c r="M731" s="176" t="s">
        <v>3311</v>
      </c>
      <c r="N731" s="176" t="s">
        <v>3312</v>
      </c>
      <c r="O731" s="176" t="s">
        <v>3313</v>
      </c>
      <c r="P731" s="176" t="s">
        <v>31</v>
      </c>
      <c r="Q731" s="130" t="s">
        <v>32</v>
      </c>
      <c r="R731" s="178" t="s">
        <v>43</v>
      </c>
      <c r="S731" s="172" t="s">
        <v>3306</v>
      </c>
      <c r="T731" s="179">
        <v>31117</v>
      </c>
      <c r="U731" s="172" t="s">
        <v>3310</v>
      </c>
      <c r="V731" s="180" t="s">
        <v>3314</v>
      </c>
      <c r="W731" s="180"/>
    </row>
    <row r="732" spans="1:23" ht="22.5" customHeight="1">
      <c r="A732" s="175">
        <v>46122.988996585649</v>
      </c>
      <c r="B732" s="176" t="s">
        <v>3315</v>
      </c>
      <c r="C732" s="176" t="s">
        <v>3316</v>
      </c>
      <c r="D732" s="176" t="s">
        <v>24</v>
      </c>
      <c r="E732" s="177">
        <v>35442</v>
      </c>
      <c r="F732" s="176" t="s">
        <v>3317</v>
      </c>
      <c r="G732" s="176" t="s">
        <v>209</v>
      </c>
      <c r="H732" s="176" t="s">
        <v>418</v>
      </c>
      <c r="I732" s="6" t="str">
        <f>VLOOKUP(CLEAN(F732),'World Bank Categories'!$B$4:$C$220,2,FALSE)</f>
        <v>Low income</v>
      </c>
      <c r="J732" s="176" t="s">
        <v>3318</v>
      </c>
      <c r="K732" s="176" t="s">
        <v>29</v>
      </c>
      <c r="L732" s="176" t="s">
        <v>30</v>
      </c>
      <c r="M732" s="176" t="s">
        <v>3319</v>
      </c>
      <c r="N732" s="176"/>
      <c r="O732" s="176"/>
      <c r="P732" s="176" t="s">
        <v>31</v>
      </c>
      <c r="Q732" s="130" t="s">
        <v>32</v>
      </c>
      <c r="R732" s="174" t="s">
        <v>33</v>
      </c>
      <c r="S732" s="172" t="s">
        <v>3315</v>
      </c>
      <c r="T732" s="173">
        <v>35442</v>
      </c>
      <c r="U732" s="172" t="s">
        <v>3318</v>
      </c>
      <c r="V732" s="180" t="s">
        <v>3320</v>
      </c>
      <c r="W732" s="180"/>
    </row>
    <row r="733" spans="1:23" ht="22.5" customHeight="1">
      <c r="A733" s="137">
        <v>46123.005461597219</v>
      </c>
      <c r="B733" s="12" t="s">
        <v>3321</v>
      </c>
      <c r="D733" s="12" t="s">
        <v>24</v>
      </c>
      <c r="E733" s="138">
        <v>35666</v>
      </c>
      <c r="F733" s="12" t="s">
        <v>346</v>
      </c>
      <c r="G733" s="12" t="s">
        <v>353</v>
      </c>
      <c r="H733" s="12" t="s">
        <v>3322</v>
      </c>
      <c r="I733" s="6" t="str">
        <f>VLOOKUP(CLEAN(F733),'World Bank Categories'!$B$4:$C$220,2,FALSE)</f>
        <v>Middle income</v>
      </c>
      <c r="J733" s="12" t="s">
        <v>3323</v>
      </c>
      <c r="K733" s="12" t="s">
        <v>29</v>
      </c>
      <c r="L733" s="12" t="s">
        <v>30</v>
      </c>
      <c r="P733" s="12" t="s">
        <v>31</v>
      </c>
      <c r="Q733" s="130" t="s">
        <v>32</v>
      </c>
      <c r="R733" s="178" t="s">
        <v>33</v>
      </c>
      <c r="S733" s="172" t="s">
        <v>3324</v>
      </c>
      <c r="T733" s="173">
        <v>35666</v>
      </c>
      <c r="U733" s="172" t="s">
        <v>3323</v>
      </c>
      <c r="V733" s="151" t="s">
        <v>3325</v>
      </c>
      <c r="W733" s="151"/>
    </row>
    <row r="734" spans="1:23" ht="22.5" customHeight="1">
      <c r="A734" s="137">
        <v>46123.025678645834</v>
      </c>
      <c r="B734" s="12" t="s">
        <v>3326</v>
      </c>
      <c r="D734" s="12" t="s">
        <v>24</v>
      </c>
      <c r="E734" s="138">
        <v>35424</v>
      </c>
      <c r="F734" s="12" t="s">
        <v>623</v>
      </c>
      <c r="G734" s="12" t="s">
        <v>3327</v>
      </c>
      <c r="H734" s="12" t="s">
        <v>1031</v>
      </c>
      <c r="I734" s="6" t="str">
        <f>VLOOKUP(CLEAN(F734),'World Bank Categories'!$B$4:$C$220,2,FALSE)</f>
        <v>Middle income</v>
      </c>
      <c r="J734" s="12" t="s">
        <v>3328</v>
      </c>
      <c r="K734" s="12" t="s">
        <v>39</v>
      </c>
      <c r="L734" s="12" t="s">
        <v>30</v>
      </c>
      <c r="M734" s="12" t="s">
        <v>3329</v>
      </c>
      <c r="P734" s="12" t="s">
        <v>31</v>
      </c>
      <c r="Q734" s="130" t="s">
        <v>32</v>
      </c>
      <c r="R734" s="178" t="s">
        <v>33</v>
      </c>
      <c r="S734" s="172" t="s">
        <v>3326</v>
      </c>
      <c r="T734" s="173">
        <v>35424</v>
      </c>
      <c r="U734" s="172" t="s">
        <v>3328</v>
      </c>
      <c r="V734" s="151" t="s">
        <v>3127</v>
      </c>
      <c r="W734" s="151"/>
    </row>
    <row r="735" spans="1:23" ht="22.5" customHeight="1">
      <c r="A735" s="137">
        <v>46123.239067650458</v>
      </c>
      <c r="B735" s="12" t="s">
        <v>3330</v>
      </c>
      <c r="D735" s="12" t="s">
        <v>24</v>
      </c>
      <c r="E735" s="138">
        <v>37872</v>
      </c>
      <c r="F735" s="12" t="s">
        <v>475</v>
      </c>
      <c r="G735" s="12" t="s">
        <v>1779</v>
      </c>
      <c r="H735" s="12" t="s">
        <v>138</v>
      </c>
      <c r="I735" s="6" t="str">
        <f>VLOOKUP(CLEAN(F735),'World Bank Categories'!$B$4:$C$220,2,FALSE)</f>
        <v>Middle income</v>
      </c>
      <c r="J735" s="12" t="s">
        <v>3331</v>
      </c>
      <c r="K735" s="12" t="s">
        <v>29</v>
      </c>
      <c r="L735" s="12" t="s">
        <v>30</v>
      </c>
      <c r="P735" s="12" t="s">
        <v>31</v>
      </c>
      <c r="Q735" s="130" t="s">
        <v>32</v>
      </c>
      <c r="R735" s="174" t="s">
        <v>33</v>
      </c>
      <c r="S735" s="172" t="s">
        <v>3332</v>
      </c>
      <c r="T735" s="173">
        <v>37872</v>
      </c>
      <c r="U735" s="172" t="s">
        <v>3331</v>
      </c>
      <c r="V735" s="151" t="s">
        <v>3127</v>
      </c>
      <c r="W735" s="151"/>
    </row>
    <row r="736" spans="1:23" ht="22.5" customHeight="1">
      <c r="A736" s="137">
        <v>46123.275552453706</v>
      </c>
      <c r="B736" s="12" t="s">
        <v>3333</v>
      </c>
      <c r="D736" s="12" t="s">
        <v>45</v>
      </c>
      <c r="E736" s="138">
        <v>20255</v>
      </c>
      <c r="F736" s="12" t="s">
        <v>623</v>
      </c>
      <c r="G736" s="12" t="s">
        <v>3334</v>
      </c>
      <c r="H736" s="12" t="s">
        <v>3335</v>
      </c>
      <c r="I736" s="6" t="str">
        <f>VLOOKUP(CLEAN(F736),'World Bank Categories'!$B$4:$C$220,2,FALSE)</f>
        <v>Middle income</v>
      </c>
      <c r="J736" s="12" t="s">
        <v>3336</v>
      </c>
      <c r="K736" s="12" t="s">
        <v>39</v>
      </c>
      <c r="L736" s="12" t="s">
        <v>152</v>
      </c>
      <c r="M736" s="12" t="s">
        <v>3337</v>
      </c>
      <c r="P736" s="12" t="s">
        <v>31</v>
      </c>
      <c r="Q736" s="130" t="s">
        <v>32</v>
      </c>
      <c r="R736" s="178" t="s">
        <v>33</v>
      </c>
      <c r="S736" s="172" t="s">
        <v>3333</v>
      </c>
      <c r="T736" s="173">
        <v>20255</v>
      </c>
      <c r="U736" s="172" t="s">
        <v>3336</v>
      </c>
      <c r="V736" s="151" t="s">
        <v>3127</v>
      </c>
      <c r="W736" s="151"/>
    </row>
    <row r="737" spans="1:23" ht="22.5" customHeight="1">
      <c r="A737" s="137">
        <v>46123.328289791665</v>
      </c>
      <c r="B737" s="12" t="s">
        <v>3338</v>
      </c>
      <c r="D737" s="12" t="s">
        <v>24</v>
      </c>
      <c r="E737" s="138">
        <v>27492</v>
      </c>
      <c r="F737" s="12" t="s">
        <v>2066</v>
      </c>
      <c r="G737" s="12" t="s">
        <v>3339</v>
      </c>
      <c r="H737" s="12" t="s">
        <v>2219</v>
      </c>
      <c r="I737" s="6" t="str">
        <f>VLOOKUP(CLEAN(F737),'World Bank Categories'!$B$4:$C$220,2,FALSE)</f>
        <v>High income</v>
      </c>
      <c r="J737" s="12" t="s">
        <v>3340</v>
      </c>
      <c r="K737" s="12" t="s">
        <v>29</v>
      </c>
      <c r="L737" s="12" t="s">
        <v>30</v>
      </c>
      <c r="P737" s="12" t="s">
        <v>31</v>
      </c>
      <c r="Q737" s="130" t="s">
        <v>32</v>
      </c>
      <c r="R737" s="174" t="s">
        <v>33</v>
      </c>
      <c r="S737" s="172" t="s">
        <v>3341</v>
      </c>
      <c r="T737" s="173">
        <v>27492</v>
      </c>
      <c r="U737" s="172" t="s">
        <v>3342</v>
      </c>
      <c r="V737" s="151" t="s">
        <v>3127</v>
      </c>
      <c r="W737" s="151"/>
    </row>
    <row r="738" spans="1:23" ht="22.5" customHeight="1">
      <c r="A738" s="137">
        <v>46123.394473368055</v>
      </c>
      <c r="B738" s="12" t="s">
        <v>3343</v>
      </c>
      <c r="D738" s="12" t="s">
        <v>24</v>
      </c>
      <c r="E738" s="138">
        <v>20395</v>
      </c>
      <c r="F738" s="12" t="s">
        <v>623</v>
      </c>
      <c r="G738" s="12" t="s">
        <v>3344</v>
      </c>
      <c r="H738" s="12" t="s">
        <v>3344</v>
      </c>
      <c r="I738" s="6" t="str">
        <f>VLOOKUP(CLEAN(F738),'World Bank Categories'!$B$4:$C$220,2,FALSE)</f>
        <v>Middle income</v>
      </c>
      <c r="J738" s="12" t="s">
        <v>3345</v>
      </c>
      <c r="K738" s="12" t="s">
        <v>39</v>
      </c>
      <c r="L738" s="12" t="s">
        <v>30</v>
      </c>
      <c r="M738" s="12" t="s">
        <v>3346</v>
      </c>
      <c r="N738" s="12" t="s">
        <v>3347</v>
      </c>
      <c r="O738" s="12" t="s">
        <v>3348</v>
      </c>
      <c r="P738" s="12" t="s">
        <v>31</v>
      </c>
      <c r="Q738" s="130" t="s">
        <v>32</v>
      </c>
      <c r="R738" s="178"/>
      <c r="S738" s="172" t="s">
        <v>3343</v>
      </c>
      <c r="T738" s="173">
        <v>20395</v>
      </c>
      <c r="U738" s="172" t="s">
        <v>3345</v>
      </c>
      <c r="V738" s="151" t="s">
        <v>3127</v>
      </c>
      <c r="W738" s="151"/>
    </row>
    <row r="739" spans="1:23" ht="22.5" customHeight="1">
      <c r="A739" s="137">
        <v>46123.476636111111</v>
      </c>
      <c r="B739" s="12" t="s">
        <v>3349</v>
      </c>
      <c r="D739" s="12" t="s">
        <v>24</v>
      </c>
      <c r="E739" s="138">
        <v>32314</v>
      </c>
      <c r="F739" s="12" t="s">
        <v>623</v>
      </c>
      <c r="G739" s="12" t="s">
        <v>3350</v>
      </c>
      <c r="H739" s="12" t="s">
        <v>3351</v>
      </c>
      <c r="I739" s="6" t="str">
        <f>VLOOKUP(CLEAN(F739),'World Bank Categories'!$B$4:$C$220,2,FALSE)</f>
        <v>Middle income</v>
      </c>
      <c r="J739" s="12" t="s">
        <v>3352</v>
      </c>
      <c r="K739" s="12" t="s">
        <v>29</v>
      </c>
      <c r="L739" s="12" t="s">
        <v>30</v>
      </c>
      <c r="P739" s="12" t="s">
        <v>31</v>
      </c>
      <c r="Q739" s="130" t="s">
        <v>32</v>
      </c>
      <c r="R739" s="174" t="s">
        <v>33</v>
      </c>
      <c r="S739" s="172" t="s">
        <v>3353</v>
      </c>
      <c r="T739" s="173">
        <v>32314</v>
      </c>
      <c r="U739" s="172" t="s">
        <v>3352</v>
      </c>
      <c r="V739" s="151" t="s">
        <v>3127</v>
      </c>
      <c r="W739" s="151"/>
    </row>
    <row r="740" spans="1:23" ht="22.5" customHeight="1">
      <c r="A740" s="175">
        <v>46123.607287696759</v>
      </c>
      <c r="B740" s="176" t="s">
        <v>3354</v>
      </c>
      <c r="C740" s="176"/>
      <c r="D740" s="176" t="s">
        <v>24</v>
      </c>
      <c r="E740" s="177">
        <v>20428</v>
      </c>
      <c r="F740" s="176" t="s">
        <v>623</v>
      </c>
      <c r="G740" s="176" t="s">
        <v>3355</v>
      </c>
      <c r="H740" s="176" t="s">
        <v>3335</v>
      </c>
      <c r="I740" s="6" t="str">
        <f>VLOOKUP(CLEAN(F740),'World Bank Categories'!$B$4:$C$220,2,FALSE)</f>
        <v>Middle income</v>
      </c>
      <c r="J740" s="176" t="s">
        <v>3356</v>
      </c>
      <c r="K740" s="176" t="s">
        <v>39</v>
      </c>
      <c r="L740" s="176" t="s">
        <v>3108</v>
      </c>
      <c r="M740" s="176" t="s">
        <v>3357</v>
      </c>
      <c r="N740" s="176"/>
      <c r="O740" s="176"/>
      <c r="P740" s="176" t="s">
        <v>31</v>
      </c>
      <c r="Q740" s="130" t="s">
        <v>32</v>
      </c>
      <c r="R740" s="181" t="s">
        <v>33</v>
      </c>
      <c r="S740" s="180" t="s">
        <v>3358</v>
      </c>
      <c r="T740" s="182"/>
      <c r="U740" s="182"/>
      <c r="V740" s="182" t="s">
        <v>3359</v>
      </c>
      <c r="W740" s="182"/>
    </row>
    <row r="741" spans="1:23" ht="22.5" customHeight="1">
      <c r="A741" s="137">
        <v>46123.730228981483</v>
      </c>
      <c r="B741" s="12" t="s">
        <v>3360</v>
      </c>
      <c r="C741" s="12" t="s">
        <v>3360</v>
      </c>
      <c r="D741" s="12" t="s">
        <v>24</v>
      </c>
      <c r="E741" s="138">
        <v>37472</v>
      </c>
      <c r="F741" s="12" t="s">
        <v>732</v>
      </c>
      <c r="G741" s="12" t="s">
        <v>3361</v>
      </c>
      <c r="H741" s="12" t="s">
        <v>3362</v>
      </c>
      <c r="I741" s="6" t="str">
        <f>VLOOKUP(CLEAN(F741),'World Bank Categories'!$B$4:$C$220,2,FALSE)</f>
        <v>Middle income</v>
      </c>
      <c r="J741" s="12" t="s">
        <v>3363</v>
      </c>
      <c r="K741" s="12" t="s">
        <v>39</v>
      </c>
      <c r="L741" s="12" t="s">
        <v>30</v>
      </c>
      <c r="P741" s="12" t="s">
        <v>31</v>
      </c>
      <c r="Q741" s="130" t="s">
        <v>32</v>
      </c>
      <c r="R741" s="178" t="s">
        <v>33</v>
      </c>
      <c r="S741" s="172" t="s">
        <v>3364</v>
      </c>
      <c r="T741" s="183">
        <v>37472</v>
      </c>
      <c r="U741" s="172" t="s">
        <v>3363</v>
      </c>
      <c r="V741" s="151" t="s">
        <v>3127</v>
      </c>
      <c r="W741" s="151"/>
    </row>
    <row r="742" spans="1:23" ht="22.5" customHeight="1">
      <c r="A742" s="137">
        <v>46125.072359456019</v>
      </c>
      <c r="B742" s="12" t="s">
        <v>3365</v>
      </c>
      <c r="D742" s="12" t="s">
        <v>24</v>
      </c>
      <c r="E742" s="138">
        <v>35839</v>
      </c>
      <c r="F742" s="12" t="s">
        <v>1112</v>
      </c>
      <c r="G742" s="12" t="s">
        <v>3366</v>
      </c>
      <c r="H742" s="12" t="s">
        <v>66</v>
      </c>
      <c r="I742" s="6" t="str">
        <f>VLOOKUP(CLEAN(F742),'World Bank Categories'!$B$4:$C$220,2,FALSE)</f>
        <v>Low income</v>
      </c>
      <c r="J742" s="12" t="s">
        <v>1964</v>
      </c>
      <c r="K742" s="12" t="s">
        <v>29</v>
      </c>
      <c r="L742" s="143" t="s">
        <v>1168</v>
      </c>
      <c r="P742" s="12" t="s">
        <v>31</v>
      </c>
      <c r="Q742" s="130" t="s">
        <v>32</v>
      </c>
      <c r="R742" s="178" t="s">
        <v>33</v>
      </c>
      <c r="S742" s="172" t="s">
        <v>1965</v>
      </c>
      <c r="T742" s="173">
        <v>35839</v>
      </c>
      <c r="U742" s="172" t="s">
        <v>1966</v>
      </c>
      <c r="V742" s="151" t="s">
        <v>3367</v>
      </c>
      <c r="W742" s="151"/>
    </row>
    <row r="743" spans="1:23" ht="22.5" customHeight="1">
      <c r="A743" s="137">
        <v>46125.077286608794</v>
      </c>
      <c r="B743" s="12" t="s">
        <v>3368</v>
      </c>
      <c r="D743" s="12" t="s">
        <v>45</v>
      </c>
      <c r="E743" s="138">
        <v>25709</v>
      </c>
      <c r="F743" s="12" t="s">
        <v>3369</v>
      </c>
      <c r="G743" s="12" t="s">
        <v>3370</v>
      </c>
      <c r="H743" s="12" t="s">
        <v>90</v>
      </c>
      <c r="I743" s="6" t="str">
        <f>VLOOKUP(CLEAN(F743),'World Bank Categories'!$B$4:$C$220,2,FALSE)</f>
        <v>Low income</v>
      </c>
      <c r="J743" s="12" t="s">
        <v>3371</v>
      </c>
      <c r="K743" s="12" t="s">
        <v>29</v>
      </c>
      <c r="L743" s="12" t="s">
        <v>30</v>
      </c>
      <c r="M743" s="12" t="s">
        <v>3372</v>
      </c>
      <c r="P743" s="12" t="s">
        <v>31</v>
      </c>
      <c r="Q743" s="130" t="s">
        <v>32</v>
      </c>
      <c r="R743" s="174" t="s">
        <v>33</v>
      </c>
      <c r="S743" s="172" t="s">
        <v>3368</v>
      </c>
      <c r="T743" s="173">
        <v>25709</v>
      </c>
      <c r="U743" s="172" t="s">
        <v>3371</v>
      </c>
      <c r="V743" s="151" t="s">
        <v>3367</v>
      </c>
      <c r="W743" s="151"/>
    </row>
    <row r="744" spans="1:23" ht="22.5" customHeight="1">
      <c r="A744" s="137">
        <v>46125.094078831018</v>
      </c>
      <c r="B744" s="12" t="s">
        <v>3373</v>
      </c>
      <c r="D744" s="12" t="s">
        <v>24</v>
      </c>
      <c r="E744" s="138">
        <v>26434</v>
      </c>
      <c r="F744" s="12" t="s">
        <v>3369</v>
      </c>
      <c r="G744" s="12" t="s">
        <v>3370</v>
      </c>
      <c r="H744" s="12" t="s">
        <v>1643</v>
      </c>
      <c r="I744" s="6" t="str">
        <f>VLOOKUP(CLEAN(F744),'World Bank Categories'!$B$4:$C$220,2,FALSE)</f>
        <v>Low income</v>
      </c>
      <c r="J744" s="12" t="s">
        <v>3374</v>
      </c>
      <c r="K744" s="12" t="s">
        <v>29</v>
      </c>
      <c r="L744" s="12" t="s">
        <v>30</v>
      </c>
      <c r="M744" s="12" t="s">
        <v>3375</v>
      </c>
      <c r="P744" s="12" t="s">
        <v>31</v>
      </c>
      <c r="Q744" s="130" t="s">
        <v>32</v>
      </c>
      <c r="R744" s="178" t="s">
        <v>33</v>
      </c>
      <c r="S744" s="172" t="s">
        <v>3376</v>
      </c>
      <c r="T744" s="173">
        <v>26434</v>
      </c>
      <c r="U744" s="172" t="s">
        <v>3374</v>
      </c>
      <c r="V744" s="151" t="s">
        <v>3367</v>
      </c>
      <c r="W744" s="151"/>
    </row>
    <row r="745" spans="1:23" ht="22.5" customHeight="1">
      <c r="A745" s="137">
        <v>46125.74948982639</v>
      </c>
      <c r="B745" s="12" t="s">
        <v>3377</v>
      </c>
      <c r="C745" s="12" t="s">
        <v>3378</v>
      </c>
      <c r="D745" s="12" t="s">
        <v>45</v>
      </c>
      <c r="E745" s="138">
        <v>35849</v>
      </c>
      <c r="F745" s="12" t="s">
        <v>1053</v>
      </c>
      <c r="G745" s="12" t="s">
        <v>3379</v>
      </c>
      <c r="H745" s="12" t="s">
        <v>2024</v>
      </c>
      <c r="I745" s="6" t="str">
        <f>VLOOKUP(CLEAN(F745),'World Bank Categories'!$B$4:$C$220,2,FALSE)</f>
        <v>High income</v>
      </c>
      <c r="J745" s="12" t="s">
        <v>3380</v>
      </c>
      <c r="K745" s="12" t="s">
        <v>39</v>
      </c>
      <c r="L745" s="12" t="s">
        <v>3381</v>
      </c>
      <c r="P745" s="12" t="s">
        <v>31</v>
      </c>
      <c r="Q745" s="130" t="s">
        <v>32</v>
      </c>
      <c r="R745" s="10" t="s">
        <v>43</v>
      </c>
      <c r="S745" s="184" t="s">
        <v>3377</v>
      </c>
      <c r="T745" s="185">
        <v>35849</v>
      </c>
      <c r="V745" s="184"/>
      <c r="W745" s="184"/>
    </row>
    <row r="746" spans="1:23" ht="22.5" customHeight="1">
      <c r="A746" s="137">
        <v>46125.89843789352</v>
      </c>
      <c r="B746" s="12" t="s">
        <v>3382</v>
      </c>
      <c r="C746" s="12" t="s">
        <v>3383</v>
      </c>
      <c r="D746" s="12" t="s">
        <v>45</v>
      </c>
      <c r="E746" s="138">
        <v>38579</v>
      </c>
      <c r="F746" s="12" t="s">
        <v>1063</v>
      </c>
      <c r="G746" s="12" t="s">
        <v>1093</v>
      </c>
      <c r="H746" s="12" t="s">
        <v>66</v>
      </c>
      <c r="I746" s="6" t="str">
        <f>VLOOKUP(CLEAN(F746),'World Bank Categories'!$B$4:$C$220,2,FALSE)</f>
        <v>Middle income</v>
      </c>
      <c r="J746" s="12" t="s">
        <v>3384</v>
      </c>
      <c r="K746" s="12" t="s">
        <v>29</v>
      </c>
      <c r="L746" s="12" t="s">
        <v>3385</v>
      </c>
      <c r="P746" s="12" t="s">
        <v>31</v>
      </c>
      <c r="Q746" s="130" t="s">
        <v>32</v>
      </c>
      <c r="R746" s="18" t="s">
        <v>33</v>
      </c>
      <c r="S746" s="184" t="s">
        <v>3382</v>
      </c>
      <c r="T746" s="185">
        <v>38579</v>
      </c>
      <c r="V746" s="184"/>
      <c r="W746" s="184"/>
    </row>
    <row r="747" spans="1:23" ht="22.5" customHeight="1">
      <c r="A747" s="137">
        <v>46126.698397025466</v>
      </c>
      <c r="B747" s="12" t="s">
        <v>3386</v>
      </c>
      <c r="C747" s="12" t="s">
        <v>3386</v>
      </c>
      <c r="D747" s="12" t="s">
        <v>24</v>
      </c>
      <c r="E747" s="138">
        <v>31542</v>
      </c>
      <c r="F747" s="12" t="s">
        <v>406</v>
      </c>
      <c r="G747" s="12" t="s">
        <v>3387</v>
      </c>
      <c r="H747" s="12" t="s">
        <v>98</v>
      </c>
      <c r="I747" s="6" t="str">
        <f>VLOOKUP(CLEAN(F747),'World Bank Categories'!$B$4:$C$220,2,FALSE)</f>
        <v>Low income</v>
      </c>
      <c r="J747" s="12" t="s">
        <v>3388</v>
      </c>
      <c r="K747" s="12" t="s">
        <v>29</v>
      </c>
      <c r="L747" s="12" t="s">
        <v>30</v>
      </c>
      <c r="P747" s="12" t="s">
        <v>31</v>
      </c>
      <c r="Q747" s="130" t="s">
        <v>32</v>
      </c>
      <c r="R747" s="18" t="s">
        <v>33</v>
      </c>
      <c r="S747" s="184" t="s">
        <v>3386</v>
      </c>
      <c r="T747" s="185">
        <v>31542</v>
      </c>
      <c r="V747" s="184"/>
      <c r="W747" s="184"/>
    </row>
    <row r="748" spans="1:23" ht="22.5" customHeight="1">
      <c r="A748" s="137">
        <v>46127.69368866898</v>
      </c>
      <c r="B748" s="12" t="s">
        <v>3389</v>
      </c>
      <c r="D748" s="12" t="s">
        <v>24</v>
      </c>
      <c r="E748" s="138">
        <v>28965</v>
      </c>
      <c r="F748" s="12" t="s">
        <v>2556</v>
      </c>
      <c r="G748" s="12" t="s">
        <v>3390</v>
      </c>
      <c r="H748" s="12" t="s">
        <v>3391</v>
      </c>
      <c r="I748" s="6" t="str">
        <f>VLOOKUP(CLEAN(F748),'World Bank Categories'!$B$4:$C$220,2,FALSE)</f>
        <v>Middle income</v>
      </c>
      <c r="J748" s="12" t="s">
        <v>3392</v>
      </c>
      <c r="K748" s="12" t="s">
        <v>39</v>
      </c>
      <c r="L748" s="12" t="s">
        <v>152</v>
      </c>
      <c r="P748" s="12" t="s">
        <v>31</v>
      </c>
      <c r="Q748" s="130" t="s">
        <v>32</v>
      </c>
      <c r="R748" s="10" t="s">
        <v>33</v>
      </c>
      <c r="S748" s="184" t="s">
        <v>3389</v>
      </c>
      <c r="T748" s="185">
        <v>28965</v>
      </c>
      <c r="V748" s="184"/>
      <c r="W748" s="184"/>
    </row>
    <row r="749" spans="1:23" ht="22.5" hidden="1" customHeight="1">
      <c r="A749" s="137">
        <v>46127.925466550922</v>
      </c>
      <c r="B749" s="12" t="s">
        <v>3393</v>
      </c>
      <c r="C749" s="12" t="s">
        <v>3394</v>
      </c>
      <c r="D749" s="12" t="s">
        <v>24</v>
      </c>
      <c r="E749" s="138">
        <v>32870</v>
      </c>
      <c r="F749" s="12" t="s">
        <v>198</v>
      </c>
      <c r="G749" s="12" t="s">
        <v>3395</v>
      </c>
      <c r="H749" s="12" t="s">
        <v>111</v>
      </c>
      <c r="I749" s="6" t="str">
        <f>VLOOKUP(CLEAN(F749),'World Bank Categories'!$B$4:$C$220,2,FALSE)</f>
        <v>Middle income</v>
      </c>
      <c r="J749" s="12" t="s">
        <v>3396</v>
      </c>
      <c r="K749" s="12" t="s">
        <v>29</v>
      </c>
      <c r="L749" s="12" t="s">
        <v>30</v>
      </c>
      <c r="P749" s="12" t="s">
        <v>31</v>
      </c>
      <c r="Q749" s="79" t="s">
        <v>56</v>
      </c>
      <c r="R749" s="162"/>
      <c r="S749" s="184"/>
      <c r="T749" s="184"/>
      <c r="V749" s="184"/>
      <c r="W749" s="184"/>
    </row>
    <row r="750" spans="1:23" ht="22.5" customHeight="1">
      <c r="A750" s="137">
        <v>46128.350536006939</v>
      </c>
      <c r="B750" s="12" t="s">
        <v>3397</v>
      </c>
      <c r="D750" s="12" t="s">
        <v>45</v>
      </c>
      <c r="E750" s="138">
        <v>27853</v>
      </c>
      <c r="F750" s="12" t="s">
        <v>227</v>
      </c>
      <c r="G750" s="12" t="s">
        <v>360</v>
      </c>
      <c r="H750" s="12" t="s">
        <v>3398</v>
      </c>
      <c r="I750" s="6" t="str">
        <f>VLOOKUP(CLEAN(F750),'World Bank Categories'!$B$4:$C$220,2,FALSE)</f>
        <v>Middle income</v>
      </c>
      <c r="J750" s="12" t="s">
        <v>3399</v>
      </c>
      <c r="K750" s="12" t="s">
        <v>29</v>
      </c>
      <c r="L750" s="12" t="s">
        <v>162</v>
      </c>
      <c r="P750" s="12" t="s">
        <v>31</v>
      </c>
      <c r="Q750" s="130" t="s">
        <v>32</v>
      </c>
      <c r="R750" s="18" t="s">
        <v>33</v>
      </c>
      <c r="S750" s="184" t="s">
        <v>3397</v>
      </c>
      <c r="T750" s="185">
        <v>27853</v>
      </c>
      <c r="V750" s="184"/>
      <c r="W750" s="184"/>
    </row>
    <row r="751" spans="1:23" ht="22.5" customHeight="1">
      <c r="A751" s="166">
        <v>46128.909374930554</v>
      </c>
      <c r="B751" s="167" t="s">
        <v>3400</v>
      </c>
      <c r="C751" s="167" t="s">
        <v>3401</v>
      </c>
      <c r="D751" s="167" t="s">
        <v>24</v>
      </c>
      <c r="E751" s="169">
        <v>36243</v>
      </c>
      <c r="F751" s="167" t="s">
        <v>1063</v>
      </c>
      <c r="G751" s="167" t="s">
        <v>3402</v>
      </c>
      <c r="H751" s="167" t="s">
        <v>305</v>
      </c>
      <c r="I751" s="6" t="str">
        <f>VLOOKUP(CLEAN(F751),'World Bank Categories'!$B$4:$C$220,2,FALSE)</f>
        <v>Middle income</v>
      </c>
      <c r="J751" s="167" t="s">
        <v>3403</v>
      </c>
      <c r="K751" s="167" t="s">
        <v>39</v>
      </c>
      <c r="L751" s="167" t="s">
        <v>30</v>
      </c>
      <c r="M751" s="167"/>
      <c r="N751" s="167"/>
      <c r="P751" s="167" t="s">
        <v>31</v>
      </c>
      <c r="Q751" s="130" t="s">
        <v>32</v>
      </c>
      <c r="R751" s="162" t="s">
        <v>43</v>
      </c>
      <c r="S751" s="184" t="s">
        <v>3400</v>
      </c>
      <c r="T751" s="185"/>
      <c r="V751" s="184"/>
      <c r="W751" s="184"/>
    </row>
    <row r="752" spans="1:23" ht="22.5" customHeight="1">
      <c r="A752" s="137">
        <v>46129.013164988428</v>
      </c>
      <c r="B752" s="12" t="s">
        <v>3404</v>
      </c>
      <c r="D752" s="12" t="s">
        <v>24</v>
      </c>
      <c r="E752" s="138">
        <v>32759</v>
      </c>
      <c r="F752" s="12" t="s">
        <v>1983</v>
      </c>
      <c r="G752" s="12" t="s">
        <v>209</v>
      </c>
      <c r="H752" s="12" t="s">
        <v>3405</v>
      </c>
      <c r="I752" s="6" t="str">
        <f>VLOOKUP(CLEAN(F752),'World Bank Categories'!$B$4:$C$220,2,FALSE)</f>
        <v>High income</v>
      </c>
      <c r="J752" s="12" t="s">
        <v>3406</v>
      </c>
      <c r="K752" s="12" t="s">
        <v>29</v>
      </c>
      <c r="L752" s="12" t="s">
        <v>162</v>
      </c>
      <c r="P752" s="12" t="s">
        <v>31</v>
      </c>
      <c r="Q752" s="130" t="s">
        <v>32</v>
      </c>
      <c r="R752" s="10" t="s">
        <v>43</v>
      </c>
      <c r="S752" s="184" t="s">
        <v>3404</v>
      </c>
      <c r="T752" s="185">
        <v>32759</v>
      </c>
      <c r="V752" s="184"/>
      <c r="W752" s="184"/>
    </row>
    <row r="753" spans="1:23" ht="22.5" customHeight="1">
      <c r="A753" s="137">
        <v>46129.577868321758</v>
      </c>
      <c r="B753" s="12" t="s">
        <v>3407</v>
      </c>
      <c r="D753" s="12" t="s">
        <v>24</v>
      </c>
      <c r="E753" s="138">
        <v>33415</v>
      </c>
      <c r="F753" s="12" t="s">
        <v>2378</v>
      </c>
      <c r="G753" s="12" t="s">
        <v>3408</v>
      </c>
      <c r="H753" s="12" t="s">
        <v>3409</v>
      </c>
      <c r="I753" s="6" t="str">
        <f>VLOOKUP(CLEAN(F753),'World Bank Categories'!$B$4:$C$220,2,FALSE)</f>
        <v>Middle income</v>
      </c>
      <c r="J753" s="12" t="s">
        <v>3410</v>
      </c>
      <c r="K753" s="12" t="s">
        <v>29</v>
      </c>
      <c r="L753" s="12" t="s">
        <v>30</v>
      </c>
      <c r="M753" s="12" t="s">
        <v>3411</v>
      </c>
      <c r="P753" s="12" t="s">
        <v>31</v>
      </c>
      <c r="Q753" s="130" t="s">
        <v>32</v>
      </c>
      <c r="R753" s="18"/>
      <c r="S753" s="184" t="s">
        <v>3407</v>
      </c>
      <c r="T753" s="185">
        <v>33415</v>
      </c>
      <c r="V753" s="184"/>
      <c r="W753" s="184"/>
    </row>
    <row r="754" spans="1:23" ht="22.5" customHeight="1">
      <c r="A754" s="137">
        <v>46130.361662696756</v>
      </c>
      <c r="B754" s="12" t="s">
        <v>3412</v>
      </c>
      <c r="D754" s="12" t="s">
        <v>45</v>
      </c>
      <c r="E754" s="138">
        <v>30778</v>
      </c>
      <c r="F754" s="12" t="s">
        <v>1179</v>
      </c>
      <c r="G754" s="12" t="s">
        <v>3413</v>
      </c>
      <c r="H754" s="12" t="s">
        <v>3414</v>
      </c>
      <c r="I754" s="6" t="str">
        <f>VLOOKUP(CLEAN(F754),'World Bank Categories'!$B$4:$C$220,2,FALSE)</f>
        <v>High income</v>
      </c>
      <c r="J754" s="12" t="s">
        <v>3415</v>
      </c>
      <c r="K754" s="12" t="s">
        <v>29</v>
      </c>
      <c r="L754" s="12" t="s">
        <v>30</v>
      </c>
      <c r="M754" s="12"/>
      <c r="P754" s="12" t="s">
        <v>31</v>
      </c>
      <c r="Q754" s="130" t="s">
        <v>32</v>
      </c>
      <c r="R754" s="186" t="s">
        <v>33</v>
      </c>
      <c r="S754" s="184" t="s">
        <v>3416</v>
      </c>
      <c r="T754" s="187" t="s">
        <v>3417</v>
      </c>
      <c r="U754" s="12" t="s">
        <v>3415</v>
      </c>
      <c r="V754" s="184"/>
      <c r="W754" s="184"/>
    </row>
    <row r="755" spans="1:23" ht="22.5" customHeight="1">
      <c r="A755" s="137">
        <v>46130.380655185189</v>
      </c>
      <c r="B755" s="12" t="s">
        <v>3418</v>
      </c>
      <c r="D755" s="12" t="s">
        <v>24</v>
      </c>
      <c r="E755" s="138">
        <v>32320</v>
      </c>
      <c r="F755" s="12" t="s">
        <v>3419</v>
      </c>
      <c r="G755" s="12" t="s">
        <v>3420</v>
      </c>
      <c r="H755" s="12" t="s">
        <v>3421</v>
      </c>
      <c r="I755" s="6" t="str">
        <f>VLOOKUP(CLEAN(F755),'World Bank Categories'!$B$4:$C$220,2,FALSE)</f>
        <v>Middle income</v>
      </c>
      <c r="J755" s="12" t="s">
        <v>3422</v>
      </c>
      <c r="K755" s="12" t="s">
        <v>29</v>
      </c>
      <c r="L755" s="12" t="s">
        <v>30</v>
      </c>
      <c r="P755" s="12" t="s">
        <v>31</v>
      </c>
      <c r="Q755" s="130" t="s">
        <v>32</v>
      </c>
      <c r="R755" s="18" t="s">
        <v>33</v>
      </c>
      <c r="S755" s="184" t="s">
        <v>3418</v>
      </c>
      <c r="T755" s="185">
        <v>32320</v>
      </c>
      <c r="V755" s="184"/>
      <c r="W755" s="184"/>
    </row>
    <row r="756" spans="1:23" ht="22.5" customHeight="1">
      <c r="A756" s="158">
        <v>46130.729927523149</v>
      </c>
      <c r="B756" s="159" t="s">
        <v>3423</v>
      </c>
      <c r="C756" s="161"/>
      <c r="D756" s="159" t="s">
        <v>45</v>
      </c>
      <c r="E756" s="160">
        <v>34905</v>
      </c>
      <c r="F756" s="159" t="s">
        <v>3040</v>
      </c>
      <c r="G756" s="159" t="s">
        <v>3424</v>
      </c>
      <c r="H756" s="159" t="s">
        <v>1595</v>
      </c>
      <c r="I756" s="6" t="str">
        <f>VLOOKUP(CLEAN(F756),'World Bank Categories'!$B$4:$C$220,2,FALSE)</f>
        <v>High income</v>
      </c>
      <c r="J756" s="159" t="s">
        <v>3425</v>
      </c>
      <c r="K756" s="159" t="s">
        <v>29</v>
      </c>
      <c r="L756" s="159" t="s">
        <v>30</v>
      </c>
      <c r="M756" s="159"/>
      <c r="N756" s="159"/>
      <c r="O756" s="171"/>
      <c r="P756" s="159" t="s">
        <v>31</v>
      </c>
      <c r="Q756" s="130" t="s">
        <v>32</v>
      </c>
      <c r="R756" s="162" t="s">
        <v>43</v>
      </c>
      <c r="S756" s="184" t="s">
        <v>3426</v>
      </c>
      <c r="T756" s="185"/>
      <c r="V756" s="184"/>
      <c r="W756" s="184"/>
    </row>
    <row r="757" spans="1:23" ht="22.5" customHeight="1">
      <c r="A757" s="188">
        <v>46131.128789826384</v>
      </c>
      <c r="B757" s="189" t="s">
        <v>62</v>
      </c>
      <c r="C757" s="190"/>
      <c r="D757" s="189" t="s">
        <v>24</v>
      </c>
      <c r="E757" s="191">
        <v>36458</v>
      </c>
      <c r="F757" s="189" t="s">
        <v>58</v>
      </c>
      <c r="G757" s="189" t="s">
        <v>3427</v>
      </c>
      <c r="H757" s="189" t="s">
        <v>3124</v>
      </c>
      <c r="I757" s="6" t="str">
        <f>VLOOKUP(CLEAN(F757),'World Bank Categories'!$B$4:$C$220,2,FALSE)</f>
        <v>Middle income</v>
      </c>
      <c r="J757" s="189" t="s">
        <v>61</v>
      </c>
      <c r="K757" s="189" t="s">
        <v>29</v>
      </c>
      <c r="L757" s="189" t="s">
        <v>30</v>
      </c>
      <c r="M757" s="189"/>
      <c r="N757" s="189"/>
      <c r="O757" s="190"/>
      <c r="P757" s="189" t="s">
        <v>31</v>
      </c>
      <c r="Q757" s="130" t="s">
        <v>32</v>
      </c>
      <c r="R757" s="162" t="s">
        <v>33</v>
      </c>
      <c r="S757" s="192" t="s">
        <v>62</v>
      </c>
      <c r="T757" s="193"/>
      <c r="U757" s="194"/>
      <c r="V757" s="192"/>
      <c r="W757" s="192"/>
    </row>
    <row r="758" spans="1:23" ht="22.5" customHeight="1">
      <c r="A758" s="137">
        <v>46131.262189039349</v>
      </c>
      <c r="B758" s="12" t="s">
        <v>3428</v>
      </c>
      <c r="D758" s="12" t="s">
        <v>45</v>
      </c>
      <c r="E758" s="138">
        <v>27983</v>
      </c>
      <c r="F758" s="12" t="s">
        <v>46</v>
      </c>
      <c r="G758" s="12" t="s">
        <v>3429</v>
      </c>
      <c r="H758" s="12" t="s">
        <v>933</v>
      </c>
      <c r="I758" s="6" t="str">
        <f>VLOOKUP(CLEAN(F758),'World Bank Categories'!$B$4:$C$220,2,FALSE)</f>
        <v>Low income</v>
      </c>
      <c r="J758" s="12" t="s">
        <v>3430</v>
      </c>
      <c r="K758" s="12" t="s">
        <v>29</v>
      </c>
      <c r="L758" s="12" t="s">
        <v>162</v>
      </c>
      <c r="P758" s="12" t="s">
        <v>31</v>
      </c>
      <c r="Q758" s="130" t="s">
        <v>32</v>
      </c>
      <c r="R758" s="18" t="s">
        <v>43</v>
      </c>
      <c r="S758" s="184" t="s">
        <v>3428</v>
      </c>
      <c r="T758" s="185">
        <v>28072</v>
      </c>
      <c r="V758" s="184"/>
      <c r="W758" s="184"/>
    </row>
    <row r="759" spans="1:23" ht="22.5" customHeight="1">
      <c r="A759" s="137">
        <v>46131.529078113424</v>
      </c>
      <c r="B759" s="12" t="s">
        <v>3431</v>
      </c>
      <c r="D759" s="12" t="s">
        <v>24</v>
      </c>
      <c r="E759" s="138">
        <v>23682</v>
      </c>
      <c r="F759" s="12" t="s">
        <v>198</v>
      </c>
      <c r="G759" s="12" t="s">
        <v>3432</v>
      </c>
      <c r="H759" s="12" t="s">
        <v>3433</v>
      </c>
      <c r="I759" s="6" t="str">
        <f>VLOOKUP(CLEAN(F759),'World Bank Categories'!$B$4:$C$220,2,FALSE)</f>
        <v>Middle income</v>
      </c>
      <c r="J759" s="12" t="s">
        <v>3434</v>
      </c>
      <c r="K759" s="12" t="s">
        <v>29</v>
      </c>
      <c r="L759" s="12" t="s">
        <v>30</v>
      </c>
      <c r="P759" s="12" t="s">
        <v>31</v>
      </c>
      <c r="Q759" s="130" t="s">
        <v>32</v>
      </c>
      <c r="R759" s="10"/>
      <c r="S759" s="184" t="s">
        <v>3431</v>
      </c>
      <c r="T759" s="185">
        <v>23682</v>
      </c>
      <c r="V759" s="184"/>
      <c r="W759" s="184"/>
    </row>
    <row r="760" spans="1:23" ht="22.5" customHeight="1">
      <c r="A760" s="137">
        <v>46131.57173758102</v>
      </c>
      <c r="B760" s="12" t="s">
        <v>3435</v>
      </c>
      <c r="C760" s="12" t="s">
        <v>3435</v>
      </c>
      <c r="D760" s="12" t="s">
        <v>45</v>
      </c>
      <c r="E760" s="138">
        <v>20526</v>
      </c>
      <c r="F760" s="12" t="s">
        <v>332</v>
      </c>
      <c r="G760" s="12" t="s">
        <v>3436</v>
      </c>
      <c r="H760" s="12" t="s">
        <v>3437</v>
      </c>
      <c r="I760" s="6" t="str">
        <f>VLOOKUP(CLEAN(F760),'World Bank Categories'!$B$4:$C$220,2,FALSE)</f>
        <v>High income</v>
      </c>
      <c r="J760" s="12" t="s">
        <v>3438</v>
      </c>
      <c r="K760" s="12" t="s">
        <v>29</v>
      </c>
      <c r="L760" s="12" t="s">
        <v>30</v>
      </c>
      <c r="M760" s="12" t="s">
        <v>3439</v>
      </c>
      <c r="P760" s="12" t="s">
        <v>31</v>
      </c>
      <c r="Q760" s="130" t="s">
        <v>32</v>
      </c>
      <c r="R760" s="195" t="s">
        <v>43</v>
      </c>
      <c r="S760" s="184" t="s">
        <v>3440</v>
      </c>
      <c r="T760" s="187" t="s">
        <v>3441</v>
      </c>
      <c r="U760" s="184" t="s">
        <v>3442</v>
      </c>
      <c r="W760" s="12"/>
    </row>
    <row r="761" spans="1:23" ht="22.5" customHeight="1">
      <c r="A761" s="144">
        <v>46131.573180173611</v>
      </c>
      <c r="B761" s="40" t="s">
        <v>3443</v>
      </c>
      <c r="C761" s="40"/>
      <c r="D761" s="40" t="s">
        <v>24</v>
      </c>
      <c r="E761" s="145">
        <v>19760</v>
      </c>
      <c r="F761" s="40" t="s">
        <v>332</v>
      </c>
      <c r="G761" s="40" t="s">
        <v>3436</v>
      </c>
      <c r="H761" s="40" t="s">
        <v>3437</v>
      </c>
      <c r="I761" s="6" t="str">
        <f>VLOOKUP(CLEAN(F761),'World Bank Categories'!$B$4:$C$220,2,FALSE)</f>
        <v>High income</v>
      </c>
      <c r="J761" s="40" t="s">
        <v>3438</v>
      </c>
      <c r="K761" s="40" t="s">
        <v>29</v>
      </c>
      <c r="L761" s="40" t="s">
        <v>30</v>
      </c>
      <c r="M761" s="40" t="s">
        <v>3444</v>
      </c>
      <c r="N761" s="40"/>
      <c r="O761" s="40"/>
      <c r="P761" s="40" t="s">
        <v>31</v>
      </c>
      <c r="Q761" s="130" t="s">
        <v>32</v>
      </c>
      <c r="R761" s="196" t="s">
        <v>43</v>
      </c>
      <c r="S761" s="142" t="s">
        <v>3445</v>
      </c>
      <c r="T761" s="197" t="s">
        <v>3446</v>
      </c>
      <c r="U761" s="142" t="s">
        <v>3447</v>
      </c>
      <c r="V761" s="40"/>
      <c r="W761" s="40"/>
    </row>
    <row r="762" spans="1:23" ht="22.5" customHeight="1">
      <c r="A762" s="137">
        <v>46131.885916192128</v>
      </c>
      <c r="B762" s="12" t="s">
        <v>3448</v>
      </c>
      <c r="D762" s="12" t="s">
        <v>45</v>
      </c>
      <c r="E762" s="138">
        <v>37582</v>
      </c>
      <c r="F762" s="12" t="s">
        <v>208</v>
      </c>
      <c r="G762" s="12" t="s">
        <v>2310</v>
      </c>
      <c r="H762" s="12" t="s">
        <v>3449</v>
      </c>
      <c r="I762" s="6" t="str">
        <f>VLOOKUP(CLEAN(F762),'World Bank Categories'!$B$4:$C$220,2,FALSE)</f>
        <v>Low income</v>
      </c>
      <c r="J762" s="12" t="s">
        <v>3450</v>
      </c>
      <c r="K762" s="12" t="s">
        <v>29</v>
      </c>
      <c r="L762" s="12" t="s">
        <v>30</v>
      </c>
      <c r="P762" s="12" t="s">
        <v>31</v>
      </c>
      <c r="Q762" s="130" t="s">
        <v>32</v>
      </c>
      <c r="R762" s="141"/>
      <c r="S762" s="12" t="s">
        <v>3451</v>
      </c>
      <c r="T762" s="198">
        <v>37582</v>
      </c>
      <c r="U762" s="12" t="s">
        <v>3450</v>
      </c>
      <c r="W762" s="12"/>
    </row>
    <row r="763" spans="1:23" ht="22.5" customHeight="1">
      <c r="A763" s="137">
        <v>46132.212687604166</v>
      </c>
      <c r="B763" s="12" t="s">
        <v>3452</v>
      </c>
      <c r="D763" s="12" t="s">
        <v>24</v>
      </c>
      <c r="E763" s="138">
        <v>32069</v>
      </c>
      <c r="F763" s="12" t="s">
        <v>3453</v>
      </c>
      <c r="G763" s="12" t="s">
        <v>3454</v>
      </c>
      <c r="H763" s="12" t="s">
        <v>3455</v>
      </c>
      <c r="I763" s="6" t="str">
        <f>VLOOKUP(CLEAN(F763),'World Bank Categories'!$B$4:$C$220,2,FALSE)</f>
        <v>Low income</v>
      </c>
      <c r="J763" s="12" t="s">
        <v>3456</v>
      </c>
      <c r="K763" s="12" t="s">
        <v>29</v>
      </c>
      <c r="L763" s="12" t="s">
        <v>30</v>
      </c>
      <c r="P763" s="12" t="s">
        <v>31</v>
      </c>
      <c r="Q763" s="130" t="s">
        <v>32</v>
      </c>
      <c r="R763" s="141"/>
      <c r="S763" s="12" t="s">
        <v>3457</v>
      </c>
      <c r="U763" s="12" t="s">
        <v>3456</v>
      </c>
      <c r="W763" s="12"/>
    </row>
    <row r="764" spans="1:23" ht="22.5" customHeight="1">
      <c r="A764" s="137">
        <v>46133.772379097223</v>
      </c>
      <c r="B764" s="12" t="s">
        <v>3458</v>
      </c>
      <c r="D764" s="12" t="s">
        <v>24</v>
      </c>
      <c r="E764" s="138">
        <v>37841</v>
      </c>
      <c r="F764" s="12" t="s">
        <v>64</v>
      </c>
      <c r="G764" s="12" t="s">
        <v>3459</v>
      </c>
      <c r="H764" s="12" t="s">
        <v>3460</v>
      </c>
      <c r="I764" s="6" t="str">
        <f>VLOOKUP(CLEAN(F764),'World Bank Categories'!$B$4:$C$220,2,FALSE)</f>
        <v>Middle income</v>
      </c>
      <c r="J764" s="12" t="s">
        <v>3461</v>
      </c>
      <c r="K764" s="12" t="s">
        <v>29</v>
      </c>
      <c r="L764" s="143" t="s">
        <v>656</v>
      </c>
      <c r="P764" s="12" t="s">
        <v>31</v>
      </c>
      <c r="Q764" s="130" t="s">
        <v>32</v>
      </c>
      <c r="R764" s="141"/>
      <c r="S764" s="12" t="s">
        <v>3462</v>
      </c>
      <c r="U764" s="12" t="s">
        <v>3461</v>
      </c>
      <c r="W764" s="12"/>
    </row>
    <row r="765" spans="1:23" ht="22.5" customHeight="1">
      <c r="A765" s="137">
        <v>46135.958340740741</v>
      </c>
      <c r="B765" s="12" t="s">
        <v>3463</v>
      </c>
      <c r="D765" s="12" t="s">
        <v>24</v>
      </c>
      <c r="E765" s="138">
        <v>33887</v>
      </c>
      <c r="F765" s="12" t="s">
        <v>3464</v>
      </c>
      <c r="G765" s="12" t="s">
        <v>3465</v>
      </c>
      <c r="H765" s="12" t="s">
        <v>2778</v>
      </c>
      <c r="I765" s="6" t="str">
        <f>VLOOKUP(CLEAN(F765),'World Bank Categories'!$B$4:$C$220,2,FALSE)</f>
        <v>Low income</v>
      </c>
      <c r="J765" s="12" t="s">
        <v>3466</v>
      </c>
      <c r="K765" s="12" t="s">
        <v>29</v>
      </c>
      <c r="L765" s="12" t="s">
        <v>241</v>
      </c>
      <c r="P765" s="12" t="s">
        <v>31</v>
      </c>
      <c r="Q765" s="79" t="s">
        <v>3467</v>
      </c>
      <c r="R765" s="141"/>
      <c r="W765" s="12"/>
    </row>
    <row r="766" spans="1:23" ht="22.5" customHeight="1">
      <c r="A766" s="137">
        <v>46136.529390960648</v>
      </c>
      <c r="B766" s="12" t="s">
        <v>3468</v>
      </c>
      <c r="C766" s="12" t="s">
        <v>871</v>
      </c>
      <c r="D766" s="12" t="s">
        <v>24</v>
      </c>
      <c r="E766" s="138">
        <v>31597</v>
      </c>
      <c r="F766" s="12" t="s">
        <v>3469</v>
      </c>
      <c r="G766" s="12" t="s">
        <v>3470</v>
      </c>
      <c r="H766" s="12" t="s">
        <v>111</v>
      </c>
      <c r="I766" s="6" t="str">
        <f>VLOOKUP(CLEAN(F766),'World Bank Categories'!$B$4:$C$220,2,FALSE)</f>
        <v>Middle income</v>
      </c>
      <c r="J766" s="12" t="s">
        <v>3471</v>
      </c>
      <c r="K766" s="12" t="s">
        <v>29</v>
      </c>
      <c r="L766" s="12" t="s">
        <v>30</v>
      </c>
      <c r="M766" s="12" t="s">
        <v>3472</v>
      </c>
      <c r="N766" s="12" t="s">
        <v>3473</v>
      </c>
      <c r="O766" s="12" t="s">
        <v>3474</v>
      </c>
      <c r="P766" s="12" t="s">
        <v>31</v>
      </c>
      <c r="Q766" s="130" t="s">
        <v>32</v>
      </c>
      <c r="R766" s="141" t="s">
        <v>43</v>
      </c>
      <c r="W766" s="12"/>
    </row>
    <row r="767" spans="1:23" ht="22.5" customHeight="1">
      <c r="A767" s="137">
        <v>46136.645846608793</v>
      </c>
      <c r="B767" s="12" t="s">
        <v>3475</v>
      </c>
      <c r="C767" s="12" t="s">
        <v>3476</v>
      </c>
      <c r="D767" s="12" t="s">
        <v>24</v>
      </c>
      <c r="E767" s="138">
        <v>36719</v>
      </c>
      <c r="F767" s="12" t="s">
        <v>1053</v>
      </c>
      <c r="G767" s="12" t="s">
        <v>3477</v>
      </c>
      <c r="H767" s="12" t="s">
        <v>2606</v>
      </c>
      <c r="I767" s="6" t="str">
        <f>VLOOKUP(CLEAN(F767),'World Bank Categories'!$B$4:$C$220,2,FALSE)</f>
        <v>High income</v>
      </c>
      <c r="J767" s="12" t="s">
        <v>3478</v>
      </c>
      <c r="K767" s="12" t="s">
        <v>39</v>
      </c>
      <c r="L767" s="12" t="s">
        <v>621</v>
      </c>
      <c r="P767" s="12" t="s">
        <v>31</v>
      </c>
      <c r="Q767" s="130" t="s">
        <v>32</v>
      </c>
      <c r="R767" s="141" t="s">
        <v>43</v>
      </c>
      <c r="S767" s="12" t="s">
        <v>3475</v>
      </c>
      <c r="U767" s="12" t="s">
        <v>3478</v>
      </c>
      <c r="W767" s="12"/>
    </row>
    <row r="768" spans="1:23" ht="22.5" customHeight="1">
      <c r="A768" s="137">
        <v>46137.516127268522</v>
      </c>
      <c r="B768" s="12" t="s">
        <v>3479</v>
      </c>
      <c r="D768" s="12" t="s">
        <v>24</v>
      </c>
      <c r="E768" s="138">
        <v>23489</v>
      </c>
      <c r="F768" s="12" t="s">
        <v>623</v>
      </c>
      <c r="G768" s="12" t="s">
        <v>3480</v>
      </c>
      <c r="H768" s="12" t="s">
        <v>1667</v>
      </c>
      <c r="I768" s="6" t="str">
        <f>VLOOKUP(CLEAN(F768),'World Bank Categories'!$B$4:$C$220,2,FALSE)</f>
        <v>Middle income</v>
      </c>
      <c r="J768" s="12" t="s">
        <v>3481</v>
      </c>
      <c r="K768" s="12" t="s">
        <v>29</v>
      </c>
      <c r="L768" s="12" t="s">
        <v>30</v>
      </c>
      <c r="P768" s="12" t="s">
        <v>31</v>
      </c>
      <c r="Q768" s="130" t="s">
        <v>32</v>
      </c>
      <c r="R768" s="141"/>
      <c r="W768" s="12"/>
    </row>
    <row r="769" spans="1:23" ht="22.5" customHeight="1">
      <c r="A769" s="137">
        <v>46137.665369606482</v>
      </c>
      <c r="B769" s="12" t="s">
        <v>3482</v>
      </c>
      <c r="C769" s="12" t="s">
        <v>3483</v>
      </c>
      <c r="D769" s="12" t="s">
        <v>24</v>
      </c>
      <c r="E769" s="138">
        <v>36420</v>
      </c>
      <c r="F769" s="12" t="s">
        <v>1053</v>
      </c>
      <c r="G769" s="12" t="s">
        <v>3484</v>
      </c>
      <c r="H769" s="12" t="s">
        <v>1031</v>
      </c>
      <c r="I769" s="6" t="str">
        <f>VLOOKUP(CLEAN(F769),'World Bank Categories'!$B$4:$C$220,2,FALSE)</f>
        <v>High income</v>
      </c>
      <c r="J769" s="12" t="s">
        <v>3485</v>
      </c>
      <c r="K769" s="12" t="s">
        <v>39</v>
      </c>
      <c r="L769" s="12" t="s">
        <v>621</v>
      </c>
      <c r="P769" s="12" t="s">
        <v>31</v>
      </c>
      <c r="Q769" s="130" t="s">
        <v>32</v>
      </c>
      <c r="R769" s="33" t="s">
        <v>43</v>
      </c>
      <c r="S769" s="12" t="s">
        <v>3486</v>
      </c>
      <c r="U769" s="12" t="s">
        <v>3487</v>
      </c>
      <c r="W769" s="12"/>
    </row>
    <row r="770" spans="1:23" ht="22.5" customHeight="1">
      <c r="A770" s="137">
        <v>46138.807009201388</v>
      </c>
      <c r="B770" s="12" t="s">
        <v>3488</v>
      </c>
      <c r="D770" s="12" t="s">
        <v>45</v>
      </c>
      <c r="E770" s="138">
        <v>26141</v>
      </c>
      <c r="F770" s="12" t="s">
        <v>799</v>
      </c>
      <c r="G770" s="12" t="s">
        <v>3489</v>
      </c>
      <c r="H770" s="12" t="s">
        <v>3490</v>
      </c>
      <c r="I770" s="6" t="str">
        <f>VLOOKUP(CLEAN(F770),'World Bank Categories'!$B$4:$C$220,2,FALSE)</f>
        <v>Low income</v>
      </c>
      <c r="J770" s="12" t="s">
        <v>3491</v>
      </c>
      <c r="K770" s="12" t="s">
        <v>29</v>
      </c>
      <c r="L770" s="12" t="s">
        <v>162</v>
      </c>
      <c r="M770" s="12" t="s">
        <v>3492</v>
      </c>
      <c r="P770" s="12" t="s">
        <v>31</v>
      </c>
      <c r="Q770" s="130" t="s">
        <v>32</v>
      </c>
      <c r="R770" s="141" t="s">
        <v>33</v>
      </c>
      <c r="W770" s="12"/>
    </row>
    <row r="771" spans="1:23" ht="22.5" customHeight="1">
      <c r="A771" s="137">
        <v>46139.094726655094</v>
      </c>
      <c r="B771" s="12" t="s">
        <v>3493</v>
      </c>
      <c r="D771" s="12" t="s">
        <v>45</v>
      </c>
      <c r="E771" s="138">
        <v>37516</v>
      </c>
      <c r="F771" s="12" t="s">
        <v>52</v>
      </c>
      <c r="G771" s="12" t="s">
        <v>3494</v>
      </c>
      <c r="H771" s="12" t="s">
        <v>3495</v>
      </c>
      <c r="I771" s="6" t="str">
        <f>VLOOKUP(CLEAN(F771),'World Bank Categories'!$B$4:$C$220,2,FALSE)</f>
        <v>Middle income</v>
      </c>
      <c r="J771" s="12" t="s">
        <v>3496</v>
      </c>
      <c r="K771" s="12" t="s">
        <v>29</v>
      </c>
      <c r="L771" s="12" t="s">
        <v>30</v>
      </c>
      <c r="P771" s="12" t="s">
        <v>31</v>
      </c>
      <c r="Q771" s="130" t="s">
        <v>32</v>
      </c>
      <c r="R771" s="141" t="s">
        <v>33</v>
      </c>
      <c r="W771" s="12"/>
    </row>
    <row r="772" spans="1:23" ht="22.5" customHeight="1">
      <c r="A772" s="137">
        <v>46139.101186979169</v>
      </c>
      <c r="B772" s="12" t="s">
        <v>3497</v>
      </c>
      <c r="D772" s="12" t="s">
        <v>24</v>
      </c>
      <c r="E772" s="138">
        <v>35581</v>
      </c>
      <c r="F772" s="12" t="s">
        <v>799</v>
      </c>
      <c r="G772" s="12" t="s">
        <v>3498</v>
      </c>
      <c r="H772" s="12" t="s">
        <v>3499</v>
      </c>
      <c r="I772" s="6" t="str">
        <f>VLOOKUP(CLEAN(F772),'World Bank Categories'!$B$4:$C$220,2,FALSE)</f>
        <v>Low income</v>
      </c>
      <c r="J772" s="12" t="s">
        <v>3500</v>
      </c>
      <c r="K772" s="12" t="s">
        <v>29</v>
      </c>
      <c r="L772" s="143" t="s">
        <v>1168</v>
      </c>
      <c r="P772" s="12" t="s">
        <v>31</v>
      </c>
      <c r="Q772" s="130" t="s">
        <v>32</v>
      </c>
      <c r="R772" s="141" t="s">
        <v>33</v>
      </c>
      <c r="W772" s="12"/>
    </row>
    <row r="773" spans="1:23" ht="22.5" customHeight="1">
      <c r="A773" s="137">
        <v>46139.575147673611</v>
      </c>
      <c r="B773" s="12" t="s">
        <v>3501</v>
      </c>
      <c r="C773" s="12" t="s">
        <v>3502</v>
      </c>
      <c r="D773" s="12" t="s">
        <v>24</v>
      </c>
      <c r="E773" s="138">
        <v>36791</v>
      </c>
      <c r="F773" s="12" t="s">
        <v>1053</v>
      </c>
      <c r="G773" s="12" t="s">
        <v>3503</v>
      </c>
      <c r="H773" s="12" t="s">
        <v>160</v>
      </c>
      <c r="I773" s="6" t="str">
        <f>VLOOKUP(CLEAN(F773),'World Bank Categories'!$B$4:$C$220,2,FALSE)</f>
        <v>High income</v>
      </c>
      <c r="J773" s="12" t="s">
        <v>3504</v>
      </c>
      <c r="K773" s="12" t="s">
        <v>29</v>
      </c>
      <c r="L773" s="12" t="s">
        <v>30</v>
      </c>
      <c r="P773" s="12" t="s">
        <v>31</v>
      </c>
      <c r="Q773" s="130" t="s">
        <v>32</v>
      </c>
      <c r="R773" s="141"/>
      <c r="S773" s="12" t="s">
        <v>3505</v>
      </c>
      <c r="U773" s="12" t="s">
        <v>3504</v>
      </c>
      <c r="W773" s="12"/>
    </row>
    <row r="774" spans="1:23" ht="22.5" customHeight="1">
      <c r="A774" s="137">
        <v>46139.667937453705</v>
      </c>
      <c r="B774" s="12" t="s">
        <v>3506</v>
      </c>
      <c r="D774" s="12" t="s">
        <v>45</v>
      </c>
      <c r="E774" s="138">
        <v>34576</v>
      </c>
      <c r="F774" s="12" t="s">
        <v>83</v>
      </c>
      <c r="G774" s="12" t="s">
        <v>3507</v>
      </c>
      <c r="H774" s="12" t="s">
        <v>111</v>
      </c>
      <c r="I774" s="6" t="str">
        <f>VLOOKUP(CLEAN(F774),'World Bank Categories'!$B$4:$C$220,2,FALSE)</f>
        <v>Low income</v>
      </c>
      <c r="J774" s="12" t="s">
        <v>3508</v>
      </c>
      <c r="K774" s="12" t="s">
        <v>29</v>
      </c>
      <c r="L774" s="12" t="s">
        <v>30</v>
      </c>
      <c r="P774" s="12" t="s">
        <v>31</v>
      </c>
      <c r="Q774" s="130" t="s">
        <v>32</v>
      </c>
      <c r="R774" s="141" t="s">
        <v>33</v>
      </c>
      <c r="S774" s="12" t="s">
        <v>3509</v>
      </c>
      <c r="U774" s="12" t="s">
        <v>3508</v>
      </c>
      <c r="W774" s="12"/>
    </row>
    <row r="775" spans="1:23" ht="22.5" customHeight="1">
      <c r="A775" s="137">
        <v>46139.771058101847</v>
      </c>
      <c r="B775" s="12" t="s">
        <v>3510</v>
      </c>
      <c r="D775" s="12" t="s">
        <v>24</v>
      </c>
      <c r="E775" s="138">
        <v>36355</v>
      </c>
      <c r="F775" s="12" t="s">
        <v>433</v>
      </c>
      <c r="G775" s="12" t="s">
        <v>3511</v>
      </c>
      <c r="H775" s="12" t="s">
        <v>3512</v>
      </c>
      <c r="I775" s="6" t="str">
        <f>VLOOKUP(CLEAN(F775),'World Bank Categories'!$B$4:$C$220,2,FALSE)</f>
        <v>Low income</v>
      </c>
      <c r="J775" s="12" t="s">
        <v>3513</v>
      </c>
      <c r="K775" s="12" t="s">
        <v>29</v>
      </c>
      <c r="L775" s="12" t="s">
        <v>30</v>
      </c>
      <c r="P775" s="12" t="s">
        <v>31</v>
      </c>
      <c r="Q775" s="130" t="s">
        <v>32</v>
      </c>
      <c r="R775" s="141" t="s">
        <v>43</v>
      </c>
      <c r="W775" s="12"/>
    </row>
    <row r="776" spans="1:23" ht="22.5" customHeight="1">
      <c r="A776" s="137">
        <v>46140.894833877319</v>
      </c>
      <c r="B776" s="12" t="s">
        <v>3514</v>
      </c>
      <c r="D776" s="12" t="s">
        <v>24</v>
      </c>
      <c r="E776" s="138">
        <v>35193</v>
      </c>
      <c r="F776" s="12" t="s">
        <v>3040</v>
      </c>
      <c r="G776" s="12" t="s">
        <v>3515</v>
      </c>
      <c r="H776" s="12" t="s">
        <v>156</v>
      </c>
      <c r="I776" s="6" t="str">
        <f>VLOOKUP(CLEAN(F776),'World Bank Categories'!$B$4:$C$220,2,FALSE)</f>
        <v>High income</v>
      </c>
      <c r="J776" s="12" t="s">
        <v>3516</v>
      </c>
      <c r="K776" s="12" t="s">
        <v>39</v>
      </c>
      <c r="L776" s="12" t="s">
        <v>152</v>
      </c>
      <c r="P776" s="12" t="s">
        <v>31</v>
      </c>
      <c r="Q776" s="130" t="s">
        <v>32</v>
      </c>
      <c r="R776" s="141" t="s">
        <v>43</v>
      </c>
      <c r="S776" s="12" t="s">
        <v>3517</v>
      </c>
      <c r="U776" s="12" t="s">
        <v>3516</v>
      </c>
      <c r="W776" s="12"/>
    </row>
    <row r="777" spans="1:23" ht="22.5" customHeight="1">
      <c r="A777" s="137">
        <v>46140.942007962964</v>
      </c>
      <c r="B777" s="12" t="s">
        <v>3518</v>
      </c>
      <c r="D777" s="12" t="s">
        <v>24</v>
      </c>
      <c r="E777" s="138">
        <v>27327</v>
      </c>
      <c r="F777" s="12" t="s">
        <v>52</v>
      </c>
      <c r="G777" s="12" t="s">
        <v>3519</v>
      </c>
      <c r="H777" s="12" t="s">
        <v>1310</v>
      </c>
      <c r="I777" s="6" t="str">
        <f>VLOOKUP(CLEAN(F777),'World Bank Categories'!$B$4:$C$220,2,FALSE)</f>
        <v>Middle income</v>
      </c>
      <c r="J777" s="12" t="s">
        <v>3520</v>
      </c>
      <c r="K777" s="12" t="s">
        <v>39</v>
      </c>
      <c r="L777" s="12" t="s">
        <v>152</v>
      </c>
      <c r="P777" s="12" t="s">
        <v>31</v>
      </c>
      <c r="Q777" s="130" t="s">
        <v>32</v>
      </c>
      <c r="R777" s="141" t="s">
        <v>43</v>
      </c>
      <c r="S777" s="12" t="s">
        <v>3521</v>
      </c>
      <c r="U777" s="12" t="s">
        <v>3520</v>
      </c>
      <c r="W777" s="12"/>
    </row>
    <row r="778" spans="1:23" ht="22.5" customHeight="1">
      <c r="A778" s="137">
        <v>46141.401865671301</v>
      </c>
      <c r="B778" s="12" t="s">
        <v>3522</v>
      </c>
      <c r="C778" s="12" t="s">
        <v>941</v>
      </c>
      <c r="D778" s="12" t="s">
        <v>24</v>
      </c>
      <c r="E778" s="138">
        <v>24631</v>
      </c>
      <c r="F778" s="12" t="s">
        <v>198</v>
      </c>
      <c r="G778" s="12" t="s">
        <v>941</v>
      </c>
      <c r="H778" s="12" t="s">
        <v>186</v>
      </c>
      <c r="I778" s="6" t="str">
        <f>VLOOKUP(CLEAN(F778),'World Bank Categories'!$B$4:$C$220,2,FALSE)</f>
        <v>Middle income</v>
      </c>
      <c r="J778" s="12" t="s">
        <v>3523</v>
      </c>
      <c r="K778" s="12" t="s">
        <v>29</v>
      </c>
      <c r="L778" s="12" t="s">
        <v>30</v>
      </c>
      <c r="P778" s="12" t="s">
        <v>31</v>
      </c>
      <c r="Q778" s="130" t="s">
        <v>32</v>
      </c>
      <c r="R778" s="141"/>
      <c r="S778" s="12" t="s">
        <v>3524</v>
      </c>
      <c r="U778" s="12" t="s">
        <v>3523</v>
      </c>
      <c r="W778" s="12"/>
    </row>
    <row r="779" spans="1:23" ht="22.5" customHeight="1">
      <c r="A779" s="137">
        <v>46141.701681261577</v>
      </c>
      <c r="B779" s="12" t="s">
        <v>3525</v>
      </c>
      <c r="D779" s="12" t="s">
        <v>45</v>
      </c>
      <c r="E779" s="138">
        <v>37262</v>
      </c>
      <c r="F779" s="12" t="s">
        <v>1983</v>
      </c>
      <c r="G779" s="12" t="s">
        <v>3526</v>
      </c>
      <c r="H779" s="12" t="s">
        <v>66</v>
      </c>
      <c r="I779" s="6" t="str">
        <f>VLOOKUP(CLEAN(F779),'World Bank Categories'!$B$4:$C$220,2,FALSE)</f>
        <v>High income</v>
      </c>
      <c r="J779" s="12" t="s">
        <v>3527</v>
      </c>
      <c r="K779" s="12" t="s">
        <v>29</v>
      </c>
      <c r="L779" s="12" t="s">
        <v>162</v>
      </c>
      <c r="P779" s="12" t="s">
        <v>31</v>
      </c>
      <c r="Q779" s="130" t="s">
        <v>32</v>
      </c>
      <c r="R779" s="141" t="s">
        <v>43</v>
      </c>
      <c r="S779" s="12" t="s">
        <v>3528</v>
      </c>
      <c r="U779" s="12" t="s">
        <v>3527</v>
      </c>
      <c r="W779" s="12"/>
    </row>
    <row r="780" spans="1:23" ht="22.5" customHeight="1">
      <c r="A780" s="199">
        <v>46142.194461307867</v>
      </c>
      <c r="B780" s="200" t="s">
        <v>3529</v>
      </c>
      <c r="C780" s="201"/>
      <c r="D780" s="200" t="s">
        <v>45</v>
      </c>
      <c r="E780" s="202">
        <v>21014</v>
      </c>
      <c r="F780" s="200" t="s">
        <v>2246</v>
      </c>
      <c r="G780" s="200" t="s">
        <v>3530</v>
      </c>
      <c r="H780" s="200" t="s">
        <v>3531</v>
      </c>
      <c r="I780" s="6" t="str">
        <f>VLOOKUP(CLEAN(F780),'World Bank Categories'!$B$4:$C$220,2,FALSE)</f>
        <v>High income</v>
      </c>
      <c r="J780" s="200" t="s">
        <v>3532</v>
      </c>
      <c r="K780" s="200" t="s">
        <v>29</v>
      </c>
      <c r="L780" s="200" t="s">
        <v>30</v>
      </c>
      <c r="M780" s="200" t="s">
        <v>3533</v>
      </c>
      <c r="N780" s="200"/>
      <c r="O780" s="201"/>
      <c r="P780" s="200" t="s">
        <v>31</v>
      </c>
      <c r="Q780" s="130" t="s">
        <v>32</v>
      </c>
      <c r="R780" s="141" t="s">
        <v>43</v>
      </c>
      <c r="S780" s="203" t="s">
        <v>3534</v>
      </c>
      <c r="T780" s="203"/>
      <c r="U780" s="12" t="s">
        <v>3532</v>
      </c>
      <c r="W780" s="12"/>
    </row>
    <row r="781" spans="1:23" ht="22.5" customHeight="1">
      <c r="A781" s="137">
        <v>46142.604672326386</v>
      </c>
      <c r="B781" s="12" t="s">
        <v>3535</v>
      </c>
      <c r="D781" s="12" t="s">
        <v>24</v>
      </c>
      <c r="E781" s="138">
        <v>26478</v>
      </c>
      <c r="F781" s="12" t="s">
        <v>2738</v>
      </c>
      <c r="G781" s="12" t="s">
        <v>3536</v>
      </c>
      <c r="H781" s="12" t="s">
        <v>3537</v>
      </c>
      <c r="I781" s="6" t="str">
        <f>VLOOKUP(CLEAN(F781),'World Bank Categories'!$B$4:$C$220,2,FALSE)</f>
        <v>High income</v>
      </c>
      <c r="J781" s="12" t="s">
        <v>3538</v>
      </c>
      <c r="K781" s="12" t="s">
        <v>29</v>
      </c>
      <c r="L781" s="12" t="s">
        <v>30</v>
      </c>
      <c r="P781" s="12" t="s">
        <v>31</v>
      </c>
      <c r="Q781" s="130" t="s">
        <v>32</v>
      </c>
      <c r="R781" s="141" t="s">
        <v>43</v>
      </c>
      <c r="S781" s="12" t="s">
        <v>3535</v>
      </c>
      <c r="U781" s="12" t="s">
        <v>3538</v>
      </c>
      <c r="W781" s="12"/>
    </row>
    <row r="782" spans="1:23" ht="22.5" customHeight="1">
      <c r="A782" s="137">
        <v>46142.657461493058</v>
      </c>
      <c r="B782" s="12" t="s">
        <v>3539</v>
      </c>
      <c r="D782" s="12" t="s">
        <v>24</v>
      </c>
      <c r="E782" s="138">
        <v>30445</v>
      </c>
      <c r="F782" s="12" t="s">
        <v>3540</v>
      </c>
      <c r="G782" s="12" t="s">
        <v>3541</v>
      </c>
      <c r="H782" s="12" t="s">
        <v>98</v>
      </c>
      <c r="I782" s="6" t="str">
        <f>VLOOKUP(CLEAN(F782),'World Bank Categories'!$B$4:$C$220,2,FALSE)</f>
        <v>Middle income</v>
      </c>
      <c r="J782" s="12" t="s">
        <v>3542</v>
      </c>
      <c r="K782" s="12" t="s">
        <v>39</v>
      </c>
      <c r="L782" s="12" t="s">
        <v>30</v>
      </c>
      <c r="P782" s="12" t="s">
        <v>31</v>
      </c>
      <c r="Q782" s="130" t="s">
        <v>32</v>
      </c>
      <c r="R782" s="141"/>
      <c r="W782" s="12"/>
    </row>
    <row r="783" spans="1:23" ht="22.5" customHeight="1">
      <c r="A783" s="137">
        <v>46143.972787222221</v>
      </c>
      <c r="B783" s="12" t="s">
        <v>3543</v>
      </c>
      <c r="D783" s="12" t="s">
        <v>24</v>
      </c>
      <c r="E783" s="138">
        <v>37775</v>
      </c>
      <c r="F783" s="12" t="s">
        <v>3544</v>
      </c>
      <c r="G783" s="12" t="s">
        <v>3545</v>
      </c>
      <c r="H783" s="12" t="s">
        <v>1451</v>
      </c>
      <c r="I783" s="6" t="str">
        <f>VLOOKUP(CLEAN(F783),'World Bank Categories'!$B$4:$C$220,2,FALSE)</f>
        <v>Middle income</v>
      </c>
      <c r="J783" s="12" t="s">
        <v>3546</v>
      </c>
      <c r="K783" s="12" t="s">
        <v>29</v>
      </c>
      <c r="L783" s="12" t="s">
        <v>30</v>
      </c>
      <c r="P783" s="12" t="s">
        <v>31</v>
      </c>
      <c r="Q783" s="130" t="s">
        <v>32</v>
      </c>
      <c r="R783" s="141" t="s">
        <v>33</v>
      </c>
      <c r="W783" s="12"/>
    </row>
    <row r="784" spans="1:23" ht="22.5" customHeight="1">
      <c r="A784" s="137">
        <v>46143.978832743058</v>
      </c>
      <c r="B784" s="12" t="s">
        <v>3547</v>
      </c>
      <c r="D784" s="12" t="s">
        <v>24</v>
      </c>
      <c r="E784" s="138">
        <v>21916</v>
      </c>
      <c r="F784" s="12" t="s">
        <v>623</v>
      </c>
      <c r="G784" s="12" t="s">
        <v>3548</v>
      </c>
      <c r="H784" s="12" t="s">
        <v>3549</v>
      </c>
      <c r="I784" s="6" t="str">
        <f>VLOOKUP(CLEAN(F784),'World Bank Categories'!$B$4:$C$220,2,FALSE)</f>
        <v>Middle income</v>
      </c>
      <c r="J784" s="12" t="s">
        <v>3550</v>
      </c>
      <c r="K784" s="12" t="s">
        <v>39</v>
      </c>
      <c r="L784" s="12" t="s">
        <v>152</v>
      </c>
      <c r="M784" s="12" t="s">
        <v>3551</v>
      </c>
      <c r="N784" s="12" t="s">
        <v>3552</v>
      </c>
      <c r="O784" s="204" t="s">
        <v>3553</v>
      </c>
      <c r="P784" s="12" t="s">
        <v>31</v>
      </c>
      <c r="Q784" s="130" t="s">
        <v>32</v>
      </c>
      <c r="R784" s="141"/>
      <c r="W784" s="12"/>
    </row>
    <row r="785" spans="1:23" ht="22.5" customHeight="1">
      <c r="A785" s="137">
        <v>46144.0858921412</v>
      </c>
      <c r="B785" s="12" t="s">
        <v>3554</v>
      </c>
      <c r="D785" s="12" t="s">
        <v>45</v>
      </c>
      <c r="E785" s="138">
        <v>29317</v>
      </c>
      <c r="F785" s="12" t="s">
        <v>380</v>
      </c>
      <c r="G785" s="12" t="s">
        <v>3555</v>
      </c>
      <c r="H785" s="12" t="s">
        <v>3556</v>
      </c>
      <c r="I785" s="6" t="str">
        <f>VLOOKUP(CLEAN(F785),'World Bank Categories'!$B$4:$C$220,2,FALSE)</f>
        <v>Low income</v>
      </c>
      <c r="J785" s="12" t="s">
        <v>3557</v>
      </c>
      <c r="K785" s="12" t="s">
        <v>29</v>
      </c>
      <c r="L785" s="12" t="s">
        <v>30</v>
      </c>
      <c r="P785" s="12" t="s">
        <v>31</v>
      </c>
      <c r="Q785" s="130" t="s">
        <v>32</v>
      </c>
      <c r="R785" s="141" t="s">
        <v>33</v>
      </c>
      <c r="W785" s="12"/>
    </row>
    <row r="786" spans="1:23" ht="22.5" customHeight="1">
      <c r="A786" s="137">
        <v>46144.607838159718</v>
      </c>
      <c r="B786" s="12" t="s">
        <v>3558</v>
      </c>
      <c r="D786" s="12" t="s">
        <v>45</v>
      </c>
      <c r="E786" s="138">
        <v>22228</v>
      </c>
      <c r="F786" s="12" t="s">
        <v>3559</v>
      </c>
      <c r="G786" s="12" t="s">
        <v>3560</v>
      </c>
      <c r="H786" s="12" t="s">
        <v>3561</v>
      </c>
      <c r="I786" s="6" t="str">
        <f>VLOOKUP(CLEAN(F786),'World Bank Categories'!$B$4:$C$220,2,FALSE)</f>
        <v>Middle income</v>
      </c>
      <c r="J786" s="12" t="s">
        <v>3562</v>
      </c>
      <c r="K786" s="12" t="s">
        <v>29</v>
      </c>
      <c r="L786" s="143" t="s">
        <v>1168</v>
      </c>
      <c r="P786" s="12" t="s">
        <v>31</v>
      </c>
      <c r="Q786" s="130" t="s">
        <v>32</v>
      </c>
      <c r="R786" s="141" t="s">
        <v>33</v>
      </c>
      <c r="S786" s="12" t="s">
        <v>3563</v>
      </c>
      <c r="U786" s="12" t="s">
        <v>3564</v>
      </c>
      <c r="W786" s="12"/>
    </row>
    <row r="787" spans="1:23" ht="22.5" customHeight="1">
      <c r="A787" s="137">
        <v>46146.825135324078</v>
      </c>
      <c r="B787" s="12" t="s">
        <v>3565</v>
      </c>
      <c r="D787" s="12" t="s">
        <v>24</v>
      </c>
      <c r="E787" s="138">
        <v>34470</v>
      </c>
      <c r="F787" s="12" t="s">
        <v>58</v>
      </c>
      <c r="G787" s="12" t="s">
        <v>3566</v>
      </c>
      <c r="H787" s="12" t="s">
        <v>186</v>
      </c>
      <c r="I787" s="6" t="str">
        <f>VLOOKUP(CLEAN(F787),'World Bank Categories'!$B$4:$C$220,2,FALSE)</f>
        <v>Middle income</v>
      </c>
      <c r="J787" s="12" t="s">
        <v>3567</v>
      </c>
      <c r="K787" s="12" t="s">
        <v>39</v>
      </c>
      <c r="L787" s="12" t="s">
        <v>162</v>
      </c>
      <c r="P787" s="12" t="s">
        <v>31</v>
      </c>
      <c r="Q787" s="205" t="s">
        <v>32</v>
      </c>
      <c r="R787" s="141"/>
      <c r="S787" s="206" t="s">
        <v>3565</v>
      </c>
      <c r="T787" s="207">
        <v>34470</v>
      </c>
      <c r="U787" s="206" t="s">
        <v>3567</v>
      </c>
      <c r="V787" s="208" t="s">
        <v>3568</v>
      </c>
      <c r="W787" s="209">
        <v>720573</v>
      </c>
    </row>
    <row r="788" spans="1:23" ht="22.5" customHeight="1">
      <c r="A788" s="137">
        <v>46146.840584305552</v>
      </c>
      <c r="B788" s="12" t="s">
        <v>3569</v>
      </c>
      <c r="D788" s="12" t="s">
        <v>45</v>
      </c>
      <c r="E788" s="138">
        <v>30379</v>
      </c>
      <c r="F788" s="12" t="s">
        <v>475</v>
      </c>
      <c r="G788" s="12" t="s">
        <v>3570</v>
      </c>
      <c r="H788" s="12" t="s">
        <v>3537</v>
      </c>
      <c r="I788" s="6" t="str">
        <f>VLOOKUP(CLEAN(F788),'World Bank Categories'!$B$4:$C$220,2,FALSE)</f>
        <v>Middle income</v>
      </c>
      <c r="J788" s="12" t="s">
        <v>3571</v>
      </c>
      <c r="K788" s="12" t="s">
        <v>39</v>
      </c>
      <c r="L788" s="12" t="s">
        <v>30</v>
      </c>
      <c r="M788" s="12" t="s">
        <v>3572</v>
      </c>
      <c r="P788" s="12" t="s">
        <v>31</v>
      </c>
      <c r="Q788" s="205" t="s">
        <v>32</v>
      </c>
      <c r="R788" s="141" t="s">
        <v>43</v>
      </c>
      <c r="S788" s="206" t="s">
        <v>3573</v>
      </c>
      <c r="T788" s="207">
        <v>30394</v>
      </c>
      <c r="U788" s="206" t="s">
        <v>3574</v>
      </c>
      <c r="V788" s="208" t="s">
        <v>3575</v>
      </c>
      <c r="W788" s="209">
        <v>718594</v>
      </c>
    </row>
    <row r="789" spans="1:23" ht="22.5" customHeight="1">
      <c r="A789" s="137">
        <v>46146.857284606478</v>
      </c>
      <c r="B789" s="12" t="s">
        <v>3576</v>
      </c>
      <c r="D789" s="12" t="s">
        <v>24</v>
      </c>
      <c r="E789" s="138">
        <v>31148</v>
      </c>
      <c r="F789" s="12" t="s">
        <v>475</v>
      </c>
      <c r="G789" s="12" t="s">
        <v>3577</v>
      </c>
      <c r="H789" s="12" t="s">
        <v>3578</v>
      </c>
      <c r="I789" s="6" t="str">
        <f>VLOOKUP(CLEAN(F789),'World Bank Categories'!$B$4:$C$220,2,FALSE)</f>
        <v>Middle income</v>
      </c>
      <c r="J789" s="12" t="s">
        <v>3579</v>
      </c>
      <c r="K789" s="12" t="s">
        <v>39</v>
      </c>
      <c r="L789" s="12" t="s">
        <v>30</v>
      </c>
      <c r="M789" s="12" t="s">
        <v>3580</v>
      </c>
      <c r="P789" s="12" t="s">
        <v>31</v>
      </c>
      <c r="Q789" s="205" t="s">
        <v>32</v>
      </c>
      <c r="R789" s="141" t="s">
        <v>43</v>
      </c>
      <c r="S789" s="206" t="s">
        <v>3576</v>
      </c>
      <c r="T789" s="207">
        <v>31148</v>
      </c>
      <c r="U789" s="206" t="s">
        <v>3579</v>
      </c>
      <c r="V789" s="208" t="s">
        <v>3581</v>
      </c>
      <c r="W789" s="209">
        <v>718595</v>
      </c>
    </row>
    <row r="790" spans="1:23" ht="22.5" customHeight="1">
      <c r="A790" s="210">
        <v>46146.865314050927</v>
      </c>
      <c r="B790" s="211" t="s">
        <v>3582</v>
      </c>
      <c r="C790" s="211"/>
      <c r="D790" s="211" t="s">
        <v>24</v>
      </c>
      <c r="E790" s="212">
        <v>36614</v>
      </c>
      <c r="F790" s="211" t="s">
        <v>470</v>
      </c>
      <c r="G790" s="211" t="s">
        <v>3583</v>
      </c>
      <c r="H790" s="211" t="s">
        <v>3584</v>
      </c>
      <c r="I790" s="6" t="str">
        <f>VLOOKUP(CLEAN(F790),'World Bank Categories'!$B$4:$C$220,2,FALSE)</f>
        <v>Middle income</v>
      </c>
      <c r="J790" s="211" t="s">
        <v>3585</v>
      </c>
      <c r="K790" s="211" t="s">
        <v>29</v>
      </c>
      <c r="L790" s="211" t="s">
        <v>30</v>
      </c>
      <c r="M790" s="211"/>
      <c r="N790" s="211"/>
      <c r="O790" s="211"/>
      <c r="P790" s="211" t="s">
        <v>31</v>
      </c>
      <c r="Q790" s="213" t="s">
        <v>32</v>
      </c>
      <c r="R790" s="33" t="s">
        <v>33</v>
      </c>
      <c r="S790" s="214" t="s">
        <v>3586</v>
      </c>
      <c r="T790" s="215">
        <v>36614</v>
      </c>
      <c r="U790" s="214" t="s">
        <v>3587</v>
      </c>
      <c r="V790" s="216" t="s">
        <v>3588</v>
      </c>
      <c r="W790" s="217">
        <v>720300</v>
      </c>
    </row>
    <row r="791" spans="1:23" ht="22.5" customHeight="1">
      <c r="A791" s="137">
        <v>46146.897362453703</v>
      </c>
      <c r="B791" s="12" t="s">
        <v>762</v>
      </c>
      <c r="D791" s="12" t="s">
        <v>45</v>
      </c>
      <c r="E791" s="138">
        <v>34722</v>
      </c>
      <c r="F791" s="12" t="s">
        <v>751</v>
      </c>
      <c r="G791" s="12" t="s">
        <v>763</v>
      </c>
      <c r="H791" s="12" t="s">
        <v>943</v>
      </c>
      <c r="I791" s="6" t="str">
        <f>VLOOKUP(CLEAN(F791),'World Bank Categories'!$B$4:$C$220,2,FALSE)</f>
        <v>Low income</v>
      </c>
      <c r="J791" s="12" t="s">
        <v>764</v>
      </c>
      <c r="K791" s="12" t="s">
        <v>29</v>
      </c>
      <c r="L791" s="12" t="s">
        <v>30</v>
      </c>
      <c r="P791" s="12" t="s">
        <v>31</v>
      </c>
      <c r="Q791" s="205" t="s">
        <v>32</v>
      </c>
      <c r="R791" s="141" t="s">
        <v>33</v>
      </c>
      <c r="S791" s="206" t="s">
        <v>762</v>
      </c>
      <c r="T791" s="207">
        <v>34722</v>
      </c>
      <c r="U791" s="206" t="s">
        <v>764</v>
      </c>
      <c r="V791" s="208" t="s">
        <v>3589</v>
      </c>
      <c r="W791" s="209">
        <v>719403</v>
      </c>
    </row>
    <row r="792" spans="1:23" ht="22.5" hidden="1" customHeight="1">
      <c r="A792" s="218">
        <v>46146.811425949076</v>
      </c>
      <c r="B792" s="219" t="s">
        <v>3590</v>
      </c>
      <c r="C792" s="219" t="s">
        <v>3032</v>
      </c>
      <c r="D792" s="219" t="s">
        <v>24</v>
      </c>
      <c r="E792" s="220">
        <v>31365</v>
      </c>
      <c r="F792" s="219" t="s">
        <v>3591</v>
      </c>
      <c r="G792" s="219" t="s">
        <v>3592</v>
      </c>
      <c r="H792" s="219" t="s">
        <v>111</v>
      </c>
      <c r="I792" s="219" t="s">
        <v>3593</v>
      </c>
      <c r="J792" s="219" t="s">
        <v>3594</v>
      </c>
      <c r="K792" s="219" t="s">
        <v>29</v>
      </c>
      <c r="L792" s="219" t="s">
        <v>1324</v>
      </c>
      <c r="M792" s="219" t="s">
        <v>2699</v>
      </c>
      <c r="N792" s="219"/>
      <c r="O792" s="221"/>
      <c r="P792" s="221"/>
      <c r="Q792" s="222" t="s">
        <v>56</v>
      </c>
      <c r="R792" s="141"/>
      <c r="S792" s="206"/>
      <c r="T792" s="206"/>
      <c r="U792" s="223"/>
      <c r="V792" s="224" t="s">
        <v>3595</v>
      </c>
      <c r="W792" s="206"/>
    </row>
    <row r="793" spans="1:23" ht="22.5" customHeight="1">
      <c r="A793" s="80">
        <v>46146.833143043987</v>
      </c>
      <c r="B793" s="81" t="s">
        <v>2685</v>
      </c>
      <c r="C793" s="82"/>
      <c r="D793" s="81" t="s">
        <v>45</v>
      </c>
      <c r="E793" s="83">
        <v>34242</v>
      </c>
      <c r="F793" s="81" t="s">
        <v>3596</v>
      </c>
      <c r="G793" s="81" t="s">
        <v>3597</v>
      </c>
      <c r="H793" s="81" t="s">
        <v>418</v>
      </c>
      <c r="I793" s="81" t="s">
        <v>3598</v>
      </c>
      <c r="J793" s="81" t="s">
        <v>2688</v>
      </c>
      <c r="K793" s="81" t="s">
        <v>39</v>
      </c>
      <c r="L793" s="81" t="s">
        <v>30</v>
      </c>
      <c r="M793" s="81" t="s">
        <v>941</v>
      </c>
      <c r="N793" s="81"/>
      <c r="O793" s="82"/>
      <c r="P793" s="82"/>
      <c r="Q793" s="213" t="s">
        <v>32</v>
      </c>
      <c r="R793" s="141" t="s">
        <v>33</v>
      </c>
      <c r="S793" s="206" t="s">
        <v>2685</v>
      </c>
      <c r="T793" s="207">
        <v>34242</v>
      </c>
      <c r="U793" s="223" t="s">
        <v>2688</v>
      </c>
      <c r="V793" s="224" t="s">
        <v>3599</v>
      </c>
      <c r="W793" s="209">
        <v>721996</v>
      </c>
    </row>
    <row r="794" spans="1:23" ht="22.5" customHeight="1">
      <c r="A794" s="137">
        <v>46147.117677430557</v>
      </c>
      <c r="B794" s="12" t="s">
        <v>3600</v>
      </c>
      <c r="D794" s="12" t="s">
        <v>24</v>
      </c>
      <c r="E794" s="138">
        <v>30038</v>
      </c>
      <c r="F794" s="12" t="s">
        <v>52</v>
      </c>
      <c r="G794" s="12" t="s">
        <v>664</v>
      </c>
      <c r="H794" s="12" t="s">
        <v>186</v>
      </c>
      <c r="I794" s="6" t="str">
        <f>VLOOKUP(CLEAN(F794),'World Bank Categories'!$B$4:$C$220,2,FALSE)</f>
        <v>Middle income</v>
      </c>
      <c r="J794" s="12" t="s">
        <v>3601</v>
      </c>
      <c r="K794" s="12" t="s">
        <v>39</v>
      </c>
      <c r="L794" s="12" t="s">
        <v>30</v>
      </c>
      <c r="P794" s="12" t="s">
        <v>31</v>
      </c>
      <c r="Q794" s="205" t="s">
        <v>32</v>
      </c>
      <c r="R794" s="141" t="s">
        <v>33</v>
      </c>
      <c r="S794" s="206" t="s">
        <v>3602</v>
      </c>
      <c r="T794" s="207">
        <v>30038</v>
      </c>
      <c r="U794" s="206" t="s">
        <v>3601</v>
      </c>
      <c r="V794" s="208" t="s">
        <v>3603</v>
      </c>
      <c r="W794" s="209">
        <v>722094</v>
      </c>
    </row>
    <row r="795" spans="1:23" ht="22.5" customHeight="1">
      <c r="A795" s="137">
        <v>46147.17849583333</v>
      </c>
      <c r="B795" s="12" t="s">
        <v>3604</v>
      </c>
      <c r="D795" s="12" t="s">
        <v>24</v>
      </c>
      <c r="E795" s="138">
        <v>16387</v>
      </c>
      <c r="F795" s="12" t="s">
        <v>198</v>
      </c>
      <c r="G795" s="12" t="s">
        <v>3605</v>
      </c>
      <c r="H795" s="12" t="s">
        <v>3606</v>
      </c>
      <c r="I795" s="6" t="str">
        <f>VLOOKUP(CLEAN(F795),'World Bank Categories'!$B$4:$C$220,2,FALSE)</f>
        <v>Middle income</v>
      </c>
      <c r="J795" s="12" t="s">
        <v>2658</v>
      </c>
      <c r="K795" s="12" t="s">
        <v>29</v>
      </c>
      <c r="L795" s="12" t="s">
        <v>30</v>
      </c>
      <c r="M795" s="12" t="s">
        <v>3607</v>
      </c>
      <c r="N795" s="12" t="s">
        <v>3608</v>
      </c>
      <c r="O795" s="12" t="s">
        <v>3609</v>
      </c>
      <c r="P795" s="12" t="s">
        <v>31</v>
      </c>
      <c r="Q795" s="205" t="s">
        <v>32</v>
      </c>
      <c r="R795" s="141" t="s">
        <v>43</v>
      </c>
      <c r="S795" s="206" t="s">
        <v>3610</v>
      </c>
      <c r="T795" s="207">
        <v>16387</v>
      </c>
      <c r="U795" s="206" t="s">
        <v>2658</v>
      </c>
      <c r="V795" s="208" t="s">
        <v>3611</v>
      </c>
      <c r="W795" s="209">
        <v>720843</v>
      </c>
    </row>
    <row r="796" spans="1:23" ht="22.5" customHeight="1">
      <c r="A796" s="137">
        <v>46147.24168155092</v>
      </c>
      <c r="B796" s="12" t="s">
        <v>3612</v>
      </c>
      <c r="D796" s="12" t="s">
        <v>45</v>
      </c>
      <c r="E796" s="138">
        <v>25840</v>
      </c>
      <c r="F796" s="12" t="s">
        <v>3613</v>
      </c>
      <c r="G796" s="12" t="s">
        <v>3614</v>
      </c>
      <c r="H796" s="12" t="s">
        <v>3614</v>
      </c>
      <c r="I796" s="6" t="str">
        <f>VLOOKUP(CLEAN(F796),'World Bank Categories'!$B$4:$C$220,2,FALSE)</f>
        <v>Middle income</v>
      </c>
      <c r="J796" s="12" t="s">
        <v>3615</v>
      </c>
      <c r="K796" s="12" t="s">
        <v>29</v>
      </c>
      <c r="L796" s="12" t="s">
        <v>162</v>
      </c>
      <c r="M796" s="12" t="s">
        <v>3616</v>
      </c>
      <c r="P796" s="12" t="s">
        <v>31</v>
      </c>
      <c r="Q796" s="205" t="s">
        <v>32</v>
      </c>
      <c r="R796" s="141" t="s">
        <v>33</v>
      </c>
      <c r="S796" s="206" t="s">
        <v>3612</v>
      </c>
      <c r="T796" s="207">
        <v>25840</v>
      </c>
      <c r="U796" s="206" t="s">
        <v>3615</v>
      </c>
      <c r="V796" s="208" t="s">
        <v>3617</v>
      </c>
      <c r="W796" s="209">
        <v>718539</v>
      </c>
    </row>
    <row r="797" spans="1:23" ht="22.5" customHeight="1">
      <c r="A797" s="137">
        <v>46147.243353738428</v>
      </c>
      <c r="B797" s="12" t="s">
        <v>3618</v>
      </c>
      <c r="D797" s="12" t="s">
        <v>24</v>
      </c>
      <c r="E797" s="138">
        <v>32847</v>
      </c>
      <c r="F797" s="12" t="s">
        <v>198</v>
      </c>
      <c r="G797" s="12" t="s">
        <v>3619</v>
      </c>
      <c r="H797" s="12" t="s">
        <v>3620</v>
      </c>
      <c r="I797" s="6" t="str">
        <f>VLOOKUP(CLEAN(F797),'World Bank Categories'!$B$4:$C$220,2,FALSE)</f>
        <v>Middle income</v>
      </c>
      <c r="J797" s="12" t="s">
        <v>201</v>
      </c>
      <c r="K797" s="12" t="s">
        <v>29</v>
      </c>
      <c r="L797" s="12" t="s">
        <v>30</v>
      </c>
      <c r="P797" s="12" t="s">
        <v>31</v>
      </c>
      <c r="Q797" s="205" t="s">
        <v>32</v>
      </c>
      <c r="R797" s="141" t="s">
        <v>43</v>
      </c>
      <c r="S797" s="206" t="s">
        <v>197</v>
      </c>
      <c r="T797" s="207">
        <v>32847</v>
      </c>
      <c r="U797" s="206" t="s">
        <v>201</v>
      </c>
      <c r="V797" s="208" t="s">
        <v>3621</v>
      </c>
      <c r="W797" s="209">
        <v>717398</v>
      </c>
    </row>
    <row r="798" spans="1:23" ht="22.5" customHeight="1">
      <c r="A798" s="137">
        <v>46147.300774629628</v>
      </c>
      <c r="B798" s="12" t="s">
        <v>2667</v>
      </c>
      <c r="D798" s="12" t="s">
        <v>45</v>
      </c>
      <c r="E798" s="138">
        <v>19426</v>
      </c>
      <c r="F798" s="12" t="s">
        <v>203</v>
      </c>
      <c r="G798" s="12" t="s">
        <v>1890</v>
      </c>
      <c r="H798" s="12" t="s">
        <v>3622</v>
      </c>
      <c r="I798" s="6" t="str">
        <f>VLOOKUP(CLEAN(F798),'World Bank Categories'!$B$4:$C$220,2,FALSE)</f>
        <v>Middle income</v>
      </c>
      <c r="J798" s="12" t="s">
        <v>2669</v>
      </c>
      <c r="K798" s="12" t="s">
        <v>39</v>
      </c>
      <c r="L798" s="12" t="s">
        <v>162</v>
      </c>
      <c r="M798" s="12" t="s">
        <v>3623</v>
      </c>
      <c r="P798" s="12" t="s">
        <v>31</v>
      </c>
      <c r="Q798" s="205" t="s">
        <v>32</v>
      </c>
      <c r="R798" s="141" t="s">
        <v>33</v>
      </c>
      <c r="S798" s="206" t="s">
        <v>2667</v>
      </c>
      <c r="T798" s="207">
        <v>19426</v>
      </c>
      <c r="U798" s="206" t="s">
        <v>2669</v>
      </c>
      <c r="V798" s="208" t="s">
        <v>3624</v>
      </c>
      <c r="W798" s="209">
        <v>720070</v>
      </c>
    </row>
    <row r="799" spans="1:23" ht="22.5" hidden="1" customHeight="1">
      <c r="A799" s="137">
        <v>46147.353958611115</v>
      </c>
      <c r="B799" s="12" t="s">
        <v>3625</v>
      </c>
      <c r="D799" s="12" t="s">
        <v>24</v>
      </c>
      <c r="E799" s="138">
        <v>20428</v>
      </c>
      <c r="F799" s="12" t="s">
        <v>623</v>
      </c>
      <c r="G799" s="12" t="s">
        <v>1238</v>
      </c>
      <c r="H799" s="12" t="s">
        <v>1238</v>
      </c>
      <c r="I799" s="6" t="str">
        <f>VLOOKUP(CLEAN(F799),'World Bank Categories'!$B$4:$C$220,2,FALSE)</f>
        <v>Middle income</v>
      </c>
      <c r="J799" s="12" t="s">
        <v>3626</v>
      </c>
      <c r="K799" s="12" t="s">
        <v>39</v>
      </c>
      <c r="L799" s="12" t="s">
        <v>621</v>
      </c>
      <c r="M799" s="12" t="s">
        <v>3333</v>
      </c>
      <c r="N799" s="12" t="s">
        <v>3333</v>
      </c>
      <c r="O799" s="12" t="s">
        <v>3627</v>
      </c>
      <c r="P799" s="12" t="s">
        <v>31</v>
      </c>
      <c r="Q799" s="225" t="s">
        <v>56</v>
      </c>
      <c r="R799" s="141" t="s">
        <v>33</v>
      </c>
      <c r="S799" s="206"/>
      <c r="T799" s="206"/>
      <c r="U799" s="206"/>
      <c r="V799" s="208" t="s">
        <v>3595</v>
      </c>
      <c r="W799" s="206"/>
    </row>
    <row r="800" spans="1:23" ht="22.5" customHeight="1">
      <c r="A800" s="137">
        <v>46147.674046400462</v>
      </c>
      <c r="B800" s="12" t="s">
        <v>3628</v>
      </c>
      <c r="C800" s="12" t="s">
        <v>3629</v>
      </c>
      <c r="D800" s="12" t="s">
        <v>45</v>
      </c>
      <c r="E800" s="138">
        <v>38579</v>
      </c>
      <c r="F800" s="12" t="s">
        <v>64</v>
      </c>
      <c r="G800" s="12" t="s">
        <v>3630</v>
      </c>
      <c r="H800" s="12" t="s">
        <v>66</v>
      </c>
      <c r="I800" s="6" t="str">
        <f>VLOOKUP(CLEAN(F800),'World Bank Categories'!$B$4:$C$220,2,FALSE)</f>
        <v>Middle income</v>
      </c>
      <c r="J800" s="12" t="s">
        <v>571</v>
      </c>
      <c r="K800" s="12" t="s">
        <v>29</v>
      </c>
      <c r="L800" s="12" t="s">
        <v>30</v>
      </c>
      <c r="P800" s="12" t="s">
        <v>31</v>
      </c>
      <c r="Q800" s="205" t="s">
        <v>32</v>
      </c>
      <c r="R800" s="141" t="s">
        <v>33</v>
      </c>
      <c r="S800" s="206" t="s">
        <v>568</v>
      </c>
      <c r="T800" s="207">
        <v>38579</v>
      </c>
      <c r="U800" s="206" t="s">
        <v>571</v>
      </c>
      <c r="V800" s="208" t="s">
        <v>3631</v>
      </c>
      <c r="W800" s="209">
        <v>719187</v>
      </c>
    </row>
    <row r="801" spans="1:23" ht="22.5" customHeight="1">
      <c r="A801" s="137">
        <v>46147.884502592591</v>
      </c>
      <c r="B801" s="12" t="s">
        <v>3632</v>
      </c>
      <c r="D801" s="12" t="s">
        <v>24</v>
      </c>
      <c r="E801" s="138">
        <v>26129</v>
      </c>
      <c r="F801" s="12" t="s">
        <v>475</v>
      </c>
      <c r="G801" s="12" t="s">
        <v>3633</v>
      </c>
      <c r="H801" s="12" t="s">
        <v>3634</v>
      </c>
      <c r="I801" s="6" t="str">
        <f>VLOOKUP(CLEAN(F801),'World Bank Categories'!$B$4:$C$220,2,FALSE)</f>
        <v>Middle income</v>
      </c>
      <c r="J801" s="12" t="s">
        <v>3635</v>
      </c>
      <c r="K801" s="12" t="s">
        <v>29</v>
      </c>
      <c r="L801" s="12" t="s">
        <v>30</v>
      </c>
      <c r="M801" s="12" t="s">
        <v>3636</v>
      </c>
      <c r="P801" s="12" t="s">
        <v>31</v>
      </c>
      <c r="Q801" s="205" t="s">
        <v>32</v>
      </c>
      <c r="R801" s="141" t="s">
        <v>43</v>
      </c>
      <c r="S801" s="206" t="s">
        <v>3637</v>
      </c>
      <c r="T801" s="207">
        <v>26129</v>
      </c>
      <c r="U801" s="206" t="s">
        <v>3635</v>
      </c>
      <c r="V801" s="208" t="s">
        <v>3638</v>
      </c>
      <c r="W801" s="209">
        <v>720053</v>
      </c>
    </row>
    <row r="802" spans="1:23" ht="22.5" customHeight="1">
      <c r="A802" s="137">
        <v>46148.012019363421</v>
      </c>
      <c r="B802" s="12" t="s">
        <v>3639</v>
      </c>
      <c r="C802" s="12" t="s">
        <v>3640</v>
      </c>
      <c r="D802" s="12" t="s">
        <v>45</v>
      </c>
      <c r="E802" s="138">
        <v>46147</v>
      </c>
      <c r="F802" s="12" t="s">
        <v>198</v>
      </c>
      <c r="G802" s="12" t="s">
        <v>3641</v>
      </c>
      <c r="H802" s="12" t="s">
        <v>3642</v>
      </c>
      <c r="I802" s="6" t="str">
        <f>VLOOKUP(CLEAN(F802),'World Bank Categories'!$B$4:$C$220,2,FALSE)</f>
        <v>Middle income</v>
      </c>
      <c r="J802" s="12" t="s">
        <v>3643</v>
      </c>
      <c r="K802" s="12" t="s">
        <v>29</v>
      </c>
      <c r="L802" s="12" t="s">
        <v>30</v>
      </c>
      <c r="P802" s="12" t="s">
        <v>31</v>
      </c>
      <c r="Q802" s="205" t="s">
        <v>32</v>
      </c>
      <c r="R802" s="141" t="s">
        <v>33</v>
      </c>
      <c r="S802" s="206" t="s">
        <v>3644</v>
      </c>
      <c r="T802" s="207">
        <v>36457</v>
      </c>
      <c r="U802" s="206" t="s">
        <v>3643</v>
      </c>
      <c r="V802" s="208" t="s">
        <v>3645</v>
      </c>
      <c r="W802" s="209">
        <v>717288</v>
      </c>
    </row>
    <row r="803" spans="1:23" ht="22.5" customHeight="1">
      <c r="A803" s="137">
        <v>46148.346571273149</v>
      </c>
      <c r="B803" s="12" t="s">
        <v>3646</v>
      </c>
      <c r="D803" s="12" t="s">
        <v>45</v>
      </c>
      <c r="E803" s="138">
        <v>28186</v>
      </c>
      <c r="F803" s="12" t="s">
        <v>475</v>
      </c>
      <c r="G803" s="12" t="s">
        <v>3647</v>
      </c>
      <c r="H803" s="12" t="s">
        <v>3648</v>
      </c>
      <c r="I803" s="6" t="str">
        <f>VLOOKUP(CLEAN(F803),'World Bank Categories'!$B$4:$C$220,2,FALSE)</f>
        <v>Middle income</v>
      </c>
      <c r="J803" s="12" t="s">
        <v>3649</v>
      </c>
      <c r="K803" s="12" t="s">
        <v>39</v>
      </c>
      <c r="L803" s="12" t="s">
        <v>30</v>
      </c>
      <c r="P803" s="12" t="s">
        <v>31</v>
      </c>
      <c r="Q803" s="205" t="s">
        <v>32</v>
      </c>
      <c r="R803" s="141" t="s">
        <v>43</v>
      </c>
      <c r="S803" s="206" t="s">
        <v>3650</v>
      </c>
      <c r="T803" s="207">
        <v>28186</v>
      </c>
      <c r="U803" s="206" t="s">
        <v>3649</v>
      </c>
      <c r="V803" s="208" t="s">
        <v>3651</v>
      </c>
      <c r="W803" s="209">
        <v>719739</v>
      </c>
    </row>
    <row r="804" spans="1:23" ht="22.5" customHeight="1">
      <c r="A804" s="137">
        <v>46148.482345185184</v>
      </c>
      <c r="B804" s="12" t="s">
        <v>3652</v>
      </c>
      <c r="C804" s="12" t="s">
        <v>3653</v>
      </c>
      <c r="D804" s="12" t="s">
        <v>24</v>
      </c>
      <c r="E804" s="138">
        <v>28629</v>
      </c>
      <c r="F804" s="12" t="s">
        <v>1932</v>
      </c>
      <c r="G804" s="12" t="s">
        <v>3654</v>
      </c>
      <c r="H804" s="12" t="s">
        <v>3655</v>
      </c>
      <c r="I804" s="6" t="str">
        <f>VLOOKUP(CLEAN(F804),'World Bank Categories'!$B$4:$C$220,2,FALSE)</f>
        <v>Middle income</v>
      </c>
      <c r="J804" s="12" t="s">
        <v>3656</v>
      </c>
      <c r="K804" s="12" t="s">
        <v>29</v>
      </c>
      <c r="L804" s="12" t="s">
        <v>30</v>
      </c>
      <c r="M804" s="12" t="s">
        <v>3657</v>
      </c>
      <c r="P804" s="12" t="s">
        <v>31</v>
      </c>
      <c r="Q804" s="205" t="s">
        <v>32</v>
      </c>
      <c r="R804" s="141" t="s">
        <v>33</v>
      </c>
      <c r="S804" s="206" t="s">
        <v>2208</v>
      </c>
      <c r="T804" s="207">
        <v>28629</v>
      </c>
      <c r="U804" s="206" t="s">
        <v>2207</v>
      </c>
      <c r="V804" s="208" t="s">
        <v>3658</v>
      </c>
      <c r="W804" s="209">
        <v>722097</v>
      </c>
    </row>
    <row r="805" spans="1:23" ht="22.5" customHeight="1">
      <c r="A805" s="137">
        <v>46148.528981192125</v>
      </c>
      <c r="B805" s="12" t="s">
        <v>591</v>
      </c>
      <c r="D805" s="12" t="s">
        <v>45</v>
      </c>
      <c r="E805" s="138">
        <v>37547</v>
      </c>
      <c r="F805" s="12" t="s">
        <v>208</v>
      </c>
      <c r="G805" s="12" t="s">
        <v>3659</v>
      </c>
      <c r="H805" s="12" t="s">
        <v>3660</v>
      </c>
      <c r="I805" s="6" t="str">
        <f>VLOOKUP(CLEAN(F805),'World Bank Categories'!$B$4:$C$220,2,FALSE)</f>
        <v>Low income</v>
      </c>
      <c r="J805" s="12" t="s">
        <v>593</v>
      </c>
      <c r="K805" s="12" t="s">
        <v>29</v>
      </c>
      <c r="L805" s="12" t="s">
        <v>30</v>
      </c>
      <c r="P805" s="12" t="s">
        <v>31</v>
      </c>
      <c r="Q805" s="205" t="s">
        <v>32</v>
      </c>
      <c r="R805" s="141" t="s">
        <v>33</v>
      </c>
      <c r="S805" s="206" t="s">
        <v>591</v>
      </c>
      <c r="T805" s="207">
        <v>37182</v>
      </c>
      <c r="U805" s="206" t="s">
        <v>593</v>
      </c>
      <c r="V805" s="208" t="s">
        <v>3661</v>
      </c>
      <c r="W805" s="209">
        <v>717161</v>
      </c>
    </row>
    <row r="806" spans="1:23" ht="22.5" customHeight="1">
      <c r="A806" s="144">
        <v>46148.534261400462</v>
      </c>
      <c r="B806" s="40" t="s">
        <v>3662</v>
      </c>
      <c r="C806" s="40"/>
      <c r="D806" s="40" t="s">
        <v>24</v>
      </c>
      <c r="E806" s="145">
        <v>31038</v>
      </c>
      <c r="F806" s="40" t="s">
        <v>52</v>
      </c>
      <c r="G806" s="40" t="s">
        <v>3663</v>
      </c>
      <c r="H806" s="40" t="s">
        <v>3664</v>
      </c>
      <c r="I806" s="6" t="str">
        <f>VLOOKUP(CLEAN(F806),'World Bank Categories'!$B$4:$C$220,2,FALSE)</f>
        <v>Middle income</v>
      </c>
      <c r="J806" s="40" t="s">
        <v>1230</v>
      </c>
      <c r="K806" s="40" t="s">
        <v>39</v>
      </c>
      <c r="L806" s="40" t="s">
        <v>162</v>
      </c>
      <c r="M806" s="40"/>
      <c r="N806" s="40"/>
      <c r="O806" s="40"/>
      <c r="P806" s="40" t="s">
        <v>31</v>
      </c>
      <c r="Q806" s="213" t="s">
        <v>32</v>
      </c>
      <c r="R806" s="33" t="s">
        <v>33</v>
      </c>
      <c r="S806" s="33" t="s">
        <v>1231</v>
      </c>
      <c r="T806" s="226">
        <v>31038</v>
      </c>
      <c r="U806" s="33" t="s">
        <v>1230</v>
      </c>
      <c r="V806" s="227" t="s">
        <v>3665</v>
      </c>
      <c r="W806" s="228">
        <v>717435</v>
      </c>
    </row>
    <row r="807" spans="1:23" ht="22.5" customHeight="1">
      <c r="A807" s="137">
        <v>46148.63644761574</v>
      </c>
      <c r="B807" s="12" t="s">
        <v>3666</v>
      </c>
      <c r="D807" s="12" t="s">
        <v>45</v>
      </c>
      <c r="E807" s="138">
        <v>24412</v>
      </c>
      <c r="F807" s="12" t="s">
        <v>3667</v>
      </c>
      <c r="G807" s="12" t="s">
        <v>3668</v>
      </c>
      <c r="H807" s="12" t="s">
        <v>3669</v>
      </c>
      <c r="I807" s="6" t="str">
        <f>VLOOKUP(CLEAN(F807),'World Bank Categories'!$B$4:$C$220,2,FALSE)</f>
        <v>Middle income</v>
      </c>
      <c r="J807" s="12" t="s">
        <v>3670</v>
      </c>
      <c r="K807" s="12" t="s">
        <v>29</v>
      </c>
      <c r="L807" s="12" t="s">
        <v>30</v>
      </c>
      <c r="M807" s="12" t="s">
        <v>3671</v>
      </c>
      <c r="P807" s="12" t="s">
        <v>31</v>
      </c>
      <c r="Q807" s="205" t="s">
        <v>32</v>
      </c>
      <c r="R807" s="141" t="s">
        <v>33</v>
      </c>
      <c r="S807" s="206" t="s">
        <v>3672</v>
      </c>
      <c r="T807" s="207">
        <v>24412</v>
      </c>
      <c r="U807" s="206" t="s">
        <v>3670</v>
      </c>
      <c r="V807" s="208" t="s">
        <v>3673</v>
      </c>
      <c r="W807" s="209">
        <v>723769</v>
      </c>
    </row>
    <row r="808" spans="1:23" ht="22.5" customHeight="1">
      <c r="A808" s="137">
        <v>46148.641914236112</v>
      </c>
      <c r="B808" s="12" t="s">
        <v>3674</v>
      </c>
      <c r="D808" s="12" t="s">
        <v>24</v>
      </c>
      <c r="E808" s="138">
        <v>35565</v>
      </c>
      <c r="F808" s="12" t="s">
        <v>3544</v>
      </c>
      <c r="G808" s="12" t="s">
        <v>3675</v>
      </c>
      <c r="H808" s="12" t="s">
        <v>3676</v>
      </c>
      <c r="I808" s="6" t="str">
        <f>VLOOKUP(CLEAN(F808),'World Bank Categories'!$B$4:$C$220,2,FALSE)</f>
        <v>Middle income</v>
      </c>
      <c r="J808" s="12" t="s">
        <v>3677</v>
      </c>
      <c r="K808" s="12" t="s">
        <v>39</v>
      </c>
      <c r="L808" s="12" t="s">
        <v>30</v>
      </c>
      <c r="P808" s="12" t="s">
        <v>31</v>
      </c>
      <c r="Q808" s="205" t="s">
        <v>32</v>
      </c>
      <c r="R808" s="141" t="s">
        <v>33</v>
      </c>
      <c r="S808" s="206" t="s">
        <v>3678</v>
      </c>
      <c r="T808" s="207">
        <v>35565</v>
      </c>
      <c r="U808" s="206" t="s">
        <v>3677</v>
      </c>
      <c r="V808" s="208" t="s">
        <v>3679</v>
      </c>
      <c r="W808" s="209">
        <v>719722</v>
      </c>
    </row>
    <row r="809" spans="1:23" ht="22.5" customHeight="1">
      <c r="A809" s="137">
        <v>46148.684084062501</v>
      </c>
      <c r="B809" s="12" t="s">
        <v>3680</v>
      </c>
      <c r="D809" s="12" t="s">
        <v>24</v>
      </c>
      <c r="E809" s="138">
        <v>38887</v>
      </c>
      <c r="F809" s="12" t="s">
        <v>2332</v>
      </c>
      <c r="G809" s="12" t="s">
        <v>3681</v>
      </c>
      <c r="H809" s="12" t="s">
        <v>3682</v>
      </c>
      <c r="I809" s="6" t="str">
        <f>VLOOKUP(CLEAN(F809),'World Bank Categories'!$B$4:$C$220,2,FALSE)</f>
        <v>High income</v>
      </c>
      <c r="J809" s="12" t="s">
        <v>3683</v>
      </c>
      <c r="K809" s="12" t="s">
        <v>29</v>
      </c>
      <c r="L809" s="12" t="s">
        <v>30</v>
      </c>
      <c r="M809" s="12" t="s">
        <v>3684</v>
      </c>
      <c r="P809" s="12" t="s">
        <v>31</v>
      </c>
      <c r="Q809" s="205" t="s">
        <v>32</v>
      </c>
      <c r="R809" s="141" t="s">
        <v>43</v>
      </c>
      <c r="S809" s="206" t="s">
        <v>3680</v>
      </c>
      <c r="T809" s="207">
        <v>38887</v>
      </c>
      <c r="U809" s="206" t="s">
        <v>3685</v>
      </c>
      <c r="V809" s="208" t="s">
        <v>3686</v>
      </c>
      <c r="W809" s="209">
        <v>722162</v>
      </c>
    </row>
    <row r="810" spans="1:23" ht="22.5" customHeight="1">
      <c r="A810" s="137">
        <v>46148.724367905088</v>
      </c>
      <c r="B810" s="12" t="s">
        <v>3687</v>
      </c>
      <c r="C810" s="12" t="s">
        <v>3688</v>
      </c>
      <c r="D810" s="12" t="s">
        <v>45</v>
      </c>
      <c r="E810" s="138">
        <v>33504</v>
      </c>
      <c r="F810" s="12" t="s">
        <v>1905</v>
      </c>
      <c r="G810" s="12" t="s">
        <v>3689</v>
      </c>
      <c r="H810" s="12" t="s">
        <v>933</v>
      </c>
      <c r="I810" s="6" t="str">
        <f>VLOOKUP(CLEAN(F810),'World Bank Categories'!$B$4:$C$220,2,FALSE)</f>
        <v>Low income</v>
      </c>
      <c r="J810" s="12" t="s">
        <v>3690</v>
      </c>
      <c r="K810" s="12" t="s">
        <v>29</v>
      </c>
      <c r="L810" s="12" t="s">
        <v>30</v>
      </c>
      <c r="P810" s="12" t="s">
        <v>31</v>
      </c>
      <c r="Q810" s="205" t="s">
        <v>32</v>
      </c>
      <c r="R810" s="141" t="s">
        <v>33</v>
      </c>
      <c r="S810" s="206" t="s">
        <v>3691</v>
      </c>
      <c r="T810" s="207">
        <v>33504</v>
      </c>
      <c r="U810" s="206" t="s">
        <v>3690</v>
      </c>
      <c r="V810" s="208" t="s">
        <v>3692</v>
      </c>
      <c r="W810" s="209">
        <v>717234</v>
      </c>
    </row>
    <row r="811" spans="1:23" ht="22.5" customHeight="1">
      <c r="A811" s="137">
        <v>46148.790611446762</v>
      </c>
      <c r="B811" s="12" t="s">
        <v>576</v>
      </c>
      <c r="D811" s="12" t="s">
        <v>45</v>
      </c>
      <c r="E811" s="138">
        <v>35236</v>
      </c>
      <c r="F811" s="12" t="s">
        <v>208</v>
      </c>
      <c r="G811" s="12" t="s">
        <v>3693</v>
      </c>
      <c r="H811" s="12" t="s">
        <v>3694</v>
      </c>
      <c r="I811" s="6" t="str">
        <f>VLOOKUP(CLEAN(F811),'World Bank Categories'!$B$4:$C$220,2,FALSE)</f>
        <v>Low income</v>
      </c>
      <c r="J811" s="12" t="s">
        <v>579</v>
      </c>
      <c r="K811" s="12" t="s">
        <v>29</v>
      </c>
      <c r="L811" s="12" t="s">
        <v>30</v>
      </c>
      <c r="P811" s="12" t="s">
        <v>31</v>
      </c>
      <c r="Q811" s="205" t="s">
        <v>32</v>
      </c>
      <c r="R811" s="141" t="s">
        <v>33</v>
      </c>
      <c r="S811" s="206" t="s">
        <v>580</v>
      </c>
      <c r="T811" s="207">
        <v>35236</v>
      </c>
      <c r="U811" s="206" t="s">
        <v>579</v>
      </c>
      <c r="V811" s="208" t="s">
        <v>3695</v>
      </c>
      <c r="W811" s="209">
        <v>719217</v>
      </c>
    </row>
    <row r="812" spans="1:23" ht="22.5" customHeight="1">
      <c r="A812" s="137">
        <v>46148.812826666668</v>
      </c>
      <c r="B812" s="12" t="s">
        <v>2026</v>
      </c>
      <c r="D812" s="12" t="s">
        <v>24</v>
      </c>
      <c r="E812" s="138">
        <v>46216</v>
      </c>
      <c r="F812" s="12" t="s">
        <v>1905</v>
      </c>
      <c r="G812" s="12" t="s">
        <v>2017</v>
      </c>
      <c r="H812" s="12" t="s">
        <v>3042</v>
      </c>
      <c r="I812" s="6" t="str">
        <f>VLOOKUP(CLEAN(F812),'World Bank Categories'!$B$4:$C$220,2,FALSE)</f>
        <v>Low income</v>
      </c>
      <c r="J812" s="12" t="s">
        <v>2027</v>
      </c>
      <c r="K812" s="12" t="s">
        <v>29</v>
      </c>
      <c r="L812" s="12" t="s">
        <v>30</v>
      </c>
      <c r="P812" s="12" t="s">
        <v>31</v>
      </c>
      <c r="Q812" s="205" t="s">
        <v>32</v>
      </c>
      <c r="R812" s="141"/>
      <c r="S812" s="206" t="s">
        <v>2026</v>
      </c>
      <c r="T812" s="207">
        <v>37815</v>
      </c>
      <c r="U812" s="206" t="s">
        <v>2027</v>
      </c>
      <c r="V812" s="208" t="s">
        <v>3696</v>
      </c>
      <c r="W812" s="209">
        <v>722114</v>
      </c>
    </row>
    <row r="813" spans="1:23" ht="22.5" customHeight="1">
      <c r="A813" s="137">
        <v>46148.822194004628</v>
      </c>
      <c r="B813" s="12" t="s">
        <v>3697</v>
      </c>
      <c r="C813" s="12" t="s">
        <v>3697</v>
      </c>
      <c r="D813" s="12" t="s">
        <v>24</v>
      </c>
      <c r="E813" s="138">
        <v>35691</v>
      </c>
      <c r="F813" s="12" t="s">
        <v>208</v>
      </c>
      <c r="G813" s="12" t="s">
        <v>3698</v>
      </c>
      <c r="H813" s="12" t="s">
        <v>2303</v>
      </c>
      <c r="I813" s="6" t="str">
        <f>VLOOKUP(CLEAN(F813),'World Bank Categories'!$B$4:$C$220,2,FALSE)</f>
        <v>Low income</v>
      </c>
      <c r="J813" s="12" t="s">
        <v>3699</v>
      </c>
      <c r="K813" s="12" t="s">
        <v>29</v>
      </c>
      <c r="L813" s="12" t="s">
        <v>30</v>
      </c>
      <c r="P813" s="12" t="s">
        <v>31</v>
      </c>
      <c r="Q813" s="205" t="s">
        <v>32</v>
      </c>
      <c r="R813" s="141" t="s">
        <v>33</v>
      </c>
      <c r="S813" s="206" t="s">
        <v>2301</v>
      </c>
      <c r="T813" s="207">
        <v>35691</v>
      </c>
      <c r="U813" s="206" t="s">
        <v>2304</v>
      </c>
      <c r="V813" s="208" t="s">
        <v>3700</v>
      </c>
      <c r="W813" s="209">
        <v>718993</v>
      </c>
    </row>
    <row r="814" spans="1:23" ht="22.5" customHeight="1">
      <c r="A814" s="137">
        <v>46148.861709571764</v>
      </c>
      <c r="B814" s="12" t="s">
        <v>3701</v>
      </c>
      <c r="C814" s="12" t="s">
        <v>3702</v>
      </c>
      <c r="D814" s="12" t="s">
        <v>45</v>
      </c>
      <c r="E814" s="138">
        <v>29338</v>
      </c>
      <c r="F814" s="12" t="s">
        <v>380</v>
      </c>
      <c r="G814" s="12" t="s">
        <v>209</v>
      </c>
      <c r="H814" s="12" t="s">
        <v>3703</v>
      </c>
      <c r="I814" s="6" t="str">
        <f>VLOOKUP(CLEAN(F814),'World Bank Categories'!$B$4:$C$220,2,FALSE)</f>
        <v>Low income</v>
      </c>
      <c r="J814" s="12" t="s">
        <v>3704</v>
      </c>
      <c r="K814" s="12" t="s">
        <v>39</v>
      </c>
      <c r="L814" s="143" t="s">
        <v>1168</v>
      </c>
      <c r="P814" s="12" t="s">
        <v>31</v>
      </c>
      <c r="Q814" s="205" t="s">
        <v>32</v>
      </c>
      <c r="R814" s="141" t="s">
        <v>33</v>
      </c>
      <c r="S814" s="206" t="s">
        <v>3705</v>
      </c>
      <c r="T814" s="207">
        <v>29338</v>
      </c>
      <c r="U814" s="206" t="s">
        <v>3704</v>
      </c>
      <c r="V814" s="208" t="s">
        <v>3706</v>
      </c>
      <c r="W814" s="209">
        <v>718592</v>
      </c>
    </row>
    <row r="815" spans="1:23" ht="22.5" customHeight="1">
      <c r="A815" s="137">
        <v>46148.882395879627</v>
      </c>
      <c r="B815" s="12" t="s">
        <v>3707</v>
      </c>
      <c r="C815" s="12" t="s">
        <v>3708</v>
      </c>
      <c r="D815" s="12" t="s">
        <v>24</v>
      </c>
      <c r="E815" s="138">
        <v>33868</v>
      </c>
      <c r="F815" s="12" t="s">
        <v>88</v>
      </c>
      <c r="G815" s="12" t="s">
        <v>3709</v>
      </c>
      <c r="H815" s="12" t="s">
        <v>3710</v>
      </c>
      <c r="I815" s="6" t="str">
        <f>VLOOKUP(CLEAN(F815),'World Bank Categories'!$B$4:$C$220,2,FALSE)</f>
        <v>Low income</v>
      </c>
      <c r="J815" s="12" t="s">
        <v>934</v>
      </c>
      <c r="K815" s="12" t="s">
        <v>29</v>
      </c>
      <c r="L815" s="12" t="s">
        <v>30</v>
      </c>
      <c r="P815" s="12" t="s">
        <v>31</v>
      </c>
      <c r="Q815" s="205" t="s">
        <v>32</v>
      </c>
      <c r="R815" s="141" t="s">
        <v>33</v>
      </c>
      <c r="S815" s="206" t="s">
        <v>931</v>
      </c>
      <c r="T815" s="207">
        <v>33868</v>
      </c>
      <c r="U815" s="206" t="s">
        <v>934</v>
      </c>
      <c r="V815" s="208" t="s">
        <v>3711</v>
      </c>
      <c r="W815" s="209">
        <v>719630</v>
      </c>
    </row>
    <row r="816" spans="1:23" ht="22.5" customHeight="1">
      <c r="A816" s="137">
        <v>46148.937861539351</v>
      </c>
      <c r="B816" s="12" t="s">
        <v>1079</v>
      </c>
      <c r="D816" s="12" t="s">
        <v>45</v>
      </c>
      <c r="E816" s="138">
        <v>32733</v>
      </c>
      <c r="F816" s="12" t="s">
        <v>980</v>
      </c>
      <c r="G816" s="12" t="s">
        <v>3712</v>
      </c>
      <c r="H816" s="12" t="s">
        <v>3713</v>
      </c>
      <c r="I816" s="6" t="str">
        <f>VLOOKUP(CLEAN(F816),'World Bank Categories'!$B$4:$C$220,2,FALSE)</f>
        <v>Middle income</v>
      </c>
      <c r="J816" s="12" t="s">
        <v>1081</v>
      </c>
      <c r="K816" s="12" t="s">
        <v>39</v>
      </c>
      <c r="L816" s="12" t="s">
        <v>621</v>
      </c>
      <c r="M816" s="12" t="s">
        <v>3714</v>
      </c>
      <c r="P816" s="12" t="s">
        <v>31</v>
      </c>
      <c r="Q816" s="205" t="s">
        <v>32</v>
      </c>
      <c r="R816" s="141" t="s">
        <v>33</v>
      </c>
      <c r="S816" s="206" t="s">
        <v>1079</v>
      </c>
      <c r="T816" s="207">
        <v>32733</v>
      </c>
      <c r="U816" s="206" t="s">
        <v>1081</v>
      </c>
      <c r="V816" s="208" t="s">
        <v>3715</v>
      </c>
      <c r="W816" s="209">
        <v>720891</v>
      </c>
    </row>
    <row r="817" spans="1:23" ht="22.5" customHeight="1">
      <c r="A817" s="137">
        <v>46149.058653101849</v>
      </c>
      <c r="B817" s="12" t="s">
        <v>728</v>
      </c>
      <c r="D817" s="12" t="s">
        <v>45</v>
      </c>
      <c r="E817" s="138">
        <v>36016</v>
      </c>
      <c r="F817" s="12" t="s">
        <v>70</v>
      </c>
      <c r="G817" s="12" t="s">
        <v>811</v>
      </c>
      <c r="H817" s="12" t="s">
        <v>2162</v>
      </c>
      <c r="I817" s="6" t="str">
        <f>VLOOKUP(CLEAN(F817),'World Bank Categories'!$B$4:$C$220,2,FALSE)</f>
        <v>Middle income</v>
      </c>
      <c r="J817" s="12" t="s">
        <v>730</v>
      </c>
      <c r="K817" s="12" t="s">
        <v>29</v>
      </c>
      <c r="L817" s="12" t="s">
        <v>30</v>
      </c>
      <c r="P817" s="12" t="s">
        <v>31</v>
      </c>
      <c r="Q817" s="205" t="s">
        <v>32</v>
      </c>
      <c r="R817" s="141" t="s">
        <v>33</v>
      </c>
      <c r="S817" s="206" t="s">
        <v>728</v>
      </c>
      <c r="T817" s="207">
        <v>36016</v>
      </c>
      <c r="U817" s="206" t="s">
        <v>730</v>
      </c>
      <c r="V817" s="208" t="s">
        <v>3716</v>
      </c>
      <c r="W817" s="209">
        <v>718656</v>
      </c>
    </row>
    <row r="818" spans="1:23" ht="22.5" customHeight="1">
      <c r="A818" s="137">
        <v>46149.154350162033</v>
      </c>
      <c r="B818" s="12" t="s">
        <v>3543</v>
      </c>
      <c r="D818" s="12" t="s">
        <v>24</v>
      </c>
      <c r="E818" s="138">
        <v>37775</v>
      </c>
      <c r="F818" s="12" t="s">
        <v>3544</v>
      </c>
      <c r="G818" s="12" t="s">
        <v>3717</v>
      </c>
      <c r="H818" s="12" t="s">
        <v>66</v>
      </c>
      <c r="I818" s="6" t="str">
        <f>VLOOKUP(CLEAN(F818),'World Bank Categories'!$B$4:$C$220,2,FALSE)</f>
        <v>Middle income</v>
      </c>
      <c r="J818" s="12" t="s">
        <v>3546</v>
      </c>
      <c r="K818" s="12" t="s">
        <v>29</v>
      </c>
      <c r="L818" s="12" t="s">
        <v>30</v>
      </c>
      <c r="P818" s="12" t="s">
        <v>31</v>
      </c>
      <c r="Q818" s="205" t="s">
        <v>32</v>
      </c>
      <c r="R818" s="141" t="s">
        <v>33</v>
      </c>
      <c r="S818" s="206" t="s">
        <v>3718</v>
      </c>
      <c r="T818" s="207">
        <v>37775</v>
      </c>
      <c r="U818" s="206" t="s">
        <v>3546</v>
      </c>
      <c r="V818" s="208" t="s">
        <v>3719</v>
      </c>
      <c r="W818" s="209">
        <v>723572</v>
      </c>
    </row>
    <row r="819" spans="1:23" ht="22.5" customHeight="1">
      <c r="A819" s="137">
        <v>46149.232796400465</v>
      </c>
      <c r="B819" s="12" t="s">
        <v>3720</v>
      </c>
      <c r="D819" s="12" t="s">
        <v>24</v>
      </c>
      <c r="E819" s="138">
        <v>36844</v>
      </c>
      <c r="F819" s="12" t="s">
        <v>232</v>
      </c>
      <c r="G819" s="12" t="s">
        <v>3721</v>
      </c>
      <c r="H819" s="12" t="s">
        <v>160</v>
      </c>
      <c r="I819" s="6" t="str">
        <f>VLOOKUP(CLEAN(F819),'World Bank Categories'!$B$4:$C$220,2,FALSE)</f>
        <v>Middle income</v>
      </c>
      <c r="J819" s="12" t="s">
        <v>3722</v>
      </c>
      <c r="K819" s="12" t="s">
        <v>39</v>
      </c>
      <c r="L819" s="12" t="s">
        <v>30</v>
      </c>
      <c r="P819" s="12" t="s">
        <v>31</v>
      </c>
      <c r="Q819" s="205" t="s">
        <v>32</v>
      </c>
      <c r="R819" s="141"/>
      <c r="S819" s="206" t="s">
        <v>3723</v>
      </c>
      <c r="T819" s="207">
        <v>36844</v>
      </c>
      <c r="U819" s="206" t="s">
        <v>3722</v>
      </c>
      <c r="V819" s="208" t="s">
        <v>3724</v>
      </c>
      <c r="W819" s="209">
        <v>720727</v>
      </c>
    </row>
    <row r="820" spans="1:23" ht="22.5" customHeight="1">
      <c r="A820" s="137">
        <v>46149.251951736107</v>
      </c>
      <c r="B820" s="12" t="s">
        <v>3725</v>
      </c>
      <c r="D820" s="12" t="s">
        <v>45</v>
      </c>
      <c r="E820" s="138">
        <v>35291</v>
      </c>
      <c r="F820" s="12" t="s">
        <v>35</v>
      </c>
      <c r="G820" s="12" t="s">
        <v>3726</v>
      </c>
      <c r="H820" s="12" t="s">
        <v>3727</v>
      </c>
      <c r="I820" s="6" t="str">
        <f>VLOOKUP(CLEAN(F820),'World Bank Categories'!$B$4:$C$220,2,FALSE)</f>
        <v>Middle income</v>
      </c>
      <c r="J820" s="12" t="s">
        <v>3728</v>
      </c>
      <c r="K820" s="12" t="s">
        <v>39</v>
      </c>
      <c r="L820" s="12" t="s">
        <v>30</v>
      </c>
      <c r="P820" s="12" t="s">
        <v>31</v>
      </c>
      <c r="Q820" s="213" t="s">
        <v>32</v>
      </c>
      <c r="R820" s="141" t="s">
        <v>33</v>
      </c>
      <c r="S820" s="206" t="s">
        <v>3729</v>
      </c>
      <c r="T820" s="207">
        <v>35291</v>
      </c>
      <c r="U820" s="206" t="s">
        <v>3728</v>
      </c>
      <c r="V820" s="208" t="s">
        <v>3730</v>
      </c>
      <c r="W820" s="209">
        <v>717412</v>
      </c>
    </row>
    <row r="821" spans="1:23" ht="22.5" customHeight="1">
      <c r="A821" s="137">
        <v>46149.567109571755</v>
      </c>
      <c r="B821" s="12" t="s">
        <v>3731</v>
      </c>
      <c r="D821" s="12" t="s">
        <v>45</v>
      </c>
      <c r="E821" s="138">
        <v>30098</v>
      </c>
      <c r="F821" s="12" t="s">
        <v>64</v>
      </c>
      <c r="G821" s="12" t="s">
        <v>3732</v>
      </c>
      <c r="H821" s="12" t="s">
        <v>3733</v>
      </c>
      <c r="I821" s="6" t="str">
        <f>VLOOKUP(CLEAN(F821),'World Bank Categories'!$B$4:$C$220,2,FALSE)</f>
        <v>Middle income</v>
      </c>
      <c r="J821" s="12" t="s">
        <v>695</v>
      </c>
      <c r="K821" s="12" t="s">
        <v>29</v>
      </c>
      <c r="L821" s="12" t="s">
        <v>30</v>
      </c>
      <c r="P821" s="12" t="s">
        <v>31</v>
      </c>
      <c r="Q821" s="205" t="s">
        <v>32</v>
      </c>
      <c r="R821" s="141" t="s">
        <v>33</v>
      </c>
      <c r="S821" s="206" t="s">
        <v>696</v>
      </c>
      <c r="T821" s="207">
        <v>30098</v>
      </c>
      <c r="U821" s="206" t="s">
        <v>695</v>
      </c>
      <c r="V821" s="208" t="s">
        <v>3734</v>
      </c>
      <c r="W821" s="209">
        <v>719331</v>
      </c>
    </row>
    <row r="822" spans="1:23" ht="22.5" customHeight="1">
      <c r="A822" s="137">
        <v>46149.632680752315</v>
      </c>
      <c r="B822" s="12" t="s">
        <v>3735</v>
      </c>
      <c r="D822" s="12" t="s">
        <v>24</v>
      </c>
      <c r="E822" s="138">
        <v>36380</v>
      </c>
      <c r="F822" s="12" t="s">
        <v>52</v>
      </c>
      <c r="G822" s="12" t="s">
        <v>3736</v>
      </c>
      <c r="H822" s="12" t="s">
        <v>1941</v>
      </c>
      <c r="I822" s="6" t="str">
        <f>VLOOKUP(CLEAN(F822),'World Bank Categories'!$B$4:$C$220,2,FALSE)</f>
        <v>Middle income</v>
      </c>
      <c r="J822" s="12" t="s">
        <v>665</v>
      </c>
      <c r="K822" s="12" t="s">
        <v>29</v>
      </c>
      <c r="L822" s="12" t="s">
        <v>30</v>
      </c>
      <c r="P822" s="12" t="s">
        <v>31</v>
      </c>
      <c r="Q822" s="205" t="s">
        <v>32</v>
      </c>
      <c r="R822" s="141" t="s">
        <v>33</v>
      </c>
      <c r="S822" s="206" t="s">
        <v>663</v>
      </c>
      <c r="T822" s="207">
        <v>36376</v>
      </c>
      <c r="U822" s="206" t="s">
        <v>666</v>
      </c>
      <c r="V822" s="208" t="s">
        <v>3737</v>
      </c>
      <c r="W822" s="209">
        <v>717417</v>
      </c>
    </row>
    <row r="823" spans="1:23" ht="22.5" customHeight="1">
      <c r="A823" s="137">
        <v>46149.74083224537</v>
      </c>
      <c r="B823" s="12" t="s">
        <v>3738</v>
      </c>
      <c r="C823" s="12" t="s">
        <v>3738</v>
      </c>
      <c r="D823" s="12" t="s">
        <v>24</v>
      </c>
      <c r="E823" s="138">
        <v>35102</v>
      </c>
      <c r="F823" s="12" t="s">
        <v>3739</v>
      </c>
      <c r="G823" s="12" t="s">
        <v>3740</v>
      </c>
      <c r="H823" s="12" t="s">
        <v>66</v>
      </c>
      <c r="I823" s="6" t="str">
        <f>VLOOKUP(CLEAN(F823),'World Bank Categories'!$B$4:$C$220,2,FALSE)</f>
        <v>Middle income</v>
      </c>
      <c r="J823" s="12" t="s">
        <v>3741</v>
      </c>
      <c r="K823" s="12" t="s">
        <v>29</v>
      </c>
      <c r="L823" s="12" t="s">
        <v>30</v>
      </c>
      <c r="P823" s="12" t="s">
        <v>31</v>
      </c>
      <c r="Q823" s="205" t="s">
        <v>32</v>
      </c>
      <c r="R823" s="141" t="s">
        <v>33</v>
      </c>
      <c r="S823" s="206" t="s">
        <v>3738</v>
      </c>
      <c r="T823" s="207">
        <v>35102</v>
      </c>
      <c r="U823" s="206" t="s">
        <v>3741</v>
      </c>
      <c r="V823" s="208" t="s">
        <v>3742</v>
      </c>
      <c r="W823" s="209">
        <v>722843</v>
      </c>
    </row>
    <row r="824" spans="1:23" ht="22.5" customHeight="1">
      <c r="A824" s="137">
        <v>46149.812119502312</v>
      </c>
      <c r="B824" s="12" t="s">
        <v>3743</v>
      </c>
      <c r="C824" s="12" t="s">
        <v>3744</v>
      </c>
      <c r="D824" s="12" t="s">
        <v>24</v>
      </c>
      <c r="E824" s="138">
        <v>34493</v>
      </c>
      <c r="F824" s="12" t="s">
        <v>198</v>
      </c>
      <c r="G824" s="12" t="s">
        <v>3745</v>
      </c>
      <c r="H824" s="12" t="s">
        <v>3746</v>
      </c>
      <c r="I824" s="6" t="str">
        <f>VLOOKUP(CLEAN(F824),'World Bank Categories'!$B$4:$C$220,2,FALSE)</f>
        <v>Middle income</v>
      </c>
      <c r="J824" s="12" t="s">
        <v>3747</v>
      </c>
      <c r="K824" s="12" t="s">
        <v>29</v>
      </c>
      <c r="L824" s="12" t="s">
        <v>30</v>
      </c>
      <c r="M824" s="12" t="s">
        <v>3748</v>
      </c>
      <c r="P824" s="12" t="s">
        <v>31</v>
      </c>
      <c r="Q824" s="205" t="s">
        <v>32</v>
      </c>
      <c r="R824" s="141" t="s">
        <v>43</v>
      </c>
      <c r="S824" s="206" t="s">
        <v>3749</v>
      </c>
      <c r="T824" s="207">
        <v>34493</v>
      </c>
      <c r="U824" s="206" t="s">
        <v>3750</v>
      </c>
      <c r="V824" s="208" t="s">
        <v>3751</v>
      </c>
      <c r="W824" s="209">
        <v>724804</v>
      </c>
    </row>
    <row r="825" spans="1:23" ht="22.5" customHeight="1">
      <c r="A825" s="137">
        <v>46149.850775335653</v>
      </c>
      <c r="B825" s="12" t="s">
        <v>2555</v>
      </c>
      <c r="D825" s="12" t="s">
        <v>24</v>
      </c>
      <c r="E825" s="138">
        <v>35342</v>
      </c>
      <c r="F825" s="12" t="s">
        <v>2556</v>
      </c>
      <c r="G825" s="12" t="s">
        <v>3752</v>
      </c>
      <c r="H825" s="12" t="s">
        <v>3753</v>
      </c>
      <c r="I825" s="6" t="str">
        <f>VLOOKUP(CLEAN(F825),'World Bank Categories'!$B$4:$C$220,2,FALSE)</f>
        <v>Middle income</v>
      </c>
      <c r="J825" s="12" t="s">
        <v>2559</v>
      </c>
      <c r="K825" s="12" t="s">
        <v>29</v>
      </c>
      <c r="L825" s="12" t="s">
        <v>30</v>
      </c>
      <c r="P825" s="12" t="s">
        <v>31</v>
      </c>
      <c r="Q825" s="205" t="s">
        <v>32</v>
      </c>
      <c r="R825" s="141" t="s">
        <v>33</v>
      </c>
      <c r="S825" s="206" t="s">
        <v>2555</v>
      </c>
      <c r="T825" s="207">
        <v>35342</v>
      </c>
      <c r="U825" s="206" t="s">
        <v>2559</v>
      </c>
      <c r="V825" s="208" t="s">
        <v>3754</v>
      </c>
      <c r="W825" s="209">
        <v>720759</v>
      </c>
    </row>
    <row r="826" spans="1:23" ht="22.5" customHeight="1">
      <c r="A826" s="137">
        <v>46149.90417332176</v>
      </c>
      <c r="B826" s="12" t="s">
        <v>3755</v>
      </c>
      <c r="D826" s="12" t="s">
        <v>45</v>
      </c>
      <c r="E826" s="138">
        <v>36907</v>
      </c>
      <c r="F826" s="12" t="s">
        <v>470</v>
      </c>
      <c r="G826" s="12" t="s">
        <v>3756</v>
      </c>
      <c r="H826" s="12" t="s">
        <v>66</v>
      </c>
      <c r="I826" s="6" t="str">
        <f>VLOOKUP(CLEAN(F826),'World Bank Categories'!$B$4:$C$220,2,FALSE)</f>
        <v>Middle income</v>
      </c>
      <c r="J826" s="12" t="s">
        <v>3757</v>
      </c>
      <c r="K826" s="12" t="s">
        <v>29</v>
      </c>
      <c r="L826" s="12" t="s">
        <v>30</v>
      </c>
      <c r="P826" s="12" t="s">
        <v>31</v>
      </c>
      <c r="Q826" s="205" t="s">
        <v>32</v>
      </c>
      <c r="R826" s="141" t="s">
        <v>33</v>
      </c>
      <c r="S826" s="206" t="s">
        <v>3758</v>
      </c>
      <c r="T826" s="207">
        <v>36907</v>
      </c>
      <c r="U826" s="206" t="s">
        <v>3757</v>
      </c>
      <c r="V826" s="208" t="s">
        <v>3759</v>
      </c>
      <c r="W826" s="209">
        <v>720597</v>
      </c>
    </row>
    <row r="827" spans="1:23" ht="22.5" customHeight="1">
      <c r="A827" s="137">
        <v>46149.907410844906</v>
      </c>
      <c r="B827" s="12" t="s">
        <v>2228</v>
      </c>
      <c r="C827" s="12" t="s">
        <v>3760</v>
      </c>
      <c r="D827" s="12" t="s">
        <v>45</v>
      </c>
      <c r="E827" s="138">
        <v>38427</v>
      </c>
      <c r="F827" s="12" t="s">
        <v>1932</v>
      </c>
      <c r="G827" s="12" t="s">
        <v>3761</v>
      </c>
      <c r="H827" s="12" t="s">
        <v>90</v>
      </c>
      <c r="I827" s="6" t="str">
        <f>VLOOKUP(CLEAN(F827),'World Bank Categories'!$B$4:$C$220,2,FALSE)</f>
        <v>Middle income</v>
      </c>
      <c r="J827" s="12" t="s">
        <v>2231</v>
      </c>
      <c r="K827" s="12" t="s">
        <v>29</v>
      </c>
      <c r="L827" s="12" t="s">
        <v>162</v>
      </c>
      <c r="P827" s="12" t="s">
        <v>31</v>
      </c>
      <c r="Q827" s="205" t="s">
        <v>32</v>
      </c>
      <c r="R827" s="141" t="s">
        <v>33</v>
      </c>
      <c r="S827" s="206" t="s">
        <v>2228</v>
      </c>
      <c r="T827" s="207">
        <v>38427</v>
      </c>
      <c r="U827" s="206" t="s">
        <v>2231</v>
      </c>
      <c r="V827" s="208" t="s">
        <v>3762</v>
      </c>
      <c r="W827" s="209">
        <v>722232</v>
      </c>
    </row>
    <row r="828" spans="1:23" ht="22.5" customHeight="1">
      <c r="A828" s="137">
        <v>46150.141418194442</v>
      </c>
      <c r="B828" s="12" t="s">
        <v>3763</v>
      </c>
      <c r="D828" s="12" t="s">
        <v>24</v>
      </c>
      <c r="E828" s="138">
        <v>37200</v>
      </c>
      <c r="F828" s="12" t="s">
        <v>3764</v>
      </c>
      <c r="G828" s="12" t="s">
        <v>3765</v>
      </c>
      <c r="H828" s="12" t="s">
        <v>66</v>
      </c>
      <c r="I828" s="6" t="str">
        <f>VLOOKUP(CLEAN(F828),'World Bank Categories'!$B$4:$C$220,2,FALSE)</f>
        <v>High income</v>
      </c>
      <c r="J828" s="12" t="s">
        <v>3766</v>
      </c>
      <c r="K828" s="12" t="s">
        <v>29</v>
      </c>
      <c r="L828" s="12" t="s">
        <v>30</v>
      </c>
      <c r="P828" s="12" t="s">
        <v>31</v>
      </c>
      <c r="Q828" s="205" t="s">
        <v>32</v>
      </c>
      <c r="R828" s="141" t="s">
        <v>43</v>
      </c>
      <c r="S828" s="206" t="s">
        <v>3767</v>
      </c>
      <c r="T828" s="207">
        <v>37200</v>
      </c>
      <c r="U828" s="206" t="s">
        <v>3766</v>
      </c>
      <c r="V828" s="208" t="s">
        <v>3768</v>
      </c>
      <c r="W828" s="209">
        <v>722393</v>
      </c>
    </row>
    <row r="829" spans="1:23" ht="22.5" customHeight="1">
      <c r="A829" s="137">
        <v>46150.215276851857</v>
      </c>
      <c r="B829" s="12" t="s">
        <v>2998</v>
      </c>
      <c r="D829" s="12" t="s">
        <v>45</v>
      </c>
      <c r="E829" s="138">
        <v>38488</v>
      </c>
      <c r="F829" s="12" t="s">
        <v>232</v>
      </c>
      <c r="G829" s="12" t="s">
        <v>2995</v>
      </c>
      <c r="H829" s="12" t="s">
        <v>66</v>
      </c>
      <c r="I829" s="6" t="str">
        <f>VLOOKUP(CLEAN(F829),'World Bank Categories'!$B$4:$C$220,2,FALSE)</f>
        <v>Middle income</v>
      </c>
      <c r="J829" s="12" t="s">
        <v>3769</v>
      </c>
      <c r="K829" s="12" t="s">
        <v>39</v>
      </c>
      <c r="L829" s="12" t="s">
        <v>162</v>
      </c>
      <c r="P829" s="12" t="s">
        <v>31</v>
      </c>
      <c r="Q829" s="205" t="s">
        <v>32</v>
      </c>
      <c r="R829" s="141"/>
      <c r="S829" s="206" t="s">
        <v>2998</v>
      </c>
      <c r="T829" s="207">
        <v>32874</v>
      </c>
      <c r="U829" s="206" t="s">
        <v>3770</v>
      </c>
      <c r="V829" s="208" t="s">
        <v>3771</v>
      </c>
      <c r="W829" s="209">
        <v>719571</v>
      </c>
    </row>
    <row r="830" spans="1:23" ht="22.5" customHeight="1">
      <c r="A830" s="137">
        <v>46150.216477418981</v>
      </c>
      <c r="B830" s="12" t="s">
        <v>3772</v>
      </c>
      <c r="C830" s="12" t="s">
        <v>3773</v>
      </c>
      <c r="D830" s="12" t="s">
        <v>24</v>
      </c>
      <c r="E830" s="138">
        <v>35562</v>
      </c>
      <c r="F830" s="12" t="s">
        <v>232</v>
      </c>
      <c r="G830" s="12" t="s">
        <v>3774</v>
      </c>
      <c r="H830" s="12" t="s">
        <v>186</v>
      </c>
      <c r="I830" s="6" t="str">
        <f>VLOOKUP(CLEAN(F830),'World Bank Categories'!$B$4:$C$220,2,FALSE)</f>
        <v>Middle income</v>
      </c>
      <c r="J830" s="12" t="s">
        <v>3775</v>
      </c>
      <c r="K830" s="12" t="s">
        <v>29</v>
      </c>
      <c r="L830" s="12" t="s">
        <v>30</v>
      </c>
      <c r="P830" s="12" t="s">
        <v>31</v>
      </c>
      <c r="Q830" s="205" t="s">
        <v>32</v>
      </c>
      <c r="R830" s="141"/>
      <c r="S830" s="206" t="s">
        <v>3776</v>
      </c>
      <c r="T830" s="207">
        <v>35562</v>
      </c>
      <c r="U830" s="206" t="s">
        <v>3775</v>
      </c>
      <c r="V830" s="208" t="s">
        <v>3777</v>
      </c>
      <c r="W830" s="209">
        <v>720501</v>
      </c>
    </row>
    <row r="831" spans="1:23" ht="22.5" customHeight="1">
      <c r="A831" s="137">
        <v>46150.222699675927</v>
      </c>
      <c r="B831" s="12" t="s">
        <v>3778</v>
      </c>
      <c r="D831" s="12" t="s">
        <v>24</v>
      </c>
      <c r="E831" s="138">
        <v>36954</v>
      </c>
      <c r="F831" s="12" t="s">
        <v>232</v>
      </c>
      <c r="G831" s="12" t="s">
        <v>1542</v>
      </c>
      <c r="H831" s="12" t="s">
        <v>3042</v>
      </c>
      <c r="I831" s="6" t="str">
        <f>VLOOKUP(CLEAN(F831),'World Bank Categories'!$B$4:$C$220,2,FALSE)</f>
        <v>Middle income</v>
      </c>
      <c r="J831" s="12" t="s">
        <v>3779</v>
      </c>
      <c r="K831" s="12" t="s">
        <v>29</v>
      </c>
      <c r="L831" s="12" t="s">
        <v>30</v>
      </c>
      <c r="P831" s="12" t="s">
        <v>31</v>
      </c>
      <c r="Q831" s="205" t="s">
        <v>32</v>
      </c>
      <c r="R831" s="141" t="s">
        <v>43</v>
      </c>
      <c r="S831" s="206" t="s">
        <v>1448</v>
      </c>
      <c r="T831" s="207">
        <v>36954</v>
      </c>
      <c r="U831" s="206" t="s">
        <v>3779</v>
      </c>
      <c r="V831" s="208" t="s">
        <v>3780</v>
      </c>
      <c r="W831" s="209">
        <v>723766</v>
      </c>
    </row>
    <row r="832" spans="1:23" ht="22.5" customHeight="1">
      <c r="A832" s="137">
        <v>46150.254414988427</v>
      </c>
      <c r="B832" s="12" t="s">
        <v>3781</v>
      </c>
      <c r="D832" s="12" t="s">
        <v>24</v>
      </c>
      <c r="E832" s="138">
        <v>39086</v>
      </c>
      <c r="F832" s="12" t="s">
        <v>232</v>
      </c>
      <c r="G832" s="12" t="s">
        <v>3782</v>
      </c>
      <c r="H832" s="12" t="s">
        <v>3783</v>
      </c>
      <c r="I832" s="6" t="str">
        <f>VLOOKUP(CLEAN(F832),'World Bank Categories'!$B$4:$C$220,2,FALSE)</f>
        <v>Middle income</v>
      </c>
      <c r="J832" s="12" t="s">
        <v>3784</v>
      </c>
      <c r="K832" s="12" t="s">
        <v>29</v>
      </c>
      <c r="L832" s="12" t="s">
        <v>162</v>
      </c>
      <c r="P832" s="12" t="s">
        <v>31</v>
      </c>
      <c r="Q832" s="205" t="s">
        <v>32</v>
      </c>
      <c r="R832" s="141"/>
      <c r="S832" s="206" t="s">
        <v>3781</v>
      </c>
      <c r="T832" s="207">
        <v>39086</v>
      </c>
      <c r="U832" s="206" t="s">
        <v>3770</v>
      </c>
      <c r="V832" s="208" t="s">
        <v>3785</v>
      </c>
      <c r="W832" s="209">
        <v>719572</v>
      </c>
    </row>
    <row r="833" spans="1:23" ht="22.5" customHeight="1">
      <c r="A833" s="137">
        <v>46150.420071296292</v>
      </c>
      <c r="B833" s="12" t="s">
        <v>3786</v>
      </c>
      <c r="D833" s="12" t="s">
        <v>45</v>
      </c>
      <c r="E833" s="138">
        <v>37198</v>
      </c>
      <c r="F833" s="12" t="s">
        <v>416</v>
      </c>
      <c r="G833" s="12" t="s">
        <v>3787</v>
      </c>
      <c r="H833" s="12" t="s">
        <v>530</v>
      </c>
      <c r="I833" s="6" t="str">
        <f>VLOOKUP(CLEAN(F833),'World Bank Categories'!$B$4:$C$220,2,FALSE)</f>
        <v>Middle income</v>
      </c>
      <c r="J833" s="12" t="s">
        <v>3788</v>
      </c>
      <c r="K833" s="12" t="s">
        <v>39</v>
      </c>
      <c r="L833" s="12" t="s">
        <v>162</v>
      </c>
      <c r="P833" s="12" t="s">
        <v>31</v>
      </c>
      <c r="Q833" s="205" t="s">
        <v>32</v>
      </c>
      <c r="R833" s="141" t="s">
        <v>33</v>
      </c>
      <c r="S833" s="206" t="s">
        <v>3786</v>
      </c>
      <c r="T833" s="207">
        <v>37198</v>
      </c>
      <c r="U833" s="206" t="s">
        <v>3788</v>
      </c>
      <c r="V833" s="208" t="s">
        <v>3789</v>
      </c>
      <c r="W833" s="209">
        <v>723760</v>
      </c>
    </row>
    <row r="834" spans="1:23" ht="22.5" customHeight="1">
      <c r="A834" s="137">
        <v>46150.547567106478</v>
      </c>
      <c r="B834" s="12" t="s">
        <v>3790</v>
      </c>
      <c r="D834" s="12" t="s">
        <v>45</v>
      </c>
      <c r="E834" s="138">
        <v>35849</v>
      </c>
      <c r="F834" s="141" t="s">
        <v>438</v>
      </c>
      <c r="G834" s="12" t="s">
        <v>3791</v>
      </c>
      <c r="H834" s="12" t="s">
        <v>3792</v>
      </c>
      <c r="I834" s="6" t="str">
        <f>VLOOKUP(CLEAN(F834),'World Bank Categories'!$B$4:$C$220,2,FALSE)</f>
        <v>Middle income</v>
      </c>
      <c r="J834" s="12" t="s">
        <v>3793</v>
      </c>
      <c r="K834" s="12" t="s">
        <v>39</v>
      </c>
      <c r="L834" s="12" t="s">
        <v>152</v>
      </c>
      <c r="P834" s="12" t="s">
        <v>31</v>
      </c>
      <c r="Q834" s="205" t="s">
        <v>32</v>
      </c>
      <c r="R834" s="141"/>
      <c r="S834" s="206" t="s">
        <v>3794</v>
      </c>
      <c r="T834" s="207">
        <v>35849</v>
      </c>
      <c r="U834" s="206" t="s">
        <v>3793</v>
      </c>
      <c r="V834" s="208" t="s">
        <v>3795</v>
      </c>
      <c r="W834" s="209">
        <v>724789</v>
      </c>
    </row>
    <row r="835" spans="1:23" ht="22.5" customHeight="1">
      <c r="A835" s="137">
        <v>46150.554551666668</v>
      </c>
      <c r="B835" s="12" t="s">
        <v>3796</v>
      </c>
      <c r="D835" s="12" t="s">
        <v>45</v>
      </c>
      <c r="E835" s="138">
        <v>26816</v>
      </c>
      <c r="F835" s="12" t="s">
        <v>433</v>
      </c>
      <c r="G835" s="12" t="s">
        <v>3797</v>
      </c>
      <c r="H835" s="12" t="s">
        <v>3798</v>
      </c>
      <c r="I835" s="6" t="str">
        <f>VLOOKUP(CLEAN(F835),'World Bank Categories'!$B$4:$C$220,2,FALSE)</f>
        <v>Low income</v>
      </c>
      <c r="J835" s="12" t="s">
        <v>3799</v>
      </c>
      <c r="K835" s="12" t="s">
        <v>29</v>
      </c>
      <c r="L835" s="12" t="s">
        <v>30</v>
      </c>
      <c r="P835" s="12" t="s">
        <v>31</v>
      </c>
      <c r="Q835" s="205" t="s">
        <v>32</v>
      </c>
      <c r="R835" s="141" t="s">
        <v>33</v>
      </c>
      <c r="S835" s="206" t="s">
        <v>832</v>
      </c>
      <c r="T835" s="207">
        <v>26816</v>
      </c>
      <c r="U835" s="206" t="s">
        <v>836</v>
      </c>
      <c r="V835" s="208" t="s">
        <v>3800</v>
      </c>
      <c r="W835" s="209">
        <v>719511</v>
      </c>
    </row>
    <row r="836" spans="1:23" ht="22.5" customHeight="1">
      <c r="A836" s="137">
        <v>46150.579388900464</v>
      </c>
      <c r="B836" s="12" t="s">
        <v>3801</v>
      </c>
      <c r="D836" s="12" t="s">
        <v>24</v>
      </c>
      <c r="E836" s="138">
        <v>35903</v>
      </c>
      <c r="F836" s="12" t="s">
        <v>232</v>
      </c>
      <c r="G836" s="12" t="s">
        <v>3802</v>
      </c>
      <c r="H836" s="12" t="s">
        <v>186</v>
      </c>
      <c r="I836" s="6" t="str">
        <f>VLOOKUP(CLEAN(F836),'World Bank Categories'!$B$4:$C$220,2,FALSE)</f>
        <v>Middle income</v>
      </c>
      <c r="J836" s="12" t="s">
        <v>3803</v>
      </c>
      <c r="K836" s="12" t="s">
        <v>29</v>
      </c>
      <c r="L836" s="12" t="s">
        <v>30</v>
      </c>
      <c r="P836" s="12" t="s">
        <v>31</v>
      </c>
      <c r="Q836" s="205" t="s">
        <v>32</v>
      </c>
      <c r="R836" s="141" t="s">
        <v>43</v>
      </c>
      <c r="S836" s="206" t="s">
        <v>3804</v>
      </c>
      <c r="T836" s="207">
        <v>36268</v>
      </c>
      <c r="U836" s="206" t="s">
        <v>3803</v>
      </c>
      <c r="V836" s="208" t="s">
        <v>3805</v>
      </c>
      <c r="W836" s="209">
        <v>720417</v>
      </c>
    </row>
    <row r="837" spans="1:23" ht="22.5" customHeight="1">
      <c r="A837" s="137">
        <v>46150.590377604167</v>
      </c>
      <c r="B837" s="12" t="s">
        <v>3806</v>
      </c>
      <c r="D837" s="12" t="s">
        <v>24</v>
      </c>
      <c r="E837" s="138">
        <v>36194</v>
      </c>
      <c r="F837" s="12" t="s">
        <v>1362</v>
      </c>
      <c r="G837" s="12" t="s">
        <v>3807</v>
      </c>
      <c r="H837" s="12" t="s">
        <v>3808</v>
      </c>
      <c r="I837" s="6" t="str">
        <f>VLOOKUP(CLEAN(F837),'World Bank Categories'!$B$4:$C$220,2,FALSE)</f>
        <v>Middle income</v>
      </c>
      <c r="J837" s="12" t="s">
        <v>3809</v>
      </c>
      <c r="K837" s="12" t="s">
        <v>39</v>
      </c>
      <c r="L837" s="12" t="s">
        <v>30</v>
      </c>
      <c r="P837" s="12" t="s">
        <v>31</v>
      </c>
      <c r="Q837" s="205" t="s">
        <v>32</v>
      </c>
      <c r="R837" s="141" t="s">
        <v>43</v>
      </c>
      <c r="S837" s="206" t="s">
        <v>3806</v>
      </c>
      <c r="T837" s="207">
        <v>36194</v>
      </c>
      <c r="U837" s="206" t="s">
        <v>3809</v>
      </c>
      <c r="V837" s="208" t="s">
        <v>3810</v>
      </c>
      <c r="W837" s="209">
        <v>722829</v>
      </c>
    </row>
    <row r="838" spans="1:23" ht="22.5" customHeight="1">
      <c r="A838" s="137">
        <v>46150.841148460648</v>
      </c>
      <c r="B838" s="12" t="s">
        <v>3811</v>
      </c>
      <c r="D838" s="12" t="s">
        <v>24</v>
      </c>
      <c r="E838" s="138">
        <v>37276</v>
      </c>
      <c r="F838" s="12" t="s">
        <v>88</v>
      </c>
      <c r="G838" s="12" t="s">
        <v>3812</v>
      </c>
      <c r="H838" s="12" t="s">
        <v>66</v>
      </c>
      <c r="I838" s="6" t="str">
        <f>VLOOKUP(CLEAN(F838),'World Bank Categories'!$B$4:$C$220,2,FALSE)</f>
        <v>Low income</v>
      </c>
      <c r="J838" s="12" t="s">
        <v>3813</v>
      </c>
      <c r="K838" s="12" t="s">
        <v>39</v>
      </c>
      <c r="L838" s="12" t="s">
        <v>524</v>
      </c>
      <c r="P838" s="12" t="s">
        <v>31</v>
      </c>
      <c r="Q838" s="205" t="s">
        <v>32</v>
      </c>
      <c r="R838" s="141" t="s">
        <v>43</v>
      </c>
      <c r="S838" s="206" t="s">
        <v>3814</v>
      </c>
      <c r="T838" s="207">
        <v>37276</v>
      </c>
      <c r="U838" s="206" t="s">
        <v>3813</v>
      </c>
      <c r="V838" s="208" t="s">
        <v>3815</v>
      </c>
      <c r="W838" s="209">
        <v>720301</v>
      </c>
    </row>
    <row r="839" spans="1:23" ht="22.5" customHeight="1">
      <c r="A839" s="137">
        <v>46151.207066770832</v>
      </c>
      <c r="B839" s="12" t="s">
        <v>535</v>
      </c>
      <c r="D839" s="12" t="s">
        <v>24</v>
      </c>
      <c r="E839" s="138">
        <v>34099</v>
      </c>
      <c r="F839" s="12" t="s">
        <v>346</v>
      </c>
      <c r="G839" s="12" t="s">
        <v>3816</v>
      </c>
      <c r="H839" s="12" t="s">
        <v>3817</v>
      </c>
      <c r="I839" s="6" t="str">
        <f>VLOOKUP(CLEAN(F839),'World Bank Categories'!$B$4:$C$220,2,FALSE)</f>
        <v>Middle income</v>
      </c>
      <c r="J839" s="12" t="s">
        <v>3818</v>
      </c>
      <c r="K839" s="12" t="s">
        <v>29</v>
      </c>
      <c r="L839" s="12" t="s">
        <v>30</v>
      </c>
      <c r="P839" s="12" t="s">
        <v>31</v>
      </c>
      <c r="Q839" s="205" t="s">
        <v>32</v>
      </c>
      <c r="R839" s="141" t="s">
        <v>33</v>
      </c>
      <c r="S839" s="206" t="s">
        <v>540</v>
      </c>
      <c r="T839" s="207">
        <v>34099</v>
      </c>
      <c r="U839" s="206" t="s">
        <v>539</v>
      </c>
      <c r="V839" s="208" t="s">
        <v>3819</v>
      </c>
      <c r="W839" s="209">
        <v>719154</v>
      </c>
    </row>
    <row r="840" spans="1:23" ht="22.5" customHeight="1">
      <c r="A840" s="137">
        <v>46151.221031469904</v>
      </c>
      <c r="B840" s="12" t="s">
        <v>3820</v>
      </c>
      <c r="D840" s="12" t="s">
        <v>24</v>
      </c>
      <c r="E840" s="138">
        <v>30941</v>
      </c>
      <c r="F840" s="12" t="s">
        <v>2154</v>
      </c>
      <c r="G840" s="12" t="s">
        <v>2107</v>
      </c>
      <c r="H840" s="12" t="s">
        <v>3821</v>
      </c>
      <c r="I840" s="6" t="str">
        <f>VLOOKUP(CLEAN(F840),'World Bank Categories'!$B$4:$C$220,2,FALSE)</f>
        <v>Middle income</v>
      </c>
      <c r="J840" s="12" t="s">
        <v>3822</v>
      </c>
      <c r="K840" s="12" t="s">
        <v>39</v>
      </c>
      <c r="L840" s="12" t="s">
        <v>30</v>
      </c>
      <c r="P840" s="12" t="s">
        <v>31</v>
      </c>
      <c r="Q840" s="205" t="s">
        <v>32</v>
      </c>
      <c r="R840" s="141"/>
      <c r="S840" s="206" t="s">
        <v>3823</v>
      </c>
      <c r="T840" s="207">
        <v>30941</v>
      </c>
      <c r="U840" s="206" t="s">
        <v>3822</v>
      </c>
      <c r="V840" s="208" t="s">
        <v>3824</v>
      </c>
      <c r="W840" s="209">
        <v>724917</v>
      </c>
    </row>
    <row r="841" spans="1:23" ht="22.5" customHeight="1">
      <c r="A841" s="137">
        <v>46151.228820127319</v>
      </c>
      <c r="B841" s="12" t="s">
        <v>3825</v>
      </c>
      <c r="D841" s="12" t="s">
        <v>45</v>
      </c>
      <c r="E841" s="138">
        <v>22228</v>
      </c>
      <c r="F841" s="12" t="s">
        <v>3559</v>
      </c>
      <c r="G841" s="12" t="s">
        <v>3560</v>
      </c>
      <c r="H841" s="12" t="s">
        <v>3826</v>
      </c>
      <c r="I841" s="6" t="str">
        <f>VLOOKUP(CLEAN(F841),'World Bank Categories'!$B$4:$C$220,2,FALSE)</f>
        <v>Middle income</v>
      </c>
      <c r="J841" s="12" t="s">
        <v>3562</v>
      </c>
      <c r="K841" s="12" t="s">
        <v>29</v>
      </c>
      <c r="L841" s="143" t="s">
        <v>1168</v>
      </c>
      <c r="P841" s="12" t="s">
        <v>31</v>
      </c>
      <c r="Q841" s="205" t="s">
        <v>32</v>
      </c>
      <c r="R841" s="141" t="s">
        <v>33</v>
      </c>
      <c r="S841" s="206" t="s">
        <v>3563</v>
      </c>
      <c r="T841" s="207">
        <v>22228</v>
      </c>
      <c r="U841" s="206" t="s">
        <v>3564</v>
      </c>
      <c r="V841" s="208" t="s">
        <v>3827</v>
      </c>
      <c r="W841" s="209">
        <v>720085</v>
      </c>
    </row>
    <row r="842" spans="1:23" ht="22.5" customHeight="1">
      <c r="A842" s="137">
        <v>46151.483696493058</v>
      </c>
      <c r="B842" s="12" t="s">
        <v>3828</v>
      </c>
      <c r="D842" s="12" t="s">
        <v>24</v>
      </c>
      <c r="E842" s="138">
        <v>23294</v>
      </c>
      <c r="F842" s="12" t="s">
        <v>416</v>
      </c>
      <c r="G842" s="12" t="s">
        <v>3829</v>
      </c>
      <c r="H842" s="12" t="s">
        <v>90</v>
      </c>
      <c r="I842" s="6" t="str">
        <f>VLOOKUP(CLEAN(F842),'World Bank Categories'!$B$4:$C$220,2,FALSE)</f>
        <v>Middle income</v>
      </c>
      <c r="J842" s="12" t="s">
        <v>3830</v>
      </c>
      <c r="K842" s="12" t="s">
        <v>29</v>
      </c>
      <c r="L842" s="12" t="s">
        <v>162</v>
      </c>
      <c r="M842" s="12" t="s">
        <v>960</v>
      </c>
      <c r="P842" s="12" t="s">
        <v>31</v>
      </c>
      <c r="Q842" s="205" t="s">
        <v>32</v>
      </c>
      <c r="R842" s="141"/>
      <c r="S842" s="206" t="s">
        <v>3828</v>
      </c>
      <c r="T842" s="207">
        <v>23294</v>
      </c>
      <c r="U842" s="206" t="s">
        <v>3830</v>
      </c>
      <c r="V842" s="208" t="s">
        <v>3831</v>
      </c>
      <c r="W842" s="209">
        <v>719673</v>
      </c>
    </row>
    <row r="843" spans="1:23" ht="22.5" customHeight="1">
      <c r="A843" s="137">
        <v>46151.558258819445</v>
      </c>
      <c r="B843" s="12" t="s">
        <v>3832</v>
      </c>
      <c r="D843" s="12" t="s">
        <v>24</v>
      </c>
      <c r="E843" s="138">
        <v>36651</v>
      </c>
      <c r="F843" s="12" t="s">
        <v>980</v>
      </c>
      <c r="G843" s="12" t="s">
        <v>1462</v>
      </c>
      <c r="H843" s="12" t="s">
        <v>3124</v>
      </c>
      <c r="I843" s="6" t="str">
        <f>VLOOKUP(CLEAN(F843),'World Bank Categories'!$B$4:$C$220,2,FALSE)</f>
        <v>Middle income</v>
      </c>
      <c r="J843" s="12" t="s">
        <v>1505</v>
      </c>
      <c r="K843" s="12" t="s">
        <v>39</v>
      </c>
      <c r="L843" s="12" t="s">
        <v>621</v>
      </c>
      <c r="P843" s="12" t="s">
        <v>31</v>
      </c>
      <c r="Q843" s="205" t="s">
        <v>32</v>
      </c>
      <c r="R843" s="141" t="s">
        <v>33</v>
      </c>
      <c r="S843" s="206" t="s">
        <v>1503</v>
      </c>
      <c r="T843" s="207">
        <v>36651</v>
      </c>
      <c r="U843" s="206" t="s">
        <v>1506</v>
      </c>
      <c r="V843" s="208" t="s">
        <v>3833</v>
      </c>
      <c r="W843" s="209">
        <v>720745</v>
      </c>
    </row>
    <row r="844" spans="1:23" ht="22.5" customHeight="1">
      <c r="A844" s="137">
        <v>46151.622414745369</v>
      </c>
      <c r="B844" s="12" t="s">
        <v>3834</v>
      </c>
      <c r="D844" s="12" t="s">
        <v>24</v>
      </c>
      <c r="E844" s="138">
        <v>38508</v>
      </c>
      <c r="F844" s="12" t="s">
        <v>980</v>
      </c>
      <c r="G844" s="12" t="s">
        <v>3835</v>
      </c>
      <c r="H844" s="12" t="s">
        <v>3042</v>
      </c>
      <c r="I844" s="6" t="str">
        <f>VLOOKUP(CLEAN(F844),'World Bank Categories'!$B$4:$C$220,2,FALSE)</f>
        <v>Middle income</v>
      </c>
      <c r="J844" s="12" t="s">
        <v>1078</v>
      </c>
      <c r="K844" s="12" t="s">
        <v>39</v>
      </c>
      <c r="L844" s="12" t="s">
        <v>621</v>
      </c>
      <c r="P844" s="12" t="s">
        <v>31</v>
      </c>
      <c r="Q844" s="205" t="s">
        <v>32</v>
      </c>
      <c r="R844" s="141" t="s">
        <v>33</v>
      </c>
      <c r="S844" s="206" t="s">
        <v>1077</v>
      </c>
      <c r="T844" s="207">
        <v>38508</v>
      </c>
      <c r="U844" s="206" t="s">
        <v>1078</v>
      </c>
      <c r="V844" s="208" t="s">
        <v>3836</v>
      </c>
      <c r="W844" s="209">
        <v>720791</v>
      </c>
    </row>
    <row r="845" spans="1:23" ht="22.5" customHeight="1">
      <c r="A845" s="137">
        <v>46151.627967685185</v>
      </c>
      <c r="B845" s="12" t="s">
        <v>3837</v>
      </c>
      <c r="D845" s="12" t="s">
        <v>45</v>
      </c>
      <c r="E845" s="138">
        <v>38977</v>
      </c>
      <c r="F845" s="12" t="s">
        <v>980</v>
      </c>
      <c r="G845" s="12" t="s">
        <v>3838</v>
      </c>
      <c r="H845" s="12" t="s">
        <v>66</v>
      </c>
      <c r="I845" s="6" t="str">
        <f>VLOOKUP(CLEAN(F845),'World Bank Categories'!$B$4:$C$220,2,FALSE)</f>
        <v>Middle income</v>
      </c>
      <c r="J845" s="12" t="s">
        <v>1076</v>
      </c>
      <c r="K845" s="12" t="s">
        <v>39</v>
      </c>
      <c r="L845" s="12" t="s">
        <v>621</v>
      </c>
      <c r="P845" s="12" t="s">
        <v>31</v>
      </c>
      <c r="Q845" s="205" t="s">
        <v>32</v>
      </c>
      <c r="R845" s="141" t="s">
        <v>33</v>
      </c>
      <c r="S845" s="206" t="s">
        <v>1074</v>
      </c>
      <c r="T845" s="207">
        <v>38977</v>
      </c>
      <c r="U845" s="206" t="s">
        <v>3839</v>
      </c>
      <c r="V845" s="208" t="s">
        <v>3840</v>
      </c>
      <c r="W845" s="209">
        <v>720793</v>
      </c>
    </row>
    <row r="846" spans="1:23" ht="22.5" customHeight="1">
      <c r="A846" s="137">
        <v>46151.628285949075</v>
      </c>
      <c r="B846" s="12" t="s">
        <v>3841</v>
      </c>
      <c r="D846" s="12" t="s">
        <v>24</v>
      </c>
      <c r="E846" s="138">
        <v>38389</v>
      </c>
      <c r="F846" s="12" t="s">
        <v>980</v>
      </c>
      <c r="G846" s="12" t="s">
        <v>1072</v>
      </c>
      <c r="H846" s="12" t="s">
        <v>66</v>
      </c>
      <c r="I846" s="6" t="str">
        <f>VLOOKUP(CLEAN(F846),'World Bank Categories'!$B$4:$C$220,2,FALSE)</f>
        <v>Middle income</v>
      </c>
      <c r="J846" s="12" t="s">
        <v>1073</v>
      </c>
      <c r="K846" s="12" t="s">
        <v>39</v>
      </c>
      <c r="L846" s="12" t="s">
        <v>621</v>
      </c>
      <c r="P846" s="12" t="s">
        <v>31</v>
      </c>
      <c r="Q846" s="205" t="s">
        <v>32</v>
      </c>
      <c r="R846" s="141" t="s">
        <v>33</v>
      </c>
      <c r="S846" s="206" t="s">
        <v>1071</v>
      </c>
      <c r="T846" s="207">
        <v>38389</v>
      </c>
      <c r="U846" s="206" t="s">
        <v>1073</v>
      </c>
      <c r="V846" s="208" t="s">
        <v>3842</v>
      </c>
      <c r="W846" s="209">
        <v>720790</v>
      </c>
    </row>
    <row r="847" spans="1:23" ht="22.5" customHeight="1">
      <c r="A847" s="137">
        <v>46151.641354120366</v>
      </c>
      <c r="B847" s="12" t="s">
        <v>3843</v>
      </c>
      <c r="D847" s="12" t="s">
        <v>45</v>
      </c>
      <c r="E847" s="138">
        <v>37916</v>
      </c>
      <c r="F847" s="12" t="s">
        <v>980</v>
      </c>
      <c r="G847" s="12" t="s">
        <v>999</v>
      </c>
      <c r="H847" s="12" t="s">
        <v>3042</v>
      </c>
      <c r="I847" s="6" t="str">
        <f>VLOOKUP(CLEAN(F847),'World Bank Categories'!$B$4:$C$220,2,FALSE)</f>
        <v>Middle income</v>
      </c>
      <c r="J847" s="12" t="s">
        <v>3844</v>
      </c>
      <c r="K847" s="12" t="s">
        <v>39</v>
      </c>
      <c r="L847" s="12" t="s">
        <v>621</v>
      </c>
      <c r="M847" s="12" t="s">
        <v>3845</v>
      </c>
      <c r="P847" s="12" t="s">
        <v>31</v>
      </c>
      <c r="Q847" s="205" t="s">
        <v>32</v>
      </c>
      <c r="R847" s="141" t="s">
        <v>33</v>
      </c>
      <c r="S847" s="206" t="s">
        <v>3846</v>
      </c>
      <c r="T847" s="207">
        <v>37916</v>
      </c>
      <c r="U847" s="206" t="s">
        <v>3844</v>
      </c>
      <c r="V847" s="208" t="s">
        <v>3847</v>
      </c>
      <c r="W847" s="209">
        <v>720786</v>
      </c>
    </row>
    <row r="848" spans="1:23" ht="22.5" customHeight="1">
      <c r="A848" s="137">
        <v>46151.701618263891</v>
      </c>
      <c r="B848" s="12" t="s">
        <v>3848</v>
      </c>
      <c r="D848" s="12" t="s">
        <v>24</v>
      </c>
      <c r="E848" s="138">
        <v>32725</v>
      </c>
      <c r="F848" s="12" t="s">
        <v>232</v>
      </c>
      <c r="G848" s="12" t="s">
        <v>3849</v>
      </c>
      <c r="H848" s="12" t="s">
        <v>186</v>
      </c>
      <c r="I848" s="6" t="str">
        <f>VLOOKUP(CLEAN(F848),'World Bank Categories'!$B$4:$C$220,2,FALSE)</f>
        <v>Middle income</v>
      </c>
      <c r="J848" s="12" t="s">
        <v>3850</v>
      </c>
      <c r="K848" s="12" t="s">
        <v>29</v>
      </c>
      <c r="L848" s="12" t="s">
        <v>30</v>
      </c>
      <c r="P848" s="12" t="s">
        <v>31</v>
      </c>
      <c r="Q848" s="205" t="s">
        <v>32</v>
      </c>
      <c r="R848" s="141" t="s">
        <v>43</v>
      </c>
      <c r="S848" s="206" t="s">
        <v>3851</v>
      </c>
      <c r="T848" s="207">
        <v>32725</v>
      </c>
      <c r="U848" s="206" t="s">
        <v>3850</v>
      </c>
      <c r="V848" s="208" t="s">
        <v>3852</v>
      </c>
      <c r="W848" s="209">
        <v>722117</v>
      </c>
    </row>
    <row r="849" spans="1:23" ht="22.5" customHeight="1">
      <c r="A849" s="137">
        <v>46151.771242974537</v>
      </c>
      <c r="B849" s="12" t="s">
        <v>1012</v>
      </c>
      <c r="D849" s="12" t="s">
        <v>24</v>
      </c>
      <c r="E849" s="138">
        <v>38619</v>
      </c>
      <c r="F849" s="12" t="s">
        <v>980</v>
      </c>
      <c r="G849" s="12" t="s">
        <v>1504</v>
      </c>
      <c r="H849" s="12" t="s">
        <v>66</v>
      </c>
      <c r="I849" s="6" t="str">
        <f>VLOOKUP(CLEAN(F849),'World Bank Categories'!$B$4:$C$220,2,FALSE)</f>
        <v>Middle income</v>
      </c>
      <c r="J849" s="12" t="s">
        <v>1015</v>
      </c>
      <c r="K849" s="12" t="s">
        <v>39</v>
      </c>
      <c r="L849" s="12" t="s">
        <v>621</v>
      </c>
      <c r="M849" s="12" t="s">
        <v>3853</v>
      </c>
      <c r="P849" s="12" t="s">
        <v>31</v>
      </c>
      <c r="Q849" s="205" t="s">
        <v>32</v>
      </c>
      <c r="R849" s="141" t="s">
        <v>33</v>
      </c>
      <c r="S849" s="206" t="s">
        <v>1017</v>
      </c>
      <c r="T849" s="207">
        <v>38619</v>
      </c>
      <c r="U849" s="206" t="s">
        <v>1015</v>
      </c>
      <c r="V849" s="208" t="s">
        <v>3854</v>
      </c>
      <c r="W849" s="209">
        <v>720726</v>
      </c>
    </row>
    <row r="850" spans="1:23" ht="22.5" customHeight="1">
      <c r="A850" s="137">
        <v>46151.889645428237</v>
      </c>
      <c r="B850" s="12" t="s">
        <v>3855</v>
      </c>
      <c r="D850" s="12" t="s">
        <v>24</v>
      </c>
      <c r="E850" s="138">
        <v>37925</v>
      </c>
      <c r="F850" s="12" t="s">
        <v>980</v>
      </c>
      <c r="G850" s="12" t="s">
        <v>3856</v>
      </c>
      <c r="H850" s="12" t="s">
        <v>3042</v>
      </c>
      <c r="I850" s="6" t="str">
        <f>VLOOKUP(CLEAN(F850),'World Bank Categories'!$B$4:$C$220,2,FALSE)</f>
        <v>Middle income</v>
      </c>
      <c r="J850" s="12" t="s">
        <v>3857</v>
      </c>
      <c r="K850" s="12" t="s">
        <v>39</v>
      </c>
      <c r="L850" s="12" t="s">
        <v>621</v>
      </c>
      <c r="P850" s="12" t="s">
        <v>31</v>
      </c>
      <c r="Q850" s="205" t="s">
        <v>32</v>
      </c>
      <c r="R850" s="141" t="s">
        <v>33</v>
      </c>
      <c r="S850" s="206" t="s">
        <v>3855</v>
      </c>
      <c r="T850" s="207">
        <v>37925</v>
      </c>
      <c r="U850" s="206" t="s">
        <v>3857</v>
      </c>
      <c r="V850" s="208" t="s">
        <v>3858</v>
      </c>
      <c r="W850" s="209">
        <v>722013</v>
      </c>
    </row>
    <row r="851" spans="1:23" ht="22.5" customHeight="1">
      <c r="A851" s="137">
        <v>46151.923741712963</v>
      </c>
      <c r="B851" s="12" t="s">
        <v>3859</v>
      </c>
      <c r="D851" s="12" t="s">
        <v>24</v>
      </c>
      <c r="E851" s="138">
        <v>23294</v>
      </c>
      <c r="F851" s="12" t="s">
        <v>416</v>
      </c>
      <c r="G851" s="12" t="s">
        <v>3860</v>
      </c>
      <c r="H851" s="12" t="s">
        <v>186</v>
      </c>
      <c r="I851" s="6" t="str">
        <f>VLOOKUP(CLEAN(F851),'World Bank Categories'!$B$4:$C$220,2,FALSE)</f>
        <v>Middle income</v>
      </c>
      <c r="J851" s="12" t="s">
        <v>3830</v>
      </c>
      <c r="K851" s="12" t="s">
        <v>29</v>
      </c>
      <c r="L851" s="12" t="s">
        <v>3861</v>
      </c>
      <c r="M851" s="12" t="s">
        <v>3862</v>
      </c>
      <c r="P851" s="12" t="s">
        <v>31</v>
      </c>
      <c r="Q851" s="205" t="s">
        <v>32</v>
      </c>
      <c r="R851" s="141"/>
      <c r="S851" s="206" t="s">
        <v>3828</v>
      </c>
      <c r="T851" s="207">
        <v>23294</v>
      </c>
      <c r="U851" s="206" t="s">
        <v>3830</v>
      </c>
      <c r="V851" s="208" t="s">
        <v>3831</v>
      </c>
      <c r="W851" s="209">
        <v>719673</v>
      </c>
    </row>
    <row r="852" spans="1:23" ht="22.5" customHeight="1">
      <c r="A852" s="137">
        <v>46152.146536099535</v>
      </c>
      <c r="B852" s="12" t="s">
        <v>3863</v>
      </c>
      <c r="D852" s="12" t="s">
        <v>24</v>
      </c>
      <c r="E852" s="138">
        <v>35790</v>
      </c>
      <c r="F852" s="12" t="s">
        <v>52</v>
      </c>
      <c r="G852" s="12" t="s">
        <v>3864</v>
      </c>
      <c r="H852" s="12" t="s">
        <v>3865</v>
      </c>
      <c r="I852" s="6" t="str">
        <f>VLOOKUP(CLEAN(F852),'World Bank Categories'!$B$4:$C$220,2,FALSE)</f>
        <v>Middle income</v>
      </c>
      <c r="J852" s="12" t="s">
        <v>1344</v>
      </c>
      <c r="K852" s="12" t="s">
        <v>39</v>
      </c>
      <c r="L852" s="12" t="s">
        <v>30</v>
      </c>
      <c r="P852" s="12" t="s">
        <v>31</v>
      </c>
      <c r="Q852" s="205" t="s">
        <v>32</v>
      </c>
      <c r="R852" s="141" t="s">
        <v>33</v>
      </c>
      <c r="S852" s="206" t="s">
        <v>1341</v>
      </c>
      <c r="T852" s="207">
        <v>35790</v>
      </c>
      <c r="U852" s="206" t="s">
        <v>1344</v>
      </c>
      <c r="V852" s="208" t="s">
        <v>3866</v>
      </c>
      <c r="W852" s="209">
        <v>720147</v>
      </c>
    </row>
    <row r="853" spans="1:23" ht="22.5" customHeight="1">
      <c r="A853" s="137">
        <v>46152.175497974538</v>
      </c>
      <c r="B853" s="12" t="s">
        <v>3867</v>
      </c>
      <c r="C853" s="12" t="s">
        <v>3867</v>
      </c>
      <c r="D853" s="12" t="s">
        <v>24</v>
      </c>
      <c r="E853" s="138">
        <v>35167</v>
      </c>
      <c r="F853" s="12" t="s">
        <v>232</v>
      </c>
      <c r="G853" s="12" t="s">
        <v>3868</v>
      </c>
      <c r="H853" s="12" t="s">
        <v>186</v>
      </c>
      <c r="I853" s="6" t="str">
        <f>VLOOKUP(CLEAN(F853),'World Bank Categories'!$B$4:$C$220,2,FALSE)</f>
        <v>Middle income</v>
      </c>
      <c r="J853" s="12" t="s">
        <v>3869</v>
      </c>
      <c r="K853" s="12" t="s">
        <v>29</v>
      </c>
      <c r="L853" s="143" t="s">
        <v>656</v>
      </c>
      <c r="P853" s="12" t="s">
        <v>31</v>
      </c>
      <c r="Q853" s="205" t="s">
        <v>32</v>
      </c>
      <c r="R853" s="141" t="s">
        <v>43</v>
      </c>
      <c r="S853" s="206" t="s">
        <v>3870</v>
      </c>
      <c r="T853" s="207">
        <v>35167</v>
      </c>
      <c r="U853" s="206" t="s">
        <v>3869</v>
      </c>
      <c r="V853" s="208" t="s">
        <v>3871</v>
      </c>
      <c r="W853" s="209">
        <v>720357</v>
      </c>
    </row>
    <row r="854" spans="1:23" ht="22.5" customHeight="1">
      <c r="A854" s="137">
        <v>46152.568503368057</v>
      </c>
      <c r="B854" s="12" t="s">
        <v>3872</v>
      </c>
      <c r="D854" s="12" t="s">
        <v>24</v>
      </c>
      <c r="E854" s="138">
        <v>37385</v>
      </c>
      <c r="F854" s="12" t="s">
        <v>416</v>
      </c>
      <c r="G854" s="12" t="s">
        <v>3873</v>
      </c>
      <c r="H854" s="12" t="s">
        <v>3537</v>
      </c>
      <c r="I854" s="6" t="str">
        <f>VLOOKUP(CLEAN(F854),'World Bank Categories'!$B$4:$C$220,2,FALSE)</f>
        <v>Middle income</v>
      </c>
      <c r="J854" s="12" t="s">
        <v>3874</v>
      </c>
      <c r="K854" s="12" t="s">
        <v>29</v>
      </c>
      <c r="L854" s="12" t="s">
        <v>162</v>
      </c>
      <c r="P854" s="12" t="s">
        <v>31</v>
      </c>
      <c r="Q854" s="205" t="s">
        <v>32</v>
      </c>
      <c r="R854" s="141" t="s">
        <v>33</v>
      </c>
      <c r="S854" s="206" t="s">
        <v>3875</v>
      </c>
      <c r="T854" s="207">
        <v>37385</v>
      </c>
      <c r="U854" s="206" t="s">
        <v>3874</v>
      </c>
      <c r="V854" s="208" t="s">
        <v>3876</v>
      </c>
      <c r="W854" s="209">
        <v>723763</v>
      </c>
    </row>
    <row r="855" spans="1:23" ht="22.5" customHeight="1">
      <c r="A855" s="137">
        <v>46153.384796608792</v>
      </c>
      <c r="B855" s="12" t="s">
        <v>3877</v>
      </c>
      <c r="D855" s="12" t="s">
        <v>24</v>
      </c>
      <c r="E855" s="138">
        <v>36268</v>
      </c>
      <c r="F855" s="12" t="s">
        <v>232</v>
      </c>
      <c r="G855" s="12" t="s">
        <v>3878</v>
      </c>
      <c r="H855" s="12" t="s">
        <v>186</v>
      </c>
      <c r="I855" s="6" t="str">
        <f>VLOOKUP(CLEAN(F855),'World Bank Categories'!$B$4:$C$220,2,FALSE)</f>
        <v>Middle income</v>
      </c>
      <c r="J855" s="12" t="s">
        <v>3803</v>
      </c>
      <c r="K855" s="12" t="s">
        <v>39</v>
      </c>
      <c r="L855" s="12" t="s">
        <v>621</v>
      </c>
      <c r="P855" s="12" t="s">
        <v>31</v>
      </c>
      <c r="Q855" s="205" t="s">
        <v>32</v>
      </c>
      <c r="R855" s="141" t="s">
        <v>43</v>
      </c>
      <c r="S855" s="206" t="s">
        <v>3804</v>
      </c>
      <c r="T855" s="207">
        <v>36268</v>
      </c>
      <c r="U855" s="206" t="s">
        <v>3803</v>
      </c>
      <c r="V855" s="208" t="s">
        <v>3879</v>
      </c>
      <c r="W855" s="209">
        <v>720417</v>
      </c>
    </row>
    <row r="856" spans="1:23" ht="22.5" customHeight="1">
      <c r="A856" s="137">
        <v>46153.702930949075</v>
      </c>
      <c r="B856" s="12" t="s">
        <v>3880</v>
      </c>
      <c r="D856" s="12" t="s">
        <v>45</v>
      </c>
      <c r="E856" s="138">
        <v>31693</v>
      </c>
      <c r="F856" s="12" t="s">
        <v>3881</v>
      </c>
      <c r="G856" s="12" t="s">
        <v>3882</v>
      </c>
      <c r="H856" s="12" t="s">
        <v>3883</v>
      </c>
      <c r="I856" s="6" t="str">
        <f>VLOOKUP(CLEAN(F856),'World Bank Categories'!$B$4:$C$220,2,FALSE)</f>
        <v>Middle income</v>
      </c>
      <c r="J856" s="12" t="s">
        <v>3884</v>
      </c>
      <c r="K856" s="12" t="s">
        <v>29</v>
      </c>
      <c r="L856" s="143" t="s">
        <v>656</v>
      </c>
      <c r="P856" s="12" t="s">
        <v>31</v>
      </c>
      <c r="Q856" s="205" t="s">
        <v>32</v>
      </c>
      <c r="R856" s="141" t="s">
        <v>33</v>
      </c>
      <c r="S856" s="206" t="s">
        <v>3885</v>
      </c>
      <c r="T856" s="207">
        <v>31693</v>
      </c>
      <c r="U856" s="206" t="s">
        <v>3884</v>
      </c>
      <c r="V856" s="208" t="s">
        <v>3886</v>
      </c>
      <c r="W856" s="209">
        <v>724953</v>
      </c>
    </row>
    <row r="857" spans="1:23" ht="22.5" customHeight="1">
      <c r="A857" s="137">
        <v>46153.717076331013</v>
      </c>
      <c r="B857" s="12" t="s">
        <v>3887</v>
      </c>
      <c r="D857" s="12" t="s">
        <v>24</v>
      </c>
      <c r="E857" s="138">
        <v>38517</v>
      </c>
      <c r="F857" s="12" t="s">
        <v>232</v>
      </c>
      <c r="G857" s="12" t="s">
        <v>3888</v>
      </c>
      <c r="H857" s="12" t="s">
        <v>66</v>
      </c>
      <c r="I857" s="6" t="str">
        <f>VLOOKUP(CLEAN(F857),'World Bank Categories'!$B$4:$C$220,2,FALSE)</f>
        <v>Middle income</v>
      </c>
      <c r="J857" s="12" t="s">
        <v>3784</v>
      </c>
      <c r="K857" s="12" t="s">
        <v>29</v>
      </c>
      <c r="L857" s="12" t="s">
        <v>30</v>
      </c>
      <c r="P857" s="12" t="s">
        <v>31</v>
      </c>
      <c r="Q857" s="205" t="s">
        <v>32</v>
      </c>
      <c r="R857" s="141"/>
      <c r="S857" s="206" t="s">
        <v>3889</v>
      </c>
      <c r="T857" s="207">
        <v>38517</v>
      </c>
      <c r="U857" s="206" t="s">
        <v>3770</v>
      </c>
      <c r="V857" s="208" t="s">
        <v>3890</v>
      </c>
      <c r="W857" s="209">
        <v>719569</v>
      </c>
    </row>
    <row r="858" spans="1:23" ht="22.5" customHeight="1">
      <c r="A858" s="137">
        <v>46154.057428182874</v>
      </c>
      <c r="B858" s="12" t="s">
        <v>3610</v>
      </c>
      <c r="D858" s="12" t="s">
        <v>24</v>
      </c>
      <c r="E858" s="138">
        <v>16387</v>
      </c>
      <c r="F858" s="12" t="s">
        <v>198</v>
      </c>
      <c r="G858" s="12" t="s">
        <v>586</v>
      </c>
      <c r="H858" s="12" t="s">
        <v>3891</v>
      </c>
      <c r="I858" s="6" t="str">
        <f>VLOOKUP(CLEAN(F858),'World Bank Categories'!$B$4:$C$220,2,FALSE)</f>
        <v>Middle income</v>
      </c>
      <c r="J858" s="12" t="s">
        <v>2658</v>
      </c>
      <c r="K858" s="12" t="s">
        <v>29</v>
      </c>
      <c r="L858" s="12" t="s">
        <v>30</v>
      </c>
      <c r="M858" s="12" t="s">
        <v>3892</v>
      </c>
      <c r="P858" s="12" t="s">
        <v>31</v>
      </c>
      <c r="Q858" s="213" t="s">
        <v>32</v>
      </c>
      <c r="R858" s="141" t="s">
        <v>43</v>
      </c>
      <c r="S858" s="206" t="s">
        <v>3610</v>
      </c>
      <c r="T858" s="207">
        <v>16387</v>
      </c>
      <c r="U858" s="206" t="s">
        <v>2658</v>
      </c>
      <c r="V858" s="208" t="s">
        <v>3893</v>
      </c>
      <c r="W858" s="209">
        <v>720843</v>
      </c>
    </row>
    <row r="859" spans="1:23" ht="22.5" customHeight="1">
      <c r="A859" s="137">
        <v>46154.426144351848</v>
      </c>
      <c r="B859" s="12" t="s">
        <v>688</v>
      </c>
      <c r="D859" s="12" t="s">
        <v>45</v>
      </c>
      <c r="E859" s="138">
        <v>35712</v>
      </c>
      <c r="F859" s="12" t="s">
        <v>64</v>
      </c>
      <c r="G859" s="12" t="s">
        <v>3894</v>
      </c>
      <c r="H859" s="12" t="s">
        <v>90</v>
      </c>
      <c r="I859" s="6" t="str">
        <f>VLOOKUP(CLEAN(F859),'World Bank Categories'!$B$4:$C$220,2,FALSE)</f>
        <v>Middle income</v>
      </c>
      <c r="J859" s="12" t="s">
        <v>690</v>
      </c>
      <c r="K859" s="12" t="s">
        <v>29</v>
      </c>
      <c r="L859" s="12" t="s">
        <v>30</v>
      </c>
      <c r="P859" s="12" t="s">
        <v>31</v>
      </c>
      <c r="Q859" s="205" t="s">
        <v>32</v>
      </c>
      <c r="R859" s="141" t="s">
        <v>33</v>
      </c>
      <c r="S859" s="206" t="s">
        <v>691</v>
      </c>
      <c r="T859" s="207">
        <v>35712</v>
      </c>
      <c r="U859" s="206" t="s">
        <v>690</v>
      </c>
      <c r="V859" s="208" t="s">
        <v>3895</v>
      </c>
      <c r="W859" s="209">
        <v>719335</v>
      </c>
    </row>
    <row r="860" spans="1:23" ht="22.5" customHeight="1">
      <c r="A860" s="137">
        <v>46154.659780254631</v>
      </c>
      <c r="B860" s="12" t="s">
        <v>3896</v>
      </c>
      <c r="D860" s="12" t="s">
        <v>45</v>
      </c>
      <c r="E860" s="138">
        <v>36011</v>
      </c>
      <c r="F860" s="12" t="s">
        <v>980</v>
      </c>
      <c r="G860" s="12" t="s">
        <v>3897</v>
      </c>
      <c r="H860" s="12" t="s">
        <v>111</v>
      </c>
      <c r="I860" s="6" t="str">
        <f>VLOOKUP(CLEAN(F860),'World Bank Categories'!$B$4:$C$220,2,FALSE)</f>
        <v>Middle income</v>
      </c>
      <c r="J860" s="12" t="s">
        <v>3898</v>
      </c>
      <c r="K860" s="12" t="s">
        <v>39</v>
      </c>
      <c r="L860" s="12" t="s">
        <v>621</v>
      </c>
      <c r="P860" s="12" t="s">
        <v>31</v>
      </c>
      <c r="Q860" s="205" t="s">
        <v>32</v>
      </c>
      <c r="R860" s="141" t="s">
        <v>33</v>
      </c>
      <c r="S860" s="206" t="s">
        <v>3899</v>
      </c>
      <c r="T860" s="207">
        <v>32359</v>
      </c>
      <c r="U860" s="206" t="s">
        <v>3898</v>
      </c>
      <c r="V860" s="208" t="s">
        <v>3900</v>
      </c>
      <c r="W860" s="209">
        <v>720714</v>
      </c>
    </row>
    <row r="861" spans="1:23" ht="22.5" customHeight="1">
      <c r="A861" s="137">
        <v>46154.751376875</v>
      </c>
      <c r="B861" s="12" t="s">
        <v>2994</v>
      </c>
      <c r="D861" s="12" t="s">
        <v>45</v>
      </c>
      <c r="E861" s="138">
        <v>38488</v>
      </c>
      <c r="F861" s="12" t="s">
        <v>232</v>
      </c>
      <c r="G861" s="12" t="s">
        <v>3901</v>
      </c>
      <c r="H861" s="12" t="s">
        <v>66</v>
      </c>
      <c r="I861" s="6" t="str">
        <f>VLOOKUP(CLEAN(F861),'World Bank Categories'!$B$4:$C$220,2,FALSE)</f>
        <v>Middle income</v>
      </c>
      <c r="J861" s="12" t="s">
        <v>2997</v>
      </c>
      <c r="K861" s="12" t="s">
        <v>39</v>
      </c>
      <c r="L861" s="12" t="s">
        <v>162</v>
      </c>
      <c r="P861" s="12" t="s">
        <v>31</v>
      </c>
      <c r="Q861" s="205" t="s">
        <v>32</v>
      </c>
      <c r="R861" s="141"/>
      <c r="S861" s="206" t="s">
        <v>2998</v>
      </c>
      <c r="T861" s="207">
        <v>38488</v>
      </c>
      <c r="U861" s="206" t="s">
        <v>2997</v>
      </c>
      <c r="V861" s="208" t="s">
        <v>3902</v>
      </c>
      <c r="W861" s="209">
        <v>720724</v>
      </c>
    </row>
    <row r="862" spans="1:23" ht="22.5" customHeight="1">
      <c r="A862" s="137">
        <v>46154.861963472227</v>
      </c>
      <c r="B862" s="12" t="s">
        <v>1823</v>
      </c>
      <c r="D862" s="12" t="s">
        <v>45</v>
      </c>
      <c r="E862" s="138">
        <v>34163</v>
      </c>
      <c r="F862" s="12" t="s">
        <v>198</v>
      </c>
      <c r="G862" s="12" t="s">
        <v>3903</v>
      </c>
      <c r="H862" s="12" t="s">
        <v>111</v>
      </c>
      <c r="I862" s="6" t="str">
        <f>VLOOKUP(CLEAN(F862),'World Bank Categories'!$B$4:$C$220,2,FALSE)</f>
        <v>Middle income</v>
      </c>
      <c r="J862" s="12" t="s">
        <v>1822</v>
      </c>
      <c r="K862" s="12" t="s">
        <v>29</v>
      </c>
      <c r="L862" s="12" t="s">
        <v>30</v>
      </c>
      <c r="P862" s="12" t="s">
        <v>31</v>
      </c>
      <c r="Q862" s="205" t="s">
        <v>32</v>
      </c>
      <c r="R862" s="141" t="s">
        <v>33</v>
      </c>
      <c r="S862" s="206" t="s">
        <v>1823</v>
      </c>
      <c r="T862" s="207">
        <v>34163</v>
      </c>
      <c r="U862" s="206" t="s">
        <v>1822</v>
      </c>
      <c r="V862" s="208" t="s">
        <v>3904</v>
      </c>
      <c r="W862" s="209">
        <v>720754</v>
      </c>
    </row>
    <row r="863" spans="1:23" ht="22.5" customHeight="1">
      <c r="A863" s="137">
        <v>46154.914817523153</v>
      </c>
      <c r="B863" s="12" t="s">
        <v>3905</v>
      </c>
      <c r="D863" s="12" t="s">
        <v>24</v>
      </c>
      <c r="E863" s="138">
        <v>37378</v>
      </c>
      <c r="F863" s="12" t="s">
        <v>64</v>
      </c>
      <c r="G863" s="12" t="s">
        <v>3906</v>
      </c>
      <c r="H863" s="12" t="s">
        <v>1941</v>
      </c>
      <c r="I863" s="6" t="str">
        <f>VLOOKUP(CLEAN(F863),'World Bank Categories'!$B$4:$C$220,2,FALSE)</f>
        <v>Middle income</v>
      </c>
      <c r="J863" s="12" t="s">
        <v>1942</v>
      </c>
      <c r="K863" s="12" t="s">
        <v>29</v>
      </c>
      <c r="L863" s="12" t="s">
        <v>30</v>
      </c>
      <c r="P863" s="12" t="s">
        <v>31</v>
      </c>
      <c r="Q863" s="205" t="s">
        <v>32</v>
      </c>
      <c r="R863" s="141" t="s">
        <v>33</v>
      </c>
      <c r="S863" s="206" t="s">
        <v>1943</v>
      </c>
      <c r="T863" s="207">
        <v>37378</v>
      </c>
      <c r="U863" s="206" t="s">
        <v>1942</v>
      </c>
      <c r="V863" s="208" t="s">
        <v>3907</v>
      </c>
      <c r="W863" s="209">
        <v>719869</v>
      </c>
    </row>
    <row r="864" spans="1:23" ht="22.5" customHeight="1">
      <c r="A864" s="137">
        <v>46154.934195497684</v>
      </c>
      <c r="B864" s="12" t="s">
        <v>3908</v>
      </c>
      <c r="D864" s="12" t="s">
        <v>24</v>
      </c>
      <c r="E864" s="138">
        <v>33018</v>
      </c>
      <c r="F864" s="12" t="s">
        <v>208</v>
      </c>
      <c r="G864" s="12" t="s">
        <v>3909</v>
      </c>
      <c r="H864" s="12" t="s">
        <v>90</v>
      </c>
      <c r="I864" s="6" t="str">
        <f>VLOOKUP(CLEAN(F864),'World Bank Categories'!$B$4:$C$220,2,FALSE)</f>
        <v>Low income</v>
      </c>
      <c r="J864" s="12" t="s">
        <v>3910</v>
      </c>
      <c r="K864" s="12" t="s">
        <v>39</v>
      </c>
      <c r="L864" s="12" t="s">
        <v>30</v>
      </c>
      <c r="P864" s="12" t="s">
        <v>31</v>
      </c>
      <c r="Q864" s="205" t="s">
        <v>32</v>
      </c>
      <c r="R864" s="141"/>
      <c r="S864" s="206" t="s">
        <v>3911</v>
      </c>
      <c r="T864" s="207">
        <v>33018</v>
      </c>
      <c r="U864" s="206" t="s">
        <v>3910</v>
      </c>
      <c r="V864" s="208" t="s">
        <v>3912</v>
      </c>
      <c r="W864" s="209">
        <v>724941</v>
      </c>
    </row>
    <row r="865" spans="1:23" ht="22.5" customHeight="1">
      <c r="A865" s="137">
        <v>46155.128391377315</v>
      </c>
      <c r="B865" s="12" t="s">
        <v>3913</v>
      </c>
      <c r="D865" s="12" t="s">
        <v>24</v>
      </c>
      <c r="E865" s="138">
        <v>36754</v>
      </c>
      <c r="F865" s="12" t="s">
        <v>416</v>
      </c>
      <c r="G865" s="12" t="s">
        <v>2861</v>
      </c>
      <c r="H865" s="12" t="s">
        <v>3914</v>
      </c>
      <c r="I865" s="6" t="str">
        <f>VLOOKUP(CLEAN(F865),'World Bank Categories'!$B$4:$C$220,2,FALSE)</f>
        <v>Middle income</v>
      </c>
      <c r="J865" s="12" t="s">
        <v>2060</v>
      </c>
      <c r="K865" s="12" t="s">
        <v>1042</v>
      </c>
      <c r="L865" s="12" t="s">
        <v>30</v>
      </c>
      <c r="M865" s="12" t="s">
        <v>3915</v>
      </c>
      <c r="P865" s="12" t="s">
        <v>31</v>
      </c>
      <c r="Q865" s="205" t="s">
        <v>32</v>
      </c>
      <c r="R865" s="141"/>
      <c r="S865" s="206" t="s">
        <v>3916</v>
      </c>
      <c r="T865" s="207">
        <v>36754</v>
      </c>
      <c r="U865" s="206" t="s">
        <v>2060</v>
      </c>
      <c r="V865" s="208" t="s">
        <v>3917</v>
      </c>
      <c r="W865" s="209">
        <v>724997</v>
      </c>
    </row>
    <row r="866" spans="1:23" ht="22.5" customHeight="1">
      <c r="A866" s="137">
        <v>46155.362145624997</v>
      </c>
      <c r="B866" s="12" t="s">
        <v>3918</v>
      </c>
      <c r="C866" s="12" t="s">
        <v>3919</v>
      </c>
      <c r="D866" s="12" t="s">
        <v>24</v>
      </c>
      <c r="E866" s="138">
        <v>38355</v>
      </c>
      <c r="F866" s="12" t="s">
        <v>1053</v>
      </c>
      <c r="G866" s="12" t="s">
        <v>3920</v>
      </c>
      <c r="H866" s="12" t="s">
        <v>3921</v>
      </c>
      <c r="I866" s="6" t="str">
        <f>VLOOKUP(CLEAN(F866),'World Bank Categories'!$B$4:$C$220,2,FALSE)</f>
        <v>High income</v>
      </c>
      <c r="J866" s="12" t="s">
        <v>3922</v>
      </c>
      <c r="K866" s="12" t="s">
        <v>39</v>
      </c>
      <c r="L866" s="12" t="s">
        <v>621</v>
      </c>
      <c r="P866" s="12" t="s">
        <v>31</v>
      </c>
      <c r="Q866" s="205" t="s">
        <v>32</v>
      </c>
      <c r="R866" s="141" t="s">
        <v>43</v>
      </c>
      <c r="S866" s="206" t="s">
        <v>3918</v>
      </c>
      <c r="T866" s="207">
        <v>38355</v>
      </c>
      <c r="U866" s="206" t="s">
        <v>3922</v>
      </c>
      <c r="V866" s="208" t="s">
        <v>3923</v>
      </c>
      <c r="W866" s="209">
        <v>722459</v>
      </c>
    </row>
    <row r="867" spans="1:23" ht="22.5" customHeight="1">
      <c r="A867" s="137">
        <v>46155.380244571759</v>
      </c>
      <c r="B867" s="12" t="s">
        <v>3924</v>
      </c>
      <c r="C867" s="12" t="s">
        <v>3925</v>
      </c>
      <c r="D867" s="12" t="s">
        <v>24</v>
      </c>
      <c r="E867" s="138">
        <v>38648</v>
      </c>
      <c r="F867" s="12" t="s">
        <v>1053</v>
      </c>
      <c r="G867" s="12" t="s">
        <v>3926</v>
      </c>
      <c r="H867" s="12" t="s">
        <v>66</v>
      </c>
      <c r="I867" s="6" t="str">
        <f>VLOOKUP(CLEAN(F867),'World Bank Categories'!$B$4:$C$220,2,FALSE)</f>
        <v>High income</v>
      </c>
      <c r="J867" s="12" t="s">
        <v>3927</v>
      </c>
      <c r="K867" s="12" t="s">
        <v>29</v>
      </c>
      <c r="L867" s="12" t="s">
        <v>162</v>
      </c>
      <c r="P867" s="12" t="s">
        <v>31</v>
      </c>
      <c r="Q867" s="205" t="s">
        <v>32</v>
      </c>
      <c r="R867" s="141" t="s">
        <v>43</v>
      </c>
      <c r="S867" s="206" t="s">
        <v>3928</v>
      </c>
      <c r="T867" s="207">
        <v>38648</v>
      </c>
      <c r="U867" s="206" t="s">
        <v>3927</v>
      </c>
      <c r="V867" s="208" t="s">
        <v>3929</v>
      </c>
      <c r="W867" s="209">
        <v>721804</v>
      </c>
    </row>
    <row r="868" spans="1:23" ht="22.5" customHeight="1">
      <c r="A868" s="137">
        <v>46155.542550439815</v>
      </c>
      <c r="B868" s="12" t="s">
        <v>3786</v>
      </c>
      <c r="D868" s="12" t="s">
        <v>45</v>
      </c>
      <c r="E868" s="138">
        <v>37198</v>
      </c>
      <c r="F868" s="12" t="s">
        <v>416</v>
      </c>
      <c r="G868" s="12" t="s">
        <v>3930</v>
      </c>
      <c r="H868" s="12" t="s">
        <v>530</v>
      </c>
      <c r="I868" s="6" t="str">
        <f>VLOOKUP(CLEAN(F868),'World Bank Categories'!$B$4:$C$220,2,FALSE)</f>
        <v>Middle income</v>
      </c>
      <c r="J868" s="12" t="s">
        <v>3788</v>
      </c>
      <c r="K868" s="12" t="s">
        <v>39</v>
      </c>
      <c r="L868" s="12" t="s">
        <v>152</v>
      </c>
      <c r="P868" s="12" t="s">
        <v>31</v>
      </c>
      <c r="Q868" s="205" t="s">
        <v>32</v>
      </c>
      <c r="R868" s="141" t="s">
        <v>33</v>
      </c>
      <c r="S868" s="206" t="s">
        <v>3786</v>
      </c>
      <c r="T868" s="207">
        <v>37198</v>
      </c>
      <c r="U868" s="206" t="s">
        <v>3788</v>
      </c>
      <c r="V868" s="208" t="s">
        <v>3789</v>
      </c>
      <c r="W868" s="209">
        <v>723760</v>
      </c>
    </row>
    <row r="869" spans="1:23" ht="22.5" customHeight="1">
      <c r="A869" s="137">
        <v>46155.571707673611</v>
      </c>
      <c r="B869" s="12" t="s">
        <v>3931</v>
      </c>
      <c r="D869" s="12" t="s">
        <v>24</v>
      </c>
      <c r="E869" s="138">
        <v>37389</v>
      </c>
      <c r="F869" s="12" t="s">
        <v>416</v>
      </c>
      <c r="G869" s="12" t="s">
        <v>3873</v>
      </c>
      <c r="H869" s="12" t="s">
        <v>3932</v>
      </c>
      <c r="I869" s="6" t="str">
        <f>VLOOKUP(CLEAN(F869),'World Bank Categories'!$B$4:$C$220,2,FALSE)</f>
        <v>Middle income</v>
      </c>
      <c r="J869" s="12" t="s">
        <v>3874</v>
      </c>
      <c r="K869" s="12" t="s">
        <v>39</v>
      </c>
      <c r="L869" s="12" t="s">
        <v>162</v>
      </c>
      <c r="P869" s="12" t="s">
        <v>31</v>
      </c>
      <c r="Q869" s="205" t="s">
        <v>32</v>
      </c>
      <c r="R869" s="141" t="s">
        <v>33</v>
      </c>
      <c r="S869" s="206" t="s">
        <v>3875</v>
      </c>
      <c r="T869" s="207">
        <v>37385</v>
      </c>
      <c r="U869" s="206" t="s">
        <v>3874</v>
      </c>
      <c r="V869" s="208" t="s">
        <v>3933</v>
      </c>
      <c r="W869" s="209">
        <v>723763</v>
      </c>
    </row>
    <row r="870" spans="1:23" ht="22.5" customHeight="1">
      <c r="A870" s="218">
        <v>46155.224063946764</v>
      </c>
      <c r="B870" s="219" t="s">
        <v>352</v>
      </c>
      <c r="C870" s="221"/>
      <c r="D870" s="219" t="s">
        <v>24</v>
      </c>
      <c r="E870" s="220">
        <v>30328</v>
      </c>
      <c r="F870" s="219" t="s">
        <v>3934</v>
      </c>
      <c r="G870" s="219" t="s">
        <v>3935</v>
      </c>
      <c r="H870" s="219" t="s">
        <v>3936</v>
      </c>
      <c r="I870" s="219" t="s">
        <v>3598</v>
      </c>
      <c r="J870" s="219" t="s">
        <v>3937</v>
      </c>
      <c r="K870" s="219" t="s">
        <v>29</v>
      </c>
      <c r="L870" s="219" t="s">
        <v>30</v>
      </c>
      <c r="M870" s="219" t="s">
        <v>3938</v>
      </c>
      <c r="N870" s="219"/>
      <c r="O870" s="221"/>
      <c r="P870" s="221"/>
      <c r="Q870" s="213" t="s">
        <v>32</v>
      </c>
      <c r="R870" s="141" t="s">
        <v>33</v>
      </c>
      <c r="S870" s="206" t="s">
        <v>358</v>
      </c>
      <c r="T870" s="207">
        <v>30328</v>
      </c>
      <c r="U870" s="223" t="s">
        <v>355</v>
      </c>
      <c r="V870" s="224" t="s">
        <v>3939</v>
      </c>
      <c r="W870" s="209">
        <v>720001</v>
      </c>
    </row>
    <row r="871" spans="1:23" ht="22.5" customHeight="1">
      <c r="A871" s="137">
        <v>46156.598980324074</v>
      </c>
      <c r="B871" s="12" t="s">
        <v>3940</v>
      </c>
      <c r="D871" s="12" t="s">
        <v>24</v>
      </c>
      <c r="E871" s="138">
        <v>21981</v>
      </c>
      <c r="F871" s="12" t="s">
        <v>1063</v>
      </c>
      <c r="G871" s="12" t="s">
        <v>3941</v>
      </c>
      <c r="H871" s="12" t="s">
        <v>3942</v>
      </c>
      <c r="I871" s="6" t="str">
        <f>VLOOKUP(CLEAN(F871),'World Bank Categories'!$B$4:$C$220,2,FALSE)</f>
        <v>Middle income</v>
      </c>
      <c r="J871" s="12" t="s">
        <v>3943</v>
      </c>
      <c r="K871" s="12" t="s">
        <v>29</v>
      </c>
      <c r="L871" s="12" t="s">
        <v>30</v>
      </c>
      <c r="P871" s="12" t="s">
        <v>31</v>
      </c>
      <c r="Q871" s="205" t="s">
        <v>32</v>
      </c>
      <c r="R871" s="141" t="s">
        <v>33</v>
      </c>
      <c r="S871" s="206" t="s">
        <v>3940</v>
      </c>
      <c r="T871" s="207">
        <v>21981</v>
      </c>
      <c r="U871" s="206" t="s">
        <v>3944</v>
      </c>
      <c r="V871" s="208" t="s">
        <v>3945</v>
      </c>
      <c r="W871" s="209">
        <v>719802</v>
      </c>
    </row>
    <row r="872" spans="1:23" ht="22.5" customHeight="1">
      <c r="A872" s="137">
        <v>46157.041112210645</v>
      </c>
      <c r="B872" s="12" t="s">
        <v>3946</v>
      </c>
      <c r="D872" s="12" t="s">
        <v>24</v>
      </c>
      <c r="E872" s="138">
        <v>23332</v>
      </c>
      <c r="F872" s="12" t="s">
        <v>2246</v>
      </c>
      <c r="G872" s="12" t="s">
        <v>3947</v>
      </c>
      <c r="H872" s="12" t="s">
        <v>3948</v>
      </c>
      <c r="I872" s="6" t="str">
        <f>VLOOKUP(CLEAN(F872),'World Bank Categories'!$B$4:$C$220,2,FALSE)</f>
        <v>High income</v>
      </c>
      <c r="J872" s="12" t="s">
        <v>3949</v>
      </c>
      <c r="K872" s="12" t="s">
        <v>29</v>
      </c>
      <c r="L872" s="12" t="s">
        <v>30</v>
      </c>
      <c r="P872" s="12" t="s">
        <v>31</v>
      </c>
      <c r="Q872" s="205" t="s">
        <v>32</v>
      </c>
      <c r="R872" s="141" t="s">
        <v>43</v>
      </c>
      <c r="S872" s="206" t="s">
        <v>3950</v>
      </c>
      <c r="T872" s="207">
        <v>23332</v>
      </c>
      <c r="U872" s="206" t="s">
        <v>3949</v>
      </c>
      <c r="V872" s="208" t="s">
        <v>3951</v>
      </c>
      <c r="W872" s="209">
        <v>722681</v>
      </c>
    </row>
    <row r="873" spans="1:23" ht="22.5" customHeight="1">
      <c r="A873" s="80">
        <v>46157.944152592594</v>
      </c>
      <c r="B873" s="81" t="s">
        <v>3952</v>
      </c>
      <c r="C873" s="82"/>
      <c r="D873" s="81" t="s">
        <v>24</v>
      </c>
      <c r="E873" s="83">
        <v>33144</v>
      </c>
      <c r="F873" s="81" t="s">
        <v>3953</v>
      </c>
      <c r="G873" s="81" t="s">
        <v>3954</v>
      </c>
      <c r="H873" s="81" t="s">
        <v>3955</v>
      </c>
      <c r="I873" s="81" t="s">
        <v>3598</v>
      </c>
      <c r="J873" s="81" t="s">
        <v>3956</v>
      </c>
      <c r="K873" s="81" t="s">
        <v>29</v>
      </c>
      <c r="L873" s="81" t="s">
        <v>30</v>
      </c>
      <c r="M873" s="81"/>
      <c r="N873" s="81"/>
      <c r="O873" s="82"/>
      <c r="P873" s="82"/>
      <c r="Q873" s="213" t="s">
        <v>32</v>
      </c>
      <c r="R873" s="141"/>
      <c r="S873" s="206" t="s">
        <v>3957</v>
      </c>
      <c r="T873" s="207">
        <v>33144</v>
      </c>
      <c r="U873" s="223" t="s">
        <v>3956</v>
      </c>
      <c r="V873" s="224" t="s">
        <v>3958</v>
      </c>
      <c r="W873" s="209">
        <v>725032</v>
      </c>
    </row>
    <row r="874" spans="1:23" ht="22.5" customHeight="1">
      <c r="A874" s="137">
        <v>46158.812273194446</v>
      </c>
      <c r="B874" s="12" t="s">
        <v>2537</v>
      </c>
      <c r="D874" s="12" t="s">
        <v>45</v>
      </c>
      <c r="E874" s="138">
        <v>36879</v>
      </c>
      <c r="F874" s="12" t="s">
        <v>52</v>
      </c>
      <c r="G874" s="12" t="s">
        <v>3959</v>
      </c>
      <c r="H874" s="12" t="s">
        <v>66</v>
      </c>
      <c r="I874" s="6" t="str">
        <f>VLOOKUP(CLEAN(F874),'World Bank Categories'!$B$4:$C$220,2,FALSE)</f>
        <v>Middle income</v>
      </c>
      <c r="J874" s="12" t="s">
        <v>3960</v>
      </c>
      <c r="K874" s="12" t="s">
        <v>29</v>
      </c>
      <c r="L874" s="12" t="s">
        <v>30</v>
      </c>
      <c r="P874" s="12" t="s">
        <v>31</v>
      </c>
      <c r="Q874" s="205" t="s">
        <v>32</v>
      </c>
      <c r="R874" s="141" t="s">
        <v>33</v>
      </c>
      <c r="S874" s="206" t="s">
        <v>2537</v>
      </c>
      <c r="T874" s="207">
        <v>36879</v>
      </c>
      <c r="U874" s="206" t="s">
        <v>2536</v>
      </c>
      <c r="V874" s="208" t="s">
        <v>3961</v>
      </c>
      <c r="W874" s="209">
        <v>719235</v>
      </c>
    </row>
    <row r="875" spans="1:23" ht="22.5" customHeight="1">
      <c r="A875" s="137">
        <v>46158.939807037037</v>
      </c>
      <c r="B875" s="12" t="s">
        <v>3962</v>
      </c>
      <c r="C875" s="12" t="s">
        <v>3963</v>
      </c>
      <c r="D875" s="12" t="s">
        <v>45</v>
      </c>
      <c r="E875" s="138">
        <v>36998</v>
      </c>
      <c r="F875" s="12" t="s">
        <v>1053</v>
      </c>
      <c r="G875" s="12" t="s">
        <v>3964</v>
      </c>
      <c r="H875" s="12" t="s">
        <v>66</v>
      </c>
      <c r="I875" s="6" t="str">
        <f>VLOOKUP(CLEAN(F875),'World Bank Categories'!$B$4:$C$220,2,FALSE)</f>
        <v>High income</v>
      </c>
      <c r="J875" s="12" t="s">
        <v>3965</v>
      </c>
      <c r="K875" s="12" t="s">
        <v>39</v>
      </c>
      <c r="L875" s="12" t="s">
        <v>1991</v>
      </c>
      <c r="P875" s="12" t="s">
        <v>31</v>
      </c>
      <c r="Q875" s="205" t="s">
        <v>32</v>
      </c>
      <c r="R875" s="141" t="s">
        <v>43</v>
      </c>
      <c r="S875" s="206" t="s">
        <v>3966</v>
      </c>
      <c r="T875" s="207">
        <v>36998</v>
      </c>
      <c r="U875" s="206" t="s">
        <v>3965</v>
      </c>
      <c r="V875" s="208" t="s">
        <v>3967</v>
      </c>
      <c r="W875" s="209">
        <v>723249</v>
      </c>
    </row>
    <row r="876" spans="1:23" ht="22.5" customHeight="1">
      <c r="A876" s="137">
        <v>46159.040533692125</v>
      </c>
      <c r="B876" s="12" t="s">
        <v>3968</v>
      </c>
      <c r="D876" s="12" t="s">
        <v>24</v>
      </c>
      <c r="E876" s="138">
        <v>36811</v>
      </c>
      <c r="F876" s="12" t="s">
        <v>52</v>
      </c>
      <c r="G876" s="12" t="s">
        <v>3969</v>
      </c>
      <c r="H876" s="12" t="s">
        <v>3970</v>
      </c>
      <c r="I876" s="6" t="str">
        <f>VLOOKUP(CLEAN(F876),'World Bank Categories'!$B$4:$C$220,2,FALSE)</f>
        <v>Middle income</v>
      </c>
      <c r="J876" s="12" t="s">
        <v>3971</v>
      </c>
      <c r="K876" s="12" t="s">
        <v>29</v>
      </c>
      <c r="L876" s="12" t="s">
        <v>30</v>
      </c>
      <c r="P876" s="12" t="s">
        <v>31</v>
      </c>
      <c r="Q876" s="205" t="s">
        <v>32</v>
      </c>
      <c r="R876" s="141"/>
      <c r="S876" s="206" t="s">
        <v>3972</v>
      </c>
      <c r="T876" s="207">
        <v>36811</v>
      </c>
      <c r="U876" s="206" t="s">
        <v>3971</v>
      </c>
      <c r="V876" s="208" t="s">
        <v>3973</v>
      </c>
      <c r="W876" s="209">
        <v>725296</v>
      </c>
    </row>
    <row r="877" spans="1:23" ht="22.5" customHeight="1">
      <c r="A877" s="137">
        <v>46159.502692916663</v>
      </c>
      <c r="B877" s="12" t="s">
        <v>3974</v>
      </c>
      <c r="D877" s="12" t="s">
        <v>45</v>
      </c>
      <c r="E877" s="138">
        <v>37591</v>
      </c>
      <c r="F877" s="12" t="s">
        <v>52</v>
      </c>
      <c r="G877" s="12" t="s">
        <v>3975</v>
      </c>
      <c r="H877" s="12" t="s">
        <v>3042</v>
      </c>
      <c r="I877" s="6" t="str">
        <f>VLOOKUP(CLEAN(F877),'World Bank Categories'!$B$4:$C$220,2,FALSE)</f>
        <v>Middle income</v>
      </c>
      <c r="J877" s="12" t="s">
        <v>1046</v>
      </c>
      <c r="K877" s="12" t="s">
        <v>29</v>
      </c>
      <c r="L877" s="12" t="s">
        <v>30</v>
      </c>
      <c r="P877" s="12" t="s">
        <v>31</v>
      </c>
      <c r="Q877" s="205" t="s">
        <v>32</v>
      </c>
      <c r="R877" s="141"/>
      <c r="S877" s="206" t="s">
        <v>1047</v>
      </c>
      <c r="T877" s="207">
        <v>37591</v>
      </c>
      <c r="U877" s="206" t="s">
        <v>1046</v>
      </c>
      <c r="V877" s="208" t="s">
        <v>3976</v>
      </c>
      <c r="W877" s="209">
        <v>719596</v>
      </c>
    </row>
    <row r="878" spans="1:23" ht="22.5" customHeight="1">
      <c r="A878" s="137">
        <v>46159.986766365742</v>
      </c>
      <c r="B878" s="12" t="s">
        <v>3977</v>
      </c>
      <c r="D878" s="12" t="s">
        <v>24</v>
      </c>
      <c r="E878" s="138">
        <v>30127</v>
      </c>
      <c r="F878" s="12" t="s">
        <v>332</v>
      </c>
      <c r="G878" s="12" t="s">
        <v>3978</v>
      </c>
      <c r="H878" s="12" t="s">
        <v>3979</v>
      </c>
      <c r="I878" s="6" t="str">
        <f>VLOOKUP(CLEAN(F878),'World Bank Categories'!$B$4:$C$220,2,FALSE)</f>
        <v>High income</v>
      </c>
      <c r="J878" s="12" t="s">
        <v>3980</v>
      </c>
      <c r="K878" s="12" t="s">
        <v>29</v>
      </c>
      <c r="L878" s="12" t="s">
        <v>30</v>
      </c>
      <c r="P878" s="12" t="s">
        <v>31</v>
      </c>
      <c r="Q878" s="205" t="s">
        <v>32</v>
      </c>
      <c r="R878" s="141" t="s">
        <v>43</v>
      </c>
      <c r="S878" s="206" t="s">
        <v>3981</v>
      </c>
      <c r="T878" s="207">
        <v>30127</v>
      </c>
      <c r="U878" s="206" t="s">
        <v>3980</v>
      </c>
      <c r="V878" s="208" t="s">
        <v>3982</v>
      </c>
      <c r="W878" s="209">
        <v>722237</v>
      </c>
    </row>
    <row r="879" spans="1:23" ht="22.5" customHeight="1">
      <c r="A879" s="137">
        <v>46160.113226620371</v>
      </c>
      <c r="B879" s="12" t="s">
        <v>3983</v>
      </c>
      <c r="C879" s="12" t="s">
        <v>3983</v>
      </c>
      <c r="D879" s="12" t="s">
        <v>24</v>
      </c>
      <c r="E879" s="138">
        <v>38085</v>
      </c>
      <c r="F879" s="12" t="s">
        <v>232</v>
      </c>
      <c r="G879" s="12" t="s">
        <v>1922</v>
      </c>
      <c r="H879" s="12" t="s">
        <v>3984</v>
      </c>
      <c r="I879" s="6" t="str">
        <f>VLOOKUP(CLEAN(F879),'World Bank Categories'!$B$4:$C$220,2,FALSE)</f>
        <v>Middle income</v>
      </c>
      <c r="J879" s="12" t="s">
        <v>3985</v>
      </c>
      <c r="K879" s="12" t="s">
        <v>29</v>
      </c>
      <c r="L879" s="12" t="s">
        <v>30</v>
      </c>
      <c r="P879" s="12" t="s">
        <v>31</v>
      </c>
      <c r="Q879" s="205" t="s">
        <v>32</v>
      </c>
      <c r="R879" s="141" t="s">
        <v>33</v>
      </c>
      <c r="S879" s="206" t="s">
        <v>3983</v>
      </c>
      <c r="T879" s="207">
        <v>38085</v>
      </c>
      <c r="U879" s="206" t="s">
        <v>3985</v>
      </c>
      <c r="V879" s="208" t="s">
        <v>3986</v>
      </c>
      <c r="W879" s="209">
        <v>724944</v>
      </c>
    </row>
    <row r="880" spans="1:23" ht="22.5" customHeight="1">
      <c r="A880" s="137">
        <v>46160.658810787034</v>
      </c>
      <c r="B880" s="12" t="s">
        <v>3987</v>
      </c>
      <c r="D880" s="12" t="s">
        <v>24</v>
      </c>
      <c r="E880" s="138">
        <v>36333</v>
      </c>
      <c r="F880" s="12" t="s">
        <v>52</v>
      </c>
      <c r="G880" s="12" t="s">
        <v>3988</v>
      </c>
      <c r="H880" s="12" t="s">
        <v>3989</v>
      </c>
      <c r="I880" s="6" t="str">
        <f>VLOOKUP(CLEAN(F880),'World Bank Categories'!$B$4:$C$220,2,FALSE)</f>
        <v>Middle income</v>
      </c>
      <c r="J880" s="12" t="s">
        <v>1284</v>
      </c>
      <c r="K880" s="12" t="s">
        <v>29</v>
      </c>
      <c r="L880" s="12" t="s">
        <v>30</v>
      </c>
      <c r="P880" s="12" t="s">
        <v>31</v>
      </c>
      <c r="Q880" s="205" t="s">
        <v>32</v>
      </c>
      <c r="R880" s="141" t="s">
        <v>43</v>
      </c>
      <c r="S880" s="206" t="s">
        <v>1285</v>
      </c>
      <c r="T880" s="207">
        <v>36333</v>
      </c>
      <c r="U880" s="206" t="s">
        <v>1284</v>
      </c>
      <c r="V880" s="208" t="s">
        <v>3990</v>
      </c>
      <c r="W880" s="209">
        <v>719603</v>
      </c>
    </row>
    <row r="881" spans="1:23" ht="22.5" customHeight="1">
      <c r="A881" s="137">
        <v>46160.915395949072</v>
      </c>
      <c r="B881" s="12" t="s">
        <v>3991</v>
      </c>
      <c r="C881" s="12" t="s">
        <v>3992</v>
      </c>
      <c r="D881" s="12" t="s">
        <v>45</v>
      </c>
      <c r="E881" s="138">
        <v>35760</v>
      </c>
      <c r="F881" s="12" t="s">
        <v>2246</v>
      </c>
      <c r="G881" s="12" t="s">
        <v>3993</v>
      </c>
      <c r="H881" s="12" t="s">
        <v>3994</v>
      </c>
      <c r="I881" s="6" t="str">
        <f>VLOOKUP(CLEAN(F881),'World Bank Categories'!$B$4:$C$220,2,FALSE)</f>
        <v>High income</v>
      </c>
      <c r="J881" s="12" t="s">
        <v>3995</v>
      </c>
      <c r="K881" s="12" t="s">
        <v>39</v>
      </c>
      <c r="L881" s="12" t="s">
        <v>162</v>
      </c>
      <c r="P881" s="12" t="s">
        <v>31</v>
      </c>
      <c r="Q881" s="205" t="s">
        <v>32</v>
      </c>
      <c r="R881" s="141" t="s">
        <v>43</v>
      </c>
      <c r="S881" s="206" t="s">
        <v>3996</v>
      </c>
      <c r="T881" s="207">
        <v>35760</v>
      </c>
      <c r="U881" s="206" t="s">
        <v>3995</v>
      </c>
      <c r="V881" s="208" t="s">
        <v>3997</v>
      </c>
      <c r="W881" s="209">
        <v>722676</v>
      </c>
    </row>
    <row r="882" spans="1:23" ht="22.5" customHeight="1">
      <c r="A882" s="137">
        <v>46160.958169351856</v>
      </c>
      <c r="B882" s="12" t="s">
        <v>3998</v>
      </c>
      <c r="C882" s="12" t="s">
        <v>3999</v>
      </c>
      <c r="D882" s="12" t="s">
        <v>24</v>
      </c>
      <c r="E882" s="138">
        <v>33127</v>
      </c>
      <c r="F882" s="12" t="s">
        <v>623</v>
      </c>
      <c r="G882" s="12" t="s">
        <v>4000</v>
      </c>
      <c r="H882" s="12" t="s">
        <v>4001</v>
      </c>
      <c r="I882" s="6" t="str">
        <f>VLOOKUP(CLEAN(F882),'World Bank Categories'!$B$4:$C$220,2,FALSE)</f>
        <v>Middle income</v>
      </c>
      <c r="J882" s="12" t="s">
        <v>4002</v>
      </c>
      <c r="K882" s="12" t="s">
        <v>39</v>
      </c>
      <c r="L882" s="12" t="s">
        <v>30</v>
      </c>
      <c r="P882" s="12" t="s">
        <v>31</v>
      </c>
      <c r="Q882" s="205" t="s">
        <v>32</v>
      </c>
      <c r="R882" s="141"/>
      <c r="S882" s="206" t="s">
        <v>4003</v>
      </c>
      <c r="T882" s="207">
        <v>33127</v>
      </c>
      <c r="U882" s="206" t="s">
        <v>4002</v>
      </c>
      <c r="V882" s="208" t="s">
        <v>4004</v>
      </c>
      <c r="W882" s="209">
        <v>725355</v>
      </c>
    </row>
    <row r="883" spans="1:23" ht="22.5" customHeight="1">
      <c r="A883" s="137">
        <v>46161.035737175931</v>
      </c>
      <c r="B883" s="12" t="s">
        <v>4005</v>
      </c>
      <c r="C883" s="12" t="s">
        <v>4006</v>
      </c>
      <c r="D883" s="12" t="s">
        <v>24</v>
      </c>
      <c r="E883" s="138">
        <v>24631</v>
      </c>
      <c r="F883" s="12" t="s">
        <v>4007</v>
      </c>
      <c r="G883" s="12" t="s">
        <v>4008</v>
      </c>
      <c r="H883" s="12" t="s">
        <v>186</v>
      </c>
      <c r="I883" s="6" t="str">
        <f>VLOOKUP(CLEAN(F883),'World Bank Categories'!$B$4:$C$220,2,FALSE)</f>
        <v>High income</v>
      </c>
      <c r="J883" s="12" t="s">
        <v>3523</v>
      </c>
      <c r="K883" s="12" t="s">
        <v>29</v>
      </c>
      <c r="L883" s="12" t="s">
        <v>152</v>
      </c>
      <c r="P883" s="12" t="s">
        <v>31</v>
      </c>
      <c r="Q883" s="205" t="s">
        <v>32</v>
      </c>
      <c r="R883" s="141"/>
      <c r="S883" s="206" t="s">
        <v>3524</v>
      </c>
      <c r="T883" s="207">
        <v>24631</v>
      </c>
      <c r="U883" s="206" t="s">
        <v>3523</v>
      </c>
      <c r="V883" s="208" t="s">
        <v>4009</v>
      </c>
      <c r="W883" s="209">
        <v>720761</v>
      </c>
    </row>
    <row r="884" spans="1:23" ht="22.5" customHeight="1">
      <c r="A884" s="137">
        <v>46161.087917870369</v>
      </c>
      <c r="B884" s="12" t="s">
        <v>321</v>
      </c>
      <c r="D884" s="12" t="s">
        <v>45</v>
      </c>
      <c r="E884" s="138">
        <v>35302</v>
      </c>
      <c r="F884" s="12" t="s">
        <v>58</v>
      </c>
      <c r="G884" s="12" t="s">
        <v>4010</v>
      </c>
      <c r="H884" s="12" t="s">
        <v>138</v>
      </c>
      <c r="I884" s="6" t="str">
        <f>VLOOKUP(CLEAN(F884),'World Bank Categories'!$B$4:$C$220,2,FALSE)</f>
        <v>Middle income</v>
      </c>
      <c r="J884" s="12" t="s">
        <v>325</v>
      </c>
      <c r="K884" s="12" t="s">
        <v>29</v>
      </c>
      <c r="L884" s="12" t="s">
        <v>30</v>
      </c>
      <c r="P884" s="12" t="s">
        <v>31</v>
      </c>
      <c r="Q884" s="205" t="s">
        <v>32</v>
      </c>
      <c r="R884" s="141" t="s">
        <v>33</v>
      </c>
      <c r="S884" s="206" t="s">
        <v>326</v>
      </c>
      <c r="T884" s="207">
        <v>35302</v>
      </c>
      <c r="U884" s="206" t="s">
        <v>325</v>
      </c>
      <c r="V884" s="208" t="s">
        <v>4011</v>
      </c>
      <c r="W884" s="209">
        <v>720701</v>
      </c>
    </row>
    <row r="885" spans="1:23" ht="22.5" customHeight="1">
      <c r="A885" s="137">
        <v>46161.558946261575</v>
      </c>
      <c r="B885" s="12" t="s">
        <v>4012</v>
      </c>
      <c r="D885" s="12" t="s">
        <v>45</v>
      </c>
      <c r="E885" s="138">
        <v>30269</v>
      </c>
      <c r="F885" s="12" t="s">
        <v>1932</v>
      </c>
      <c r="G885" s="12" t="s">
        <v>4013</v>
      </c>
      <c r="H885" s="12" t="s">
        <v>4014</v>
      </c>
      <c r="I885" s="6" t="str">
        <f>VLOOKUP(CLEAN(F885),'World Bank Categories'!$B$4:$C$220,2,FALSE)</f>
        <v>Middle income</v>
      </c>
      <c r="J885" s="12" t="s">
        <v>2203</v>
      </c>
      <c r="K885" s="12" t="s">
        <v>39</v>
      </c>
      <c r="L885" s="12" t="s">
        <v>30</v>
      </c>
      <c r="P885" s="12" t="s">
        <v>31</v>
      </c>
      <c r="Q885" s="205" t="s">
        <v>32</v>
      </c>
      <c r="R885" s="141"/>
      <c r="S885" s="206" t="s">
        <v>2202</v>
      </c>
      <c r="T885" s="207">
        <v>30269</v>
      </c>
      <c r="U885" s="206" t="s">
        <v>2203</v>
      </c>
      <c r="V885" s="208" t="s">
        <v>4015</v>
      </c>
      <c r="W885" s="209">
        <v>722276</v>
      </c>
    </row>
    <row r="886" spans="1:23" ht="22.5" customHeight="1">
      <c r="A886" s="137">
        <v>46161.749358541667</v>
      </c>
      <c r="B886" s="12" t="s">
        <v>4016</v>
      </c>
      <c r="D886" s="12" t="s">
        <v>24</v>
      </c>
      <c r="E886" s="138">
        <v>37565</v>
      </c>
      <c r="F886" s="12" t="s">
        <v>612</v>
      </c>
      <c r="G886" s="12" t="s">
        <v>4017</v>
      </c>
      <c r="H886" s="12" t="s">
        <v>3198</v>
      </c>
      <c r="I886" s="6" t="str">
        <f>VLOOKUP(CLEAN(F886),'World Bank Categories'!$B$4:$C$220,2,FALSE)</f>
        <v>Low income</v>
      </c>
      <c r="J886" s="12" t="s">
        <v>3199</v>
      </c>
      <c r="K886" s="12" t="s">
        <v>29</v>
      </c>
      <c r="L886" s="12" t="s">
        <v>30</v>
      </c>
      <c r="P886" s="12" t="s">
        <v>31</v>
      </c>
      <c r="Q886" s="205" t="s">
        <v>32</v>
      </c>
      <c r="R886" s="141" t="s">
        <v>33</v>
      </c>
      <c r="S886" s="206" t="s">
        <v>3200</v>
      </c>
      <c r="T886" s="207">
        <v>37565</v>
      </c>
      <c r="U886" s="206" t="s">
        <v>3199</v>
      </c>
      <c r="V886" s="208" t="s">
        <v>4018</v>
      </c>
      <c r="W886" s="209">
        <v>719351</v>
      </c>
    </row>
    <row r="887" spans="1:23" ht="22.5" customHeight="1">
      <c r="A887" s="137">
        <v>46161.872398761574</v>
      </c>
      <c r="B887" s="12" t="s">
        <v>4019</v>
      </c>
      <c r="D887" s="12" t="s">
        <v>24</v>
      </c>
      <c r="E887" s="138">
        <v>20765</v>
      </c>
      <c r="F887" s="12" t="s">
        <v>2556</v>
      </c>
      <c r="G887" s="12" t="s">
        <v>4020</v>
      </c>
      <c r="H887" s="12" t="s">
        <v>3753</v>
      </c>
      <c r="I887" s="6" t="str">
        <f>VLOOKUP(CLEAN(F887),'World Bank Categories'!$B$4:$C$220,2,FALSE)</f>
        <v>Middle income</v>
      </c>
      <c r="J887" s="12" t="s">
        <v>2814</v>
      </c>
      <c r="K887" s="12" t="s">
        <v>39</v>
      </c>
      <c r="L887" s="12" t="s">
        <v>30</v>
      </c>
      <c r="P887" s="12" t="s">
        <v>31</v>
      </c>
      <c r="Q887" s="205" t="s">
        <v>32</v>
      </c>
      <c r="R887" s="141" t="s">
        <v>33</v>
      </c>
      <c r="S887" s="206" t="s">
        <v>2812</v>
      </c>
      <c r="T887" s="207">
        <v>20765</v>
      </c>
      <c r="U887" s="206" t="s">
        <v>2814</v>
      </c>
      <c r="V887" s="208" t="s">
        <v>4021</v>
      </c>
      <c r="W887" s="209">
        <v>720293</v>
      </c>
    </row>
    <row r="888" spans="1:23" ht="22.5" customHeight="1">
      <c r="A888" s="137">
        <v>46162.194620810187</v>
      </c>
      <c r="B888" s="12" t="s">
        <v>4022</v>
      </c>
      <c r="D888" s="12" t="s">
        <v>45</v>
      </c>
      <c r="E888" s="138">
        <v>34964</v>
      </c>
      <c r="F888" s="12" t="s">
        <v>799</v>
      </c>
      <c r="G888" s="12" t="s">
        <v>4023</v>
      </c>
      <c r="H888" s="12" t="s">
        <v>4024</v>
      </c>
      <c r="I888" s="6" t="str">
        <f>VLOOKUP(CLEAN(F888),'World Bank Categories'!$B$4:$C$220,2,FALSE)</f>
        <v>Low income</v>
      </c>
      <c r="J888" s="12" t="s">
        <v>1408</v>
      </c>
      <c r="K888" s="12" t="s">
        <v>29</v>
      </c>
      <c r="L888" s="143" t="s">
        <v>1168</v>
      </c>
      <c r="P888" s="12" t="s">
        <v>31</v>
      </c>
      <c r="Q888" s="205" t="s">
        <v>32</v>
      </c>
      <c r="R888" s="141" t="s">
        <v>33</v>
      </c>
      <c r="S888" s="206" t="s">
        <v>1405</v>
      </c>
      <c r="T888" s="207">
        <v>34964</v>
      </c>
      <c r="U888" s="206" t="s">
        <v>1408</v>
      </c>
      <c r="V888" s="208" t="s">
        <v>4025</v>
      </c>
      <c r="W888" s="209">
        <v>720272</v>
      </c>
    </row>
    <row r="889" spans="1:23" ht="22.5" customHeight="1">
      <c r="A889" s="137">
        <v>46162.314009618058</v>
      </c>
      <c r="B889" s="12" t="s">
        <v>3880</v>
      </c>
      <c r="D889" s="12" t="s">
        <v>45</v>
      </c>
      <c r="E889" s="138">
        <v>31693</v>
      </c>
      <c r="F889" s="12" t="s">
        <v>3881</v>
      </c>
      <c r="G889" s="12" t="s">
        <v>3882</v>
      </c>
      <c r="H889" s="12" t="s">
        <v>3883</v>
      </c>
      <c r="I889" s="6" t="str">
        <f>VLOOKUP(CLEAN(F889),'World Bank Categories'!$B$4:$C$220,2,FALSE)</f>
        <v>Middle income</v>
      </c>
      <c r="J889" s="12" t="s">
        <v>3884</v>
      </c>
      <c r="K889" s="12" t="s">
        <v>29</v>
      </c>
      <c r="L889" s="12" t="s">
        <v>30</v>
      </c>
      <c r="P889" s="12" t="s">
        <v>31</v>
      </c>
      <c r="Q889" s="205" t="s">
        <v>32</v>
      </c>
      <c r="R889" s="141" t="s">
        <v>33</v>
      </c>
      <c r="S889" s="206" t="s">
        <v>3885</v>
      </c>
      <c r="T889" s="207">
        <v>31693</v>
      </c>
      <c r="U889" s="206" t="s">
        <v>3884</v>
      </c>
      <c r="V889" s="208" t="s">
        <v>3886</v>
      </c>
      <c r="W889" s="209">
        <v>724953</v>
      </c>
    </row>
    <row r="890" spans="1:23" ht="22.5" customHeight="1">
      <c r="A890" s="137">
        <v>46162.354972141206</v>
      </c>
      <c r="B890" s="12" t="s">
        <v>4026</v>
      </c>
      <c r="D890" s="12" t="s">
        <v>45</v>
      </c>
      <c r="E890" s="138">
        <v>28245</v>
      </c>
      <c r="F890" s="12" t="s">
        <v>799</v>
      </c>
      <c r="G890" s="12" t="s">
        <v>4027</v>
      </c>
      <c r="H890" s="12" t="s">
        <v>111</v>
      </c>
      <c r="I890" s="6" t="str">
        <f>VLOOKUP(CLEAN(F890),'World Bank Categories'!$B$4:$C$220,2,FALSE)</f>
        <v>Low income</v>
      </c>
      <c r="J890" s="12" t="s">
        <v>4028</v>
      </c>
      <c r="K890" s="12" t="s">
        <v>29</v>
      </c>
      <c r="L890" s="12" t="s">
        <v>30</v>
      </c>
      <c r="P890" s="12" t="s">
        <v>31</v>
      </c>
      <c r="Q890" s="205" t="s">
        <v>32</v>
      </c>
      <c r="R890" s="141" t="s">
        <v>43</v>
      </c>
      <c r="S890" s="206" t="s">
        <v>4026</v>
      </c>
      <c r="T890" s="207">
        <v>28245</v>
      </c>
      <c r="U890" s="206" t="s">
        <v>4029</v>
      </c>
      <c r="V890" s="208" t="s">
        <v>4030</v>
      </c>
      <c r="W890" s="209">
        <v>721823</v>
      </c>
    </row>
    <row r="891" spans="1:23" ht="22.5" hidden="1" customHeight="1">
      <c r="Q891" s="225" t="s">
        <v>56</v>
      </c>
      <c r="R891" s="141"/>
      <c r="S891" s="206"/>
      <c r="T891" s="206"/>
      <c r="U891" s="206"/>
      <c r="V891" s="208" t="s">
        <v>3595</v>
      </c>
      <c r="W891" s="206"/>
    </row>
    <row r="892" spans="1:23" ht="22.5" customHeight="1">
      <c r="A892" s="137">
        <v>46162.374741701387</v>
      </c>
      <c r="B892" s="12" t="s">
        <v>4031</v>
      </c>
      <c r="D892" s="12" t="s">
        <v>45</v>
      </c>
      <c r="E892" s="138">
        <v>23854</v>
      </c>
      <c r="F892" s="12" t="s">
        <v>799</v>
      </c>
      <c r="G892" s="12" t="s">
        <v>4032</v>
      </c>
      <c r="H892" s="12" t="s">
        <v>4033</v>
      </c>
      <c r="I892" s="6" t="str">
        <f>VLOOKUP(CLEAN(F892),'World Bank Categories'!$B$4:$C$220,2,FALSE)</f>
        <v>Low income</v>
      </c>
      <c r="J892" s="12" t="s">
        <v>4034</v>
      </c>
      <c r="K892" s="12" t="s">
        <v>29</v>
      </c>
      <c r="L892" s="12" t="s">
        <v>30</v>
      </c>
      <c r="M892" s="12" t="s">
        <v>4035</v>
      </c>
      <c r="P892" s="12" t="s">
        <v>31</v>
      </c>
      <c r="Q892" s="205" t="s">
        <v>32</v>
      </c>
      <c r="R892" s="141" t="s">
        <v>43</v>
      </c>
      <c r="S892" s="206" t="s">
        <v>4036</v>
      </c>
      <c r="T892" s="207">
        <v>23854</v>
      </c>
      <c r="U892" s="206" t="s">
        <v>4034</v>
      </c>
      <c r="V892" s="208" t="s">
        <v>4037</v>
      </c>
      <c r="W892" s="209">
        <v>720010</v>
      </c>
    </row>
    <row r="893" spans="1:23" ht="22.5" customHeight="1">
      <c r="A893" s="137">
        <v>46162.658753356482</v>
      </c>
      <c r="B893" s="12" t="s">
        <v>4038</v>
      </c>
      <c r="D893" s="12" t="s">
        <v>24</v>
      </c>
      <c r="E893" s="138">
        <v>24517</v>
      </c>
      <c r="F893" s="12" t="s">
        <v>799</v>
      </c>
      <c r="G893" s="12" t="s">
        <v>4039</v>
      </c>
      <c r="H893" s="12" t="s">
        <v>1595</v>
      </c>
      <c r="I893" s="6" t="str">
        <f>VLOOKUP(CLEAN(F893),'World Bank Categories'!$B$4:$C$220,2,FALSE)</f>
        <v>Low income</v>
      </c>
      <c r="J893" s="12" t="s">
        <v>4040</v>
      </c>
      <c r="K893" s="12" t="s">
        <v>29</v>
      </c>
      <c r="L893" s="12" t="s">
        <v>30</v>
      </c>
      <c r="M893" s="12" t="s">
        <v>4041</v>
      </c>
      <c r="P893" s="12" t="s">
        <v>31</v>
      </c>
      <c r="Q893" s="205" t="s">
        <v>32</v>
      </c>
      <c r="R893" s="141" t="s">
        <v>43</v>
      </c>
      <c r="S893" s="206" t="s">
        <v>4042</v>
      </c>
      <c r="T893" s="207">
        <v>24820</v>
      </c>
      <c r="U893" s="206" t="s">
        <v>4040</v>
      </c>
      <c r="V893" s="208" t="s">
        <v>4043</v>
      </c>
      <c r="W893" s="209">
        <v>719941</v>
      </c>
    </row>
    <row r="894" spans="1:23" ht="22.5" customHeight="1">
      <c r="A894" s="210">
        <v>46162.852138263886</v>
      </c>
      <c r="B894" s="211" t="s">
        <v>4044</v>
      </c>
      <c r="C894" s="211"/>
      <c r="D894" s="211" t="s">
        <v>24</v>
      </c>
      <c r="E894" s="212">
        <v>28647</v>
      </c>
      <c r="F894" s="211" t="s">
        <v>2596</v>
      </c>
      <c r="G894" s="211" t="s">
        <v>4045</v>
      </c>
      <c r="H894" s="211" t="s">
        <v>4046</v>
      </c>
      <c r="I894" s="6" t="str">
        <f>VLOOKUP(CLEAN(F894),'World Bank Categories'!$B$4:$C$220,2,FALSE)</f>
        <v>Middle income</v>
      </c>
      <c r="J894" s="211" t="s">
        <v>3491</v>
      </c>
      <c r="K894" s="211" t="s">
        <v>39</v>
      </c>
      <c r="L894" s="211" t="s">
        <v>152</v>
      </c>
      <c r="M894" s="211" t="s">
        <v>4047</v>
      </c>
      <c r="N894" s="211"/>
      <c r="O894" s="211"/>
      <c r="P894" s="211" t="s">
        <v>31</v>
      </c>
      <c r="Q894" s="213" t="s">
        <v>32</v>
      </c>
      <c r="R894" s="33" t="s">
        <v>43</v>
      </c>
      <c r="S894" s="214" t="s">
        <v>4044</v>
      </c>
      <c r="T894" s="215">
        <v>28647</v>
      </c>
      <c r="U894" s="214" t="s">
        <v>3491</v>
      </c>
      <c r="V894" s="216" t="s">
        <v>4048</v>
      </c>
      <c r="W894" s="217">
        <v>725704</v>
      </c>
    </row>
    <row r="895" spans="1:23" ht="22.5" customHeight="1">
      <c r="A895" s="137">
        <v>46163.632929444444</v>
      </c>
      <c r="B895" s="12" t="s">
        <v>3547</v>
      </c>
      <c r="D895" s="12" t="s">
        <v>24</v>
      </c>
      <c r="E895" s="138">
        <v>21916</v>
      </c>
      <c r="F895" s="12" t="s">
        <v>623</v>
      </c>
      <c r="G895" s="12" t="s">
        <v>3548</v>
      </c>
      <c r="H895" s="12" t="s">
        <v>3549</v>
      </c>
      <c r="I895" s="6" t="str">
        <f>VLOOKUP(CLEAN(F895),'World Bank Categories'!$B$4:$C$220,2,FALSE)</f>
        <v>Middle income</v>
      </c>
      <c r="J895" s="12" t="s">
        <v>3550</v>
      </c>
      <c r="K895" s="12" t="s">
        <v>39</v>
      </c>
      <c r="L895" s="12" t="s">
        <v>30</v>
      </c>
      <c r="M895" s="12" t="s">
        <v>4049</v>
      </c>
      <c r="N895" s="12" t="s">
        <v>4050</v>
      </c>
      <c r="O895" s="12" t="s">
        <v>4051</v>
      </c>
      <c r="P895" s="12" t="s">
        <v>31</v>
      </c>
      <c r="Q895" s="205" t="s">
        <v>32</v>
      </c>
      <c r="R895" s="141" t="s">
        <v>43</v>
      </c>
      <c r="S895" s="206" t="s">
        <v>3547</v>
      </c>
      <c r="T895" s="207">
        <v>21916</v>
      </c>
      <c r="U895" s="206" t="s">
        <v>3550</v>
      </c>
      <c r="V895" s="208" t="s">
        <v>4052</v>
      </c>
      <c r="W895" s="209">
        <v>725030</v>
      </c>
    </row>
    <row r="896" spans="1:23" ht="22.5" customHeight="1">
      <c r="A896" s="137">
        <v>46163.636682824072</v>
      </c>
      <c r="B896" s="12" t="s">
        <v>4053</v>
      </c>
      <c r="D896" s="12" t="s">
        <v>45</v>
      </c>
      <c r="E896" s="138">
        <v>34837</v>
      </c>
      <c r="F896" s="12" t="s">
        <v>623</v>
      </c>
      <c r="G896" s="12" t="s">
        <v>3548</v>
      </c>
      <c r="H896" s="12" t="s">
        <v>4054</v>
      </c>
      <c r="I896" s="6" t="str">
        <f>VLOOKUP(CLEAN(F896),'World Bank Categories'!$B$4:$C$220,2,FALSE)</f>
        <v>Middle income</v>
      </c>
      <c r="J896" s="12" t="s">
        <v>3550</v>
      </c>
      <c r="K896" s="12" t="s">
        <v>39</v>
      </c>
      <c r="L896" s="12" t="s">
        <v>30</v>
      </c>
      <c r="M896" s="12" t="s">
        <v>4055</v>
      </c>
      <c r="N896" s="12" t="s">
        <v>4056</v>
      </c>
      <c r="O896" s="12" t="s">
        <v>4057</v>
      </c>
      <c r="P896" s="12" t="s">
        <v>31</v>
      </c>
      <c r="Q896" s="205" t="s">
        <v>32</v>
      </c>
      <c r="R896" s="141" t="s">
        <v>43</v>
      </c>
      <c r="S896" s="206" t="s">
        <v>3547</v>
      </c>
      <c r="T896" s="207">
        <v>21916</v>
      </c>
      <c r="U896" s="206" t="s">
        <v>3550</v>
      </c>
      <c r="V896" s="208" t="s">
        <v>4058</v>
      </c>
      <c r="W896" s="209">
        <v>725030</v>
      </c>
    </row>
    <row r="897" spans="1:23" ht="22.5" customHeight="1">
      <c r="A897" s="144">
        <v>46164.726983576387</v>
      </c>
      <c r="B897" s="40" t="s">
        <v>4059</v>
      </c>
      <c r="C897" s="40"/>
      <c r="D897" s="40" t="s">
        <v>45</v>
      </c>
      <c r="E897" s="145">
        <v>38058</v>
      </c>
      <c r="F897" s="40" t="s">
        <v>70</v>
      </c>
      <c r="G897" s="40" t="s">
        <v>1379</v>
      </c>
      <c r="H897" s="40" t="s">
        <v>138</v>
      </c>
      <c r="I897" s="6" t="str">
        <f>VLOOKUP(CLEAN(F897),'World Bank Categories'!$B$4:$C$220,2,FALSE)</f>
        <v>Middle income</v>
      </c>
      <c r="J897" s="40" t="s">
        <v>4060</v>
      </c>
      <c r="K897" s="40" t="s">
        <v>39</v>
      </c>
      <c r="L897" s="40" t="s">
        <v>30</v>
      </c>
      <c r="M897" s="40"/>
      <c r="N897" s="40"/>
      <c r="O897" s="40"/>
      <c r="P897" s="40" t="s">
        <v>31</v>
      </c>
      <c r="Q897" s="213" t="s">
        <v>32</v>
      </c>
      <c r="R897" s="33" t="s">
        <v>33</v>
      </c>
      <c r="S897" s="33" t="s">
        <v>4061</v>
      </c>
      <c r="T897" s="226">
        <v>38058</v>
      </c>
      <c r="U897" s="33" t="s">
        <v>4060</v>
      </c>
      <c r="V897" s="227" t="s">
        <v>4062</v>
      </c>
      <c r="W897" s="228">
        <v>717265</v>
      </c>
    </row>
    <row r="898" spans="1:23" ht="22.5" customHeight="1">
      <c r="A898" s="137">
        <v>46165.097222303244</v>
      </c>
      <c r="B898" s="12" t="s">
        <v>3863</v>
      </c>
      <c r="D898" s="12" t="s">
        <v>24</v>
      </c>
      <c r="E898" s="138">
        <v>35790</v>
      </c>
      <c r="F898" s="12" t="s">
        <v>1770</v>
      </c>
      <c r="G898" s="12" t="s">
        <v>4063</v>
      </c>
      <c r="H898" s="12" t="s">
        <v>4064</v>
      </c>
      <c r="I898" s="6" t="str">
        <f>VLOOKUP(CLEAN(F898),'World Bank Categories'!$B$4:$C$220,2,FALSE)</f>
        <v>Middle income</v>
      </c>
      <c r="J898" s="12" t="s">
        <v>1344</v>
      </c>
      <c r="K898" s="12" t="s">
        <v>39</v>
      </c>
      <c r="L898" s="12" t="s">
        <v>30</v>
      </c>
      <c r="P898" s="12" t="s">
        <v>31</v>
      </c>
      <c r="Q898" s="205" t="s">
        <v>32</v>
      </c>
      <c r="R898" s="184" t="s">
        <v>1008</v>
      </c>
      <c r="S898" s="206" t="s">
        <v>1341</v>
      </c>
      <c r="T898" s="207">
        <v>35790</v>
      </c>
      <c r="U898" s="206" t="s">
        <v>1344</v>
      </c>
      <c r="V898" s="208" t="s">
        <v>3866</v>
      </c>
      <c r="W898" s="209">
        <v>720147</v>
      </c>
    </row>
    <row r="899" spans="1:23" ht="22.5" customHeight="1">
      <c r="A899" s="137">
        <v>46165.121966874998</v>
      </c>
      <c r="B899" s="12" t="s">
        <v>4065</v>
      </c>
      <c r="D899" s="12" t="s">
        <v>24</v>
      </c>
      <c r="E899" s="138">
        <v>36811</v>
      </c>
      <c r="F899" s="12" t="s">
        <v>1770</v>
      </c>
      <c r="G899" s="12" t="s">
        <v>4066</v>
      </c>
      <c r="H899" s="12" t="s">
        <v>3042</v>
      </c>
      <c r="I899" s="6" t="str">
        <f>VLOOKUP(CLEAN(F899),'World Bank Categories'!$B$4:$C$220,2,FALSE)</f>
        <v>Middle income</v>
      </c>
      <c r="J899" s="12" t="s">
        <v>3971</v>
      </c>
      <c r="K899" s="12" t="s">
        <v>29</v>
      </c>
      <c r="L899" s="12" t="s">
        <v>30</v>
      </c>
      <c r="P899" s="12" t="s">
        <v>31</v>
      </c>
      <c r="Q899" s="205" t="s">
        <v>32</v>
      </c>
      <c r="R899" s="141"/>
      <c r="S899" s="206" t="s">
        <v>3972</v>
      </c>
      <c r="T899" s="207">
        <v>36811</v>
      </c>
      <c r="U899" s="206" t="s">
        <v>3971</v>
      </c>
      <c r="V899" s="208" t="s">
        <v>3973</v>
      </c>
      <c r="W899" s="209">
        <v>725296</v>
      </c>
    </row>
    <row r="900" spans="1:23" ht="22.5" customHeight="1">
      <c r="A900" s="137">
        <v>46165.226139942126</v>
      </c>
      <c r="B900" s="12" t="s">
        <v>4067</v>
      </c>
      <c r="D900" s="12" t="s">
        <v>24</v>
      </c>
      <c r="E900" s="138">
        <v>28105</v>
      </c>
      <c r="F900" s="12" t="s">
        <v>64</v>
      </c>
      <c r="G900" s="12" t="s">
        <v>4068</v>
      </c>
      <c r="H900" s="12" t="s">
        <v>186</v>
      </c>
      <c r="I900" s="6" t="str">
        <f>VLOOKUP(CLEAN(F900),'World Bank Categories'!$B$4:$C$220,2,FALSE)</f>
        <v>Middle income</v>
      </c>
      <c r="J900" s="12" t="s">
        <v>4069</v>
      </c>
      <c r="K900" s="12" t="s">
        <v>29</v>
      </c>
      <c r="L900" s="12" t="s">
        <v>30</v>
      </c>
      <c r="P900" s="12" t="s">
        <v>31</v>
      </c>
      <c r="Q900" s="205" t="s">
        <v>32</v>
      </c>
      <c r="R900" s="141"/>
      <c r="S900" s="206" t="s">
        <v>4070</v>
      </c>
      <c r="T900" s="207">
        <v>28105</v>
      </c>
      <c r="U900" s="206" t="s">
        <v>4069</v>
      </c>
      <c r="V900" s="208" t="s">
        <v>4071</v>
      </c>
      <c r="W900" s="209">
        <v>725764</v>
      </c>
    </row>
    <row r="901" spans="1:23" ht="22.5" customHeight="1">
      <c r="A901" s="137">
        <v>46165.834960717591</v>
      </c>
      <c r="B901" s="12" t="s">
        <v>1448</v>
      </c>
      <c r="D901" s="12" t="s">
        <v>24</v>
      </c>
      <c r="E901" s="138">
        <v>36954</v>
      </c>
      <c r="F901" s="12" t="s">
        <v>1449</v>
      </c>
      <c r="G901" s="12" t="s">
        <v>2995</v>
      </c>
      <c r="H901" s="12" t="s">
        <v>66</v>
      </c>
      <c r="I901" s="6" t="str">
        <f>VLOOKUP(CLEAN(F901),'World Bank Categories'!$B$4:$C$220,2,FALSE)</f>
        <v>Middle income</v>
      </c>
      <c r="J901" s="12" t="s">
        <v>3779</v>
      </c>
      <c r="K901" s="12" t="s">
        <v>29</v>
      </c>
      <c r="L901" s="12" t="s">
        <v>4072</v>
      </c>
      <c r="P901" s="12" t="s">
        <v>31</v>
      </c>
      <c r="Q901" s="205" t="s">
        <v>32</v>
      </c>
      <c r="R901" s="141" t="s">
        <v>43</v>
      </c>
      <c r="S901" s="206" t="s">
        <v>1448</v>
      </c>
      <c r="T901" s="207">
        <v>36954</v>
      </c>
      <c r="U901" s="206" t="s">
        <v>3779</v>
      </c>
      <c r="V901" s="208" t="s">
        <v>3780</v>
      </c>
      <c r="W901" s="209">
        <v>723766</v>
      </c>
    </row>
    <row r="902" spans="1:23" ht="22.5" customHeight="1">
      <c r="A902" s="137">
        <v>46166.931387453704</v>
      </c>
      <c r="B902" s="12" t="s">
        <v>4073</v>
      </c>
      <c r="D902" s="12" t="s">
        <v>45</v>
      </c>
      <c r="E902" s="138">
        <v>34648</v>
      </c>
      <c r="F902" s="12" t="s">
        <v>1427</v>
      </c>
      <c r="G902" s="12" t="s">
        <v>1428</v>
      </c>
      <c r="H902" s="12" t="s">
        <v>4074</v>
      </c>
      <c r="I902" s="6" t="str">
        <f>VLOOKUP(CLEAN(F902),'World Bank Categories'!$B$4:$C$220,2,FALSE)</f>
        <v>Low income</v>
      </c>
      <c r="J902" s="12" t="s">
        <v>4075</v>
      </c>
      <c r="K902" s="12" t="s">
        <v>29</v>
      </c>
      <c r="L902" s="12" t="s">
        <v>30</v>
      </c>
      <c r="P902" s="12" t="s">
        <v>31</v>
      </c>
      <c r="Q902" s="205" t="s">
        <v>32</v>
      </c>
      <c r="R902" s="141"/>
      <c r="S902" s="206" t="s">
        <v>4076</v>
      </c>
      <c r="T902" s="207">
        <v>34648</v>
      </c>
      <c r="U902" s="206" t="s">
        <v>4075</v>
      </c>
      <c r="V902" s="208" t="s">
        <v>4077</v>
      </c>
      <c r="W902" s="209">
        <v>725772</v>
      </c>
    </row>
    <row r="903" spans="1:23" ht="22.5" customHeight="1">
      <c r="A903" s="137">
        <v>46166.957752488423</v>
      </c>
      <c r="B903" s="12" t="s">
        <v>4078</v>
      </c>
      <c r="D903" s="12" t="s">
        <v>45</v>
      </c>
      <c r="E903" s="138">
        <v>40555</v>
      </c>
      <c r="F903" s="12" t="s">
        <v>1427</v>
      </c>
      <c r="G903" s="12" t="s">
        <v>1428</v>
      </c>
      <c r="H903" s="12" t="s">
        <v>4079</v>
      </c>
      <c r="I903" s="6" t="str">
        <f>VLOOKUP(CLEAN(F903),'World Bank Categories'!$B$4:$C$220,2,FALSE)</f>
        <v>Low income</v>
      </c>
      <c r="J903" s="12" t="s">
        <v>4080</v>
      </c>
      <c r="K903" s="12" t="s">
        <v>29</v>
      </c>
      <c r="L903" s="12" t="s">
        <v>30</v>
      </c>
      <c r="P903" s="12" t="s">
        <v>31</v>
      </c>
      <c r="Q903" s="205" t="s">
        <v>32</v>
      </c>
      <c r="R903" s="141"/>
      <c r="S903" s="206" t="s">
        <v>4081</v>
      </c>
      <c r="T903" s="207">
        <v>33250</v>
      </c>
      <c r="U903" s="206" t="s">
        <v>4080</v>
      </c>
      <c r="V903" s="208" t="s">
        <v>4082</v>
      </c>
      <c r="W903" s="209">
        <v>723767</v>
      </c>
    </row>
    <row r="904" spans="1:23" ht="22.5" customHeight="1">
      <c r="A904" s="137">
        <v>46167.333672662033</v>
      </c>
      <c r="B904" s="12" t="s">
        <v>4083</v>
      </c>
      <c r="C904" s="12" t="s">
        <v>4084</v>
      </c>
      <c r="D904" s="12" t="s">
        <v>24</v>
      </c>
      <c r="E904" s="138">
        <v>25941</v>
      </c>
      <c r="F904" s="12" t="s">
        <v>623</v>
      </c>
      <c r="G904" s="12" t="s">
        <v>4085</v>
      </c>
      <c r="H904" s="12" t="s">
        <v>4086</v>
      </c>
      <c r="I904" s="6" t="str">
        <f>VLOOKUP(CLEAN(F904),'World Bank Categories'!$B$4:$C$220,2,FALSE)</f>
        <v>Middle income</v>
      </c>
      <c r="J904" s="12" t="s">
        <v>4087</v>
      </c>
      <c r="K904" s="12" t="s">
        <v>29</v>
      </c>
      <c r="L904" s="12" t="s">
        <v>30</v>
      </c>
      <c r="P904" s="12" t="s">
        <v>31</v>
      </c>
      <c r="Q904" s="205" t="s">
        <v>32</v>
      </c>
      <c r="R904" s="141"/>
      <c r="S904" s="206" t="s">
        <v>4088</v>
      </c>
      <c r="T904" s="207">
        <v>25941</v>
      </c>
      <c r="U904" s="206" t="s">
        <v>4087</v>
      </c>
      <c r="V904" s="208" t="s">
        <v>4089</v>
      </c>
      <c r="W904" s="209">
        <v>723021</v>
      </c>
    </row>
    <row r="905" spans="1:23" ht="22.5" customHeight="1">
      <c r="A905" s="137">
        <v>46167.387314467589</v>
      </c>
      <c r="B905" s="12" t="s">
        <v>4090</v>
      </c>
      <c r="D905" s="12" t="s">
        <v>45</v>
      </c>
      <c r="E905" s="138">
        <v>34835</v>
      </c>
      <c r="F905" s="12" t="s">
        <v>1179</v>
      </c>
      <c r="G905" s="12" t="s">
        <v>4091</v>
      </c>
      <c r="H905" s="12" t="s">
        <v>138</v>
      </c>
      <c r="I905" s="6" t="str">
        <f>VLOOKUP(CLEAN(F905),'World Bank Categories'!$B$4:$C$220,2,FALSE)</f>
        <v>High income</v>
      </c>
      <c r="J905" s="12" t="s">
        <v>4092</v>
      </c>
      <c r="K905" s="12" t="s">
        <v>29</v>
      </c>
      <c r="L905" s="12" t="s">
        <v>396</v>
      </c>
      <c r="P905" s="12" t="s">
        <v>31</v>
      </c>
      <c r="Q905" s="205" t="s">
        <v>32</v>
      </c>
      <c r="R905" s="141" t="s">
        <v>43</v>
      </c>
      <c r="S905" s="206" t="s">
        <v>4090</v>
      </c>
      <c r="T905" s="207">
        <v>34835</v>
      </c>
      <c r="U905" s="206" t="s">
        <v>4092</v>
      </c>
      <c r="V905" s="208" t="s">
        <v>4093</v>
      </c>
      <c r="W905" s="209">
        <v>725776</v>
      </c>
    </row>
    <row r="906" spans="1:23" ht="22.5" customHeight="1">
      <c r="A906" s="137">
        <v>46167.641716921295</v>
      </c>
      <c r="B906" s="12" t="s">
        <v>4094</v>
      </c>
      <c r="C906" s="12" t="s">
        <v>3483</v>
      </c>
      <c r="D906" s="12" t="s">
        <v>24</v>
      </c>
      <c r="E906" s="138">
        <v>36420</v>
      </c>
      <c r="F906" s="12" t="s">
        <v>1053</v>
      </c>
      <c r="G906" s="12" t="s">
        <v>3484</v>
      </c>
      <c r="H906" s="12" t="s">
        <v>4095</v>
      </c>
      <c r="I906" s="6" t="str">
        <f>VLOOKUP(CLEAN(F906),'World Bank Categories'!$B$4:$C$220,2,FALSE)</f>
        <v>High income</v>
      </c>
      <c r="J906" s="12" t="s">
        <v>3485</v>
      </c>
      <c r="K906" s="12" t="s">
        <v>39</v>
      </c>
      <c r="L906" s="12" t="s">
        <v>152</v>
      </c>
      <c r="P906" s="12" t="s">
        <v>31</v>
      </c>
      <c r="Q906" s="205" t="s">
        <v>32</v>
      </c>
      <c r="R906" s="141" t="s">
        <v>43</v>
      </c>
      <c r="S906" s="206" t="s">
        <v>4094</v>
      </c>
      <c r="T906" s="207">
        <v>36420</v>
      </c>
      <c r="U906" s="206" t="s">
        <v>3485</v>
      </c>
      <c r="V906" s="208" t="s">
        <v>4096</v>
      </c>
      <c r="W906" s="209">
        <v>723721</v>
      </c>
    </row>
    <row r="907" spans="1:23" ht="22.5" customHeight="1">
      <c r="A907" s="137">
        <v>46167.662153750003</v>
      </c>
      <c r="B907" s="12" t="s">
        <v>4097</v>
      </c>
      <c r="D907" s="12" t="s">
        <v>24</v>
      </c>
      <c r="E907" s="138">
        <v>27795</v>
      </c>
      <c r="F907" s="12" t="s">
        <v>623</v>
      </c>
      <c r="G907" s="12" t="s">
        <v>4098</v>
      </c>
      <c r="H907" s="12" t="s">
        <v>4099</v>
      </c>
      <c r="I907" s="6" t="str">
        <f>VLOOKUP(CLEAN(F907),'World Bank Categories'!$B$4:$C$220,2,FALSE)</f>
        <v>Middle income</v>
      </c>
      <c r="J907" s="12" t="s">
        <v>4100</v>
      </c>
      <c r="K907" s="12" t="s">
        <v>29</v>
      </c>
      <c r="L907" s="12" t="s">
        <v>30</v>
      </c>
      <c r="P907" s="12" t="s">
        <v>31</v>
      </c>
      <c r="Q907" s="205" t="s">
        <v>32</v>
      </c>
      <c r="R907" s="141" t="s">
        <v>33</v>
      </c>
      <c r="S907" s="206" t="s">
        <v>4097</v>
      </c>
      <c r="T907" s="207">
        <v>27795</v>
      </c>
      <c r="U907" s="206" t="s">
        <v>4100</v>
      </c>
      <c r="V907" s="208" t="s">
        <v>4101</v>
      </c>
      <c r="W907" s="209">
        <v>718609</v>
      </c>
    </row>
    <row r="908" spans="1:23" ht="22.5" customHeight="1">
      <c r="A908" s="137">
        <v>46167.671573750005</v>
      </c>
      <c r="B908" s="12" t="s">
        <v>4102</v>
      </c>
      <c r="D908" s="12" t="s">
        <v>24</v>
      </c>
      <c r="E908" s="138">
        <v>33280</v>
      </c>
      <c r="F908" s="12" t="s">
        <v>332</v>
      </c>
      <c r="G908" s="12" t="s">
        <v>4103</v>
      </c>
      <c r="H908" s="12" t="s">
        <v>1747</v>
      </c>
      <c r="I908" s="6" t="str">
        <f>VLOOKUP(CLEAN(F908),'World Bank Categories'!$B$4:$C$220,2,FALSE)</f>
        <v>High income</v>
      </c>
      <c r="J908" s="12" t="s">
        <v>4104</v>
      </c>
      <c r="K908" s="12" t="s">
        <v>29</v>
      </c>
      <c r="L908" s="12" t="s">
        <v>30</v>
      </c>
      <c r="P908" s="12" t="s">
        <v>31</v>
      </c>
      <c r="Q908" s="205" t="s">
        <v>32</v>
      </c>
      <c r="R908" s="141" t="s">
        <v>43</v>
      </c>
      <c r="S908" s="206" t="s">
        <v>4102</v>
      </c>
      <c r="T908" s="207">
        <v>33280</v>
      </c>
      <c r="U908" s="206" t="s">
        <v>4104</v>
      </c>
      <c r="V908" s="208" t="s">
        <v>4105</v>
      </c>
      <c r="W908" s="209">
        <v>722131</v>
      </c>
    </row>
    <row r="909" spans="1:23" ht="22.5" customHeight="1">
      <c r="A909" s="137">
        <v>46167.672318900462</v>
      </c>
      <c r="B909" s="12" t="s">
        <v>4106</v>
      </c>
      <c r="D909" s="12" t="s">
        <v>24</v>
      </c>
      <c r="E909" s="138">
        <v>34959</v>
      </c>
      <c r="F909" s="12" t="s">
        <v>332</v>
      </c>
      <c r="G909" s="12" t="s">
        <v>4103</v>
      </c>
      <c r="H909" s="12" t="s">
        <v>4107</v>
      </c>
      <c r="I909" s="6" t="str">
        <f>VLOOKUP(CLEAN(F909),'World Bank Categories'!$B$4:$C$220,2,FALSE)</f>
        <v>High income</v>
      </c>
      <c r="J909" s="12" t="s">
        <v>4108</v>
      </c>
      <c r="K909" s="12" t="s">
        <v>29</v>
      </c>
      <c r="L909" s="12" t="s">
        <v>30</v>
      </c>
      <c r="P909" s="12" t="s">
        <v>31</v>
      </c>
      <c r="Q909" s="205" t="s">
        <v>32</v>
      </c>
      <c r="R909" s="141" t="s">
        <v>43</v>
      </c>
      <c r="S909" s="206" t="s">
        <v>4109</v>
      </c>
      <c r="T909" s="207">
        <v>34959</v>
      </c>
      <c r="U909" s="206" t="s">
        <v>4108</v>
      </c>
      <c r="V909" s="208" t="s">
        <v>4110</v>
      </c>
      <c r="W909" s="209">
        <v>723216</v>
      </c>
    </row>
    <row r="910" spans="1:23" ht="22.5" customHeight="1">
      <c r="A910" s="137">
        <v>46167.771409733796</v>
      </c>
      <c r="B910" s="12" t="s">
        <v>3987</v>
      </c>
      <c r="D910" s="12" t="s">
        <v>24</v>
      </c>
      <c r="E910" s="138">
        <v>36333</v>
      </c>
      <c r="F910" s="12" t="s">
        <v>52</v>
      </c>
      <c r="G910" s="12" t="s">
        <v>3988</v>
      </c>
      <c r="H910" s="12" t="s">
        <v>4111</v>
      </c>
      <c r="I910" s="6" t="str">
        <f>VLOOKUP(CLEAN(F910),'World Bank Categories'!$B$4:$C$220,2,FALSE)</f>
        <v>Middle income</v>
      </c>
      <c r="J910" s="12" t="s">
        <v>1284</v>
      </c>
      <c r="K910" s="12" t="s">
        <v>29</v>
      </c>
      <c r="L910" s="12" t="s">
        <v>30</v>
      </c>
      <c r="P910" s="12" t="s">
        <v>31</v>
      </c>
      <c r="Q910" s="205" t="s">
        <v>32</v>
      </c>
      <c r="R910" s="141" t="s">
        <v>43</v>
      </c>
      <c r="S910" s="206" t="s">
        <v>1285</v>
      </c>
      <c r="T910" s="207">
        <v>36333</v>
      </c>
      <c r="U910" s="206" t="s">
        <v>1284</v>
      </c>
      <c r="V910" s="208" t="s">
        <v>3990</v>
      </c>
      <c r="W910" s="209">
        <v>719603</v>
      </c>
    </row>
    <row r="911" spans="1:23" ht="22.5" customHeight="1">
      <c r="A911" s="137">
        <v>46167.99027065972</v>
      </c>
      <c r="B911" s="12" t="s">
        <v>3389</v>
      </c>
      <c r="C911" s="12" t="s">
        <v>871</v>
      </c>
      <c r="D911" s="12" t="s">
        <v>24</v>
      </c>
      <c r="E911" s="138">
        <v>28965</v>
      </c>
      <c r="F911" s="12" t="s">
        <v>2556</v>
      </c>
      <c r="G911" s="12" t="s">
        <v>209</v>
      </c>
      <c r="H911" s="12" t="s">
        <v>4112</v>
      </c>
      <c r="I911" s="6" t="str">
        <f>VLOOKUP(CLEAN(F911),'World Bank Categories'!$B$4:$C$220,2,FALSE)</f>
        <v>Middle income</v>
      </c>
      <c r="J911" s="12" t="s">
        <v>4113</v>
      </c>
      <c r="K911" s="12" t="s">
        <v>29</v>
      </c>
      <c r="L911" s="12" t="s">
        <v>30</v>
      </c>
      <c r="P911" s="12" t="s">
        <v>31</v>
      </c>
      <c r="Q911" s="205" t="s">
        <v>32</v>
      </c>
      <c r="R911" s="184" t="s">
        <v>1008</v>
      </c>
      <c r="S911" s="206" t="s">
        <v>3389</v>
      </c>
      <c r="T911" s="207">
        <v>28965</v>
      </c>
      <c r="U911" s="206" t="s">
        <v>3392</v>
      </c>
      <c r="V911" s="208" t="s">
        <v>4114</v>
      </c>
      <c r="W911" s="209">
        <v>723617</v>
      </c>
    </row>
    <row r="912" spans="1:23" ht="22.5" customHeight="1">
      <c r="A912" s="137">
        <v>46168.02674188657</v>
      </c>
      <c r="B912" s="12" t="s">
        <v>4115</v>
      </c>
      <c r="D912" s="12" t="s">
        <v>24</v>
      </c>
      <c r="E912" s="138">
        <v>38109</v>
      </c>
      <c r="F912" s="12" t="s">
        <v>232</v>
      </c>
      <c r="G912" s="12" t="s">
        <v>4116</v>
      </c>
      <c r="H912" s="12" t="s">
        <v>4117</v>
      </c>
      <c r="I912" s="6" t="str">
        <f>VLOOKUP(CLEAN(F912),'World Bank Categories'!$B$4:$C$220,2,FALSE)</f>
        <v>Middle income</v>
      </c>
      <c r="J912" s="12" t="s">
        <v>4118</v>
      </c>
      <c r="K912" s="12" t="s">
        <v>29</v>
      </c>
      <c r="L912" s="12" t="s">
        <v>30</v>
      </c>
      <c r="P912" s="12" t="s">
        <v>31</v>
      </c>
      <c r="Q912" s="205" t="s">
        <v>32</v>
      </c>
      <c r="R912" s="184" t="s">
        <v>1008</v>
      </c>
      <c r="S912" s="206" t="s">
        <v>4115</v>
      </c>
      <c r="T912" s="207">
        <v>38109</v>
      </c>
      <c r="U912" s="206" t="s">
        <v>4118</v>
      </c>
      <c r="V912" s="208" t="s">
        <v>4119</v>
      </c>
      <c r="W912" s="209">
        <v>725515</v>
      </c>
    </row>
    <row r="913" spans="1:23" ht="22.5" customHeight="1">
      <c r="A913" s="137">
        <v>46168.032123842597</v>
      </c>
      <c r="B913" s="12" t="s">
        <v>4097</v>
      </c>
      <c r="D913" s="12" t="s">
        <v>24</v>
      </c>
      <c r="E913" s="138">
        <v>27795</v>
      </c>
      <c r="F913" s="12" t="s">
        <v>623</v>
      </c>
      <c r="G913" s="12" t="s">
        <v>4098</v>
      </c>
      <c r="H913" s="12" t="s">
        <v>4120</v>
      </c>
      <c r="I913" s="6" t="str">
        <f>VLOOKUP(CLEAN(F913),'World Bank Categories'!$B$4:$C$220,2,FALSE)</f>
        <v>Middle income</v>
      </c>
      <c r="J913" s="12" t="s">
        <v>4121</v>
      </c>
      <c r="K913" s="12" t="s">
        <v>39</v>
      </c>
      <c r="L913" s="12" t="s">
        <v>152</v>
      </c>
      <c r="P913" s="12" t="s">
        <v>31</v>
      </c>
      <c r="Q913" s="205" t="s">
        <v>32</v>
      </c>
      <c r="R913" s="141" t="s">
        <v>33</v>
      </c>
      <c r="S913" s="206" t="s">
        <v>4097</v>
      </c>
      <c r="T913" s="207">
        <v>27795</v>
      </c>
      <c r="U913" s="206" t="s">
        <v>4100</v>
      </c>
      <c r="V913" s="208" t="s">
        <v>4122</v>
      </c>
      <c r="W913" s="209">
        <v>718609</v>
      </c>
    </row>
    <row r="914" spans="1:23" ht="22.5" customHeight="1">
      <c r="A914" s="137">
        <v>46168.039866284722</v>
      </c>
      <c r="B914" s="12" t="s">
        <v>4123</v>
      </c>
      <c r="C914" s="12" t="s">
        <v>4124</v>
      </c>
      <c r="D914" s="12" t="s">
        <v>24</v>
      </c>
      <c r="E914" s="138">
        <v>38570</v>
      </c>
      <c r="F914" s="12" t="s">
        <v>4125</v>
      </c>
      <c r="G914" s="12" t="s">
        <v>4126</v>
      </c>
      <c r="H914" s="12" t="s">
        <v>66</v>
      </c>
      <c r="I914" s="6" t="str">
        <f>VLOOKUP(CLEAN(F914),'World Bank Categories'!$B$4:$C$220,2,FALSE)</f>
        <v>Middle income</v>
      </c>
      <c r="J914" s="12" t="s">
        <v>4127</v>
      </c>
      <c r="K914" s="12" t="s">
        <v>29</v>
      </c>
      <c r="L914" s="12" t="s">
        <v>30</v>
      </c>
      <c r="P914" s="12" t="s">
        <v>31</v>
      </c>
      <c r="Q914" s="205" t="s">
        <v>32</v>
      </c>
      <c r="R914" s="141" t="s">
        <v>43</v>
      </c>
      <c r="S914" s="206" t="s">
        <v>4123</v>
      </c>
      <c r="T914" s="207">
        <v>38570</v>
      </c>
      <c r="U914" s="206" t="s">
        <v>4127</v>
      </c>
      <c r="V914" s="208" t="s">
        <v>4128</v>
      </c>
      <c r="W914" s="209">
        <v>725791</v>
      </c>
    </row>
    <row r="915" spans="1:23" ht="22.5" customHeight="1">
      <c r="A915" s="137">
        <v>46168.041598171301</v>
      </c>
      <c r="B915" s="12" t="s">
        <v>4129</v>
      </c>
      <c r="D915" s="12" t="s">
        <v>24</v>
      </c>
      <c r="E915" s="138">
        <v>38085</v>
      </c>
      <c r="F915" s="12" t="s">
        <v>4130</v>
      </c>
      <c r="G915" s="12" t="s">
        <v>4131</v>
      </c>
      <c r="H915" s="12" t="s">
        <v>4132</v>
      </c>
      <c r="I915" s="6" t="str">
        <f>VLOOKUP(CLEAN(F915),'World Bank Categories'!$B$4:$C$220,2,FALSE)</f>
        <v>High income</v>
      </c>
      <c r="J915" s="12" t="s">
        <v>4133</v>
      </c>
      <c r="K915" s="12" t="s">
        <v>29</v>
      </c>
      <c r="L915" s="12" t="s">
        <v>30</v>
      </c>
      <c r="M915" s="12" t="s">
        <v>4134</v>
      </c>
      <c r="P915" s="12" t="s">
        <v>31</v>
      </c>
      <c r="Q915" s="205" t="s">
        <v>32</v>
      </c>
      <c r="R915" s="141"/>
      <c r="S915" s="206" t="s">
        <v>4129</v>
      </c>
      <c r="T915" s="207">
        <v>38085</v>
      </c>
      <c r="U915" s="206" t="s">
        <v>4133</v>
      </c>
      <c r="V915" s="208" t="s">
        <v>4135</v>
      </c>
      <c r="W915" s="209">
        <v>725794</v>
      </c>
    </row>
    <row r="916" spans="1:23" ht="22.5" customHeight="1">
      <c r="A916" s="137">
        <v>46168.276637604169</v>
      </c>
      <c r="B916" s="12" t="s">
        <v>4136</v>
      </c>
      <c r="C916" s="12" t="s">
        <v>4137</v>
      </c>
      <c r="D916" s="12" t="s">
        <v>24</v>
      </c>
      <c r="E916" s="138">
        <v>34993</v>
      </c>
      <c r="F916" s="12" t="s">
        <v>332</v>
      </c>
      <c r="G916" s="12" t="s">
        <v>1258</v>
      </c>
      <c r="H916" s="12" t="s">
        <v>186</v>
      </c>
      <c r="I916" s="6" t="str">
        <f>VLOOKUP(CLEAN(F916),'World Bank Categories'!$B$4:$C$220,2,FALSE)</f>
        <v>High income</v>
      </c>
      <c r="J916" s="12" t="s">
        <v>4138</v>
      </c>
      <c r="K916" s="12" t="s">
        <v>39</v>
      </c>
      <c r="L916" s="12" t="s">
        <v>621</v>
      </c>
      <c r="P916" s="12" t="s">
        <v>31</v>
      </c>
      <c r="Q916" s="205" t="s">
        <v>32</v>
      </c>
      <c r="R916" s="141" t="s">
        <v>43</v>
      </c>
      <c r="S916" s="206" t="s">
        <v>4139</v>
      </c>
      <c r="T916" s="207">
        <v>34993</v>
      </c>
      <c r="U916" s="206" t="s">
        <v>4138</v>
      </c>
      <c r="V916" s="208" t="s">
        <v>4140</v>
      </c>
      <c r="W916" s="209">
        <v>723241</v>
      </c>
    </row>
    <row r="917" spans="1:23" ht="22.5" customHeight="1">
      <c r="A917" s="137">
        <v>46168.314282627311</v>
      </c>
      <c r="B917" s="12" t="s">
        <v>4141</v>
      </c>
      <c r="D917" s="12" t="s">
        <v>24</v>
      </c>
      <c r="E917" s="138">
        <v>31330</v>
      </c>
      <c r="F917" s="12" t="s">
        <v>406</v>
      </c>
      <c r="G917" s="12" t="s">
        <v>4142</v>
      </c>
      <c r="H917" s="12" t="s">
        <v>1049</v>
      </c>
      <c r="I917" s="6" t="str">
        <f>VLOOKUP(CLEAN(F917),'World Bank Categories'!$B$4:$C$220,2,FALSE)</f>
        <v>Low income</v>
      </c>
      <c r="J917" s="12" t="s">
        <v>4143</v>
      </c>
      <c r="K917" s="12" t="s">
        <v>29</v>
      </c>
      <c r="L917" s="12" t="s">
        <v>30</v>
      </c>
      <c r="M917" s="12" t="s">
        <v>4144</v>
      </c>
      <c r="P917" s="12" t="s">
        <v>31</v>
      </c>
      <c r="Q917" s="205" t="s">
        <v>32</v>
      </c>
      <c r="R917" s="141"/>
      <c r="S917" s="206" t="s">
        <v>4145</v>
      </c>
      <c r="T917" s="207">
        <v>31330</v>
      </c>
      <c r="U917" s="206" t="s">
        <v>4143</v>
      </c>
      <c r="V917" s="208" t="s">
        <v>4146</v>
      </c>
      <c r="W917" s="209">
        <v>720049</v>
      </c>
    </row>
    <row r="918" spans="1:23" ht="22.5" hidden="1" customHeight="1">
      <c r="A918" s="137">
        <v>46168.343148368054</v>
      </c>
      <c r="B918" s="12" t="s">
        <v>4147</v>
      </c>
      <c r="C918" s="12" t="s">
        <v>4148</v>
      </c>
      <c r="D918" s="12" t="s">
        <v>24</v>
      </c>
      <c r="E918" s="138">
        <v>30647</v>
      </c>
      <c r="F918" s="12" t="s">
        <v>198</v>
      </c>
      <c r="G918" s="12" t="s">
        <v>4149</v>
      </c>
      <c r="H918" s="12" t="s">
        <v>4150</v>
      </c>
      <c r="I918" s="6" t="str">
        <f>VLOOKUP(CLEAN(F918),'World Bank Categories'!$B$4:$C$220,2,FALSE)</f>
        <v>Middle income</v>
      </c>
      <c r="J918" s="12" t="s">
        <v>4151</v>
      </c>
      <c r="K918" s="12" t="s">
        <v>29</v>
      </c>
      <c r="L918" s="12" t="s">
        <v>30</v>
      </c>
      <c r="P918" s="12" t="s">
        <v>31</v>
      </c>
      <c r="Q918" s="225" t="s">
        <v>56</v>
      </c>
      <c r="R918" s="141"/>
      <c r="S918" s="206"/>
      <c r="T918" s="206"/>
      <c r="U918" s="206"/>
      <c r="V918" s="208" t="s">
        <v>3595</v>
      </c>
      <c r="W918" s="206"/>
    </row>
    <row r="919" spans="1:23" ht="22.5" customHeight="1">
      <c r="A919" s="137">
        <v>46168.496387152773</v>
      </c>
      <c r="B919" s="12" t="s">
        <v>4152</v>
      </c>
      <c r="D919" s="12" t="s">
        <v>24</v>
      </c>
      <c r="E919" s="138">
        <v>22312</v>
      </c>
      <c r="F919" s="12" t="s">
        <v>1063</v>
      </c>
      <c r="G919" s="12" t="s">
        <v>4153</v>
      </c>
      <c r="H919" s="12" t="s">
        <v>3124</v>
      </c>
      <c r="I919" s="6" t="str">
        <f>VLOOKUP(CLEAN(F919),'World Bank Categories'!$B$4:$C$220,2,FALSE)</f>
        <v>Middle income</v>
      </c>
      <c r="J919" s="12" t="s">
        <v>4154</v>
      </c>
      <c r="K919" s="12" t="s">
        <v>29</v>
      </c>
      <c r="L919" s="12" t="s">
        <v>162</v>
      </c>
      <c r="P919" s="12" t="s">
        <v>31</v>
      </c>
      <c r="Q919" s="205" t="s">
        <v>32</v>
      </c>
      <c r="R919" s="184" t="s">
        <v>1008</v>
      </c>
      <c r="S919" s="206" t="s">
        <v>4152</v>
      </c>
      <c r="T919" s="207">
        <v>22312</v>
      </c>
      <c r="U919" s="206" t="s">
        <v>4155</v>
      </c>
      <c r="V919" s="208" t="s">
        <v>4156</v>
      </c>
      <c r="W919" s="209">
        <v>719698</v>
      </c>
    </row>
    <row r="920" spans="1:23" ht="22.5" customHeight="1">
      <c r="A920" s="137">
        <v>46168.79587804398</v>
      </c>
      <c r="B920" s="12" t="s">
        <v>4157</v>
      </c>
      <c r="D920" s="12" t="s">
        <v>45</v>
      </c>
      <c r="E920" s="138">
        <v>32563</v>
      </c>
      <c r="F920" s="12" t="s">
        <v>46</v>
      </c>
      <c r="G920" s="12" t="s">
        <v>2369</v>
      </c>
      <c r="H920" s="12" t="s">
        <v>72</v>
      </c>
      <c r="I920" s="6" t="str">
        <f>VLOOKUP(CLEAN(F920),'World Bank Categories'!$B$4:$C$220,2,FALSE)</f>
        <v>Low income</v>
      </c>
      <c r="J920" s="12" t="s">
        <v>4158</v>
      </c>
      <c r="K920" s="12" t="s">
        <v>39</v>
      </c>
      <c r="L920" s="12" t="s">
        <v>241</v>
      </c>
      <c r="P920" s="12" t="s">
        <v>31</v>
      </c>
      <c r="Q920" s="205" t="s">
        <v>32</v>
      </c>
      <c r="R920" s="141"/>
      <c r="S920" s="206" t="s">
        <v>4159</v>
      </c>
      <c r="T920" s="207">
        <v>32563</v>
      </c>
      <c r="U920" s="206" t="s">
        <v>4158</v>
      </c>
      <c r="V920" s="208" t="s">
        <v>4160</v>
      </c>
      <c r="W920" s="209">
        <v>722430</v>
      </c>
    </row>
    <row r="921" spans="1:23" ht="22.5" customHeight="1">
      <c r="A921" s="229">
        <v>46168.041554861113</v>
      </c>
      <c r="B921" s="230" t="s">
        <v>4161</v>
      </c>
      <c r="C921" s="231"/>
      <c r="D921" s="230" t="s">
        <v>24</v>
      </c>
      <c r="E921" s="232">
        <v>38226</v>
      </c>
      <c r="F921" s="230" t="s">
        <v>4162</v>
      </c>
      <c r="G921" s="230" t="s">
        <v>4131</v>
      </c>
      <c r="H921" s="230" t="s">
        <v>4132</v>
      </c>
      <c r="I921" s="230" t="s">
        <v>3593</v>
      </c>
      <c r="J921" s="230" t="s">
        <v>4163</v>
      </c>
      <c r="K921" s="230" t="s">
        <v>29</v>
      </c>
      <c r="L921" s="230" t="s">
        <v>30</v>
      </c>
      <c r="M921" s="230" t="s">
        <v>4164</v>
      </c>
      <c r="N921" s="230"/>
      <c r="O921" s="231"/>
      <c r="P921" s="231"/>
      <c r="Q921" s="213" t="s">
        <v>32</v>
      </c>
      <c r="R921" s="141" t="s">
        <v>43</v>
      </c>
      <c r="S921" s="206" t="s">
        <v>4161</v>
      </c>
      <c r="T921" s="207">
        <v>38226</v>
      </c>
      <c r="U921" s="33" t="s">
        <v>4163</v>
      </c>
      <c r="V921" s="227" t="s">
        <v>4165</v>
      </c>
      <c r="W921" s="209">
        <v>725806</v>
      </c>
    </row>
    <row r="922" spans="1:23" ht="22.5" hidden="1" customHeight="1">
      <c r="A922" s="137">
        <v>46169.041032962967</v>
      </c>
      <c r="B922" s="12" t="s">
        <v>4166</v>
      </c>
      <c r="D922" s="12" t="s">
        <v>24</v>
      </c>
      <c r="E922" s="138">
        <v>24912</v>
      </c>
      <c r="F922" s="12" t="s">
        <v>2053</v>
      </c>
      <c r="G922" s="12" t="s">
        <v>4167</v>
      </c>
      <c r="H922" s="12" t="s">
        <v>4168</v>
      </c>
      <c r="I922" s="6" t="str">
        <f>VLOOKUP(CLEAN(F922),'World Bank Categories'!$B$4:$C$220,2,FALSE)</f>
        <v>Middle income</v>
      </c>
      <c r="J922" s="12" t="s">
        <v>4169</v>
      </c>
      <c r="K922" s="12" t="s">
        <v>29</v>
      </c>
      <c r="L922" s="12" t="s">
        <v>162</v>
      </c>
      <c r="M922" s="12" t="s">
        <v>4170</v>
      </c>
      <c r="P922" s="12" t="s">
        <v>31</v>
      </c>
      <c r="Q922" s="225" t="s">
        <v>56</v>
      </c>
      <c r="R922" s="141"/>
      <c r="S922" s="206"/>
      <c r="T922" s="206"/>
      <c r="U922" s="206"/>
      <c r="V922" s="208" t="s">
        <v>3595</v>
      </c>
      <c r="W922" s="206"/>
    </row>
    <row r="923" spans="1:23" ht="22.5" customHeight="1">
      <c r="A923" s="137">
        <v>46169.042768125</v>
      </c>
      <c r="B923" s="12" t="s">
        <v>4171</v>
      </c>
      <c r="D923" s="12" t="s">
        <v>45</v>
      </c>
      <c r="E923" s="138">
        <v>36770</v>
      </c>
      <c r="F923" s="12" t="s">
        <v>198</v>
      </c>
      <c r="G923" s="12" t="s">
        <v>4172</v>
      </c>
      <c r="H923" s="12" t="s">
        <v>4173</v>
      </c>
      <c r="I923" s="6" t="str">
        <f>VLOOKUP(CLEAN(F923),'World Bank Categories'!$B$4:$C$220,2,FALSE)</f>
        <v>Middle income</v>
      </c>
      <c r="J923" s="12" t="s">
        <v>2159</v>
      </c>
      <c r="K923" s="12" t="s">
        <v>39</v>
      </c>
      <c r="L923" s="12" t="s">
        <v>30</v>
      </c>
      <c r="P923" s="12" t="s">
        <v>31</v>
      </c>
      <c r="Q923" s="205" t="s">
        <v>32</v>
      </c>
      <c r="R923" s="184" t="s">
        <v>1008</v>
      </c>
      <c r="S923" s="206" t="s">
        <v>2157</v>
      </c>
      <c r="T923" s="207">
        <v>36770</v>
      </c>
      <c r="U923" s="206" t="s">
        <v>2159</v>
      </c>
      <c r="V923" s="208" t="s">
        <v>4174</v>
      </c>
      <c r="W923" s="209">
        <v>722246</v>
      </c>
    </row>
    <row r="924" spans="1:23" ht="22.5" hidden="1" customHeight="1">
      <c r="A924" s="137">
        <v>46169.04375394676</v>
      </c>
      <c r="B924" s="12" t="s">
        <v>4175</v>
      </c>
      <c r="D924" s="12" t="s">
        <v>45</v>
      </c>
      <c r="E924" s="138">
        <v>19290</v>
      </c>
      <c r="F924" s="12" t="s">
        <v>2053</v>
      </c>
      <c r="G924" s="12" t="s">
        <v>4176</v>
      </c>
      <c r="H924" s="12" t="s">
        <v>4177</v>
      </c>
      <c r="I924" s="6" t="str">
        <f>VLOOKUP(CLEAN(F924),'World Bank Categories'!$B$4:$C$220,2,FALSE)</f>
        <v>Middle income</v>
      </c>
      <c r="J924" s="12" t="s">
        <v>4178</v>
      </c>
      <c r="K924" s="12" t="s">
        <v>29</v>
      </c>
      <c r="L924" s="12" t="s">
        <v>162</v>
      </c>
      <c r="M924" s="12" t="s">
        <v>4179</v>
      </c>
      <c r="P924" s="12" t="s">
        <v>31</v>
      </c>
      <c r="Q924" s="225" t="s">
        <v>56</v>
      </c>
      <c r="R924" s="141"/>
      <c r="S924" s="206"/>
      <c r="T924" s="206"/>
      <c r="U924" s="206"/>
      <c r="V924" s="208" t="s">
        <v>3595</v>
      </c>
      <c r="W924" s="206"/>
    </row>
    <row r="925" spans="1:23" ht="22.5" hidden="1" customHeight="1">
      <c r="A925" s="137">
        <v>46169.064173368053</v>
      </c>
      <c r="B925" s="12" t="s">
        <v>4180</v>
      </c>
      <c r="D925" s="12" t="s">
        <v>24</v>
      </c>
      <c r="E925" s="138">
        <v>19758</v>
      </c>
      <c r="F925" s="12" t="s">
        <v>623</v>
      </c>
      <c r="G925" s="12" t="s">
        <v>4181</v>
      </c>
      <c r="H925" s="12" t="s">
        <v>4182</v>
      </c>
      <c r="I925" s="6" t="str">
        <f>VLOOKUP(CLEAN(F925),'World Bank Categories'!$B$4:$C$220,2,FALSE)</f>
        <v>Middle income</v>
      </c>
      <c r="J925" s="12" t="s">
        <v>4183</v>
      </c>
      <c r="K925" s="12" t="s">
        <v>39</v>
      </c>
      <c r="L925" s="12" t="s">
        <v>30</v>
      </c>
      <c r="P925" s="12" t="s">
        <v>31</v>
      </c>
      <c r="Q925" s="225" t="s">
        <v>56</v>
      </c>
      <c r="R925" s="141"/>
      <c r="S925" s="206"/>
      <c r="T925" s="206"/>
      <c r="U925" s="206"/>
      <c r="V925" s="208" t="s">
        <v>3595</v>
      </c>
      <c r="W925" s="206"/>
    </row>
    <row r="926" spans="1:23" ht="22.5" customHeight="1">
      <c r="A926" s="137">
        <v>46169.119206828706</v>
      </c>
      <c r="B926" s="12" t="s">
        <v>4184</v>
      </c>
      <c r="D926" s="12" t="s">
        <v>45</v>
      </c>
      <c r="E926" s="138">
        <v>26014</v>
      </c>
      <c r="F926" s="12" t="s">
        <v>4130</v>
      </c>
      <c r="G926" s="12" t="s">
        <v>4185</v>
      </c>
      <c r="H926" s="12" t="s">
        <v>4186</v>
      </c>
      <c r="I926" s="6" t="str">
        <f>VLOOKUP(CLEAN(F926),'World Bank Categories'!$B$4:$C$220,2,FALSE)</f>
        <v>High income</v>
      </c>
      <c r="J926" s="12" t="s">
        <v>4187</v>
      </c>
      <c r="K926" s="12" t="s">
        <v>29</v>
      </c>
      <c r="L926" s="12" t="s">
        <v>621</v>
      </c>
      <c r="P926" s="12" t="s">
        <v>31</v>
      </c>
      <c r="Q926" s="205" t="s">
        <v>32</v>
      </c>
      <c r="R926" s="141" t="s">
        <v>43</v>
      </c>
      <c r="S926" s="206" t="s">
        <v>4184</v>
      </c>
      <c r="T926" s="207">
        <v>26014</v>
      </c>
      <c r="U926" s="206" t="s">
        <v>4187</v>
      </c>
      <c r="V926" s="208" t="s">
        <v>4188</v>
      </c>
      <c r="W926" s="209">
        <v>725808</v>
      </c>
    </row>
    <row r="927" spans="1:23" ht="22.5" hidden="1" customHeight="1">
      <c r="A927" s="137">
        <v>46169.326681203704</v>
      </c>
      <c r="B927" s="12" t="s">
        <v>4189</v>
      </c>
      <c r="D927" s="12" t="s">
        <v>24</v>
      </c>
      <c r="E927" s="138">
        <v>40168</v>
      </c>
      <c r="F927" s="12" t="s">
        <v>3559</v>
      </c>
      <c r="G927" s="12" t="s">
        <v>4190</v>
      </c>
      <c r="H927" s="12" t="s">
        <v>66</v>
      </c>
      <c r="I927" s="6" t="str">
        <f>VLOOKUP(CLEAN(F927),'World Bank Categories'!$B$4:$C$220,2,FALSE)</f>
        <v>Middle income</v>
      </c>
      <c r="J927" s="12" t="s">
        <v>3562</v>
      </c>
      <c r="K927" s="12" t="s">
        <v>29</v>
      </c>
      <c r="L927" s="143" t="s">
        <v>1168</v>
      </c>
      <c r="P927" s="12" t="s">
        <v>31</v>
      </c>
      <c r="Q927" s="225" t="s">
        <v>56</v>
      </c>
      <c r="R927" s="141"/>
      <c r="S927" s="206"/>
      <c r="T927" s="206"/>
      <c r="U927" s="206"/>
      <c r="V927" s="208" t="s">
        <v>3595</v>
      </c>
      <c r="W927" s="206"/>
    </row>
    <row r="928" spans="1:23" ht="22.5" hidden="1" customHeight="1">
      <c r="A928" s="137">
        <v>46169.789294074071</v>
      </c>
      <c r="B928" s="12" t="s">
        <v>4191</v>
      </c>
      <c r="C928" s="12" t="s">
        <v>4192</v>
      </c>
      <c r="D928" s="12" t="s">
        <v>24</v>
      </c>
      <c r="E928" s="138">
        <v>35479</v>
      </c>
      <c r="F928" s="12" t="s">
        <v>1053</v>
      </c>
      <c r="G928" s="12" t="s">
        <v>4193</v>
      </c>
      <c r="H928" s="12" t="s">
        <v>66</v>
      </c>
      <c r="I928" s="6" t="str">
        <f>VLOOKUP(CLEAN(F928),'World Bank Categories'!$B$4:$C$220,2,FALSE)</f>
        <v>High income</v>
      </c>
      <c r="J928" s="12" t="s">
        <v>4194</v>
      </c>
      <c r="K928" s="12" t="s">
        <v>29</v>
      </c>
      <c r="L928" s="12" t="s">
        <v>30</v>
      </c>
      <c r="P928" s="12" t="s">
        <v>31</v>
      </c>
      <c r="Q928" s="225" t="s">
        <v>56</v>
      </c>
      <c r="R928" s="141"/>
      <c r="S928" s="206"/>
      <c r="T928" s="206"/>
      <c r="U928" s="206"/>
      <c r="V928" s="208" t="s">
        <v>3595</v>
      </c>
      <c r="W928" s="206"/>
    </row>
    <row r="929" spans="1:23" ht="22.5" customHeight="1">
      <c r="A929" s="137">
        <v>46169.811606909723</v>
      </c>
      <c r="B929" s="12" t="s">
        <v>4195</v>
      </c>
      <c r="D929" s="12" t="s">
        <v>24</v>
      </c>
      <c r="E929" s="138">
        <v>33832</v>
      </c>
      <c r="F929" s="12" t="s">
        <v>332</v>
      </c>
      <c r="G929" s="12" t="s">
        <v>1665</v>
      </c>
      <c r="H929" s="12" t="s">
        <v>1595</v>
      </c>
      <c r="I929" s="6" t="str">
        <f>VLOOKUP(CLEAN(F929),'World Bank Categories'!$B$4:$C$220,2,FALSE)</f>
        <v>High income</v>
      </c>
      <c r="J929" s="12" t="s">
        <v>4196</v>
      </c>
      <c r="K929" s="12" t="s">
        <v>29</v>
      </c>
      <c r="L929" s="12" t="s">
        <v>30</v>
      </c>
      <c r="M929" s="12" t="s">
        <v>4197</v>
      </c>
      <c r="P929" s="12" t="s">
        <v>31</v>
      </c>
      <c r="Q929" s="205" t="s">
        <v>32</v>
      </c>
      <c r="R929" s="141" t="s">
        <v>43</v>
      </c>
      <c r="S929" s="206" t="s">
        <v>4198</v>
      </c>
      <c r="T929" s="207">
        <v>33832</v>
      </c>
      <c r="U929" s="206" t="s">
        <v>4196</v>
      </c>
      <c r="V929" s="208" t="s">
        <v>4199</v>
      </c>
      <c r="W929" s="209">
        <v>723177</v>
      </c>
    </row>
    <row r="930" spans="1:23" ht="22.5" customHeight="1">
      <c r="A930" s="137">
        <v>46170.185908472224</v>
      </c>
      <c r="B930" s="12" t="s">
        <v>4171</v>
      </c>
      <c r="D930" s="12" t="s">
        <v>45</v>
      </c>
      <c r="E930" s="138">
        <v>36770</v>
      </c>
      <c r="F930" s="12" t="s">
        <v>198</v>
      </c>
      <c r="G930" s="12" t="s">
        <v>1859</v>
      </c>
      <c r="H930" s="12" t="s">
        <v>4173</v>
      </c>
      <c r="I930" s="6" t="str">
        <f>VLOOKUP(CLEAN(F930),'World Bank Categories'!$B$4:$C$220,2,FALSE)</f>
        <v>Middle income</v>
      </c>
      <c r="J930" s="12" t="s">
        <v>2159</v>
      </c>
      <c r="K930" s="12" t="s">
        <v>29</v>
      </c>
      <c r="L930" s="12" t="s">
        <v>162</v>
      </c>
      <c r="P930" s="12" t="s">
        <v>31</v>
      </c>
      <c r="Q930" s="205" t="s">
        <v>32</v>
      </c>
      <c r="R930" s="184" t="s">
        <v>1008</v>
      </c>
      <c r="S930" s="206" t="s">
        <v>2157</v>
      </c>
      <c r="T930" s="207">
        <v>36770</v>
      </c>
      <c r="U930" s="206" t="s">
        <v>2159</v>
      </c>
      <c r="V930" s="208" t="s">
        <v>4174</v>
      </c>
      <c r="W930" s="209">
        <v>722246</v>
      </c>
    </row>
    <row r="931" spans="1:23" ht="22.5" customHeight="1">
      <c r="A931" s="144">
        <v>46170.274338043979</v>
      </c>
      <c r="B931" s="40" t="s">
        <v>4200</v>
      </c>
      <c r="C931" s="40" t="s">
        <v>4201</v>
      </c>
      <c r="D931" s="40" t="s">
        <v>45</v>
      </c>
      <c r="E931" s="145" t="s">
        <v>4202</v>
      </c>
      <c r="F931" s="40" t="s">
        <v>4203</v>
      </c>
      <c r="G931" s="40" t="s">
        <v>4204</v>
      </c>
      <c r="H931" s="40" t="s">
        <v>4205</v>
      </c>
      <c r="I931" s="6" t="str">
        <f>VLOOKUP(CLEAN(F931),'World Bank Categories'!$B$4:$C$220,2,FALSE)</f>
        <v>Middle income</v>
      </c>
      <c r="J931" s="40" t="s">
        <v>4206</v>
      </c>
      <c r="K931" s="40" t="s">
        <v>29</v>
      </c>
      <c r="L931" s="40" t="s">
        <v>30</v>
      </c>
      <c r="M931" s="40"/>
      <c r="N931" s="40"/>
      <c r="O931" s="40"/>
      <c r="P931" s="40" t="s">
        <v>31</v>
      </c>
      <c r="Q931" s="213" t="s">
        <v>4207</v>
      </c>
      <c r="R931" s="184" t="s">
        <v>1008</v>
      </c>
      <c r="S931" s="33"/>
      <c r="T931" s="33"/>
      <c r="U931" s="33"/>
      <c r="V931" s="227" t="s">
        <v>3595</v>
      </c>
      <c r="W931" s="141"/>
    </row>
    <row r="932" spans="1:23" ht="22.5" hidden="1" customHeight="1">
      <c r="A932" s="233" t="s">
        <v>4208</v>
      </c>
      <c r="B932" s="233"/>
      <c r="C932" s="233"/>
      <c r="D932" s="233"/>
      <c r="E932" s="234"/>
      <c r="F932" s="233"/>
      <c r="G932" s="233"/>
      <c r="H932" s="233"/>
      <c r="I932" s="235" t="e">
        <f>VLOOKUP(CLEAN(F932),'World Bank Categories'!$B$4:$C$220,2,FALSE)</f>
        <v>#N/A</v>
      </c>
      <c r="J932" s="233"/>
      <c r="K932" s="233"/>
      <c r="L932" s="233"/>
      <c r="M932" s="233"/>
      <c r="N932" s="233"/>
      <c r="O932" s="233"/>
      <c r="P932" s="233"/>
      <c r="Q932" s="223"/>
      <c r="R932" s="223"/>
      <c r="S932" s="223"/>
      <c r="T932" s="223"/>
      <c r="U932" s="223"/>
      <c r="V932" s="224" t="s">
        <v>3595</v>
      </c>
      <c r="W932" s="236"/>
    </row>
  </sheetData>
  <phoneticPr fontId="45" type="noConversion"/>
  <hyperlinks>
    <hyperlink ref="U387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CFC8-4997-4F82-B9CD-917E35F7D4B5}">
  <sheetPr>
    <outlinePr summaryBelow="0" summaryRight="0"/>
  </sheetPr>
  <dimension ref="A2:W580"/>
  <sheetViews>
    <sheetView tabSelected="1" zoomScale="85" zoomScaleNormal="85" workbookViewId="0">
      <pane ySplit="4" topLeftCell="A323" activePane="bottomLeft" state="frozen"/>
      <selection pane="bottomLeft" activeCell="G331" sqref="G331"/>
    </sheetView>
  </sheetViews>
  <sheetFormatPr defaultColWidth="12.7109375" defaultRowHeight="15.75" customHeight="1"/>
  <cols>
    <col min="1" max="1" width="18.85546875" customWidth="1"/>
    <col min="2" max="2" width="27.7109375" customWidth="1"/>
    <col min="3" max="3" width="12.7109375" customWidth="1"/>
    <col min="4" max="4" width="16.7109375" customWidth="1"/>
    <col min="5" max="5" width="17.28515625" customWidth="1"/>
    <col min="6" max="6" width="17.42578125" customWidth="1"/>
    <col min="7" max="7" width="24.7109375" customWidth="1"/>
    <col min="8" max="8" width="33.85546875" customWidth="1"/>
    <col min="9" max="9" width="21.140625" customWidth="1"/>
    <col min="10" max="10" width="33.7109375" customWidth="1"/>
    <col min="11" max="11" width="35" customWidth="1"/>
    <col min="12" max="12" width="47.140625" customWidth="1"/>
    <col min="13" max="13" width="59" customWidth="1"/>
    <col min="14" max="14" width="23.7109375" customWidth="1"/>
    <col min="15" max="15" width="23" customWidth="1"/>
    <col min="16" max="16" width="0.28515625" customWidth="1"/>
    <col min="17" max="17" width="18.85546875" customWidth="1"/>
    <col min="18" max="19" width="34.7109375" customWidth="1"/>
    <col min="20" max="20" width="18.85546875" customWidth="1"/>
    <col min="21" max="21" width="23" customWidth="1"/>
    <col min="22" max="22" width="25.140625" customWidth="1"/>
    <col min="23" max="23" width="18.85546875" customWidth="1"/>
  </cols>
  <sheetData>
    <row r="2" spans="1:23" ht="60">
      <c r="A2" s="453">
        <f>COUNTA(B5:B14647)</f>
        <v>576</v>
      </c>
      <c r="B2" s="461" t="s">
        <v>4585</v>
      </c>
      <c r="C2" s="455" t="s">
        <v>4580</v>
      </c>
      <c r="D2" s="456">
        <f>COUNTIF(Q5:Q711,"등록")</f>
        <v>576</v>
      </c>
      <c r="E2" s="454"/>
      <c r="F2" s="457" t="s">
        <v>4581</v>
      </c>
      <c r="G2" s="456">
        <f>COUNTIF(Q5:Q2647,"미등록")</f>
        <v>0</v>
      </c>
      <c r="H2" s="454"/>
      <c r="I2" s="458" t="s">
        <v>4582</v>
      </c>
      <c r="J2" s="456">
        <f>COUNTA(R5:R14647)</f>
        <v>576</v>
      </c>
      <c r="K2" s="459"/>
    </row>
    <row r="4" spans="1:23" ht="22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2" t="s">
        <v>16</v>
      </c>
      <c r="R4" s="3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4" t="s">
        <v>22</v>
      </c>
    </row>
    <row r="5" spans="1:23" ht="22.5" customHeight="1">
      <c r="A5" s="5">
        <v>45841.452735972227</v>
      </c>
      <c r="B5" s="6" t="s">
        <v>23</v>
      </c>
      <c r="C5" s="7"/>
      <c r="D5" s="6" t="s">
        <v>24</v>
      </c>
      <c r="E5" s="8">
        <v>35614</v>
      </c>
      <c r="F5" s="6" t="s">
        <v>25</v>
      </c>
      <c r="G5" s="6" t="s">
        <v>26</v>
      </c>
      <c r="H5" s="6" t="s">
        <v>27</v>
      </c>
      <c r="I5" s="6" t="str">
        <f>VLOOKUP(CLEAN(F5),'World Bank Categories'!$B$4:$C$220,2,FALSE)</f>
        <v>Middle income</v>
      </c>
      <c r="J5" s="6" t="s">
        <v>28</v>
      </c>
      <c r="K5" s="6" t="s">
        <v>29</v>
      </c>
      <c r="L5" s="6" t="s">
        <v>30</v>
      </c>
      <c r="M5" s="7"/>
      <c r="N5" s="6"/>
      <c r="O5" s="6"/>
      <c r="P5" s="6" t="s">
        <v>31</v>
      </c>
      <c r="Q5" s="9" t="s">
        <v>32</v>
      </c>
      <c r="R5" s="10" t="s">
        <v>33</v>
      </c>
      <c r="S5" s="11" t="s">
        <v>23</v>
      </c>
      <c r="T5" s="12"/>
      <c r="U5" s="12"/>
      <c r="V5" s="12"/>
      <c r="W5" s="12"/>
    </row>
    <row r="6" spans="1:23" ht="22.5" customHeight="1">
      <c r="A6" s="13">
        <v>45843.794978622682</v>
      </c>
      <c r="B6" s="14" t="s">
        <v>34</v>
      </c>
      <c r="C6" s="15"/>
      <c r="D6" s="14" t="s">
        <v>24</v>
      </c>
      <c r="E6" s="16">
        <v>21016</v>
      </c>
      <c r="F6" s="14" t="s">
        <v>35</v>
      </c>
      <c r="G6" s="14" t="s">
        <v>36</v>
      </c>
      <c r="H6" s="14" t="s">
        <v>37</v>
      </c>
      <c r="I6" s="6" t="str">
        <f>VLOOKUP(CLEAN(F6),'World Bank Categories'!$B$4:$C$220,2,FALSE)</f>
        <v>Middle income</v>
      </c>
      <c r="J6" s="14" t="s">
        <v>38</v>
      </c>
      <c r="K6" s="14" t="s">
        <v>39</v>
      </c>
      <c r="L6" s="14" t="s">
        <v>30</v>
      </c>
      <c r="M6" s="6" t="s">
        <v>40</v>
      </c>
      <c r="N6" s="17" t="s">
        <v>41</v>
      </c>
      <c r="O6" s="14" t="s">
        <v>42</v>
      </c>
      <c r="P6" s="14" t="s">
        <v>31</v>
      </c>
      <c r="Q6" s="9" t="s">
        <v>32</v>
      </c>
      <c r="R6" s="18" t="s">
        <v>43</v>
      </c>
      <c r="S6" s="19" t="s">
        <v>34</v>
      </c>
      <c r="T6" s="12"/>
      <c r="U6" s="12"/>
      <c r="V6" s="12"/>
      <c r="W6" s="12"/>
    </row>
    <row r="7" spans="1:23" ht="22.5" customHeight="1">
      <c r="A7" s="5">
        <v>45853.250324305554</v>
      </c>
      <c r="B7" s="6" t="s">
        <v>57</v>
      </c>
      <c r="C7" s="7"/>
      <c r="D7" s="6" t="s">
        <v>24</v>
      </c>
      <c r="E7" s="8">
        <v>36458</v>
      </c>
      <c r="F7" s="6" t="s">
        <v>58</v>
      </c>
      <c r="G7" s="6" t="s">
        <v>59</v>
      </c>
      <c r="H7" s="6" t="s">
        <v>60</v>
      </c>
      <c r="I7" s="6" t="str">
        <f>VLOOKUP(CLEAN(F7),'World Bank Categories'!$B$4:$C$220,2,FALSE)</f>
        <v>Middle income</v>
      </c>
      <c r="J7" s="6" t="s">
        <v>61</v>
      </c>
      <c r="K7" s="6" t="s">
        <v>29</v>
      </c>
      <c r="L7" s="6" t="s">
        <v>30</v>
      </c>
      <c r="M7" s="7"/>
      <c r="N7" s="6"/>
      <c r="O7" s="6"/>
      <c r="P7" s="6" t="s">
        <v>31</v>
      </c>
      <c r="Q7" s="9" t="s">
        <v>32</v>
      </c>
      <c r="R7" s="10" t="s">
        <v>33</v>
      </c>
      <c r="S7" s="11" t="s">
        <v>62</v>
      </c>
      <c r="T7" s="12"/>
      <c r="U7" s="12"/>
      <c r="V7" s="12"/>
      <c r="W7" s="12"/>
    </row>
    <row r="8" spans="1:23" ht="22.5" customHeight="1">
      <c r="A8" s="28">
        <v>45859.28665509259</v>
      </c>
      <c r="B8" s="29" t="s">
        <v>81</v>
      </c>
      <c r="C8" s="29" t="s">
        <v>82</v>
      </c>
      <c r="D8" s="29" t="s">
        <v>45</v>
      </c>
      <c r="E8" s="30">
        <v>29178</v>
      </c>
      <c r="F8" s="29" t="s">
        <v>83</v>
      </c>
      <c r="G8" s="29" t="s">
        <v>84</v>
      </c>
      <c r="H8" s="29" t="s">
        <v>85</v>
      </c>
      <c r="I8" s="6" t="str">
        <f>VLOOKUP(CLEAN(F8),'World Bank Categories'!$B$4:$C$220,2,FALSE)</f>
        <v>Low income</v>
      </c>
      <c r="J8" s="29" t="s">
        <v>86</v>
      </c>
      <c r="K8" s="29" t="s">
        <v>68</v>
      </c>
      <c r="L8" s="31">
        <v>46207</v>
      </c>
      <c r="M8" s="29"/>
      <c r="N8" s="29"/>
      <c r="O8" s="29"/>
      <c r="P8" s="29" t="s">
        <v>31</v>
      </c>
      <c r="Q8" s="9" t="s">
        <v>32</v>
      </c>
      <c r="R8" s="10" t="s">
        <v>33</v>
      </c>
      <c r="S8" s="25" t="s">
        <v>81</v>
      </c>
      <c r="T8" s="27">
        <v>29178</v>
      </c>
      <c r="U8" s="25" t="s">
        <v>86</v>
      </c>
      <c r="V8" s="25" t="s">
        <v>80</v>
      </c>
      <c r="W8" s="25"/>
    </row>
    <row r="9" spans="1:23" ht="22.5" customHeight="1">
      <c r="A9" s="20">
        <v>45865.164687500001</v>
      </c>
      <c r="B9" s="21" t="s">
        <v>181</v>
      </c>
      <c r="C9" s="21"/>
      <c r="D9" s="21" t="s">
        <v>24</v>
      </c>
      <c r="E9" s="22">
        <v>32229</v>
      </c>
      <c r="F9" s="21" t="s">
        <v>52</v>
      </c>
      <c r="G9" s="21" t="s">
        <v>182</v>
      </c>
      <c r="H9" s="21" t="s">
        <v>183</v>
      </c>
      <c r="I9" s="6" t="str">
        <f>VLOOKUP(CLEAN(F9),'World Bank Categories'!$B$4:$C$220,2,FALSE)</f>
        <v>Middle income</v>
      </c>
      <c r="J9" s="21" t="s">
        <v>184</v>
      </c>
      <c r="K9" s="21" t="s">
        <v>29</v>
      </c>
      <c r="L9" s="21" t="s">
        <v>30</v>
      </c>
      <c r="M9" s="21"/>
      <c r="N9" s="21"/>
      <c r="O9" s="21"/>
      <c r="P9" s="21" t="s">
        <v>31</v>
      </c>
      <c r="Q9" s="9" t="s">
        <v>32</v>
      </c>
      <c r="R9" s="10" t="s">
        <v>43</v>
      </c>
      <c r="S9" s="25" t="s">
        <v>181</v>
      </c>
      <c r="T9" s="27">
        <v>32229</v>
      </c>
      <c r="U9" s="25" t="s">
        <v>184</v>
      </c>
      <c r="V9" s="25" t="s">
        <v>80</v>
      </c>
      <c r="W9" s="25"/>
    </row>
    <row r="10" spans="1:23" ht="22.5" customHeight="1">
      <c r="A10" s="20">
        <v>45870.141527777778</v>
      </c>
      <c r="B10" s="21" t="s">
        <v>197</v>
      </c>
      <c r="C10" s="21" t="s">
        <v>197</v>
      </c>
      <c r="D10" s="21" t="s">
        <v>24</v>
      </c>
      <c r="E10" s="22">
        <v>32847</v>
      </c>
      <c r="F10" s="21" t="s">
        <v>198</v>
      </c>
      <c r="G10" s="21" t="s">
        <v>199</v>
      </c>
      <c r="H10" s="21" t="s">
        <v>200</v>
      </c>
      <c r="I10" s="6" t="str">
        <f>VLOOKUP(CLEAN(F10),'World Bank Categories'!$B$4:$C$220,2,FALSE)</f>
        <v>Middle income</v>
      </c>
      <c r="J10" s="21" t="s">
        <v>201</v>
      </c>
      <c r="K10" s="21" t="s">
        <v>68</v>
      </c>
      <c r="L10" s="21" t="s">
        <v>30</v>
      </c>
      <c r="M10" s="21"/>
      <c r="N10" s="21"/>
      <c r="O10" s="21"/>
      <c r="P10" s="21" t="s">
        <v>31</v>
      </c>
      <c r="Q10" s="9" t="s">
        <v>32</v>
      </c>
      <c r="R10" s="18" t="s">
        <v>43</v>
      </c>
      <c r="S10" s="25" t="s">
        <v>197</v>
      </c>
      <c r="T10" s="27">
        <v>32847</v>
      </c>
      <c r="U10" s="25" t="s">
        <v>201</v>
      </c>
      <c r="V10" s="25" t="s">
        <v>80</v>
      </c>
      <c r="W10" s="25"/>
    </row>
    <row r="11" spans="1:23" ht="22.5" customHeight="1">
      <c r="A11" s="20">
        <v>45871.236030092594</v>
      </c>
      <c r="B11" s="21" t="s">
        <v>207</v>
      </c>
      <c r="C11" s="38"/>
      <c r="D11" s="21" t="s">
        <v>45</v>
      </c>
      <c r="E11" s="22">
        <v>28186</v>
      </c>
      <c r="F11" s="21" t="s">
        <v>208</v>
      </c>
      <c r="G11" s="21" t="s">
        <v>209</v>
      </c>
      <c r="H11" s="21" t="s">
        <v>210</v>
      </c>
      <c r="I11" s="6" t="str">
        <f>VLOOKUP(CLEAN(F11),'World Bank Categories'!$B$4:$C$220,2,FALSE)</f>
        <v>Low income</v>
      </c>
      <c r="J11" s="21" t="s">
        <v>211</v>
      </c>
      <c r="K11" s="21" t="s">
        <v>68</v>
      </c>
      <c r="L11" s="21" t="s">
        <v>30</v>
      </c>
      <c r="M11" s="33" t="s">
        <v>212</v>
      </c>
      <c r="N11" s="21" t="s">
        <v>213</v>
      </c>
      <c r="O11" s="21" t="s">
        <v>214</v>
      </c>
      <c r="P11" s="21" t="s">
        <v>31</v>
      </c>
      <c r="Q11" s="9" t="s">
        <v>32</v>
      </c>
      <c r="R11" s="10" t="s">
        <v>33</v>
      </c>
      <c r="S11" s="25" t="s">
        <v>215</v>
      </c>
      <c r="T11" s="27">
        <v>28186</v>
      </c>
      <c r="U11" s="25" t="s">
        <v>216</v>
      </c>
      <c r="V11" s="25" t="s">
        <v>80</v>
      </c>
      <c r="W11" s="25"/>
    </row>
    <row r="12" spans="1:23" ht="22.5" customHeight="1">
      <c r="A12" s="5">
        <v>45874.229586655092</v>
      </c>
      <c r="B12" s="6" t="s">
        <v>217</v>
      </c>
      <c r="C12" s="7"/>
      <c r="D12" s="6" t="s">
        <v>24</v>
      </c>
      <c r="E12" s="8">
        <v>28943</v>
      </c>
      <c r="F12" s="6" t="s">
        <v>208</v>
      </c>
      <c r="G12" s="6" t="s">
        <v>218</v>
      </c>
      <c r="H12" s="6" t="s">
        <v>219</v>
      </c>
      <c r="I12" s="6" t="str">
        <f>VLOOKUP(CLEAN(F12),'World Bank Categories'!$B$4:$C$220,2,FALSE)</f>
        <v>Low income</v>
      </c>
      <c r="J12" s="6" t="s">
        <v>220</v>
      </c>
      <c r="K12" s="6" t="s">
        <v>39</v>
      </c>
      <c r="L12" s="6" t="s">
        <v>162</v>
      </c>
      <c r="M12" s="7"/>
      <c r="N12" s="6"/>
      <c r="O12" s="6"/>
      <c r="P12" s="6" t="s">
        <v>31</v>
      </c>
      <c r="Q12" s="9" t="s">
        <v>32</v>
      </c>
      <c r="R12" s="18" t="s">
        <v>33</v>
      </c>
      <c r="S12" s="11" t="s">
        <v>221</v>
      </c>
      <c r="T12" s="12"/>
      <c r="U12" s="12"/>
      <c r="V12" s="12"/>
      <c r="W12" s="12"/>
    </row>
    <row r="13" spans="1:23" ht="22.5" customHeight="1">
      <c r="A13" s="20">
        <v>45875.633298611108</v>
      </c>
      <c r="B13" s="21" t="s">
        <v>226</v>
      </c>
      <c r="C13" s="38"/>
      <c r="D13" s="21" t="s">
        <v>45</v>
      </c>
      <c r="E13" s="22">
        <v>32327</v>
      </c>
      <c r="F13" s="21" t="s">
        <v>227</v>
      </c>
      <c r="G13" s="21" t="s">
        <v>209</v>
      </c>
      <c r="H13" s="21" t="s">
        <v>228</v>
      </c>
      <c r="I13" s="6" t="str">
        <f>VLOOKUP(CLEAN(F13),'World Bank Categories'!$B$4:$C$220,2,FALSE)</f>
        <v>Middle income</v>
      </c>
      <c r="J13" s="21" t="s">
        <v>229</v>
      </c>
      <c r="K13" s="21" t="s">
        <v>29</v>
      </c>
      <c r="L13" s="21" t="s">
        <v>30</v>
      </c>
      <c r="M13" s="21"/>
      <c r="N13" s="21"/>
      <c r="O13" s="21"/>
      <c r="P13" s="21" t="s">
        <v>31</v>
      </c>
      <c r="Q13" s="9" t="s">
        <v>32</v>
      </c>
      <c r="R13" s="18" t="s">
        <v>43</v>
      </c>
      <c r="S13" s="25" t="s">
        <v>226</v>
      </c>
      <c r="T13" s="27">
        <v>32327</v>
      </c>
      <c r="U13" s="25" t="s">
        <v>229</v>
      </c>
      <c r="V13" s="25" t="s">
        <v>80</v>
      </c>
      <c r="W13" s="25"/>
    </row>
    <row r="14" spans="1:23" ht="22.5" customHeight="1">
      <c r="A14" s="20">
        <v>45883.567048611112</v>
      </c>
      <c r="B14" s="21" t="s">
        <v>244</v>
      </c>
      <c r="C14" s="38"/>
      <c r="D14" s="21" t="s">
        <v>45</v>
      </c>
      <c r="E14" s="22">
        <v>28573</v>
      </c>
      <c r="F14" s="21" t="s">
        <v>245</v>
      </c>
      <c r="G14" s="21" t="s">
        <v>246</v>
      </c>
      <c r="H14" s="21" t="s">
        <v>247</v>
      </c>
      <c r="I14" s="6" t="str">
        <f>VLOOKUP(CLEAN(F14),'World Bank Categories'!$B$4:$C$220,2,FALSE)</f>
        <v>Middle income</v>
      </c>
      <c r="J14" s="21" t="s">
        <v>248</v>
      </c>
      <c r="K14" s="21" t="s">
        <v>39</v>
      </c>
      <c r="L14" s="21" t="s">
        <v>152</v>
      </c>
      <c r="M14" s="33" t="s">
        <v>249</v>
      </c>
      <c r="N14" s="34" t="s">
        <v>250</v>
      </c>
      <c r="O14" s="21" t="s">
        <v>42</v>
      </c>
      <c r="P14" s="21" t="s">
        <v>31</v>
      </c>
      <c r="Q14" s="9" t="s">
        <v>32</v>
      </c>
      <c r="R14" s="10" t="s">
        <v>43</v>
      </c>
      <c r="S14" s="25" t="s">
        <v>244</v>
      </c>
      <c r="T14" s="27">
        <v>28573</v>
      </c>
      <c r="U14" s="25" t="s">
        <v>248</v>
      </c>
      <c r="V14" s="25" t="s">
        <v>80</v>
      </c>
      <c r="W14" s="25"/>
    </row>
    <row r="15" spans="1:23" ht="22.5" customHeight="1">
      <c r="A15" s="13">
        <v>45890.989432731483</v>
      </c>
      <c r="B15" s="14" t="s">
        <v>251</v>
      </c>
      <c r="C15" s="15"/>
      <c r="D15" s="14" t="s">
        <v>24</v>
      </c>
      <c r="E15" s="16">
        <v>36334</v>
      </c>
      <c r="F15" s="14" t="s">
        <v>252</v>
      </c>
      <c r="G15" s="14" t="s">
        <v>253</v>
      </c>
      <c r="H15" s="14" t="s">
        <v>254</v>
      </c>
      <c r="I15" s="6" t="str">
        <f>VLOOKUP(CLEAN(F15),'World Bank Categories'!$B$4:$C$220,2,FALSE)</f>
        <v>Middle income</v>
      </c>
      <c r="J15" s="14" t="s">
        <v>255</v>
      </c>
      <c r="K15" s="14" t="s">
        <v>39</v>
      </c>
      <c r="L15" s="14" t="s">
        <v>30</v>
      </c>
      <c r="M15" s="15"/>
      <c r="N15" s="14"/>
      <c r="O15" s="14"/>
      <c r="P15" s="14" t="s">
        <v>31</v>
      </c>
      <c r="Q15" s="9" t="s">
        <v>32</v>
      </c>
      <c r="R15" s="10" t="s">
        <v>33</v>
      </c>
      <c r="S15" s="19" t="s">
        <v>256</v>
      </c>
      <c r="T15" s="12"/>
      <c r="U15" s="12"/>
      <c r="V15" s="12"/>
      <c r="W15" s="12"/>
    </row>
    <row r="16" spans="1:23" ht="22.5" customHeight="1">
      <c r="A16" s="20">
        <v>45895.305358796293</v>
      </c>
      <c r="B16" s="21" t="s">
        <v>284</v>
      </c>
      <c r="C16" s="38"/>
      <c r="D16" s="21" t="s">
        <v>45</v>
      </c>
      <c r="E16" s="22">
        <v>24127</v>
      </c>
      <c r="F16" s="21" t="s">
        <v>285</v>
      </c>
      <c r="G16" s="21" t="s">
        <v>286</v>
      </c>
      <c r="H16" s="21" t="s">
        <v>287</v>
      </c>
      <c r="I16" s="6" t="str">
        <f>VLOOKUP(CLEAN(F16),'World Bank Categories'!$B$4:$C$220,2,FALSE)</f>
        <v>High income</v>
      </c>
      <c r="J16" s="21" t="s">
        <v>288</v>
      </c>
      <c r="K16" s="21" t="s">
        <v>29</v>
      </c>
      <c r="L16" s="21" t="s">
        <v>30</v>
      </c>
      <c r="M16" s="21" t="s">
        <v>289</v>
      </c>
      <c r="N16" s="17" t="s">
        <v>290</v>
      </c>
      <c r="O16" s="21" t="s">
        <v>42</v>
      </c>
      <c r="P16" s="21" t="s">
        <v>31</v>
      </c>
      <c r="Q16" s="9" t="s">
        <v>32</v>
      </c>
      <c r="R16" s="10" t="s">
        <v>43</v>
      </c>
      <c r="S16" s="25" t="s">
        <v>291</v>
      </c>
      <c r="T16" s="27">
        <v>24492</v>
      </c>
      <c r="U16" s="25" t="s">
        <v>288</v>
      </c>
      <c r="V16" s="25" t="s">
        <v>114</v>
      </c>
      <c r="W16" s="25"/>
    </row>
    <row r="17" spans="1:23" ht="22.5" customHeight="1">
      <c r="A17" s="20">
        <v>45900.025902777779</v>
      </c>
      <c r="B17" s="21" t="s">
        <v>296</v>
      </c>
      <c r="C17" s="38"/>
      <c r="D17" s="21" t="s">
        <v>24</v>
      </c>
      <c r="E17" s="22">
        <v>29297</v>
      </c>
      <c r="F17" s="21" t="s">
        <v>297</v>
      </c>
      <c r="G17" s="21" t="s">
        <v>209</v>
      </c>
      <c r="H17" s="21" t="s">
        <v>111</v>
      </c>
      <c r="I17" s="6" t="str">
        <f>VLOOKUP(CLEAN(F17),'World Bank Categories'!$B$4:$C$220,2,FALSE)</f>
        <v>Middle income</v>
      </c>
      <c r="J17" s="21" t="s">
        <v>298</v>
      </c>
      <c r="K17" s="21" t="s">
        <v>68</v>
      </c>
      <c r="L17" s="21" t="s">
        <v>30</v>
      </c>
      <c r="M17" s="21" t="s">
        <v>299</v>
      </c>
      <c r="N17" s="34" t="s">
        <v>300</v>
      </c>
      <c r="O17" s="14" t="s">
        <v>301</v>
      </c>
      <c r="P17" s="21" t="s">
        <v>31</v>
      </c>
      <c r="Q17" s="9" t="s">
        <v>32</v>
      </c>
      <c r="R17" s="18" t="s">
        <v>43</v>
      </c>
      <c r="S17" s="25" t="s">
        <v>302</v>
      </c>
      <c r="T17" s="27">
        <v>29297</v>
      </c>
      <c r="U17" s="25" t="s">
        <v>298</v>
      </c>
      <c r="V17" s="25" t="s">
        <v>80</v>
      </c>
      <c r="W17" s="25"/>
    </row>
    <row r="18" spans="1:23" ht="22.5" customHeight="1">
      <c r="A18" s="20">
        <v>45908.781759259262</v>
      </c>
      <c r="B18" s="21" t="s">
        <v>308</v>
      </c>
      <c r="C18" s="21" t="s">
        <v>309</v>
      </c>
      <c r="D18" s="21" t="s">
        <v>24</v>
      </c>
      <c r="E18" s="22">
        <v>30253</v>
      </c>
      <c r="F18" s="21" t="s">
        <v>310</v>
      </c>
      <c r="G18" s="21" t="s">
        <v>209</v>
      </c>
      <c r="H18" s="21" t="s">
        <v>311</v>
      </c>
      <c r="I18" s="6" t="str">
        <f>VLOOKUP(CLEAN(F18),'World Bank Categories'!$B$4:$C$220,2,FALSE)</f>
        <v>High income</v>
      </c>
      <c r="J18" s="21" t="s">
        <v>312</v>
      </c>
      <c r="K18" s="21" t="s">
        <v>29</v>
      </c>
      <c r="L18" s="21" t="s">
        <v>30</v>
      </c>
      <c r="M18" s="21" t="s">
        <v>313</v>
      </c>
      <c r="N18" s="21" t="s">
        <v>314</v>
      </c>
      <c r="O18" s="21" t="s">
        <v>42</v>
      </c>
      <c r="P18" s="21" t="s">
        <v>31</v>
      </c>
      <c r="Q18" s="9" t="s">
        <v>32</v>
      </c>
      <c r="R18" s="10" t="s">
        <v>33</v>
      </c>
      <c r="S18" s="25" t="s">
        <v>315</v>
      </c>
      <c r="T18" s="27">
        <v>30253</v>
      </c>
      <c r="U18" s="25" t="s">
        <v>312</v>
      </c>
      <c r="V18" s="25" t="s">
        <v>316</v>
      </c>
      <c r="W18" s="25"/>
    </row>
    <row r="19" spans="1:23" ht="22.5" customHeight="1">
      <c r="A19" s="20">
        <v>45909.696238425924</v>
      </c>
      <c r="B19" s="21" t="s">
        <v>321</v>
      </c>
      <c r="C19" s="38"/>
      <c r="D19" s="21" t="s">
        <v>45</v>
      </c>
      <c r="E19" s="22">
        <v>35302</v>
      </c>
      <c r="F19" s="21" t="s">
        <v>322</v>
      </c>
      <c r="G19" s="21" t="s">
        <v>323</v>
      </c>
      <c r="H19" s="21" t="s">
        <v>324</v>
      </c>
      <c r="I19" s="6" t="str">
        <f>VLOOKUP(CLEAN(F19),'World Bank Categories'!$B$4:$C$220,2,FALSE)</f>
        <v>Middle income</v>
      </c>
      <c r="J19" s="21" t="s">
        <v>325</v>
      </c>
      <c r="K19" s="21" t="s">
        <v>68</v>
      </c>
      <c r="L19" s="21" t="s">
        <v>30</v>
      </c>
      <c r="M19" s="21"/>
      <c r="N19" s="21"/>
      <c r="O19" s="21"/>
      <c r="P19" s="21" t="s">
        <v>31</v>
      </c>
      <c r="Q19" s="9" t="s">
        <v>32</v>
      </c>
      <c r="R19" s="10" t="s">
        <v>33</v>
      </c>
      <c r="S19" s="25" t="s">
        <v>326</v>
      </c>
      <c r="T19" s="27">
        <v>35302</v>
      </c>
      <c r="U19" s="25" t="s">
        <v>325</v>
      </c>
      <c r="V19" s="25" t="s">
        <v>154</v>
      </c>
      <c r="W19" s="25"/>
    </row>
    <row r="20" spans="1:23" ht="22.5" customHeight="1">
      <c r="A20" s="20">
        <v>45918.29042824074</v>
      </c>
      <c r="B20" s="21" t="s">
        <v>331</v>
      </c>
      <c r="C20" s="38"/>
      <c r="D20" s="21" t="s">
        <v>45</v>
      </c>
      <c r="E20" s="22">
        <v>28989</v>
      </c>
      <c r="F20" s="21" t="s">
        <v>332</v>
      </c>
      <c r="G20" s="21" t="s">
        <v>333</v>
      </c>
      <c r="H20" s="21" t="s">
        <v>334</v>
      </c>
      <c r="I20" s="6" t="str">
        <f>VLOOKUP(CLEAN(F20),'World Bank Categories'!$B$4:$C$220,2,FALSE)</f>
        <v>High income</v>
      </c>
      <c r="J20" s="21" t="s">
        <v>335</v>
      </c>
      <c r="K20" s="21" t="s">
        <v>29</v>
      </c>
      <c r="L20" s="21" t="s">
        <v>30</v>
      </c>
      <c r="M20" s="21" t="s">
        <v>336</v>
      </c>
      <c r="N20" s="40" t="s">
        <v>337</v>
      </c>
      <c r="O20" s="21" t="s">
        <v>338</v>
      </c>
      <c r="P20" s="21" t="s">
        <v>31</v>
      </c>
      <c r="Q20" s="9" t="s">
        <v>32</v>
      </c>
      <c r="R20" s="10" t="s">
        <v>43</v>
      </c>
      <c r="S20" s="25" t="s">
        <v>331</v>
      </c>
      <c r="T20" s="27">
        <v>28989</v>
      </c>
      <c r="U20" s="25" t="s">
        <v>335</v>
      </c>
      <c r="V20" s="25" t="s">
        <v>80</v>
      </c>
      <c r="W20" s="25"/>
    </row>
    <row r="21" spans="1:23" ht="22.5" customHeight="1">
      <c r="A21" s="20">
        <v>45918.574583333335</v>
      </c>
      <c r="B21" s="21" t="s">
        <v>339</v>
      </c>
      <c r="C21" s="21" t="s">
        <v>340</v>
      </c>
      <c r="D21" s="21" t="s">
        <v>24</v>
      </c>
      <c r="E21" s="22">
        <v>34006</v>
      </c>
      <c r="F21" s="21" t="s">
        <v>208</v>
      </c>
      <c r="G21" s="21" t="s">
        <v>341</v>
      </c>
      <c r="H21" s="21" t="s">
        <v>342</v>
      </c>
      <c r="I21" s="6" t="e">
        <f>VLOOKUP(CLEAN(#REF!),'World Bank Categories'!$B$4:$C$220,2,FALSE)</f>
        <v>#REF!</v>
      </c>
      <c r="J21" s="21" t="s">
        <v>343</v>
      </c>
      <c r="K21" s="21" t="s">
        <v>29</v>
      </c>
      <c r="L21" s="21" t="s">
        <v>30</v>
      </c>
      <c r="M21" s="21"/>
      <c r="N21" s="21"/>
      <c r="O21" s="21"/>
      <c r="P21" s="21" t="s">
        <v>31</v>
      </c>
      <c r="Q21" s="9" t="s">
        <v>32</v>
      </c>
      <c r="R21" s="18" t="s">
        <v>33</v>
      </c>
      <c r="S21" s="25" t="s">
        <v>344</v>
      </c>
      <c r="T21" s="27">
        <v>34006</v>
      </c>
      <c r="U21" s="25" t="s">
        <v>343</v>
      </c>
      <c r="V21" s="25" t="s">
        <v>316</v>
      </c>
      <c r="W21" s="25"/>
    </row>
    <row r="22" spans="1:23" ht="22.5" customHeight="1">
      <c r="A22" s="5">
        <v>45922.814504606482</v>
      </c>
      <c r="B22" s="6" t="s">
        <v>352</v>
      </c>
      <c r="C22" s="7"/>
      <c r="D22" s="6" t="s">
        <v>24</v>
      </c>
      <c r="E22" s="8">
        <v>30328</v>
      </c>
      <c r="F22" s="6" t="s">
        <v>346</v>
      </c>
      <c r="G22" s="6" t="s">
        <v>353</v>
      </c>
      <c r="H22" s="6" t="s">
        <v>354</v>
      </c>
      <c r="I22" s="6" t="str">
        <f>VLOOKUP(CLEAN(F22),'World Bank Categories'!$B$4:$C$220,2,FALSE)</f>
        <v>Middle income</v>
      </c>
      <c r="J22" s="6" t="s">
        <v>355</v>
      </c>
      <c r="K22" s="6" t="s">
        <v>29</v>
      </c>
      <c r="L22" s="6" t="s">
        <v>30</v>
      </c>
      <c r="M22" s="6" t="s">
        <v>356</v>
      </c>
      <c r="N22" s="34" t="s">
        <v>357</v>
      </c>
      <c r="O22" s="14" t="s">
        <v>301</v>
      </c>
      <c r="P22" s="6" t="s">
        <v>31</v>
      </c>
      <c r="Q22" s="9" t="s">
        <v>32</v>
      </c>
      <c r="R22" s="18" t="s">
        <v>33</v>
      </c>
      <c r="S22" s="11" t="s">
        <v>358</v>
      </c>
      <c r="T22" s="12"/>
      <c r="U22" s="12"/>
      <c r="V22" s="12"/>
      <c r="W22" s="12"/>
    </row>
    <row r="23" spans="1:23" ht="22.5" customHeight="1">
      <c r="A23" s="20">
        <v>45927.903912037036</v>
      </c>
      <c r="B23" s="21" t="s">
        <v>384</v>
      </c>
      <c r="C23" s="38"/>
      <c r="D23" s="21" t="s">
        <v>24</v>
      </c>
      <c r="E23" s="22">
        <v>35457</v>
      </c>
      <c r="F23" s="21" t="s">
        <v>227</v>
      </c>
      <c r="G23" s="21" t="s">
        <v>209</v>
      </c>
      <c r="H23" s="21" t="s">
        <v>385</v>
      </c>
      <c r="I23" s="6" t="str">
        <f>VLOOKUP(CLEAN(F23),'World Bank Categories'!$B$4:$C$220,2,FALSE)</f>
        <v>Middle income</v>
      </c>
      <c r="J23" s="21" t="s">
        <v>386</v>
      </c>
      <c r="K23" s="21" t="s">
        <v>29</v>
      </c>
      <c r="L23" s="21" t="s">
        <v>162</v>
      </c>
      <c r="M23" s="41"/>
      <c r="N23" s="21"/>
      <c r="O23" s="21"/>
      <c r="P23" s="21" t="s">
        <v>31</v>
      </c>
      <c r="Q23" s="9" t="s">
        <v>32</v>
      </c>
      <c r="R23" s="10" t="s">
        <v>43</v>
      </c>
      <c r="S23" s="25" t="s">
        <v>384</v>
      </c>
      <c r="T23" s="27">
        <v>35457</v>
      </c>
      <c r="U23" s="25" t="s">
        <v>386</v>
      </c>
      <c r="V23" s="25" t="s">
        <v>80</v>
      </c>
      <c r="W23" s="25"/>
    </row>
    <row r="24" spans="1:23" ht="22.5" customHeight="1">
      <c r="A24" s="5">
        <v>45927.983740509255</v>
      </c>
      <c r="B24" s="6" t="s">
        <v>387</v>
      </c>
      <c r="C24" s="7"/>
      <c r="D24" s="6" t="s">
        <v>45</v>
      </c>
      <c r="E24" s="8">
        <v>31257</v>
      </c>
      <c r="F24" s="6" t="s">
        <v>388</v>
      </c>
      <c r="G24" s="6" t="s">
        <v>389</v>
      </c>
      <c r="H24" s="6" t="s">
        <v>390</v>
      </c>
      <c r="I24" s="6" t="str">
        <f>VLOOKUP(CLEAN(F24),'World Bank Categories'!$B$4:$C$220,2,FALSE)</f>
        <v>High income</v>
      </c>
      <c r="J24" s="6" t="s">
        <v>391</v>
      </c>
      <c r="K24" s="6" t="s">
        <v>39</v>
      </c>
      <c r="L24" s="6" t="s">
        <v>30</v>
      </c>
      <c r="M24" s="7"/>
      <c r="N24" s="6"/>
      <c r="O24" s="6"/>
      <c r="P24" s="6" t="s">
        <v>31</v>
      </c>
      <c r="Q24" s="9" t="s">
        <v>32</v>
      </c>
      <c r="R24" s="18" t="s">
        <v>33</v>
      </c>
      <c r="S24" s="11" t="s">
        <v>387</v>
      </c>
      <c r="T24" s="12"/>
      <c r="U24" s="12"/>
      <c r="V24" s="12"/>
      <c r="W24" s="12"/>
    </row>
    <row r="25" spans="1:23" ht="22.5" customHeight="1">
      <c r="A25" s="20">
        <v>45928.771412037036</v>
      </c>
      <c r="B25" s="21" t="s">
        <v>392</v>
      </c>
      <c r="C25" s="21"/>
      <c r="D25" s="21" t="s">
        <v>45</v>
      </c>
      <c r="E25" s="22">
        <v>38475</v>
      </c>
      <c r="F25" s="21" t="s">
        <v>393</v>
      </c>
      <c r="G25" s="21" t="s">
        <v>394</v>
      </c>
      <c r="H25" s="21" t="s">
        <v>138</v>
      </c>
      <c r="I25" s="6" t="str">
        <f>VLOOKUP(CLEAN(F25),'World Bank Categories'!$B$4:$C$220,2,FALSE)</f>
        <v>High income</v>
      </c>
      <c r="J25" s="21" t="s">
        <v>395</v>
      </c>
      <c r="K25" s="21" t="s">
        <v>29</v>
      </c>
      <c r="L25" s="21" t="s">
        <v>396</v>
      </c>
      <c r="M25" s="21" t="s">
        <v>397</v>
      </c>
      <c r="N25" s="21"/>
      <c r="O25" s="21"/>
      <c r="P25" s="21" t="s">
        <v>31</v>
      </c>
      <c r="Q25" s="9" t="s">
        <v>32</v>
      </c>
      <c r="R25" s="10" t="s">
        <v>43</v>
      </c>
      <c r="S25" s="25" t="s">
        <v>398</v>
      </c>
      <c r="T25" s="27">
        <v>38475</v>
      </c>
      <c r="U25" s="25" t="s">
        <v>395</v>
      </c>
      <c r="V25" s="25" t="s">
        <v>154</v>
      </c>
      <c r="W25" s="25"/>
    </row>
    <row r="26" spans="1:23" ht="22.5" customHeight="1">
      <c r="A26" s="20">
        <v>45929.067048611112</v>
      </c>
      <c r="B26" s="21" t="s">
        <v>399</v>
      </c>
      <c r="C26" s="21"/>
      <c r="D26" s="21" t="s">
        <v>24</v>
      </c>
      <c r="E26" s="22">
        <v>35435</v>
      </c>
      <c r="F26" s="21" t="s">
        <v>400</v>
      </c>
      <c r="G26" s="21" t="s">
        <v>401</v>
      </c>
      <c r="H26" s="21" t="s">
        <v>276</v>
      </c>
      <c r="I26" s="6" t="str">
        <f>VLOOKUP(CLEAN(F26),'World Bank Categories'!$B$4:$C$220,2,FALSE)</f>
        <v>Middle income</v>
      </c>
      <c r="J26" s="21" t="s">
        <v>402</v>
      </c>
      <c r="K26" s="21" t="s">
        <v>29</v>
      </c>
      <c r="L26" s="21" t="s">
        <v>30</v>
      </c>
      <c r="M26" s="41"/>
      <c r="N26" s="21"/>
      <c r="O26" s="21"/>
      <c r="P26" s="21" t="s">
        <v>31</v>
      </c>
      <c r="Q26" s="9" t="s">
        <v>32</v>
      </c>
      <c r="R26" s="18" t="s">
        <v>33</v>
      </c>
      <c r="S26" s="25" t="s">
        <v>403</v>
      </c>
      <c r="T26" s="27">
        <v>35435</v>
      </c>
      <c r="U26" s="25" t="s">
        <v>404</v>
      </c>
      <c r="V26" s="25" t="s">
        <v>129</v>
      </c>
      <c r="W26" s="25"/>
    </row>
    <row r="27" spans="1:23" ht="22.5" customHeight="1">
      <c r="A27" s="20">
        <v>45930.647893518515</v>
      </c>
      <c r="B27" s="21" t="s">
        <v>415</v>
      </c>
      <c r="C27" s="21"/>
      <c r="D27" s="21" t="s">
        <v>24</v>
      </c>
      <c r="E27" s="22">
        <v>25119</v>
      </c>
      <c r="F27" s="21" t="s">
        <v>416</v>
      </c>
      <c r="G27" s="21" t="s">
        <v>417</v>
      </c>
      <c r="H27" s="21" t="s">
        <v>418</v>
      </c>
      <c r="I27" s="6" t="str">
        <f>VLOOKUP(CLEAN(F27),'World Bank Categories'!$B$4:$C$220,2,FALSE)</f>
        <v>Middle income</v>
      </c>
      <c r="J27" s="21" t="s">
        <v>419</v>
      </c>
      <c r="K27" s="21" t="s">
        <v>29</v>
      </c>
      <c r="L27" s="21" t="s">
        <v>30</v>
      </c>
      <c r="M27" s="21"/>
      <c r="N27" s="21"/>
      <c r="O27" s="21"/>
      <c r="P27" s="21" t="s">
        <v>31</v>
      </c>
      <c r="Q27" s="42" t="s">
        <v>32</v>
      </c>
      <c r="R27" s="10" t="s">
        <v>33</v>
      </c>
      <c r="S27" s="25" t="s">
        <v>415</v>
      </c>
      <c r="T27" s="43">
        <v>25119</v>
      </c>
      <c r="U27" s="25" t="s">
        <v>420</v>
      </c>
      <c r="V27" s="25"/>
      <c r="W27" s="25"/>
    </row>
    <row r="28" spans="1:23" ht="22.5" customHeight="1">
      <c r="A28" s="20">
        <v>45932.03570601852</v>
      </c>
      <c r="B28" s="21" t="s">
        <v>431</v>
      </c>
      <c r="C28" s="21" t="s">
        <v>432</v>
      </c>
      <c r="D28" s="21" t="s">
        <v>45</v>
      </c>
      <c r="E28" s="22">
        <v>31339</v>
      </c>
      <c r="F28" s="21" t="s">
        <v>433</v>
      </c>
      <c r="G28" s="21" t="s">
        <v>434</v>
      </c>
      <c r="H28" s="21" t="s">
        <v>435</v>
      </c>
      <c r="I28" s="6" t="str">
        <f>VLOOKUP(CLEAN(F28),'World Bank Categories'!$B$4:$C$220,2,FALSE)</f>
        <v>Low income</v>
      </c>
      <c r="J28" s="21" t="s">
        <v>436</v>
      </c>
      <c r="K28" s="21" t="s">
        <v>29</v>
      </c>
      <c r="L28" s="21" t="s">
        <v>30</v>
      </c>
      <c r="M28" s="21"/>
      <c r="N28" s="21"/>
      <c r="O28" s="21"/>
      <c r="P28" s="21" t="s">
        <v>31</v>
      </c>
      <c r="Q28" s="9" t="s">
        <v>32</v>
      </c>
      <c r="R28" s="10" t="s">
        <v>33</v>
      </c>
      <c r="S28" s="25" t="s">
        <v>431</v>
      </c>
      <c r="T28" s="27">
        <v>31339</v>
      </c>
      <c r="U28" s="25" t="s">
        <v>436</v>
      </c>
      <c r="V28" s="25" t="s">
        <v>80</v>
      </c>
      <c r="W28" s="25"/>
    </row>
    <row r="29" spans="1:23" ht="22.5" customHeight="1">
      <c r="A29" s="20">
        <v>45933.673692129632</v>
      </c>
      <c r="B29" s="21" t="s">
        <v>448</v>
      </c>
      <c r="C29" s="21" t="s">
        <v>449</v>
      </c>
      <c r="D29" s="21" t="s">
        <v>24</v>
      </c>
      <c r="E29" s="22">
        <v>36659</v>
      </c>
      <c r="F29" s="21" t="s">
        <v>227</v>
      </c>
      <c r="G29" s="21" t="s">
        <v>446</v>
      </c>
      <c r="H29" s="21" t="s">
        <v>90</v>
      </c>
      <c r="I29" s="6" t="str">
        <f>VLOOKUP(CLEAN(F29),'World Bank Categories'!$B$4:$C$220,2,FALSE)</f>
        <v>Middle income</v>
      </c>
      <c r="J29" s="21" t="s">
        <v>450</v>
      </c>
      <c r="K29" s="21" t="s">
        <v>39</v>
      </c>
      <c r="L29" s="21" t="s">
        <v>152</v>
      </c>
      <c r="M29" s="21"/>
      <c r="N29" s="21"/>
      <c r="O29" s="21"/>
      <c r="P29" s="21" t="s">
        <v>31</v>
      </c>
      <c r="Q29" s="9" t="s">
        <v>32</v>
      </c>
      <c r="R29" s="10" t="s">
        <v>33</v>
      </c>
      <c r="S29" s="25" t="s">
        <v>448</v>
      </c>
      <c r="T29" s="27">
        <v>36659</v>
      </c>
      <c r="U29" s="25" t="s">
        <v>450</v>
      </c>
      <c r="V29" s="25" t="s">
        <v>80</v>
      </c>
      <c r="W29" s="25"/>
    </row>
    <row r="30" spans="1:23" ht="22.5" customHeight="1">
      <c r="A30" s="20">
        <v>45943.15556712963</v>
      </c>
      <c r="B30" s="21" t="s">
        <v>474</v>
      </c>
      <c r="C30" s="21"/>
      <c r="D30" s="21" t="s">
        <v>45</v>
      </c>
      <c r="E30" s="22">
        <v>26224</v>
      </c>
      <c r="F30" s="21" t="s">
        <v>475</v>
      </c>
      <c r="G30" s="21" t="s">
        <v>476</v>
      </c>
      <c r="H30" s="21" t="s">
        <v>477</v>
      </c>
      <c r="I30" s="6" t="str">
        <f>VLOOKUP(CLEAN(F30),'World Bank Categories'!$B$4:$C$220,2,FALSE)</f>
        <v>Middle income</v>
      </c>
      <c r="J30" s="21" t="s">
        <v>478</v>
      </c>
      <c r="K30" s="21" t="s">
        <v>29</v>
      </c>
      <c r="L30" s="21" t="s">
        <v>30</v>
      </c>
      <c r="M30" s="21" t="s">
        <v>479</v>
      </c>
      <c r="N30" s="21"/>
      <c r="O30" s="21"/>
      <c r="P30" s="21" t="s">
        <v>31</v>
      </c>
      <c r="Q30" s="9" t="s">
        <v>32</v>
      </c>
      <c r="R30" s="10" t="s">
        <v>17</v>
      </c>
      <c r="S30" s="25" t="s">
        <v>480</v>
      </c>
      <c r="T30" s="27">
        <v>26224</v>
      </c>
      <c r="U30" s="25" t="s">
        <v>481</v>
      </c>
      <c r="V30" s="25" t="s">
        <v>154</v>
      </c>
      <c r="W30" s="25"/>
    </row>
    <row r="31" spans="1:23" ht="22.5" customHeight="1">
      <c r="A31" s="20">
        <v>45946.596886574072</v>
      </c>
      <c r="B31" s="21" t="s">
        <v>485</v>
      </c>
      <c r="C31" s="21"/>
      <c r="D31" s="21" t="s">
        <v>24</v>
      </c>
      <c r="E31" s="22">
        <v>37372</v>
      </c>
      <c r="F31" s="21" t="s">
        <v>486</v>
      </c>
      <c r="G31" s="21" t="s">
        <v>487</v>
      </c>
      <c r="H31" s="21" t="s">
        <v>66</v>
      </c>
      <c r="I31" s="6" t="str">
        <f>VLOOKUP(CLEAN(F31),'World Bank Categories'!$B$4:$C$220,2,FALSE)</f>
        <v>High income</v>
      </c>
      <c r="J31" s="21" t="s">
        <v>488</v>
      </c>
      <c r="K31" s="21" t="s">
        <v>29</v>
      </c>
      <c r="L31" s="21" t="s">
        <v>30</v>
      </c>
      <c r="M31" s="21"/>
      <c r="N31" s="21"/>
      <c r="O31" s="21"/>
      <c r="P31" s="21" t="s">
        <v>31</v>
      </c>
      <c r="Q31" s="9" t="s">
        <v>32</v>
      </c>
      <c r="R31" s="10" t="s">
        <v>33</v>
      </c>
      <c r="S31" s="25" t="s">
        <v>489</v>
      </c>
      <c r="T31" s="27">
        <v>37372</v>
      </c>
      <c r="U31" s="25" t="s">
        <v>488</v>
      </c>
      <c r="V31" s="25" t="s">
        <v>154</v>
      </c>
      <c r="W31" s="25"/>
    </row>
    <row r="32" spans="1:23" ht="22.5" customHeight="1">
      <c r="A32" s="28">
        <v>45947.178981481484</v>
      </c>
      <c r="B32" s="29" t="s">
        <v>499</v>
      </c>
      <c r="C32" s="29"/>
      <c r="D32" s="29" t="s">
        <v>45</v>
      </c>
      <c r="E32" s="30">
        <v>33297</v>
      </c>
      <c r="F32" s="21" t="s">
        <v>88</v>
      </c>
      <c r="G32" s="29" t="s">
        <v>500</v>
      </c>
      <c r="H32" s="29" t="s">
        <v>186</v>
      </c>
      <c r="I32" s="6" t="str">
        <f>VLOOKUP(CLEAN(F32),'World Bank Categories'!$B$4:$C$220,2,FALSE)</f>
        <v>Low income</v>
      </c>
      <c r="J32" s="29" t="s">
        <v>501</v>
      </c>
      <c r="K32" s="29" t="s">
        <v>29</v>
      </c>
      <c r="L32" s="29" t="s">
        <v>30</v>
      </c>
      <c r="M32" s="29"/>
      <c r="N32" s="29"/>
      <c r="O32" s="29"/>
      <c r="P32" s="29" t="s">
        <v>31</v>
      </c>
      <c r="Q32" s="9" t="s">
        <v>32</v>
      </c>
      <c r="R32" s="18" t="s">
        <v>33</v>
      </c>
      <c r="S32" s="25" t="s">
        <v>499</v>
      </c>
      <c r="T32" s="27">
        <v>33297</v>
      </c>
      <c r="U32" s="25" t="s">
        <v>501</v>
      </c>
      <c r="V32" s="25" t="s">
        <v>80</v>
      </c>
      <c r="W32" s="25"/>
    </row>
    <row r="33" spans="1:23" ht="22.5" customHeight="1">
      <c r="A33" s="20">
        <v>45947.313321759262</v>
      </c>
      <c r="B33" s="21" t="s">
        <v>506</v>
      </c>
      <c r="C33" s="21"/>
      <c r="D33" s="21" t="s">
        <v>24</v>
      </c>
      <c r="E33" s="22">
        <v>36417</v>
      </c>
      <c r="F33" s="21" t="s">
        <v>507</v>
      </c>
      <c r="G33" s="21" t="s">
        <v>508</v>
      </c>
      <c r="H33" s="21" t="s">
        <v>509</v>
      </c>
      <c r="I33" s="6" t="str">
        <f>VLOOKUP(CLEAN(F33),'World Bank Categories'!$B$4:$C$220,2,FALSE)</f>
        <v>Middle income</v>
      </c>
      <c r="J33" s="21" t="s">
        <v>510</v>
      </c>
      <c r="K33" s="21" t="s">
        <v>29</v>
      </c>
      <c r="L33" s="21" t="s">
        <v>30</v>
      </c>
      <c r="M33" s="21"/>
      <c r="N33" s="21"/>
      <c r="O33" s="21"/>
      <c r="P33" s="21" t="s">
        <v>31</v>
      </c>
      <c r="Q33" s="9" t="s">
        <v>32</v>
      </c>
      <c r="R33" s="10" t="s">
        <v>33</v>
      </c>
      <c r="S33" s="25" t="s">
        <v>511</v>
      </c>
      <c r="T33" s="27">
        <v>36417</v>
      </c>
      <c r="U33" s="25" t="s">
        <v>510</v>
      </c>
      <c r="V33" s="25" t="s">
        <v>80</v>
      </c>
      <c r="W33" s="25"/>
    </row>
    <row r="34" spans="1:23" ht="22.5" customHeight="1">
      <c r="A34" s="20">
        <v>45947.313344907408</v>
      </c>
      <c r="B34" s="21" t="s">
        <v>512</v>
      </c>
      <c r="C34" s="21"/>
      <c r="D34" s="21" t="s">
        <v>24</v>
      </c>
      <c r="E34" s="22">
        <v>37086</v>
      </c>
      <c r="F34" s="21" t="s">
        <v>513</v>
      </c>
      <c r="G34" s="21" t="s">
        <v>514</v>
      </c>
      <c r="H34" s="21" t="s">
        <v>106</v>
      </c>
      <c r="I34" s="6" t="str">
        <f>VLOOKUP(CLEAN(F34),'World Bank Categories'!$B$4:$C$220,2,FALSE)</f>
        <v>Middle income</v>
      </c>
      <c r="J34" s="21" t="s">
        <v>515</v>
      </c>
      <c r="K34" s="21" t="s">
        <v>29</v>
      </c>
      <c r="L34" s="21" t="s">
        <v>30</v>
      </c>
      <c r="M34" s="21"/>
      <c r="N34" s="21"/>
      <c r="O34" s="21"/>
      <c r="P34" s="21" t="s">
        <v>31</v>
      </c>
      <c r="Q34" s="9" t="s">
        <v>32</v>
      </c>
      <c r="R34" s="10" t="s">
        <v>33</v>
      </c>
      <c r="S34" s="25" t="s">
        <v>516</v>
      </c>
      <c r="T34" s="27">
        <v>37086</v>
      </c>
      <c r="U34" s="25" t="s">
        <v>515</v>
      </c>
      <c r="V34" s="25" t="s">
        <v>154</v>
      </c>
      <c r="W34" s="25"/>
    </row>
    <row r="35" spans="1:23" ht="22.5" customHeight="1">
      <c r="A35" s="20">
        <v>45947.313368055555</v>
      </c>
      <c r="B35" s="21" t="s">
        <v>517</v>
      </c>
      <c r="C35" s="21"/>
      <c r="D35" s="21" t="s">
        <v>24</v>
      </c>
      <c r="E35" s="22">
        <v>33994</v>
      </c>
      <c r="F35" s="21" t="s">
        <v>507</v>
      </c>
      <c r="G35" s="21" t="s">
        <v>508</v>
      </c>
      <c r="H35" s="21" t="s">
        <v>518</v>
      </c>
      <c r="I35" s="6" t="str">
        <f>VLOOKUP(CLEAN(F35),'World Bank Categories'!$B$4:$C$220,2,FALSE)</f>
        <v>Middle income</v>
      </c>
      <c r="J35" s="21" t="s">
        <v>519</v>
      </c>
      <c r="K35" s="21" t="s">
        <v>29</v>
      </c>
      <c r="L35" s="21" t="s">
        <v>30</v>
      </c>
      <c r="M35" s="21"/>
      <c r="N35" s="21"/>
      <c r="O35" s="21"/>
      <c r="P35" s="21" t="s">
        <v>31</v>
      </c>
      <c r="Q35" s="9" t="s">
        <v>32</v>
      </c>
      <c r="R35" s="18" t="s">
        <v>33</v>
      </c>
      <c r="S35" s="25" t="s">
        <v>517</v>
      </c>
      <c r="T35" s="27">
        <v>33994</v>
      </c>
      <c r="U35" s="25" t="s">
        <v>519</v>
      </c>
      <c r="V35" s="25" t="s">
        <v>80</v>
      </c>
      <c r="W35" s="25"/>
    </row>
    <row r="36" spans="1:23" ht="22.5" customHeight="1">
      <c r="A36" s="20">
        <v>45948.297013888892</v>
      </c>
      <c r="B36" s="21" t="s">
        <v>527</v>
      </c>
      <c r="C36" s="38"/>
      <c r="D36" s="21" t="s">
        <v>45</v>
      </c>
      <c r="E36" s="22">
        <v>34126</v>
      </c>
      <c r="F36" s="21" t="s">
        <v>528</v>
      </c>
      <c r="G36" s="21" t="s">
        <v>529</v>
      </c>
      <c r="H36" s="21" t="s">
        <v>530</v>
      </c>
      <c r="I36" s="6" t="str">
        <f>VLOOKUP(CLEAN(F36),'World Bank Categories'!$B$4:$C$220,2,FALSE)</f>
        <v>Middle income</v>
      </c>
      <c r="J36" s="21" t="s">
        <v>531</v>
      </c>
      <c r="K36" s="21" t="s">
        <v>29</v>
      </c>
      <c r="L36" s="21" t="s">
        <v>30</v>
      </c>
      <c r="M36" s="21"/>
      <c r="N36" s="21"/>
      <c r="O36" s="21"/>
      <c r="P36" s="21" t="s">
        <v>31</v>
      </c>
      <c r="Q36" s="9" t="s">
        <v>32</v>
      </c>
      <c r="R36" s="18" t="s">
        <v>33</v>
      </c>
      <c r="S36" s="25" t="s">
        <v>527</v>
      </c>
      <c r="T36" s="27">
        <v>34126</v>
      </c>
      <c r="U36" s="25" t="s">
        <v>531</v>
      </c>
      <c r="V36" s="25" t="s">
        <v>80</v>
      </c>
      <c r="W36" s="25"/>
    </row>
    <row r="37" spans="1:23" ht="22.5" customHeight="1">
      <c r="A37" s="20">
        <v>45948.800138888888</v>
      </c>
      <c r="B37" s="21" t="s">
        <v>535</v>
      </c>
      <c r="C37" s="21" t="s">
        <v>536</v>
      </c>
      <c r="D37" s="21" t="s">
        <v>24</v>
      </c>
      <c r="E37" s="22">
        <v>34099</v>
      </c>
      <c r="F37" s="21" t="s">
        <v>346</v>
      </c>
      <c r="G37" s="21" t="s">
        <v>537</v>
      </c>
      <c r="H37" s="21" t="s">
        <v>538</v>
      </c>
      <c r="I37" s="6" t="str">
        <f>VLOOKUP(CLEAN(F37),'World Bank Categories'!$B$4:$C$220,2,FALSE)</f>
        <v>Middle income</v>
      </c>
      <c r="J37" s="21" t="s">
        <v>539</v>
      </c>
      <c r="K37" s="21" t="s">
        <v>29</v>
      </c>
      <c r="L37" s="21" t="s">
        <v>30</v>
      </c>
      <c r="M37" s="21"/>
      <c r="N37" s="21"/>
      <c r="O37" s="21"/>
      <c r="P37" s="21" t="s">
        <v>31</v>
      </c>
      <c r="Q37" s="9" t="s">
        <v>32</v>
      </c>
      <c r="R37" s="18" t="s">
        <v>33</v>
      </c>
      <c r="S37" s="25" t="s">
        <v>540</v>
      </c>
      <c r="T37" s="27">
        <v>34099</v>
      </c>
      <c r="U37" s="25" t="s">
        <v>539</v>
      </c>
      <c r="V37" s="25" t="s">
        <v>154</v>
      </c>
      <c r="W37" s="25"/>
    </row>
    <row r="38" spans="1:23" ht="22.5" customHeight="1">
      <c r="A38" s="20">
        <v>45949.128912037035</v>
      </c>
      <c r="B38" s="21" t="s">
        <v>544</v>
      </c>
      <c r="C38" s="38"/>
      <c r="D38" s="21" t="s">
        <v>24</v>
      </c>
      <c r="E38" s="22">
        <v>36381</v>
      </c>
      <c r="F38" s="21" t="s">
        <v>346</v>
      </c>
      <c r="G38" s="21" t="s">
        <v>545</v>
      </c>
      <c r="H38" s="21" t="s">
        <v>546</v>
      </c>
      <c r="I38" s="6" t="str">
        <f>VLOOKUP(CLEAN(F38),'World Bank Categories'!$B$4:$C$220,2,FALSE)</f>
        <v>Middle income</v>
      </c>
      <c r="J38" s="21" t="s">
        <v>547</v>
      </c>
      <c r="K38" s="21" t="s">
        <v>29</v>
      </c>
      <c r="L38" s="21" t="s">
        <v>30</v>
      </c>
      <c r="M38" s="21"/>
      <c r="N38" s="21"/>
      <c r="O38" s="21"/>
      <c r="P38" s="21" t="s">
        <v>31</v>
      </c>
      <c r="Q38" s="9" t="s">
        <v>32</v>
      </c>
      <c r="R38" s="18" t="s">
        <v>33</v>
      </c>
      <c r="S38" s="25" t="s">
        <v>544</v>
      </c>
      <c r="T38" s="27">
        <v>36381</v>
      </c>
      <c r="U38" s="25" t="s">
        <v>547</v>
      </c>
      <c r="V38" s="25" t="s">
        <v>80</v>
      </c>
      <c r="W38" s="25"/>
    </row>
    <row r="39" spans="1:23" ht="22.5" customHeight="1">
      <c r="A39" s="20">
        <v>45949.23201388889</v>
      </c>
      <c r="B39" s="21" t="s">
        <v>548</v>
      </c>
      <c r="C39" s="38"/>
      <c r="D39" s="21" t="s">
        <v>24</v>
      </c>
      <c r="E39" s="22">
        <v>37412</v>
      </c>
      <c r="F39" s="21" t="s">
        <v>528</v>
      </c>
      <c r="G39" s="21" t="s">
        <v>529</v>
      </c>
      <c r="H39" s="21" t="s">
        <v>368</v>
      </c>
      <c r="I39" s="6" t="str">
        <f>VLOOKUP(CLEAN(F39),'World Bank Categories'!$B$4:$C$220,2,FALSE)</f>
        <v>Middle income</v>
      </c>
      <c r="J39" s="21" t="s">
        <v>549</v>
      </c>
      <c r="K39" s="21" t="s">
        <v>29</v>
      </c>
      <c r="L39" s="21" t="s">
        <v>30</v>
      </c>
      <c r="M39" s="21"/>
      <c r="N39" s="21"/>
      <c r="O39" s="21"/>
      <c r="P39" s="21" t="s">
        <v>31</v>
      </c>
      <c r="Q39" s="9" t="s">
        <v>32</v>
      </c>
      <c r="R39" s="10" t="s">
        <v>33</v>
      </c>
      <c r="S39" s="25" t="s">
        <v>548</v>
      </c>
      <c r="T39" s="27">
        <v>37412</v>
      </c>
      <c r="U39" s="25" t="s">
        <v>549</v>
      </c>
      <c r="V39" s="25" t="s">
        <v>80</v>
      </c>
      <c r="W39" s="25"/>
    </row>
    <row r="40" spans="1:23" ht="22.5" customHeight="1">
      <c r="A40" s="20">
        <v>45950.12636574074</v>
      </c>
      <c r="B40" s="21" t="s">
        <v>553</v>
      </c>
      <c r="C40" s="38"/>
      <c r="D40" s="21" t="s">
        <v>45</v>
      </c>
      <c r="E40" s="22">
        <v>28979</v>
      </c>
      <c r="F40" s="21" t="s">
        <v>475</v>
      </c>
      <c r="G40" s="21" t="s">
        <v>554</v>
      </c>
      <c r="H40" s="21" t="s">
        <v>555</v>
      </c>
      <c r="I40" s="6" t="str">
        <f>VLOOKUP(CLEAN(F40),'World Bank Categories'!$B$4:$C$220,2,FALSE)</f>
        <v>Middle income</v>
      </c>
      <c r="J40" s="21" t="s">
        <v>556</v>
      </c>
      <c r="K40" s="21" t="s">
        <v>29</v>
      </c>
      <c r="L40" s="21" t="s">
        <v>30</v>
      </c>
      <c r="M40" s="21" t="s">
        <v>557</v>
      </c>
      <c r="N40" s="21"/>
      <c r="O40" s="21"/>
      <c r="P40" s="21" t="s">
        <v>31</v>
      </c>
      <c r="Q40" s="9" t="s">
        <v>32</v>
      </c>
      <c r="R40" s="10" t="s">
        <v>43</v>
      </c>
      <c r="S40" s="25" t="s">
        <v>558</v>
      </c>
      <c r="T40" s="27">
        <v>28979</v>
      </c>
      <c r="U40" s="25" t="s">
        <v>556</v>
      </c>
      <c r="V40" s="25" t="s">
        <v>154</v>
      </c>
      <c r="W40" s="25"/>
    </row>
    <row r="41" spans="1:23" ht="22.5" customHeight="1">
      <c r="A41" s="20">
        <v>45950.133796296293</v>
      </c>
      <c r="B41" s="21" t="s">
        <v>559</v>
      </c>
      <c r="C41" s="38"/>
      <c r="D41" s="21" t="s">
        <v>45</v>
      </c>
      <c r="E41" s="22">
        <v>27390</v>
      </c>
      <c r="F41" s="21" t="s">
        <v>64</v>
      </c>
      <c r="G41" s="21" t="s">
        <v>560</v>
      </c>
      <c r="H41" s="21" t="s">
        <v>561</v>
      </c>
      <c r="I41" s="6" t="str">
        <f>VLOOKUP(CLEAN(F41),'World Bank Categories'!$B$4:$C$220,2,FALSE)</f>
        <v>Middle income</v>
      </c>
      <c r="J41" s="21" t="s">
        <v>562</v>
      </c>
      <c r="K41" s="21" t="s">
        <v>29</v>
      </c>
      <c r="L41" s="21" t="s">
        <v>30</v>
      </c>
      <c r="M41" s="21"/>
      <c r="N41" s="21"/>
      <c r="O41" s="21"/>
      <c r="P41" s="21" t="s">
        <v>31</v>
      </c>
      <c r="Q41" s="9" t="s">
        <v>32</v>
      </c>
      <c r="R41" s="18" t="s">
        <v>33</v>
      </c>
      <c r="S41" s="25" t="s">
        <v>563</v>
      </c>
      <c r="T41" s="27">
        <v>27390</v>
      </c>
      <c r="U41" s="25" t="s">
        <v>562</v>
      </c>
      <c r="V41" s="25" t="s">
        <v>154</v>
      </c>
      <c r="W41" s="25"/>
    </row>
    <row r="42" spans="1:23" ht="22.5" customHeight="1">
      <c r="A42" s="20">
        <v>45951.219884259262</v>
      </c>
      <c r="B42" s="21" t="s">
        <v>568</v>
      </c>
      <c r="C42" s="21" t="s">
        <v>569</v>
      </c>
      <c r="D42" s="21" t="s">
        <v>45</v>
      </c>
      <c r="E42" s="22">
        <v>38579</v>
      </c>
      <c r="F42" s="21" t="s">
        <v>64</v>
      </c>
      <c r="G42" s="21" t="s">
        <v>570</v>
      </c>
      <c r="H42" s="21" t="s">
        <v>48</v>
      </c>
      <c r="I42" s="6" t="str">
        <f>VLOOKUP(CLEAN(F42),'World Bank Categories'!$B$4:$C$220,2,FALSE)</f>
        <v>Middle income</v>
      </c>
      <c r="J42" s="21" t="s">
        <v>571</v>
      </c>
      <c r="K42" s="21" t="s">
        <v>29</v>
      </c>
      <c r="L42" s="21" t="s">
        <v>162</v>
      </c>
      <c r="M42" s="21"/>
      <c r="N42" s="21"/>
      <c r="O42" s="21"/>
      <c r="P42" s="21" t="s">
        <v>31</v>
      </c>
      <c r="Q42" s="9" t="s">
        <v>32</v>
      </c>
      <c r="R42" s="10" t="s">
        <v>33</v>
      </c>
      <c r="S42" s="25" t="s">
        <v>568</v>
      </c>
      <c r="T42" s="27">
        <v>38579</v>
      </c>
      <c r="U42" s="25" t="s">
        <v>571</v>
      </c>
      <c r="V42" s="25" t="s">
        <v>80</v>
      </c>
      <c r="W42" s="25"/>
    </row>
    <row r="43" spans="1:23" ht="22.5" customHeight="1">
      <c r="A43" s="20">
        <v>45952.287199074075</v>
      </c>
      <c r="B43" s="21" t="s">
        <v>576</v>
      </c>
      <c r="C43" s="38"/>
      <c r="D43" s="21" t="s">
        <v>45</v>
      </c>
      <c r="E43" s="22">
        <v>35236</v>
      </c>
      <c r="F43" s="21" t="s">
        <v>208</v>
      </c>
      <c r="G43" s="21" t="s">
        <v>577</v>
      </c>
      <c r="H43" s="21" t="s">
        <v>578</v>
      </c>
      <c r="I43" s="6" t="str">
        <f>VLOOKUP(CLEAN(F43),'World Bank Categories'!$B$4:$C$220,2,FALSE)</f>
        <v>Low income</v>
      </c>
      <c r="J43" s="21" t="s">
        <v>579</v>
      </c>
      <c r="K43" s="21" t="s">
        <v>29</v>
      </c>
      <c r="L43" s="21" t="s">
        <v>30</v>
      </c>
      <c r="M43" s="21"/>
      <c r="N43" s="21"/>
      <c r="O43" s="21"/>
      <c r="P43" s="21" t="s">
        <v>31</v>
      </c>
      <c r="Q43" s="9" t="s">
        <v>32</v>
      </c>
      <c r="R43" s="18" t="s">
        <v>33</v>
      </c>
      <c r="S43" s="25" t="s">
        <v>580</v>
      </c>
      <c r="T43" s="27">
        <v>35236</v>
      </c>
      <c r="U43" s="25" t="s">
        <v>579</v>
      </c>
      <c r="V43" s="25" t="s">
        <v>80</v>
      </c>
      <c r="W43" s="25"/>
    </row>
    <row r="44" spans="1:23" ht="22.5" customHeight="1">
      <c r="A44" s="20">
        <v>45952.50922453704</v>
      </c>
      <c r="B44" s="21" t="s">
        <v>591</v>
      </c>
      <c r="C44" s="38"/>
      <c r="D44" s="21" t="s">
        <v>45</v>
      </c>
      <c r="E44" s="22">
        <v>37547</v>
      </c>
      <c r="F44" s="21" t="s">
        <v>208</v>
      </c>
      <c r="G44" s="21" t="s">
        <v>592</v>
      </c>
      <c r="H44" s="21" t="s">
        <v>66</v>
      </c>
      <c r="I44" s="6" t="str">
        <f>VLOOKUP(CLEAN(F44),'World Bank Categories'!$B$4:$C$220,2,FALSE)</f>
        <v>Low income</v>
      </c>
      <c r="J44" s="21" t="s">
        <v>593</v>
      </c>
      <c r="K44" s="21" t="s">
        <v>29</v>
      </c>
      <c r="L44" s="21" t="s">
        <v>30</v>
      </c>
      <c r="M44" s="21"/>
      <c r="N44" s="21"/>
      <c r="O44" s="21"/>
      <c r="P44" s="21" t="s">
        <v>31</v>
      </c>
      <c r="Q44" s="9" t="s">
        <v>32</v>
      </c>
      <c r="R44" s="18" t="s">
        <v>33</v>
      </c>
      <c r="S44" s="25" t="s">
        <v>591</v>
      </c>
      <c r="T44" s="27">
        <v>37182</v>
      </c>
      <c r="U44" s="25" t="s">
        <v>593</v>
      </c>
      <c r="V44" s="25" t="s">
        <v>236</v>
      </c>
      <c r="W44" s="25"/>
    </row>
    <row r="45" spans="1:23" ht="22.5" customHeight="1">
      <c r="A45" s="28">
        <v>45952.557256944441</v>
      </c>
      <c r="B45" s="29" t="s">
        <v>599</v>
      </c>
      <c r="C45" s="45"/>
      <c r="D45" s="29" t="s">
        <v>24</v>
      </c>
      <c r="E45" s="30">
        <v>29011</v>
      </c>
      <c r="F45" s="29" t="s">
        <v>198</v>
      </c>
      <c r="G45" s="29" t="s">
        <v>586</v>
      </c>
      <c r="H45" s="29" t="s">
        <v>600</v>
      </c>
      <c r="I45" s="6" t="str">
        <f>VLOOKUP(CLEAN(F45),'World Bank Categories'!$B$4:$C$220,2,FALSE)</f>
        <v>Middle income</v>
      </c>
      <c r="J45" s="29" t="s">
        <v>601</v>
      </c>
      <c r="K45" s="29" t="s">
        <v>29</v>
      </c>
      <c r="L45" s="29" t="s">
        <v>30</v>
      </c>
      <c r="M45" s="29" t="s">
        <v>602</v>
      </c>
      <c r="N45" s="29"/>
      <c r="O45" s="29"/>
      <c r="P45" s="29" t="s">
        <v>31</v>
      </c>
      <c r="Q45" s="9" t="s">
        <v>32</v>
      </c>
      <c r="R45" s="18" t="s">
        <v>33</v>
      </c>
      <c r="S45" s="25" t="s">
        <v>603</v>
      </c>
      <c r="T45" s="27">
        <v>29011</v>
      </c>
      <c r="U45" s="25" t="s">
        <v>601</v>
      </c>
      <c r="V45" s="25" t="s">
        <v>80</v>
      </c>
      <c r="W45" s="25"/>
    </row>
    <row r="46" spans="1:23" ht="22.5" customHeight="1">
      <c r="A46" s="20">
        <v>45952.739560185182</v>
      </c>
      <c r="B46" s="21" t="s">
        <v>604</v>
      </c>
      <c r="C46" s="38"/>
      <c r="D46" s="21" t="s">
        <v>24</v>
      </c>
      <c r="E46" s="22">
        <v>36498</v>
      </c>
      <c r="F46" s="21" t="s">
        <v>227</v>
      </c>
      <c r="G46" s="21" t="s">
        <v>209</v>
      </c>
      <c r="H46" s="21" t="s">
        <v>605</v>
      </c>
      <c r="I46" s="6" t="str">
        <f>VLOOKUP(CLEAN(F46),'World Bank Categories'!$B$4:$C$220,2,FALSE)</f>
        <v>Middle income</v>
      </c>
      <c r="J46" s="21" t="s">
        <v>606</v>
      </c>
      <c r="K46" s="21" t="s">
        <v>29</v>
      </c>
      <c r="L46" s="21" t="s">
        <v>162</v>
      </c>
      <c r="M46" s="21"/>
      <c r="N46" s="21"/>
      <c r="O46" s="21"/>
      <c r="P46" s="21" t="s">
        <v>31</v>
      </c>
      <c r="Q46" s="9" t="s">
        <v>32</v>
      </c>
      <c r="R46" s="10" t="s">
        <v>43</v>
      </c>
      <c r="S46" s="25" t="s">
        <v>604</v>
      </c>
      <c r="T46" s="27">
        <v>36498</v>
      </c>
      <c r="U46" s="25" t="s">
        <v>606</v>
      </c>
      <c r="V46" s="25" t="s">
        <v>80</v>
      </c>
      <c r="W46" s="25"/>
    </row>
    <row r="47" spans="1:23" ht="22.5" customHeight="1">
      <c r="A47" s="20">
        <v>45952.831932870373</v>
      </c>
      <c r="B47" s="21" t="s">
        <v>611</v>
      </c>
      <c r="C47" s="38"/>
      <c r="D47" s="21" t="s">
        <v>24</v>
      </c>
      <c r="E47" s="22">
        <v>37163</v>
      </c>
      <c r="F47" s="21" t="s">
        <v>612</v>
      </c>
      <c r="G47" s="21" t="s">
        <v>613</v>
      </c>
      <c r="H47" s="21" t="s">
        <v>614</v>
      </c>
      <c r="I47" s="6" t="str">
        <f>VLOOKUP(CLEAN(F47),'World Bank Categories'!$B$4:$C$220,2,FALSE)</f>
        <v>Low income</v>
      </c>
      <c r="J47" s="21" t="s">
        <v>615</v>
      </c>
      <c r="K47" s="21" t="s">
        <v>29</v>
      </c>
      <c r="L47" s="21" t="s">
        <v>30</v>
      </c>
      <c r="M47" s="21"/>
      <c r="N47" s="21"/>
      <c r="O47" s="21"/>
      <c r="P47" s="21" t="s">
        <v>31</v>
      </c>
      <c r="Q47" s="9" t="s">
        <v>32</v>
      </c>
      <c r="R47" s="18" t="s">
        <v>33</v>
      </c>
      <c r="S47" s="25" t="s">
        <v>616</v>
      </c>
      <c r="T47" s="27">
        <v>37163</v>
      </c>
      <c r="U47" s="25" t="s">
        <v>615</v>
      </c>
      <c r="V47" s="25" t="s">
        <v>80</v>
      </c>
      <c r="W47" s="25"/>
    </row>
    <row r="48" spans="1:23" ht="22.5" customHeight="1">
      <c r="A48" s="20">
        <v>45952.890497685185</v>
      </c>
      <c r="B48" s="21" t="s">
        <v>617</v>
      </c>
      <c r="C48" s="38"/>
      <c r="D48" s="21" t="s">
        <v>24</v>
      </c>
      <c r="E48" s="22">
        <v>34219</v>
      </c>
      <c r="F48" s="21" t="s">
        <v>227</v>
      </c>
      <c r="G48" s="21" t="s">
        <v>618</v>
      </c>
      <c r="H48" s="21" t="s">
        <v>619</v>
      </c>
      <c r="I48" s="6" t="str">
        <f>VLOOKUP(CLEAN(F48),'World Bank Categories'!$B$4:$C$220,2,FALSE)</f>
        <v>Middle income</v>
      </c>
      <c r="J48" s="21" t="s">
        <v>620</v>
      </c>
      <c r="K48" s="21" t="s">
        <v>39</v>
      </c>
      <c r="L48" s="21" t="s">
        <v>621</v>
      </c>
      <c r="M48" s="21"/>
      <c r="N48" s="21"/>
      <c r="O48" s="21"/>
      <c r="P48" s="21" t="s">
        <v>31</v>
      </c>
      <c r="Q48" s="9" t="s">
        <v>32</v>
      </c>
      <c r="R48" s="10" t="s">
        <v>33</v>
      </c>
      <c r="S48" s="25" t="s">
        <v>617</v>
      </c>
      <c r="T48" s="27">
        <v>34219</v>
      </c>
      <c r="U48" s="25" t="s">
        <v>620</v>
      </c>
      <c r="V48" s="25" t="s">
        <v>80</v>
      </c>
      <c r="W48" s="25"/>
    </row>
    <row r="49" spans="1:23" ht="22.5" customHeight="1">
      <c r="A49" s="20">
        <v>45952.990497685183</v>
      </c>
      <c r="B49" s="21" t="s">
        <v>622</v>
      </c>
      <c r="C49" s="38"/>
      <c r="D49" s="21" t="s">
        <v>24</v>
      </c>
      <c r="E49" s="22">
        <v>35438</v>
      </c>
      <c r="F49" s="21" t="s">
        <v>623</v>
      </c>
      <c r="G49" s="21" t="s">
        <v>624</v>
      </c>
      <c r="H49" s="21" t="s">
        <v>625</v>
      </c>
      <c r="I49" s="6" t="str">
        <f>VLOOKUP(CLEAN(F49),'World Bank Categories'!$B$4:$C$220,2,FALSE)</f>
        <v>Middle income</v>
      </c>
      <c r="J49" s="21" t="s">
        <v>626</v>
      </c>
      <c r="K49" s="21" t="s">
        <v>39</v>
      </c>
      <c r="L49" s="21" t="s">
        <v>621</v>
      </c>
      <c r="M49" s="21"/>
      <c r="N49" s="21"/>
      <c r="O49" s="21"/>
      <c r="P49" s="21" t="s">
        <v>31</v>
      </c>
      <c r="Q49" s="9" t="s">
        <v>32</v>
      </c>
      <c r="R49" s="18" t="s">
        <v>33</v>
      </c>
      <c r="S49" s="25" t="s">
        <v>627</v>
      </c>
      <c r="T49" s="27">
        <v>35438</v>
      </c>
      <c r="U49" s="25" t="s">
        <v>626</v>
      </c>
      <c r="V49" s="25" t="s">
        <v>154</v>
      </c>
      <c r="W49" s="25"/>
    </row>
    <row r="50" spans="1:23" ht="22.5" customHeight="1">
      <c r="A50" s="20">
        <v>45953.025266203702</v>
      </c>
      <c r="B50" s="21" t="s">
        <v>628</v>
      </c>
      <c r="C50" s="38"/>
      <c r="D50" s="21" t="s">
        <v>24</v>
      </c>
      <c r="E50" s="22">
        <v>23483</v>
      </c>
      <c r="F50" s="21" t="s">
        <v>623</v>
      </c>
      <c r="G50" s="21" t="s">
        <v>629</v>
      </c>
      <c r="H50" s="21" t="s">
        <v>630</v>
      </c>
      <c r="I50" s="6" t="str">
        <f>VLOOKUP(CLEAN(F50),'World Bank Categories'!$B$4:$C$220,2,FALSE)</f>
        <v>Middle income</v>
      </c>
      <c r="J50" s="21" t="s">
        <v>631</v>
      </c>
      <c r="K50" s="21" t="s">
        <v>29</v>
      </c>
      <c r="L50" s="21" t="s">
        <v>30</v>
      </c>
      <c r="M50" s="21" t="s">
        <v>632</v>
      </c>
      <c r="N50" s="21"/>
      <c r="O50" s="21"/>
      <c r="P50" s="21" t="s">
        <v>31</v>
      </c>
      <c r="Q50" s="9" t="s">
        <v>32</v>
      </c>
      <c r="R50" s="10" t="s">
        <v>33</v>
      </c>
      <c r="S50" s="25" t="s">
        <v>633</v>
      </c>
      <c r="T50" s="27">
        <v>22752</v>
      </c>
      <c r="U50" s="25" t="s">
        <v>631</v>
      </c>
      <c r="V50" s="25" t="s">
        <v>114</v>
      </c>
      <c r="W50" s="25"/>
    </row>
    <row r="51" spans="1:23" ht="22.5" customHeight="1">
      <c r="A51" s="20">
        <v>45953.919502314813</v>
      </c>
      <c r="B51" s="21" t="s">
        <v>638</v>
      </c>
      <c r="C51" s="38"/>
      <c r="D51" s="21" t="s">
        <v>45</v>
      </c>
      <c r="E51" s="22">
        <v>31262</v>
      </c>
      <c r="F51" s="21" t="s">
        <v>227</v>
      </c>
      <c r="G51" s="21" t="s">
        <v>639</v>
      </c>
      <c r="H51" s="21" t="s">
        <v>640</v>
      </c>
      <c r="I51" s="6" t="str">
        <f>VLOOKUP(CLEAN(F51),'World Bank Categories'!$B$4:$C$220,2,FALSE)</f>
        <v>Middle income</v>
      </c>
      <c r="J51" s="21" t="s">
        <v>641</v>
      </c>
      <c r="K51" s="21" t="s">
        <v>39</v>
      </c>
      <c r="L51" s="21" t="s">
        <v>30</v>
      </c>
      <c r="M51" s="21"/>
      <c r="N51" s="21"/>
      <c r="O51" s="21"/>
      <c r="P51" s="21" t="s">
        <v>31</v>
      </c>
      <c r="Q51" s="9" t="s">
        <v>32</v>
      </c>
      <c r="R51" s="10" t="s">
        <v>33</v>
      </c>
      <c r="S51" s="25" t="s">
        <v>638</v>
      </c>
      <c r="T51" s="27">
        <v>31262</v>
      </c>
      <c r="U51" s="25" t="s">
        <v>641</v>
      </c>
      <c r="V51" s="25" t="s">
        <v>80</v>
      </c>
      <c r="W51" s="25"/>
    </row>
    <row r="52" spans="1:23" ht="22.5" customHeight="1">
      <c r="A52" s="20">
        <v>45954.066493055558</v>
      </c>
      <c r="B52" s="21" t="s">
        <v>642</v>
      </c>
      <c r="C52" s="38"/>
      <c r="D52" s="21" t="s">
        <v>24</v>
      </c>
      <c r="E52" s="22">
        <v>36855</v>
      </c>
      <c r="F52" s="21" t="s">
        <v>208</v>
      </c>
      <c r="G52" s="21" t="s">
        <v>643</v>
      </c>
      <c r="H52" s="21" t="s">
        <v>98</v>
      </c>
      <c r="I52" s="6" t="str">
        <f>VLOOKUP(CLEAN(F52),'World Bank Categories'!$B$4:$C$220,2,FALSE)</f>
        <v>Low income</v>
      </c>
      <c r="J52" s="21" t="s">
        <v>644</v>
      </c>
      <c r="K52" s="21" t="s">
        <v>29</v>
      </c>
      <c r="L52" s="32">
        <v>46203</v>
      </c>
      <c r="M52" s="21"/>
      <c r="N52" s="21"/>
      <c r="O52" s="21"/>
      <c r="P52" s="21" t="s">
        <v>31</v>
      </c>
      <c r="Q52" s="9" t="s">
        <v>32</v>
      </c>
      <c r="R52" s="18" t="s">
        <v>33</v>
      </c>
      <c r="S52" s="25" t="s">
        <v>642</v>
      </c>
      <c r="T52" s="27">
        <v>36855</v>
      </c>
      <c r="U52" s="25" t="s">
        <v>644</v>
      </c>
      <c r="V52" s="25" t="s">
        <v>80</v>
      </c>
      <c r="W52" s="25"/>
    </row>
    <row r="53" spans="1:23" ht="22.5" customHeight="1">
      <c r="A53" s="20">
        <v>45955.198657407411</v>
      </c>
      <c r="B53" s="21" t="s">
        <v>663</v>
      </c>
      <c r="C53" s="38"/>
      <c r="D53" s="21" t="s">
        <v>24</v>
      </c>
      <c r="E53" s="22">
        <v>36376</v>
      </c>
      <c r="F53" s="21" t="s">
        <v>52</v>
      </c>
      <c r="G53" s="21" t="s">
        <v>664</v>
      </c>
      <c r="H53" s="21" t="s">
        <v>66</v>
      </c>
      <c r="I53" s="6" t="str">
        <f>VLOOKUP(CLEAN(F53),'World Bank Categories'!$B$4:$C$220,2,FALSE)</f>
        <v>Middle income</v>
      </c>
      <c r="J53" s="21" t="s">
        <v>665</v>
      </c>
      <c r="K53" s="21" t="s">
        <v>29</v>
      </c>
      <c r="L53" s="21" t="s">
        <v>30</v>
      </c>
      <c r="M53" s="21"/>
      <c r="N53" s="21"/>
      <c r="O53" s="21"/>
      <c r="P53" s="21" t="s">
        <v>31</v>
      </c>
      <c r="Q53" s="9" t="s">
        <v>32</v>
      </c>
      <c r="R53" s="10" t="s">
        <v>33</v>
      </c>
      <c r="S53" s="25" t="s">
        <v>663</v>
      </c>
      <c r="T53" s="27">
        <v>36376</v>
      </c>
      <c r="U53" s="25" t="s">
        <v>666</v>
      </c>
      <c r="V53" s="25" t="s">
        <v>80</v>
      </c>
      <c r="W53" s="25"/>
    </row>
    <row r="54" spans="1:23" ht="22.5" customHeight="1">
      <c r="A54" s="46">
        <v>45957.161712962959</v>
      </c>
      <c r="B54" s="47" t="s">
        <v>677</v>
      </c>
      <c r="C54" s="48"/>
      <c r="D54" s="47" t="s">
        <v>24</v>
      </c>
      <c r="E54" s="49">
        <v>36253</v>
      </c>
      <c r="F54" s="47" t="s">
        <v>678</v>
      </c>
      <c r="G54" s="47" t="s">
        <v>679</v>
      </c>
      <c r="H54" s="47" t="s">
        <v>680</v>
      </c>
      <c r="I54" s="6" t="str">
        <f>VLOOKUP(CLEAN(F54),'World Bank Categories'!$B$4:$C$220,2,FALSE)</f>
        <v>Middle income</v>
      </c>
      <c r="J54" s="47" t="s">
        <v>681</v>
      </c>
      <c r="K54" s="47" t="s">
        <v>29</v>
      </c>
      <c r="L54" s="47" t="s">
        <v>30</v>
      </c>
      <c r="M54" s="47"/>
      <c r="N54" s="47"/>
      <c r="O54" s="47"/>
      <c r="P54" s="47" t="s">
        <v>31</v>
      </c>
      <c r="Q54" s="9" t="s">
        <v>32</v>
      </c>
      <c r="R54" s="18" t="s">
        <v>17</v>
      </c>
      <c r="S54" s="25" t="s">
        <v>682</v>
      </c>
      <c r="T54" s="27">
        <v>36253</v>
      </c>
      <c r="U54" s="25" t="s">
        <v>681</v>
      </c>
      <c r="V54" s="25" t="s">
        <v>80</v>
      </c>
      <c r="W54" s="25"/>
    </row>
    <row r="55" spans="1:23" ht="22.5" customHeight="1">
      <c r="A55" s="20">
        <v>45957.261435185188</v>
      </c>
      <c r="B55" s="21" t="s">
        <v>688</v>
      </c>
      <c r="C55" s="38"/>
      <c r="D55" s="21" t="s">
        <v>45</v>
      </c>
      <c r="E55" s="22">
        <v>35712</v>
      </c>
      <c r="F55" s="21" t="s">
        <v>64</v>
      </c>
      <c r="G55" s="21" t="s">
        <v>689</v>
      </c>
      <c r="H55" s="21" t="s">
        <v>111</v>
      </c>
      <c r="I55" s="6" t="str">
        <f>VLOOKUP(CLEAN(F55),'World Bank Categories'!$B$4:$C$220,2,FALSE)</f>
        <v>Middle income</v>
      </c>
      <c r="J55" s="21" t="s">
        <v>690</v>
      </c>
      <c r="K55" s="21" t="s">
        <v>29</v>
      </c>
      <c r="L55" s="21" t="s">
        <v>30</v>
      </c>
      <c r="M55" s="21"/>
      <c r="N55" s="21"/>
      <c r="O55" s="21"/>
      <c r="P55" s="21" t="s">
        <v>31</v>
      </c>
      <c r="Q55" s="9" t="s">
        <v>32</v>
      </c>
      <c r="R55" s="18" t="s">
        <v>33</v>
      </c>
      <c r="S55" s="25" t="s">
        <v>691</v>
      </c>
      <c r="T55" s="27">
        <v>35712</v>
      </c>
      <c r="U55" s="25" t="s">
        <v>690</v>
      </c>
      <c r="V55" s="25" t="s">
        <v>154</v>
      </c>
      <c r="W55" s="25"/>
    </row>
    <row r="56" spans="1:23" ht="22.5" customHeight="1">
      <c r="A56" s="20">
        <v>45957.283680555556</v>
      </c>
      <c r="B56" s="21" t="s">
        <v>692</v>
      </c>
      <c r="C56" s="38"/>
      <c r="D56" s="21" t="s">
        <v>45</v>
      </c>
      <c r="E56" s="22">
        <v>30098</v>
      </c>
      <c r="F56" s="21" t="s">
        <v>64</v>
      </c>
      <c r="G56" s="21" t="s">
        <v>693</v>
      </c>
      <c r="H56" s="21" t="s">
        <v>694</v>
      </c>
      <c r="I56" s="6" t="str">
        <f>VLOOKUP(CLEAN(F56),'World Bank Categories'!$B$4:$C$220,2,FALSE)</f>
        <v>Middle income</v>
      </c>
      <c r="J56" s="21" t="s">
        <v>695</v>
      </c>
      <c r="K56" s="21" t="s">
        <v>29</v>
      </c>
      <c r="L56" s="21" t="s">
        <v>30</v>
      </c>
      <c r="M56" s="21"/>
      <c r="N56" s="21"/>
      <c r="O56" s="21"/>
      <c r="P56" s="21" t="s">
        <v>31</v>
      </c>
      <c r="Q56" s="9" t="s">
        <v>32</v>
      </c>
      <c r="R56" s="10" t="s">
        <v>33</v>
      </c>
      <c r="S56" s="25" t="s">
        <v>696</v>
      </c>
      <c r="T56" s="27">
        <v>30098</v>
      </c>
      <c r="U56" s="25" t="s">
        <v>695</v>
      </c>
      <c r="V56" s="25" t="s">
        <v>80</v>
      </c>
      <c r="W56" s="25"/>
    </row>
    <row r="57" spans="1:23" ht="22.5" customHeight="1">
      <c r="A57" s="20">
        <v>45957.460034722222</v>
      </c>
      <c r="B57" s="21" t="s">
        <v>697</v>
      </c>
      <c r="C57" s="38"/>
      <c r="D57" s="21" t="s">
        <v>45</v>
      </c>
      <c r="E57" s="22">
        <v>35773</v>
      </c>
      <c r="F57" s="21" t="s">
        <v>64</v>
      </c>
      <c r="G57" s="21" t="s">
        <v>698</v>
      </c>
      <c r="H57" s="21" t="s">
        <v>276</v>
      </c>
      <c r="I57" s="6" t="str">
        <f>VLOOKUP(CLEAN(F57),'World Bank Categories'!$B$4:$C$220,2,FALSE)</f>
        <v>Middle income</v>
      </c>
      <c r="J57" s="21" t="s">
        <v>699</v>
      </c>
      <c r="K57" s="21" t="s">
        <v>29</v>
      </c>
      <c r="L57" s="21" t="s">
        <v>30</v>
      </c>
      <c r="M57" s="21"/>
      <c r="N57" s="21"/>
      <c r="O57" s="21"/>
      <c r="P57" s="21" t="s">
        <v>31</v>
      </c>
      <c r="Q57" s="9" t="s">
        <v>32</v>
      </c>
      <c r="R57" s="18" t="s">
        <v>33</v>
      </c>
      <c r="S57" s="25" t="s">
        <v>700</v>
      </c>
      <c r="T57" s="27">
        <v>35773</v>
      </c>
      <c r="U57" s="25" t="s">
        <v>699</v>
      </c>
      <c r="V57" s="25" t="s">
        <v>80</v>
      </c>
      <c r="W57" s="25"/>
    </row>
    <row r="58" spans="1:23" ht="22.5" customHeight="1">
      <c r="A58" s="20">
        <v>45958.564745370371</v>
      </c>
      <c r="B58" s="21" t="s">
        <v>709</v>
      </c>
      <c r="C58" s="38"/>
      <c r="D58" s="21" t="s">
        <v>24</v>
      </c>
      <c r="E58" s="22">
        <v>27940</v>
      </c>
      <c r="F58" s="21" t="s">
        <v>227</v>
      </c>
      <c r="G58" s="21" t="s">
        <v>710</v>
      </c>
      <c r="H58" s="21" t="s">
        <v>711</v>
      </c>
      <c r="I58" s="6" t="str">
        <f>VLOOKUP(CLEAN(F58),'World Bank Categories'!$B$4:$C$220,2,FALSE)</f>
        <v>Middle income</v>
      </c>
      <c r="J58" s="21" t="s">
        <v>712</v>
      </c>
      <c r="K58" s="21" t="s">
        <v>29</v>
      </c>
      <c r="L58" s="21" t="s">
        <v>162</v>
      </c>
      <c r="M58" s="21"/>
      <c r="N58" s="21"/>
      <c r="O58" s="21"/>
      <c r="P58" s="21" t="s">
        <v>31</v>
      </c>
      <c r="Q58" s="9" t="s">
        <v>32</v>
      </c>
      <c r="R58" s="10" t="s">
        <v>33</v>
      </c>
      <c r="S58" s="25" t="s">
        <v>709</v>
      </c>
      <c r="T58" s="27">
        <v>27940</v>
      </c>
      <c r="U58" s="25" t="s">
        <v>712</v>
      </c>
      <c r="V58" s="25" t="s">
        <v>80</v>
      </c>
      <c r="W58" s="25"/>
    </row>
    <row r="59" spans="1:23" ht="22.5" customHeight="1">
      <c r="A59" s="20">
        <v>45958.776678240742</v>
      </c>
      <c r="B59" s="21" t="s">
        <v>713</v>
      </c>
      <c r="C59" s="38"/>
      <c r="D59" s="21" t="s">
        <v>45</v>
      </c>
      <c r="E59" s="22">
        <v>31409</v>
      </c>
      <c r="F59" s="21" t="s">
        <v>64</v>
      </c>
      <c r="G59" s="21" t="s">
        <v>714</v>
      </c>
      <c r="H59" s="21" t="s">
        <v>715</v>
      </c>
      <c r="I59" s="6" t="str">
        <f>VLOOKUP(CLEAN(F59),'World Bank Categories'!$B$4:$C$220,2,FALSE)</f>
        <v>Middle income</v>
      </c>
      <c r="J59" s="21" t="s">
        <v>716</v>
      </c>
      <c r="K59" s="21" t="s">
        <v>29</v>
      </c>
      <c r="L59" s="21" t="s">
        <v>30</v>
      </c>
      <c r="M59" s="21"/>
      <c r="N59" s="21"/>
      <c r="O59" s="21"/>
      <c r="P59" s="21" t="s">
        <v>31</v>
      </c>
      <c r="Q59" s="9" t="s">
        <v>32</v>
      </c>
      <c r="R59" s="18" t="s">
        <v>33</v>
      </c>
      <c r="S59" s="25" t="s">
        <v>713</v>
      </c>
      <c r="T59" s="27">
        <v>31409</v>
      </c>
      <c r="U59" s="25" t="s">
        <v>716</v>
      </c>
      <c r="V59" s="25" t="s">
        <v>80</v>
      </c>
      <c r="W59" s="25"/>
    </row>
    <row r="60" spans="1:23" ht="22.5" customHeight="1">
      <c r="A60" s="20">
        <v>45958.989363425928</v>
      </c>
      <c r="B60" s="21" t="s">
        <v>717</v>
      </c>
      <c r="C60" s="38"/>
      <c r="D60" s="21" t="s">
        <v>24</v>
      </c>
      <c r="E60" s="22">
        <v>34612</v>
      </c>
      <c r="F60" s="21" t="s">
        <v>70</v>
      </c>
      <c r="G60" s="21" t="s">
        <v>718</v>
      </c>
      <c r="H60" s="21" t="s">
        <v>719</v>
      </c>
      <c r="I60" s="6" t="str">
        <f>VLOOKUP(CLEAN(F60),'World Bank Categories'!$B$4:$C$220,2,FALSE)</f>
        <v>Middle income</v>
      </c>
      <c r="J60" s="21" t="s">
        <v>720</v>
      </c>
      <c r="K60" s="21" t="s">
        <v>29</v>
      </c>
      <c r="L60" s="32">
        <v>46202</v>
      </c>
      <c r="M60" s="21"/>
      <c r="N60" s="21"/>
      <c r="O60" s="21"/>
      <c r="P60" s="21" t="s">
        <v>31</v>
      </c>
      <c r="Q60" s="9" t="s">
        <v>32</v>
      </c>
      <c r="R60" s="10" t="s">
        <v>33</v>
      </c>
      <c r="S60" s="25" t="s">
        <v>721</v>
      </c>
      <c r="T60" s="27">
        <v>34612</v>
      </c>
      <c r="U60" s="25" t="s">
        <v>720</v>
      </c>
      <c r="V60" s="25" t="s">
        <v>722</v>
      </c>
      <c r="W60" s="25"/>
    </row>
    <row r="61" spans="1:23" ht="22.5" customHeight="1">
      <c r="A61" s="20">
        <v>45961.094328703701</v>
      </c>
      <c r="B61" s="21" t="s">
        <v>728</v>
      </c>
      <c r="C61" s="38"/>
      <c r="D61" s="21" t="s">
        <v>45</v>
      </c>
      <c r="E61" s="22">
        <v>36016</v>
      </c>
      <c r="F61" s="21" t="s">
        <v>70</v>
      </c>
      <c r="G61" s="21" t="s">
        <v>729</v>
      </c>
      <c r="H61" s="21" t="s">
        <v>186</v>
      </c>
      <c r="I61" s="6" t="str">
        <f>VLOOKUP(CLEAN(F61),'World Bank Categories'!$B$4:$C$220,2,FALSE)</f>
        <v>Middle income</v>
      </c>
      <c r="J61" s="21" t="s">
        <v>730</v>
      </c>
      <c r="K61" s="21" t="s">
        <v>29</v>
      </c>
      <c r="L61" s="21" t="s">
        <v>30</v>
      </c>
      <c r="M61" s="21"/>
      <c r="N61" s="21"/>
      <c r="O61" s="21"/>
      <c r="P61" s="21" t="s">
        <v>31</v>
      </c>
      <c r="Q61" s="9" t="s">
        <v>32</v>
      </c>
      <c r="R61" s="10" t="s">
        <v>33</v>
      </c>
      <c r="S61" s="25" t="s">
        <v>728</v>
      </c>
      <c r="T61" s="27">
        <v>36016</v>
      </c>
      <c r="U61" s="25" t="s">
        <v>730</v>
      </c>
      <c r="V61" s="25" t="s">
        <v>80</v>
      </c>
      <c r="W61" s="25"/>
    </row>
    <row r="62" spans="1:23" ht="22.5" customHeight="1">
      <c r="A62" s="13">
        <v>45962.906888379628</v>
      </c>
      <c r="B62" s="14" t="s">
        <v>740</v>
      </c>
      <c r="C62" s="15"/>
      <c r="D62" s="14" t="s">
        <v>45</v>
      </c>
      <c r="E62" s="16">
        <v>32013</v>
      </c>
      <c r="F62" s="14" t="s">
        <v>52</v>
      </c>
      <c r="G62" s="14" t="s">
        <v>741</v>
      </c>
      <c r="H62" s="14" t="s">
        <v>186</v>
      </c>
      <c r="I62" s="6" t="str">
        <f>VLOOKUP(CLEAN(F62),'World Bank Categories'!$B$4:$C$220,2,FALSE)</f>
        <v>Middle income</v>
      </c>
      <c r="J62" s="14" t="s">
        <v>742</v>
      </c>
      <c r="K62" s="14" t="s">
        <v>29</v>
      </c>
      <c r="L62" s="14" t="s">
        <v>30</v>
      </c>
      <c r="M62" s="15"/>
      <c r="N62" s="14"/>
      <c r="O62" s="14"/>
      <c r="P62" s="14" t="s">
        <v>31</v>
      </c>
      <c r="Q62" s="9" t="s">
        <v>32</v>
      </c>
      <c r="R62" s="10" t="s">
        <v>33</v>
      </c>
      <c r="S62" s="19" t="s">
        <v>740</v>
      </c>
      <c r="T62" s="12"/>
      <c r="U62" s="12"/>
      <c r="V62" s="12"/>
      <c r="W62" s="12"/>
    </row>
    <row r="63" spans="1:23" ht="22.5" customHeight="1">
      <c r="A63" s="20">
        <v>45964.769606481481</v>
      </c>
      <c r="B63" s="21" t="s">
        <v>748</v>
      </c>
      <c r="C63" s="38"/>
      <c r="D63" s="21" t="s">
        <v>24</v>
      </c>
      <c r="E63" s="22">
        <v>37380</v>
      </c>
      <c r="F63" s="21" t="s">
        <v>208</v>
      </c>
      <c r="G63" s="21" t="s">
        <v>452</v>
      </c>
      <c r="H63" s="21" t="s">
        <v>66</v>
      </c>
      <c r="I63" s="6" t="str">
        <f>VLOOKUP(CLEAN(F63),'World Bank Categories'!$B$4:$C$220,2,FALSE)</f>
        <v>Low income</v>
      </c>
      <c r="J63" s="21" t="s">
        <v>749</v>
      </c>
      <c r="K63" s="21" t="s">
        <v>29</v>
      </c>
      <c r="L63" s="21" t="s">
        <v>30</v>
      </c>
      <c r="M63" s="21"/>
      <c r="N63" s="21"/>
      <c r="O63" s="21"/>
      <c r="P63" s="21" t="s">
        <v>31</v>
      </c>
      <c r="Q63" s="9" t="s">
        <v>32</v>
      </c>
      <c r="R63" s="18" t="s">
        <v>33</v>
      </c>
      <c r="S63" s="25" t="s">
        <v>748</v>
      </c>
      <c r="T63" s="27">
        <v>45781</v>
      </c>
      <c r="U63" s="25" t="s">
        <v>749</v>
      </c>
      <c r="V63" s="25" t="s">
        <v>236</v>
      </c>
      <c r="W63" s="25"/>
    </row>
    <row r="64" spans="1:23" ht="22.5" customHeight="1">
      <c r="A64" s="20">
        <v>45965.19090277778</v>
      </c>
      <c r="B64" s="21" t="s">
        <v>750</v>
      </c>
      <c r="C64" s="38"/>
      <c r="D64" s="21" t="s">
        <v>45</v>
      </c>
      <c r="E64" s="22">
        <v>28467</v>
      </c>
      <c r="F64" s="21" t="s">
        <v>751</v>
      </c>
      <c r="G64" s="21" t="s">
        <v>209</v>
      </c>
      <c r="H64" s="21" t="s">
        <v>186</v>
      </c>
      <c r="I64" s="6" t="str">
        <f>VLOOKUP(CLEAN(F64),'World Bank Categories'!$B$4:$C$220,2,FALSE)</f>
        <v>Low income</v>
      </c>
      <c r="J64" s="21" t="s">
        <v>752</v>
      </c>
      <c r="K64" s="21" t="s">
        <v>29</v>
      </c>
      <c r="L64" s="21" t="s">
        <v>30</v>
      </c>
      <c r="M64" s="21"/>
      <c r="N64" s="21"/>
      <c r="O64" s="21"/>
      <c r="P64" s="21" t="s">
        <v>31</v>
      </c>
      <c r="Q64" s="9" t="s">
        <v>32</v>
      </c>
      <c r="R64" s="10" t="s">
        <v>33</v>
      </c>
      <c r="S64" s="25" t="s">
        <v>750</v>
      </c>
      <c r="T64" s="27">
        <v>28467</v>
      </c>
      <c r="U64" s="25" t="s">
        <v>752</v>
      </c>
      <c r="V64" s="25" t="s">
        <v>80</v>
      </c>
      <c r="W64" s="25"/>
    </row>
    <row r="65" spans="1:23" ht="22.5" customHeight="1">
      <c r="A65" s="20">
        <v>45965.231990740744</v>
      </c>
      <c r="B65" s="21" t="s">
        <v>757</v>
      </c>
      <c r="C65" s="38"/>
      <c r="D65" s="21" t="s">
        <v>45</v>
      </c>
      <c r="E65" s="22">
        <v>32128</v>
      </c>
      <c r="F65" s="21" t="s">
        <v>751</v>
      </c>
      <c r="G65" s="21" t="s">
        <v>758</v>
      </c>
      <c r="H65" s="21" t="s">
        <v>759</v>
      </c>
      <c r="I65" s="6" t="str">
        <f>VLOOKUP(CLEAN(F65),'World Bank Categories'!$B$4:$C$220,2,FALSE)</f>
        <v>Low income</v>
      </c>
      <c r="J65" s="21" t="s">
        <v>760</v>
      </c>
      <c r="K65" s="21" t="s">
        <v>29</v>
      </c>
      <c r="L65" s="21" t="s">
        <v>30</v>
      </c>
      <c r="M65" s="21"/>
      <c r="N65" s="21"/>
      <c r="O65" s="21"/>
      <c r="P65" s="21" t="s">
        <v>31</v>
      </c>
      <c r="Q65" s="9" t="s">
        <v>32</v>
      </c>
      <c r="R65" s="18" t="s">
        <v>33</v>
      </c>
      <c r="S65" s="25" t="s">
        <v>761</v>
      </c>
      <c r="T65" s="27">
        <v>32128</v>
      </c>
      <c r="U65" s="25" t="s">
        <v>760</v>
      </c>
      <c r="V65" s="25" t="s">
        <v>80</v>
      </c>
      <c r="W65" s="25"/>
    </row>
    <row r="66" spans="1:23" ht="22.5" customHeight="1">
      <c r="A66" s="20">
        <v>45965.376875000002</v>
      </c>
      <c r="B66" s="21" t="s">
        <v>762</v>
      </c>
      <c r="C66" s="38"/>
      <c r="D66" s="21" t="s">
        <v>45</v>
      </c>
      <c r="E66" s="22">
        <v>34722</v>
      </c>
      <c r="F66" s="21" t="s">
        <v>751</v>
      </c>
      <c r="G66" s="21" t="s">
        <v>763</v>
      </c>
      <c r="H66" s="21" t="s">
        <v>111</v>
      </c>
      <c r="I66" s="6" t="str">
        <f>VLOOKUP(CLEAN(F66),'World Bank Categories'!$B$4:$C$220,2,FALSE)</f>
        <v>Low income</v>
      </c>
      <c r="J66" s="21" t="s">
        <v>764</v>
      </c>
      <c r="K66" s="21" t="s">
        <v>29</v>
      </c>
      <c r="L66" s="21" t="s">
        <v>30</v>
      </c>
      <c r="M66" s="21"/>
      <c r="N66" s="21"/>
      <c r="O66" s="21"/>
      <c r="P66" s="21" t="s">
        <v>31</v>
      </c>
      <c r="Q66" s="9" t="s">
        <v>32</v>
      </c>
      <c r="R66" s="10" t="s">
        <v>33</v>
      </c>
      <c r="S66" s="25" t="s">
        <v>762</v>
      </c>
      <c r="T66" s="27">
        <v>34722</v>
      </c>
      <c r="U66" s="25" t="s">
        <v>764</v>
      </c>
      <c r="V66" s="25" t="s">
        <v>80</v>
      </c>
      <c r="W66" s="25"/>
    </row>
    <row r="67" spans="1:23" ht="22.5" customHeight="1">
      <c r="A67" s="20">
        <v>45966.82203703704</v>
      </c>
      <c r="B67" s="21" t="s">
        <v>774</v>
      </c>
      <c r="C67" s="38"/>
      <c r="D67" s="21" t="s">
        <v>24</v>
      </c>
      <c r="E67" s="22">
        <v>38402</v>
      </c>
      <c r="F67" s="21" t="s">
        <v>227</v>
      </c>
      <c r="G67" s="21" t="s">
        <v>775</v>
      </c>
      <c r="H67" s="21" t="s">
        <v>66</v>
      </c>
      <c r="I67" s="6" t="str">
        <f>VLOOKUP(CLEAN(F67),'World Bank Categories'!$B$4:$C$220,2,FALSE)</f>
        <v>Middle income</v>
      </c>
      <c r="J67" s="21" t="s">
        <v>776</v>
      </c>
      <c r="K67" s="21" t="s">
        <v>29</v>
      </c>
      <c r="L67" s="21" t="s">
        <v>30</v>
      </c>
      <c r="M67" s="21"/>
      <c r="N67" s="21"/>
      <c r="O67" s="21"/>
      <c r="P67" s="21" t="s">
        <v>31</v>
      </c>
      <c r="Q67" s="9" t="s">
        <v>32</v>
      </c>
      <c r="R67" s="18" t="s">
        <v>33</v>
      </c>
      <c r="S67" s="25" t="s">
        <v>774</v>
      </c>
      <c r="T67" s="27">
        <v>38402</v>
      </c>
      <c r="U67" s="25" t="s">
        <v>776</v>
      </c>
      <c r="V67" s="25" t="s">
        <v>80</v>
      </c>
      <c r="W67" s="25"/>
    </row>
    <row r="68" spans="1:23" ht="22.5" customHeight="1">
      <c r="A68" s="20">
        <v>45969.149988425925</v>
      </c>
      <c r="B68" s="21" t="s">
        <v>777</v>
      </c>
      <c r="C68" s="38"/>
      <c r="D68" s="21" t="s">
        <v>45</v>
      </c>
      <c r="E68" s="22">
        <v>35695</v>
      </c>
      <c r="F68" s="21" t="s">
        <v>208</v>
      </c>
      <c r="G68" s="21" t="s">
        <v>778</v>
      </c>
      <c r="H68" s="21" t="s">
        <v>779</v>
      </c>
      <c r="I68" s="6" t="str">
        <f>VLOOKUP(CLEAN(F68),'World Bank Categories'!$B$4:$C$220,2,FALSE)</f>
        <v>Low income</v>
      </c>
      <c r="J68" s="21" t="s">
        <v>780</v>
      </c>
      <c r="K68" s="21" t="s">
        <v>29</v>
      </c>
      <c r="L68" s="21" t="s">
        <v>30</v>
      </c>
      <c r="M68" s="21"/>
      <c r="N68" s="21"/>
      <c r="O68" s="21"/>
      <c r="P68" s="21" t="s">
        <v>31</v>
      </c>
      <c r="Q68" s="9" t="s">
        <v>32</v>
      </c>
      <c r="R68" s="10" t="s">
        <v>33</v>
      </c>
      <c r="S68" s="25" t="s">
        <v>777</v>
      </c>
      <c r="T68" s="27">
        <v>35695</v>
      </c>
      <c r="U68" s="25" t="s">
        <v>780</v>
      </c>
      <c r="V68" s="25" t="s">
        <v>80</v>
      </c>
      <c r="W68" s="25"/>
    </row>
    <row r="69" spans="1:23" ht="22.5" customHeight="1">
      <c r="A69" s="20">
        <v>45970.186041666668</v>
      </c>
      <c r="B69" s="21" t="s">
        <v>781</v>
      </c>
      <c r="C69" s="38"/>
      <c r="D69" s="21" t="s">
        <v>24</v>
      </c>
      <c r="E69" s="22">
        <v>37575</v>
      </c>
      <c r="F69" s="21" t="s">
        <v>732</v>
      </c>
      <c r="G69" s="21" t="s">
        <v>782</v>
      </c>
      <c r="H69" s="21" t="s">
        <v>368</v>
      </c>
      <c r="I69" s="6" t="str">
        <f>VLOOKUP(CLEAN(F69),'World Bank Categories'!$B$4:$C$220,2,FALSE)</f>
        <v>Middle income</v>
      </c>
      <c r="J69" s="21" t="s">
        <v>783</v>
      </c>
      <c r="K69" s="21" t="s">
        <v>29</v>
      </c>
      <c r="L69" s="21" t="s">
        <v>30</v>
      </c>
      <c r="M69" s="21"/>
      <c r="N69" s="21"/>
      <c r="O69" s="21"/>
      <c r="P69" s="21" t="s">
        <v>31</v>
      </c>
      <c r="Q69" s="9" t="s">
        <v>32</v>
      </c>
      <c r="R69" s="18" t="s">
        <v>33</v>
      </c>
      <c r="S69" s="25" t="s">
        <v>781</v>
      </c>
      <c r="T69" s="27">
        <v>37575</v>
      </c>
      <c r="U69" s="25" t="s">
        <v>783</v>
      </c>
      <c r="V69" s="25" t="s">
        <v>80</v>
      </c>
      <c r="W69" s="25"/>
    </row>
    <row r="70" spans="1:23" ht="22.5" customHeight="1">
      <c r="A70" s="5">
        <v>45971.840571296299</v>
      </c>
      <c r="B70" s="6" t="s">
        <v>788</v>
      </c>
      <c r="C70" s="7"/>
      <c r="D70" s="6" t="s">
        <v>45</v>
      </c>
      <c r="E70" s="8">
        <v>37385</v>
      </c>
      <c r="F70" s="6" t="s">
        <v>245</v>
      </c>
      <c r="G70" s="6" t="s">
        <v>789</v>
      </c>
      <c r="H70" s="6" t="s">
        <v>790</v>
      </c>
      <c r="I70" s="6" t="str">
        <f>VLOOKUP(CLEAN(F70),'World Bank Categories'!$B$4:$C$220,2,FALSE)</f>
        <v>Middle income</v>
      </c>
      <c r="J70" s="6" t="s">
        <v>791</v>
      </c>
      <c r="K70" s="6" t="s">
        <v>29</v>
      </c>
      <c r="L70" s="6" t="s">
        <v>30</v>
      </c>
      <c r="M70" s="7"/>
      <c r="N70" s="6"/>
      <c r="O70" s="6"/>
      <c r="P70" s="6" t="s">
        <v>31</v>
      </c>
      <c r="Q70" s="9" t="s">
        <v>32</v>
      </c>
      <c r="R70" s="18" t="s">
        <v>33</v>
      </c>
      <c r="S70" s="11" t="s">
        <v>792</v>
      </c>
      <c r="T70" s="12"/>
      <c r="U70" s="12"/>
      <c r="V70" s="12"/>
      <c r="W70" s="12"/>
    </row>
    <row r="71" spans="1:23" ht="22.5" customHeight="1">
      <c r="A71" s="20">
        <v>45972.180428240739</v>
      </c>
      <c r="B71" s="21" t="s">
        <v>793</v>
      </c>
      <c r="C71" s="38"/>
      <c r="D71" s="21" t="s">
        <v>45</v>
      </c>
      <c r="E71" s="22">
        <v>34699</v>
      </c>
      <c r="F71" s="21" t="s">
        <v>751</v>
      </c>
      <c r="G71" s="21" t="s">
        <v>794</v>
      </c>
      <c r="H71" s="21" t="s">
        <v>795</v>
      </c>
      <c r="I71" s="6" t="str">
        <f>VLOOKUP(CLEAN(F71),'World Bank Categories'!$B$4:$C$220,2,FALSE)</f>
        <v>Low income</v>
      </c>
      <c r="J71" s="21" t="s">
        <v>796</v>
      </c>
      <c r="K71" s="21" t="s">
        <v>29</v>
      </c>
      <c r="L71" s="21" t="s">
        <v>30</v>
      </c>
      <c r="M71" s="21"/>
      <c r="N71" s="21"/>
      <c r="O71" s="21"/>
      <c r="P71" s="21" t="s">
        <v>31</v>
      </c>
      <c r="Q71" s="9" t="s">
        <v>32</v>
      </c>
      <c r="R71" s="10" t="s">
        <v>33</v>
      </c>
      <c r="S71" s="25" t="s">
        <v>797</v>
      </c>
      <c r="T71" s="27">
        <v>34699</v>
      </c>
      <c r="U71" s="25" t="s">
        <v>796</v>
      </c>
      <c r="V71" s="25" t="s">
        <v>463</v>
      </c>
      <c r="W71" s="25"/>
    </row>
    <row r="72" spans="1:23" ht="22.5" customHeight="1">
      <c r="A72" s="20">
        <v>45975.8515162037</v>
      </c>
      <c r="B72" s="21" t="s">
        <v>832</v>
      </c>
      <c r="C72" s="38"/>
      <c r="D72" s="21" t="s">
        <v>45</v>
      </c>
      <c r="E72" s="22">
        <v>26816</v>
      </c>
      <c r="F72" s="21" t="s">
        <v>433</v>
      </c>
      <c r="G72" s="21" t="s">
        <v>833</v>
      </c>
      <c r="H72" s="21" t="s">
        <v>834</v>
      </c>
      <c r="I72" s="6" t="str">
        <f>VLOOKUP(CLEAN(F72),'World Bank Categories'!$B$4:$C$220,2,FALSE)</f>
        <v>Low income</v>
      </c>
      <c r="J72" s="21" t="s">
        <v>835</v>
      </c>
      <c r="K72" s="21" t="s">
        <v>29</v>
      </c>
      <c r="L72" s="21" t="s">
        <v>30</v>
      </c>
      <c r="M72" s="21"/>
      <c r="N72" s="21"/>
      <c r="O72" s="21"/>
      <c r="P72" s="21" t="s">
        <v>31</v>
      </c>
      <c r="Q72" s="9" t="s">
        <v>32</v>
      </c>
      <c r="R72" s="10" t="s">
        <v>33</v>
      </c>
      <c r="S72" s="25" t="s">
        <v>832</v>
      </c>
      <c r="T72" s="27">
        <v>26816</v>
      </c>
      <c r="U72" s="25" t="s">
        <v>836</v>
      </c>
      <c r="V72" s="25" t="s">
        <v>101</v>
      </c>
      <c r="W72" s="25"/>
    </row>
    <row r="73" spans="1:23" ht="22.5" customHeight="1">
      <c r="A73" s="13">
        <v>45976.196471574076</v>
      </c>
      <c r="B73" s="14" t="s">
        <v>837</v>
      </c>
      <c r="C73" s="15"/>
      <c r="D73" s="14" t="s">
        <v>45</v>
      </c>
      <c r="E73" s="16">
        <v>36840</v>
      </c>
      <c r="F73" s="14" t="s">
        <v>838</v>
      </c>
      <c r="G73" s="14" t="s">
        <v>839</v>
      </c>
      <c r="H73" s="14" t="s">
        <v>840</v>
      </c>
      <c r="I73" s="6" t="str">
        <f>VLOOKUP(CLEAN(F73),'World Bank Categories'!$B$4:$C$220,2,FALSE)</f>
        <v>Middle income</v>
      </c>
      <c r="J73" s="14" t="s">
        <v>841</v>
      </c>
      <c r="K73" s="14" t="s">
        <v>29</v>
      </c>
      <c r="L73" s="14" t="s">
        <v>30</v>
      </c>
      <c r="M73" s="15"/>
      <c r="N73" s="14"/>
      <c r="O73" s="14"/>
      <c r="P73" s="14" t="s">
        <v>31</v>
      </c>
      <c r="Q73" s="9" t="s">
        <v>32</v>
      </c>
      <c r="R73" s="18" t="s">
        <v>33</v>
      </c>
      <c r="S73" s="19" t="s">
        <v>837</v>
      </c>
      <c r="T73" s="12"/>
      <c r="U73" s="12"/>
      <c r="V73" s="12"/>
      <c r="W73" s="12"/>
    </row>
    <row r="74" spans="1:23" ht="22.5" customHeight="1">
      <c r="A74" s="20">
        <v>45979.592997685184</v>
      </c>
      <c r="B74" s="21" t="s">
        <v>857</v>
      </c>
      <c r="C74" s="38"/>
      <c r="D74" s="21" t="s">
        <v>45</v>
      </c>
      <c r="E74" s="22">
        <v>35122</v>
      </c>
      <c r="F74" s="21" t="s">
        <v>70</v>
      </c>
      <c r="G74" s="21" t="s">
        <v>858</v>
      </c>
      <c r="H74" s="21" t="s">
        <v>859</v>
      </c>
      <c r="I74" s="6" t="str">
        <f>VLOOKUP(CLEAN(F74),'World Bank Categories'!$B$4:$C$220,2,FALSE)</f>
        <v>Middle income</v>
      </c>
      <c r="J74" s="21" t="s">
        <v>860</v>
      </c>
      <c r="K74" s="21" t="s">
        <v>29</v>
      </c>
      <c r="L74" s="21" t="s">
        <v>30</v>
      </c>
      <c r="M74" s="21"/>
      <c r="N74" s="21"/>
      <c r="O74" s="21"/>
      <c r="P74" s="21" t="s">
        <v>31</v>
      </c>
      <c r="Q74" s="9" t="s">
        <v>32</v>
      </c>
      <c r="R74" s="18" t="s">
        <v>33</v>
      </c>
      <c r="S74" s="25" t="s">
        <v>857</v>
      </c>
      <c r="T74" s="27">
        <v>35122</v>
      </c>
      <c r="U74" s="25" t="s">
        <v>860</v>
      </c>
      <c r="V74" s="25" t="s">
        <v>80</v>
      </c>
      <c r="W74" s="25"/>
    </row>
    <row r="75" spans="1:23" ht="22.5" customHeight="1">
      <c r="A75" s="50">
        <v>45981.655694444446</v>
      </c>
      <c r="B75" s="51" t="s">
        <v>865</v>
      </c>
      <c r="C75" s="52"/>
      <c r="D75" s="51" t="s">
        <v>45</v>
      </c>
      <c r="E75" s="53">
        <v>32586</v>
      </c>
      <c r="F75" s="21" t="s">
        <v>88</v>
      </c>
      <c r="G75" s="51" t="s">
        <v>866</v>
      </c>
      <c r="H75" s="51" t="s">
        <v>867</v>
      </c>
      <c r="I75" s="6" t="str">
        <f>VLOOKUP(CLEAN(F75),'World Bank Categories'!$B$4:$C$220,2,FALSE)</f>
        <v>Low income</v>
      </c>
      <c r="J75" s="51" t="s">
        <v>868</v>
      </c>
      <c r="K75" s="51" t="s">
        <v>29</v>
      </c>
      <c r="L75" s="51" t="s">
        <v>30</v>
      </c>
      <c r="M75" s="51"/>
      <c r="N75" s="51"/>
      <c r="O75" s="51"/>
      <c r="P75" s="51" t="s">
        <v>31</v>
      </c>
      <c r="Q75" s="9" t="s">
        <v>32</v>
      </c>
      <c r="R75" s="18" t="s">
        <v>33</v>
      </c>
      <c r="S75" s="25" t="s">
        <v>869</v>
      </c>
      <c r="T75" s="27">
        <v>32586</v>
      </c>
      <c r="U75" s="25" t="s">
        <v>868</v>
      </c>
      <c r="V75" s="25" t="s">
        <v>154</v>
      </c>
      <c r="W75" s="25"/>
    </row>
    <row r="76" spans="1:23" ht="22.5" customHeight="1">
      <c r="A76" s="20">
        <v>45982.753576388888</v>
      </c>
      <c r="B76" s="21" t="s">
        <v>884</v>
      </c>
      <c r="C76" s="38"/>
      <c r="D76" s="21" t="s">
        <v>24</v>
      </c>
      <c r="E76" s="22">
        <v>32684</v>
      </c>
      <c r="F76" s="21" t="s">
        <v>422</v>
      </c>
      <c r="G76" s="21" t="s">
        <v>209</v>
      </c>
      <c r="H76" s="21" t="s">
        <v>885</v>
      </c>
      <c r="I76" s="6" t="str">
        <f>VLOOKUP(CLEAN(F76),'World Bank Categories'!$B$4:$C$220,2,FALSE)</f>
        <v>Middle income</v>
      </c>
      <c r="J76" s="21" t="s">
        <v>886</v>
      </c>
      <c r="K76" s="21" t="s">
        <v>39</v>
      </c>
      <c r="L76" s="21" t="s">
        <v>162</v>
      </c>
      <c r="M76" s="21"/>
      <c r="N76" s="21"/>
      <c r="O76" s="21"/>
      <c r="P76" s="21" t="s">
        <v>31</v>
      </c>
      <c r="Q76" s="9" t="s">
        <v>32</v>
      </c>
      <c r="R76" s="18" t="s">
        <v>33</v>
      </c>
      <c r="S76" s="25" t="s">
        <v>887</v>
      </c>
      <c r="T76" s="27">
        <v>32684</v>
      </c>
      <c r="U76" s="25" t="s">
        <v>886</v>
      </c>
      <c r="V76" s="25" t="s">
        <v>154</v>
      </c>
      <c r="W76" s="25"/>
    </row>
    <row r="77" spans="1:23" ht="22.5" customHeight="1">
      <c r="A77" s="20">
        <v>45984.227418981478</v>
      </c>
      <c r="B77" s="21" t="s">
        <v>905</v>
      </c>
      <c r="C77" s="21" t="s">
        <v>905</v>
      </c>
      <c r="D77" s="21" t="s">
        <v>45</v>
      </c>
      <c r="E77" s="22">
        <v>33434</v>
      </c>
      <c r="F77" s="21" t="s">
        <v>470</v>
      </c>
      <c r="G77" s="21" t="s">
        <v>906</v>
      </c>
      <c r="H77" s="21" t="s">
        <v>111</v>
      </c>
      <c r="I77" s="6" t="str">
        <f>VLOOKUP(CLEAN(F77),'World Bank Categories'!$B$4:$C$220,2,FALSE)</f>
        <v>Middle income</v>
      </c>
      <c r="J77" s="21" t="s">
        <v>907</v>
      </c>
      <c r="K77" s="21" t="s">
        <v>29</v>
      </c>
      <c r="L77" s="32">
        <v>46202</v>
      </c>
      <c r="M77" s="21"/>
      <c r="N77" s="21"/>
      <c r="O77" s="21"/>
      <c r="P77" s="21" t="s">
        <v>31</v>
      </c>
      <c r="Q77" s="9" t="s">
        <v>32</v>
      </c>
      <c r="R77" s="10" t="s">
        <v>33</v>
      </c>
      <c r="S77" s="25" t="s">
        <v>905</v>
      </c>
      <c r="T77" s="27">
        <v>33434</v>
      </c>
      <c r="U77" s="25" t="s">
        <v>907</v>
      </c>
      <c r="V77" s="25" t="s">
        <v>80</v>
      </c>
      <c r="W77" s="25"/>
    </row>
    <row r="78" spans="1:23" ht="22.5" customHeight="1">
      <c r="A78" s="20">
        <v>45984.624571759261</v>
      </c>
      <c r="B78" s="21" t="s">
        <v>908</v>
      </c>
      <c r="C78" s="38"/>
      <c r="D78" s="21" t="s">
        <v>24</v>
      </c>
      <c r="E78" s="22">
        <v>37776</v>
      </c>
      <c r="F78" s="21" t="s">
        <v>64</v>
      </c>
      <c r="G78" s="21" t="s">
        <v>909</v>
      </c>
      <c r="H78" s="21" t="s">
        <v>910</v>
      </c>
      <c r="I78" s="6" t="str">
        <f>VLOOKUP(CLEAN(F78),'World Bank Categories'!$B$4:$C$220,2,FALSE)</f>
        <v>Middle income</v>
      </c>
      <c r="J78" s="21" t="s">
        <v>911</v>
      </c>
      <c r="K78" s="21" t="s">
        <v>29</v>
      </c>
      <c r="L78" s="21" t="s">
        <v>30</v>
      </c>
      <c r="M78" s="21"/>
      <c r="N78" s="21"/>
      <c r="O78" s="21"/>
      <c r="P78" s="21" t="s">
        <v>31</v>
      </c>
      <c r="Q78" s="9" t="s">
        <v>32</v>
      </c>
      <c r="R78" s="18" t="s">
        <v>17</v>
      </c>
      <c r="S78" s="25" t="s">
        <v>912</v>
      </c>
      <c r="T78" s="27">
        <v>38142</v>
      </c>
      <c r="U78" s="25" t="s">
        <v>911</v>
      </c>
      <c r="V78" s="25" t="s">
        <v>114</v>
      </c>
      <c r="W78" s="25"/>
    </row>
    <row r="79" spans="1:23" ht="22.5" customHeight="1">
      <c r="A79" s="28">
        <v>45984.986701388887</v>
      </c>
      <c r="B79" s="29" t="s">
        <v>917</v>
      </c>
      <c r="C79" s="45"/>
      <c r="D79" s="29" t="s">
        <v>45</v>
      </c>
      <c r="E79" s="30">
        <v>31065</v>
      </c>
      <c r="F79" s="29" t="s">
        <v>612</v>
      </c>
      <c r="G79" s="29" t="s">
        <v>918</v>
      </c>
      <c r="H79" s="29" t="s">
        <v>919</v>
      </c>
      <c r="I79" s="6" t="str">
        <f>VLOOKUP(CLEAN(F79),'World Bank Categories'!$B$4:$C$220,2,FALSE)</f>
        <v>Low income</v>
      </c>
      <c r="J79" s="29" t="s">
        <v>920</v>
      </c>
      <c r="K79" s="29" t="s">
        <v>29</v>
      </c>
      <c r="L79" s="29" t="s">
        <v>30</v>
      </c>
      <c r="M79" s="29" t="s">
        <v>921</v>
      </c>
      <c r="N79" s="21" t="s">
        <v>922</v>
      </c>
      <c r="O79" s="21" t="s">
        <v>365</v>
      </c>
      <c r="P79" s="29" t="s">
        <v>31</v>
      </c>
      <c r="Q79" s="9" t="s">
        <v>32</v>
      </c>
      <c r="R79" s="18" t="s">
        <v>33</v>
      </c>
      <c r="S79" s="25" t="s">
        <v>917</v>
      </c>
      <c r="T79" s="27">
        <v>31065</v>
      </c>
      <c r="U79" s="25" t="s">
        <v>920</v>
      </c>
      <c r="V79" s="25" t="s">
        <v>80</v>
      </c>
      <c r="W79" s="25"/>
    </row>
    <row r="80" spans="1:23" ht="22.5" customHeight="1">
      <c r="A80" s="20">
        <v>45985.77716435185</v>
      </c>
      <c r="B80" s="21" t="s">
        <v>926</v>
      </c>
      <c r="C80" s="21" t="s">
        <v>927</v>
      </c>
      <c r="D80" s="21" t="s">
        <v>45</v>
      </c>
      <c r="E80" s="22">
        <v>36793</v>
      </c>
      <c r="F80" s="21" t="s">
        <v>64</v>
      </c>
      <c r="G80" s="21" t="s">
        <v>928</v>
      </c>
      <c r="H80" s="21" t="s">
        <v>929</v>
      </c>
      <c r="I80" s="6" t="str">
        <f>VLOOKUP(CLEAN(F80),'World Bank Categories'!$B$4:$C$220,2,FALSE)</f>
        <v>Middle income</v>
      </c>
      <c r="J80" s="21" t="s">
        <v>930</v>
      </c>
      <c r="K80" s="21" t="s">
        <v>29</v>
      </c>
      <c r="L80" s="21" t="s">
        <v>30</v>
      </c>
      <c r="M80" s="21"/>
      <c r="N80" s="21"/>
      <c r="O80" s="21"/>
      <c r="P80" s="21" t="s">
        <v>31</v>
      </c>
      <c r="Q80" s="9" t="s">
        <v>32</v>
      </c>
      <c r="R80" s="18" t="s">
        <v>33</v>
      </c>
      <c r="S80" s="25" t="s">
        <v>926</v>
      </c>
      <c r="T80" s="27">
        <v>36793</v>
      </c>
      <c r="U80" s="25" t="s">
        <v>930</v>
      </c>
      <c r="V80" s="25" t="s">
        <v>80</v>
      </c>
      <c r="W80" s="25"/>
    </row>
    <row r="81" spans="1:23" ht="22.5" customHeight="1">
      <c r="A81" s="28">
        <v>45985.852708333332</v>
      </c>
      <c r="B81" s="29" t="s">
        <v>931</v>
      </c>
      <c r="C81" s="29" t="s">
        <v>931</v>
      </c>
      <c r="D81" s="29" t="s">
        <v>24</v>
      </c>
      <c r="E81" s="30">
        <v>33868</v>
      </c>
      <c r="F81" s="21" t="s">
        <v>88</v>
      </c>
      <c r="G81" s="29" t="s">
        <v>932</v>
      </c>
      <c r="H81" s="29" t="s">
        <v>933</v>
      </c>
      <c r="I81" s="6" t="str">
        <f>VLOOKUP(CLEAN(F81),'World Bank Categories'!$B$4:$C$220,2,FALSE)</f>
        <v>Low income</v>
      </c>
      <c r="J81" s="29" t="s">
        <v>934</v>
      </c>
      <c r="K81" s="29" t="s">
        <v>29</v>
      </c>
      <c r="L81" s="29" t="s">
        <v>30</v>
      </c>
      <c r="M81" s="29"/>
      <c r="N81" s="29"/>
      <c r="O81" s="29"/>
      <c r="P81" s="29" t="s">
        <v>31</v>
      </c>
      <c r="Q81" s="9" t="s">
        <v>32</v>
      </c>
      <c r="R81" s="10" t="s">
        <v>33</v>
      </c>
      <c r="S81" s="25" t="s">
        <v>931</v>
      </c>
      <c r="T81" s="27">
        <v>33868</v>
      </c>
      <c r="U81" s="25" t="s">
        <v>934</v>
      </c>
      <c r="V81" s="25" t="s">
        <v>80</v>
      </c>
      <c r="W81" s="25"/>
    </row>
    <row r="82" spans="1:23" ht="22.5" customHeight="1">
      <c r="A82" s="20">
        <v>45988.082071759258</v>
      </c>
      <c r="B82" s="21" t="s">
        <v>950</v>
      </c>
      <c r="C82" s="38"/>
      <c r="D82" s="21" t="s">
        <v>24</v>
      </c>
      <c r="E82" s="22">
        <v>33908</v>
      </c>
      <c r="F82" s="21" t="s">
        <v>252</v>
      </c>
      <c r="G82" s="21" t="s">
        <v>209</v>
      </c>
      <c r="H82" s="21" t="s">
        <v>951</v>
      </c>
      <c r="I82" s="6" t="str">
        <f>VLOOKUP(CLEAN(F82),'World Bank Categories'!$B$4:$C$220,2,FALSE)</f>
        <v>Middle income</v>
      </c>
      <c r="J82" s="21" t="s">
        <v>952</v>
      </c>
      <c r="K82" s="21" t="s">
        <v>39</v>
      </c>
      <c r="L82" s="21" t="s">
        <v>953</v>
      </c>
      <c r="M82" s="21"/>
      <c r="N82" s="21"/>
      <c r="O82" s="21"/>
      <c r="P82" s="21" t="s">
        <v>31</v>
      </c>
      <c r="Q82" s="9" t="s">
        <v>32</v>
      </c>
      <c r="R82" s="10" t="s">
        <v>33</v>
      </c>
      <c r="S82" s="25" t="s">
        <v>950</v>
      </c>
      <c r="T82" s="27">
        <v>33908</v>
      </c>
      <c r="U82" s="25" t="s">
        <v>952</v>
      </c>
      <c r="V82" s="25" t="s">
        <v>80</v>
      </c>
      <c r="W82" s="25"/>
    </row>
    <row r="83" spans="1:23" ht="22.5" customHeight="1">
      <c r="A83" s="20">
        <v>45988.221620370372</v>
      </c>
      <c r="B83" s="21" t="s">
        <v>954</v>
      </c>
      <c r="C83" s="38"/>
      <c r="D83" s="21" t="s">
        <v>45</v>
      </c>
      <c r="E83" s="22">
        <v>17098</v>
      </c>
      <c r="F83" s="21" t="s">
        <v>955</v>
      </c>
      <c r="G83" s="21" t="s">
        <v>956</v>
      </c>
      <c r="H83" s="21" t="s">
        <v>957</v>
      </c>
      <c r="I83" s="6" t="str">
        <f>VLOOKUP(CLEAN(F83),'World Bank Categories'!$B$4:$C$220,2,FALSE)</f>
        <v>High income</v>
      </c>
      <c r="J83" s="21" t="s">
        <v>958</v>
      </c>
      <c r="K83" s="21" t="s">
        <v>29</v>
      </c>
      <c r="L83" s="21" t="s">
        <v>30</v>
      </c>
      <c r="M83" s="21" t="s">
        <v>959</v>
      </c>
      <c r="N83" s="21"/>
      <c r="O83" s="21"/>
      <c r="P83" s="21" t="s">
        <v>31</v>
      </c>
      <c r="Q83" s="9" t="s">
        <v>32</v>
      </c>
      <c r="R83" s="18" t="s">
        <v>43</v>
      </c>
      <c r="S83" s="25" t="s">
        <v>954</v>
      </c>
      <c r="T83" s="27">
        <v>17098</v>
      </c>
      <c r="U83" s="25" t="s">
        <v>958</v>
      </c>
      <c r="V83" s="25" t="s">
        <v>80</v>
      </c>
      <c r="W83" s="25"/>
    </row>
    <row r="84" spans="1:23" ht="22.5" customHeight="1">
      <c r="A84" s="20">
        <v>45988.603101851855</v>
      </c>
      <c r="B84" s="21" t="s">
        <v>960</v>
      </c>
      <c r="C84" s="38"/>
      <c r="D84" s="21" t="s">
        <v>45</v>
      </c>
      <c r="E84" s="22">
        <v>22235</v>
      </c>
      <c r="F84" s="21" t="s">
        <v>416</v>
      </c>
      <c r="G84" s="21" t="s">
        <v>209</v>
      </c>
      <c r="H84" s="21" t="s">
        <v>961</v>
      </c>
      <c r="I84" s="6" t="str">
        <f>VLOOKUP(CLEAN(F84),'World Bank Categories'!$B$4:$C$220,2,FALSE)</f>
        <v>Middle income</v>
      </c>
      <c r="J84" s="21" t="s">
        <v>962</v>
      </c>
      <c r="K84" s="21" t="s">
        <v>29</v>
      </c>
      <c r="L84" s="21" t="s">
        <v>30</v>
      </c>
      <c r="M84" s="21" t="s">
        <v>963</v>
      </c>
      <c r="N84" s="21"/>
      <c r="O84" s="21"/>
      <c r="P84" s="21" t="s">
        <v>31</v>
      </c>
      <c r="Q84" s="9" t="s">
        <v>32</v>
      </c>
      <c r="R84" s="10" t="s">
        <v>33</v>
      </c>
      <c r="S84" s="25" t="s">
        <v>960</v>
      </c>
      <c r="T84" s="27">
        <v>22235</v>
      </c>
      <c r="U84" s="25" t="s">
        <v>962</v>
      </c>
      <c r="V84" s="25" t="s">
        <v>80</v>
      </c>
      <c r="W84" s="25"/>
    </row>
    <row r="85" spans="1:23" ht="22.5" customHeight="1">
      <c r="A85" s="50">
        <v>45989.189976851849</v>
      </c>
      <c r="B85" s="51" t="s">
        <v>969</v>
      </c>
      <c r="C85" s="52"/>
      <c r="D85" s="51" t="s">
        <v>45</v>
      </c>
      <c r="E85" s="53">
        <v>29659</v>
      </c>
      <c r="F85" s="51" t="s">
        <v>751</v>
      </c>
      <c r="G85" s="51" t="s">
        <v>970</v>
      </c>
      <c r="H85" s="51" t="s">
        <v>111</v>
      </c>
      <c r="I85" s="6" t="str">
        <f>VLOOKUP(CLEAN(F85),'World Bank Categories'!$B$4:$C$220,2,FALSE)</f>
        <v>Low income</v>
      </c>
      <c r="J85" s="51" t="s">
        <v>971</v>
      </c>
      <c r="K85" s="51" t="s">
        <v>29</v>
      </c>
      <c r="L85" s="51" t="s">
        <v>30</v>
      </c>
      <c r="M85" s="51" t="s">
        <v>972</v>
      </c>
      <c r="N85" s="21" t="s">
        <v>973</v>
      </c>
      <c r="O85" s="21" t="s">
        <v>365</v>
      </c>
      <c r="P85" s="51" t="s">
        <v>31</v>
      </c>
      <c r="Q85" s="9" t="s">
        <v>32</v>
      </c>
      <c r="R85" s="18" t="s">
        <v>33</v>
      </c>
      <c r="S85" s="25" t="s">
        <v>974</v>
      </c>
      <c r="T85" s="27">
        <v>29659</v>
      </c>
      <c r="U85" s="25" t="s">
        <v>971</v>
      </c>
      <c r="V85" s="25" t="s">
        <v>154</v>
      </c>
      <c r="W85" s="25"/>
    </row>
    <row r="86" spans="1:23" ht="22.5" customHeight="1">
      <c r="A86" s="20">
        <v>45989.837361111109</v>
      </c>
      <c r="B86" s="21" t="s">
        <v>975</v>
      </c>
      <c r="C86" s="38"/>
      <c r="D86" s="21" t="s">
        <v>45</v>
      </c>
      <c r="E86" s="22">
        <v>33593</v>
      </c>
      <c r="F86" s="21" t="s">
        <v>227</v>
      </c>
      <c r="G86" s="21" t="s">
        <v>976</v>
      </c>
      <c r="H86" s="21" t="s">
        <v>977</v>
      </c>
      <c r="I86" s="6" t="str">
        <f>VLOOKUP(CLEAN(F86),'World Bank Categories'!$B$4:$C$220,2,FALSE)</f>
        <v>Middle income</v>
      </c>
      <c r="J86" s="21" t="s">
        <v>978</v>
      </c>
      <c r="K86" s="21" t="s">
        <v>29</v>
      </c>
      <c r="L86" s="21" t="s">
        <v>30</v>
      </c>
      <c r="M86" s="21"/>
      <c r="N86" s="21"/>
      <c r="O86" s="21"/>
      <c r="P86" s="21" t="s">
        <v>31</v>
      </c>
      <c r="Q86" s="9" t="s">
        <v>32</v>
      </c>
      <c r="R86" s="10" t="s">
        <v>33</v>
      </c>
      <c r="S86" s="25" t="s">
        <v>975</v>
      </c>
      <c r="T86" s="27">
        <v>33593</v>
      </c>
      <c r="U86" s="25" t="s">
        <v>978</v>
      </c>
      <c r="V86" s="25" t="s">
        <v>80</v>
      </c>
      <c r="W86" s="25"/>
    </row>
    <row r="87" spans="1:23" ht="22.5" customHeight="1">
      <c r="A87" s="20">
        <v>45989.917847222219</v>
      </c>
      <c r="B87" s="21" t="s">
        <v>979</v>
      </c>
      <c r="C87" s="38"/>
      <c r="D87" s="21" t="s">
        <v>45</v>
      </c>
      <c r="E87" s="22">
        <v>37852</v>
      </c>
      <c r="F87" s="21" t="s">
        <v>980</v>
      </c>
      <c r="G87" s="21" t="s">
        <v>981</v>
      </c>
      <c r="H87" s="21" t="s">
        <v>138</v>
      </c>
      <c r="I87" s="6" t="str">
        <f>VLOOKUP(CLEAN(F87),'World Bank Categories'!$B$4:$C$220,2,FALSE)</f>
        <v>Middle income</v>
      </c>
      <c r="J87" s="21" t="s">
        <v>982</v>
      </c>
      <c r="K87" s="21" t="s">
        <v>39</v>
      </c>
      <c r="L87" s="21" t="s">
        <v>152</v>
      </c>
      <c r="M87" s="21" t="s">
        <v>983</v>
      </c>
      <c r="N87" s="21"/>
      <c r="O87" s="21"/>
      <c r="P87" s="21" t="s">
        <v>31</v>
      </c>
      <c r="Q87" s="9" t="s">
        <v>32</v>
      </c>
      <c r="R87" s="18" t="s">
        <v>33</v>
      </c>
      <c r="S87" s="25" t="s">
        <v>979</v>
      </c>
      <c r="T87" s="27">
        <v>37852</v>
      </c>
      <c r="U87" s="25" t="s">
        <v>982</v>
      </c>
      <c r="V87" s="25" t="s">
        <v>80</v>
      </c>
      <c r="W87" s="25"/>
    </row>
    <row r="88" spans="1:23" ht="22.5" customHeight="1">
      <c r="A88" s="20">
        <v>45989.920011574075</v>
      </c>
      <c r="B88" s="21" t="s">
        <v>984</v>
      </c>
      <c r="C88" s="38"/>
      <c r="D88" s="21" t="s">
        <v>45</v>
      </c>
      <c r="E88" s="22">
        <v>37875</v>
      </c>
      <c r="F88" s="21" t="s">
        <v>980</v>
      </c>
      <c r="G88" s="21" t="s">
        <v>985</v>
      </c>
      <c r="H88" s="21" t="s">
        <v>368</v>
      </c>
      <c r="I88" s="6" t="str">
        <f>VLOOKUP(CLEAN(F88),'World Bank Categories'!$B$4:$C$220,2,FALSE)</f>
        <v>Middle income</v>
      </c>
      <c r="J88" s="21" t="s">
        <v>986</v>
      </c>
      <c r="K88" s="21" t="s">
        <v>39</v>
      </c>
      <c r="L88" s="21" t="s">
        <v>152</v>
      </c>
      <c r="M88" s="21" t="s">
        <v>987</v>
      </c>
      <c r="N88" s="21"/>
      <c r="O88" s="21"/>
      <c r="P88" s="21" t="s">
        <v>31</v>
      </c>
      <c r="Q88" s="9" t="s">
        <v>32</v>
      </c>
      <c r="R88" s="10" t="s">
        <v>33</v>
      </c>
      <c r="S88" s="25" t="s">
        <v>988</v>
      </c>
      <c r="T88" s="27">
        <v>37875</v>
      </c>
      <c r="U88" s="25" t="s">
        <v>986</v>
      </c>
      <c r="V88" s="25" t="s">
        <v>80</v>
      </c>
      <c r="W88" s="25"/>
    </row>
    <row r="89" spans="1:23" ht="22.5" customHeight="1">
      <c r="A89" s="35">
        <v>45989.952928240738</v>
      </c>
      <c r="B89" s="36" t="s">
        <v>989</v>
      </c>
      <c r="C89" s="55"/>
      <c r="D89" s="36" t="s">
        <v>45</v>
      </c>
      <c r="E89" s="37">
        <v>38368</v>
      </c>
      <c r="F89" s="21" t="s">
        <v>980</v>
      </c>
      <c r="G89" s="36" t="s">
        <v>990</v>
      </c>
      <c r="H89" s="36" t="s">
        <v>991</v>
      </c>
      <c r="I89" s="6" t="str">
        <f>VLOOKUP(CLEAN(F89),'World Bank Categories'!$B$4:$C$220,2,FALSE)</f>
        <v>Middle income</v>
      </c>
      <c r="J89" s="36" t="s">
        <v>992</v>
      </c>
      <c r="K89" s="36" t="s">
        <v>39</v>
      </c>
      <c r="L89" s="36" t="s">
        <v>152</v>
      </c>
      <c r="M89" s="36"/>
      <c r="N89" s="36"/>
      <c r="O89" s="36"/>
      <c r="P89" s="36" t="s">
        <v>31</v>
      </c>
      <c r="Q89" s="9" t="s">
        <v>32</v>
      </c>
      <c r="R89" s="18" t="s">
        <v>33</v>
      </c>
      <c r="S89" s="25" t="s">
        <v>993</v>
      </c>
      <c r="T89" s="27">
        <v>38368</v>
      </c>
      <c r="U89" s="25" t="s">
        <v>992</v>
      </c>
      <c r="V89" s="25" t="s">
        <v>80</v>
      </c>
      <c r="W89" s="25"/>
    </row>
    <row r="90" spans="1:23" ht="22.5" customHeight="1">
      <c r="A90" s="20">
        <v>45989.953750000001</v>
      </c>
      <c r="B90" s="21" t="s">
        <v>994</v>
      </c>
      <c r="C90" s="38"/>
      <c r="D90" s="21" t="s">
        <v>24</v>
      </c>
      <c r="E90" s="22">
        <v>37925</v>
      </c>
      <c r="F90" s="21" t="s">
        <v>980</v>
      </c>
      <c r="G90" s="21" t="s">
        <v>995</v>
      </c>
      <c r="H90" s="21" t="s">
        <v>66</v>
      </c>
      <c r="I90" s="6" t="str">
        <f>VLOOKUP(CLEAN(F90),'World Bank Categories'!$B$4:$C$220,2,FALSE)</f>
        <v>Middle income</v>
      </c>
      <c r="J90" s="21" t="s">
        <v>996</v>
      </c>
      <c r="K90" s="21" t="s">
        <v>39</v>
      </c>
      <c r="L90" s="21" t="s">
        <v>152</v>
      </c>
      <c r="M90" s="21"/>
      <c r="N90" s="21"/>
      <c r="O90" s="21"/>
      <c r="P90" s="21" t="s">
        <v>31</v>
      </c>
      <c r="Q90" s="9" t="s">
        <v>32</v>
      </c>
      <c r="R90" s="10" t="s">
        <v>33</v>
      </c>
      <c r="S90" s="25" t="s">
        <v>997</v>
      </c>
      <c r="T90" s="27">
        <v>37925</v>
      </c>
      <c r="U90" s="25" t="s">
        <v>996</v>
      </c>
      <c r="V90" s="25" t="s">
        <v>154</v>
      </c>
      <c r="W90" s="25"/>
    </row>
    <row r="91" spans="1:23" ht="22.5" customHeight="1">
      <c r="A91" s="20">
        <v>45989.995046296295</v>
      </c>
      <c r="B91" s="21" t="s">
        <v>998</v>
      </c>
      <c r="C91" s="38"/>
      <c r="D91" s="21" t="s">
        <v>45</v>
      </c>
      <c r="E91" s="22">
        <v>36466</v>
      </c>
      <c r="F91" s="21" t="s">
        <v>980</v>
      </c>
      <c r="G91" s="21" t="s">
        <v>999</v>
      </c>
      <c r="H91" s="21" t="s">
        <v>368</v>
      </c>
      <c r="I91" s="6" t="str">
        <f>VLOOKUP(CLEAN(F91),'World Bank Categories'!$B$4:$C$220,2,FALSE)</f>
        <v>Middle income</v>
      </c>
      <c r="J91" s="21" t="s">
        <v>1000</v>
      </c>
      <c r="K91" s="21" t="s">
        <v>39</v>
      </c>
      <c r="L91" s="21" t="s">
        <v>621</v>
      </c>
      <c r="M91" s="21"/>
      <c r="N91" s="21"/>
      <c r="O91" s="21"/>
      <c r="P91" s="21" t="s">
        <v>31</v>
      </c>
      <c r="Q91" s="9" t="s">
        <v>32</v>
      </c>
      <c r="R91" s="18" t="s">
        <v>33</v>
      </c>
      <c r="S91" s="25" t="s">
        <v>1001</v>
      </c>
      <c r="T91" s="27">
        <v>36466</v>
      </c>
      <c r="U91" s="25" t="s">
        <v>1000</v>
      </c>
      <c r="V91" s="25" t="s">
        <v>80</v>
      </c>
      <c r="W91" s="25"/>
    </row>
    <row r="92" spans="1:23" ht="22.5" customHeight="1">
      <c r="A92" s="20">
        <v>45990.019178240742</v>
      </c>
      <c r="B92" s="21" t="s">
        <v>1002</v>
      </c>
      <c r="C92" s="38"/>
      <c r="D92" s="21" t="s">
        <v>24</v>
      </c>
      <c r="E92" s="22">
        <v>37495</v>
      </c>
      <c r="F92" s="21" t="s">
        <v>980</v>
      </c>
      <c r="G92" s="21" t="s">
        <v>985</v>
      </c>
      <c r="H92" s="21" t="s">
        <v>138</v>
      </c>
      <c r="I92" s="6" t="str">
        <f>VLOOKUP(CLEAN(F92),'World Bank Categories'!$B$4:$C$220,2,FALSE)</f>
        <v>Middle income</v>
      </c>
      <c r="J92" s="21" t="s">
        <v>1003</v>
      </c>
      <c r="K92" s="21" t="s">
        <v>39</v>
      </c>
      <c r="L92" s="21" t="s">
        <v>621</v>
      </c>
      <c r="M92" s="21"/>
      <c r="N92" s="21"/>
      <c r="O92" s="21"/>
      <c r="P92" s="21" t="s">
        <v>31</v>
      </c>
      <c r="Q92" s="9" t="s">
        <v>32</v>
      </c>
      <c r="R92" s="10" t="s">
        <v>33</v>
      </c>
      <c r="S92" s="25" t="s">
        <v>1002</v>
      </c>
      <c r="T92" s="27">
        <v>37495</v>
      </c>
      <c r="U92" s="25" t="s">
        <v>1003</v>
      </c>
      <c r="V92" s="25" t="s">
        <v>80</v>
      </c>
      <c r="W92" s="25"/>
    </row>
    <row r="93" spans="1:23" ht="22.5" customHeight="1">
      <c r="A93" s="20">
        <v>45990.201168981483</v>
      </c>
      <c r="B93" s="21" t="s">
        <v>1004</v>
      </c>
      <c r="C93" s="38"/>
      <c r="D93" s="21" t="s">
        <v>45</v>
      </c>
      <c r="E93" s="22">
        <v>32844</v>
      </c>
      <c r="F93" s="21" t="s">
        <v>346</v>
      </c>
      <c r="G93" s="21" t="s">
        <v>1005</v>
      </c>
      <c r="H93" s="21" t="s">
        <v>1006</v>
      </c>
      <c r="I93" s="6" t="str">
        <f>VLOOKUP(CLEAN(F93),'World Bank Categories'!$B$4:$C$220,2,FALSE)</f>
        <v>Middle income</v>
      </c>
      <c r="J93" s="21" t="s">
        <v>1007</v>
      </c>
      <c r="K93" s="21" t="s">
        <v>29</v>
      </c>
      <c r="L93" s="21" t="s">
        <v>30</v>
      </c>
      <c r="M93" s="21"/>
      <c r="N93" s="21"/>
      <c r="O93" s="21"/>
      <c r="P93" s="21" t="s">
        <v>31</v>
      </c>
      <c r="Q93" s="9" t="s">
        <v>32</v>
      </c>
      <c r="R93" s="18" t="s">
        <v>1008</v>
      </c>
      <c r="S93" s="25" t="s">
        <v>1009</v>
      </c>
      <c r="T93" s="27">
        <v>32844</v>
      </c>
      <c r="U93" s="25" t="s">
        <v>1010</v>
      </c>
      <c r="V93" s="25" t="s">
        <v>1011</v>
      </c>
      <c r="W93" s="25"/>
    </row>
    <row r="94" spans="1:23" ht="22.5" customHeight="1">
      <c r="A94" s="20">
        <v>45991.081053240741</v>
      </c>
      <c r="B94" s="21" t="s">
        <v>1012</v>
      </c>
      <c r="C94" s="38"/>
      <c r="D94" s="21" t="s">
        <v>24</v>
      </c>
      <c r="E94" s="22">
        <v>38619</v>
      </c>
      <c r="F94" s="21" t="s">
        <v>980</v>
      </c>
      <c r="G94" s="21" t="s">
        <v>1013</v>
      </c>
      <c r="H94" s="21" t="s">
        <v>1014</v>
      </c>
      <c r="I94" s="6" t="str">
        <f>VLOOKUP(CLEAN(F94),'World Bank Categories'!$B$4:$C$220,2,FALSE)</f>
        <v>Middle income</v>
      </c>
      <c r="J94" s="21" t="s">
        <v>1015</v>
      </c>
      <c r="K94" s="21" t="s">
        <v>39</v>
      </c>
      <c r="L94" s="21" t="s">
        <v>621</v>
      </c>
      <c r="M94" s="21" t="s">
        <v>1016</v>
      </c>
      <c r="N94" s="21"/>
      <c r="O94" s="21"/>
      <c r="P94" s="21" t="s">
        <v>31</v>
      </c>
      <c r="Q94" s="9" t="s">
        <v>32</v>
      </c>
      <c r="R94" s="10" t="s">
        <v>33</v>
      </c>
      <c r="S94" s="25" t="s">
        <v>1017</v>
      </c>
      <c r="T94" s="27">
        <v>38619</v>
      </c>
      <c r="U94" s="25" t="s">
        <v>1015</v>
      </c>
      <c r="V94" s="25" t="s">
        <v>80</v>
      </c>
      <c r="W94" s="25"/>
    </row>
    <row r="95" spans="1:23" ht="22.5" customHeight="1">
      <c r="A95" s="20">
        <v>45991.880393518521</v>
      </c>
      <c r="B95" s="21" t="s">
        <v>1018</v>
      </c>
      <c r="C95" s="21" t="s">
        <v>1019</v>
      </c>
      <c r="D95" s="21" t="s">
        <v>24</v>
      </c>
      <c r="E95" s="22">
        <v>38139</v>
      </c>
      <c r="F95" s="21" t="s">
        <v>980</v>
      </c>
      <c r="G95" s="21" t="s">
        <v>1020</v>
      </c>
      <c r="H95" s="21" t="s">
        <v>66</v>
      </c>
      <c r="I95" s="6" t="str">
        <f>VLOOKUP(CLEAN(F95),'World Bank Categories'!$B$4:$C$220,2,FALSE)</f>
        <v>Middle income</v>
      </c>
      <c r="J95" s="21" t="s">
        <v>1021</v>
      </c>
      <c r="K95" s="21" t="s">
        <v>39</v>
      </c>
      <c r="L95" s="21" t="s">
        <v>152</v>
      </c>
      <c r="M95" s="21" t="s">
        <v>1022</v>
      </c>
      <c r="N95" s="21"/>
      <c r="O95" s="21"/>
      <c r="P95" s="21" t="s">
        <v>31</v>
      </c>
      <c r="Q95" s="9" t="s">
        <v>32</v>
      </c>
      <c r="R95" s="18" t="s">
        <v>33</v>
      </c>
      <c r="S95" s="25" t="s">
        <v>1023</v>
      </c>
      <c r="T95" s="27">
        <v>38139</v>
      </c>
      <c r="U95" s="25" t="s">
        <v>1021</v>
      </c>
      <c r="V95" s="25" t="s">
        <v>154</v>
      </c>
      <c r="W95" s="25"/>
    </row>
    <row r="96" spans="1:23" ht="22.5" customHeight="1">
      <c r="A96" s="50">
        <v>45992.336111111108</v>
      </c>
      <c r="B96" s="51" t="s">
        <v>1024</v>
      </c>
      <c r="C96" s="51" t="s">
        <v>1025</v>
      </c>
      <c r="D96" s="51" t="s">
        <v>24</v>
      </c>
      <c r="E96" s="53">
        <v>35248</v>
      </c>
      <c r="F96" s="51" t="s">
        <v>198</v>
      </c>
      <c r="G96" s="51" t="s">
        <v>1026</v>
      </c>
      <c r="H96" s="51" t="s">
        <v>1027</v>
      </c>
      <c r="I96" s="6" t="str">
        <f>VLOOKUP(CLEAN(F96),'World Bank Categories'!$B$4:$C$220,2,FALSE)</f>
        <v>Middle income</v>
      </c>
      <c r="J96" s="51" t="s">
        <v>1028</v>
      </c>
      <c r="K96" s="51" t="s">
        <v>29</v>
      </c>
      <c r="L96" s="51" t="s">
        <v>30</v>
      </c>
      <c r="M96" s="51"/>
      <c r="N96" s="51"/>
      <c r="O96" s="51"/>
      <c r="P96" s="51" t="s">
        <v>31</v>
      </c>
      <c r="Q96" s="9" t="s">
        <v>32</v>
      </c>
      <c r="R96" s="10" t="s">
        <v>33</v>
      </c>
      <c r="S96" s="25" t="s">
        <v>1024</v>
      </c>
      <c r="T96" s="27">
        <v>35248</v>
      </c>
      <c r="U96" s="25" t="s">
        <v>1028</v>
      </c>
      <c r="V96" s="25" t="s">
        <v>80</v>
      </c>
      <c r="W96" s="25"/>
    </row>
    <row r="97" spans="1:23" ht="22.5" customHeight="1">
      <c r="A97" s="50">
        <v>45993.611990740741</v>
      </c>
      <c r="B97" s="51" t="s">
        <v>1037</v>
      </c>
      <c r="C97" s="52"/>
      <c r="D97" s="51" t="s">
        <v>45</v>
      </c>
      <c r="E97" s="53">
        <v>24838</v>
      </c>
      <c r="F97" s="51" t="s">
        <v>1038</v>
      </c>
      <c r="G97" s="51" t="s">
        <v>1039</v>
      </c>
      <c r="H97" s="51" t="s">
        <v>1040</v>
      </c>
      <c r="I97" s="6" t="str">
        <f>VLOOKUP(CLEAN(F97),'World Bank Categories'!$B$4:$C$220,2,FALSE)</f>
        <v>Middle income</v>
      </c>
      <c r="J97" s="51" t="s">
        <v>1041</v>
      </c>
      <c r="K97" s="51" t="s">
        <v>1042</v>
      </c>
      <c r="L97" s="51" t="s">
        <v>162</v>
      </c>
      <c r="M97" s="51"/>
      <c r="N97" s="51"/>
      <c r="O97" s="51"/>
      <c r="P97" s="51" t="s">
        <v>31</v>
      </c>
      <c r="Q97" s="9" t="s">
        <v>32</v>
      </c>
      <c r="R97" s="18" t="s">
        <v>33</v>
      </c>
      <c r="S97" s="25" t="s">
        <v>1037</v>
      </c>
      <c r="T97" s="27">
        <v>24838</v>
      </c>
      <c r="U97" s="25" t="s">
        <v>1041</v>
      </c>
      <c r="V97" s="25" t="s">
        <v>80</v>
      </c>
      <c r="W97" s="25"/>
    </row>
    <row r="98" spans="1:23" ht="22.5" customHeight="1">
      <c r="A98" s="20">
        <v>45993.840671296297</v>
      </c>
      <c r="B98" s="21" t="s">
        <v>1048</v>
      </c>
      <c r="C98" s="38"/>
      <c r="D98" s="21" t="s">
        <v>24</v>
      </c>
      <c r="E98" s="22">
        <v>34383</v>
      </c>
      <c r="F98" s="21" t="s">
        <v>88</v>
      </c>
      <c r="G98" s="21" t="s">
        <v>866</v>
      </c>
      <c r="H98" s="21" t="s">
        <v>1049</v>
      </c>
      <c r="I98" s="6" t="str">
        <f>VLOOKUP(CLEAN(F98),'World Bank Categories'!$B$4:$C$220,2,FALSE)</f>
        <v>Low income</v>
      </c>
      <c r="J98" s="21" t="s">
        <v>1050</v>
      </c>
      <c r="K98" s="21" t="s">
        <v>29</v>
      </c>
      <c r="L98" s="21" t="s">
        <v>30</v>
      </c>
      <c r="M98" s="21"/>
      <c r="N98" s="21"/>
      <c r="O98" s="21"/>
      <c r="P98" s="21" t="s">
        <v>31</v>
      </c>
      <c r="Q98" s="9" t="s">
        <v>32</v>
      </c>
      <c r="R98" s="18" t="s">
        <v>33</v>
      </c>
      <c r="S98" s="25" t="s">
        <v>1048</v>
      </c>
      <c r="T98" s="27">
        <v>34383</v>
      </c>
      <c r="U98" s="25" t="s">
        <v>1050</v>
      </c>
      <c r="V98" s="25" t="s">
        <v>80</v>
      </c>
      <c r="W98" s="25"/>
    </row>
    <row r="99" spans="1:23" ht="22.5" customHeight="1">
      <c r="A99" s="20">
        <v>45994.137314814812</v>
      </c>
      <c r="B99" s="21" t="s">
        <v>1051</v>
      </c>
      <c r="C99" s="21" t="s">
        <v>1052</v>
      </c>
      <c r="D99" s="21" t="s">
        <v>45</v>
      </c>
      <c r="E99" s="22">
        <v>30184</v>
      </c>
      <c r="F99" s="21" t="s">
        <v>1053</v>
      </c>
      <c r="G99" s="21" t="s">
        <v>1054</v>
      </c>
      <c r="H99" s="21" t="s">
        <v>1055</v>
      </c>
      <c r="I99" s="6" t="str">
        <f>VLOOKUP(CLEAN(F99),'World Bank Categories'!$B$4:$C$220,2,FALSE)</f>
        <v>High income</v>
      </c>
      <c r="J99" s="21" t="s">
        <v>1056</v>
      </c>
      <c r="K99" s="21" t="s">
        <v>39</v>
      </c>
      <c r="L99" s="21" t="s">
        <v>621</v>
      </c>
      <c r="M99" s="21"/>
      <c r="N99" s="21"/>
      <c r="O99" s="21"/>
      <c r="P99" s="21" t="s">
        <v>31</v>
      </c>
      <c r="Q99" s="9" t="s">
        <v>32</v>
      </c>
      <c r="R99" s="10" t="s">
        <v>33</v>
      </c>
      <c r="S99" s="25" t="s">
        <v>1057</v>
      </c>
      <c r="T99" s="27">
        <v>30184</v>
      </c>
      <c r="U99" s="25" t="s">
        <v>1056</v>
      </c>
      <c r="V99" s="25" t="s">
        <v>154</v>
      </c>
      <c r="W99" s="25"/>
    </row>
    <row r="100" spans="1:23" ht="22.5" customHeight="1">
      <c r="A100" s="20">
        <v>45994.546724537038</v>
      </c>
      <c r="B100" s="21" t="s">
        <v>1062</v>
      </c>
      <c r="C100" s="38"/>
      <c r="D100" s="21" t="s">
        <v>24</v>
      </c>
      <c r="E100" s="22">
        <v>32386</v>
      </c>
      <c r="F100" s="21" t="s">
        <v>1063</v>
      </c>
      <c r="G100" s="21" t="s">
        <v>1064</v>
      </c>
      <c r="H100" s="21" t="s">
        <v>1065</v>
      </c>
      <c r="I100" s="6" t="str">
        <f>VLOOKUP(CLEAN(F100),'World Bank Categories'!$B$4:$C$220,2,FALSE)</f>
        <v>Middle income</v>
      </c>
      <c r="J100" s="21" t="s">
        <v>1066</v>
      </c>
      <c r="K100" s="21" t="s">
        <v>29</v>
      </c>
      <c r="L100" s="21" t="s">
        <v>162</v>
      </c>
      <c r="M100" s="21"/>
      <c r="N100" s="21"/>
      <c r="O100" s="21"/>
      <c r="P100" s="21" t="s">
        <v>31</v>
      </c>
      <c r="Q100" s="9" t="s">
        <v>32</v>
      </c>
      <c r="R100" s="10" t="s">
        <v>33</v>
      </c>
      <c r="S100" s="25" t="s">
        <v>1062</v>
      </c>
      <c r="T100" s="27">
        <v>32386</v>
      </c>
      <c r="U100" s="25" t="s">
        <v>1066</v>
      </c>
      <c r="V100" s="25" t="s">
        <v>80</v>
      </c>
      <c r="W100" s="25"/>
    </row>
    <row r="101" spans="1:23" ht="22.5" customHeight="1">
      <c r="A101" s="20">
        <v>45994.893842592595</v>
      </c>
      <c r="B101" s="21" t="s">
        <v>1067</v>
      </c>
      <c r="C101" s="38"/>
      <c r="D101" s="21" t="s">
        <v>45</v>
      </c>
      <c r="E101" s="22">
        <v>35708</v>
      </c>
      <c r="F101" s="21" t="s">
        <v>438</v>
      </c>
      <c r="G101" s="21" t="s">
        <v>1068</v>
      </c>
      <c r="H101" s="21" t="s">
        <v>1069</v>
      </c>
      <c r="I101" s="6" t="str">
        <f>VLOOKUP(CLEAN(F101),'World Bank Categories'!$B$4:$C$220,2,FALSE)</f>
        <v>Middle income</v>
      </c>
      <c r="J101" s="21" t="s">
        <v>1070</v>
      </c>
      <c r="K101" s="21" t="s">
        <v>39</v>
      </c>
      <c r="L101" s="21" t="s">
        <v>30</v>
      </c>
      <c r="M101" s="21"/>
      <c r="N101" s="21"/>
      <c r="O101" s="21"/>
      <c r="P101" s="21" t="s">
        <v>31</v>
      </c>
      <c r="Q101" s="9" t="s">
        <v>32</v>
      </c>
      <c r="R101" s="18" t="s">
        <v>33</v>
      </c>
      <c r="S101" s="25" t="s">
        <v>1067</v>
      </c>
      <c r="T101" s="27">
        <v>35708</v>
      </c>
      <c r="U101" s="25" t="s">
        <v>1070</v>
      </c>
      <c r="V101" s="25" t="s">
        <v>80</v>
      </c>
      <c r="W101" s="25"/>
    </row>
    <row r="102" spans="1:23" ht="22.5" customHeight="1">
      <c r="A102" s="20">
        <v>45994.995312500003</v>
      </c>
      <c r="B102" s="21" t="s">
        <v>1071</v>
      </c>
      <c r="C102" s="38"/>
      <c r="D102" s="21" t="s">
        <v>24</v>
      </c>
      <c r="E102" s="22">
        <v>38389</v>
      </c>
      <c r="F102" s="21" t="s">
        <v>980</v>
      </c>
      <c r="G102" s="21" t="s">
        <v>1072</v>
      </c>
      <c r="H102" s="21" t="s">
        <v>66</v>
      </c>
      <c r="I102" s="6" t="str">
        <f>VLOOKUP(CLEAN(F102),'World Bank Categories'!$B$4:$C$220,2,FALSE)</f>
        <v>Middle income</v>
      </c>
      <c r="J102" s="21" t="s">
        <v>1073</v>
      </c>
      <c r="K102" s="21" t="s">
        <v>39</v>
      </c>
      <c r="L102" s="21" t="s">
        <v>152</v>
      </c>
      <c r="M102" s="21"/>
      <c r="N102" s="21"/>
      <c r="O102" s="21"/>
      <c r="P102" s="21" t="s">
        <v>31</v>
      </c>
      <c r="Q102" s="9" t="s">
        <v>32</v>
      </c>
      <c r="R102" s="10" t="s">
        <v>33</v>
      </c>
      <c r="S102" s="25" t="s">
        <v>1071</v>
      </c>
      <c r="T102" s="27">
        <v>38389</v>
      </c>
      <c r="U102" s="25" t="s">
        <v>1073</v>
      </c>
      <c r="V102" s="25" t="s">
        <v>80</v>
      </c>
      <c r="W102" s="25"/>
    </row>
    <row r="103" spans="1:23" ht="22.5" customHeight="1">
      <c r="A103" s="20">
        <v>45994.998344907406</v>
      </c>
      <c r="B103" s="21" t="s">
        <v>1074</v>
      </c>
      <c r="C103" s="38"/>
      <c r="D103" s="21" t="s">
        <v>45</v>
      </c>
      <c r="E103" s="22">
        <v>38977</v>
      </c>
      <c r="F103" s="21" t="s">
        <v>980</v>
      </c>
      <c r="G103" s="21" t="s">
        <v>1075</v>
      </c>
      <c r="H103" s="21" t="s">
        <v>66</v>
      </c>
      <c r="I103" s="6" t="str">
        <f>VLOOKUP(CLEAN(F103),'World Bank Categories'!$B$4:$C$220,2,FALSE)</f>
        <v>Middle income</v>
      </c>
      <c r="J103" s="21" t="s">
        <v>1076</v>
      </c>
      <c r="K103" s="21" t="s">
        <v>39</v>
      </c>
      <c r="L103" s="21" t="s">
        <v>152</v>
      </c>
      <c r="M103" s="21"/>
      <c r="N103" s="21"/>
      <c r="O103" s="21"/>
      <c r="P103" s="21" t="s">
        <v>31</v>
      </c>
      <c r="Q103" s="42" t="s">
        <v>32</v>
      </c>
      <c r="R103" s="18" t="s">
        <v>33</v>
      </c>
      <c r="S103" s="25"/>
      <c r="T103" s="26"/>
      <c r="U103" s="25"/>
      <c r="V103" s="25"/>
      <c r="W103" s="25"/>
    </row>
    <row r="104" spans="1:23" ht="22.5" customHeight="1">
      <c r="A104" s="20">
        <v>45995.008425925924</v>
      </c>
      <c r="B104" s="21" t="s">
        <v>1077</v>
      </c>
      <c r="C104" s="38"/>
      <c r="D104" s="21" t="s">
        <v>24</v>
      </c>
      <c r="E104" s="22">
        <v>38508</v>
      </c>
      <c r="F104" s="21" t="s">
        <v>980</v>
      </c>
      <c r="G104" s="21" t="s">
        <v>1072</v>
      </c>
      <c r="H104" s="21" t="s">
        <v>66</v>
      </c>
      <c r="I104" s="6" t="str">
        <f>VLOOKUP(CLEAN(F104),'World Bank Categories'!$B$4:$C$220,2,FALSE)</f>
        <v>Middle income</v>
      </c>
      <c r="J104" s="21" t="s">
        <v>1078</v>
      </c>
      <c r="K104" s="21" t="s">
        <v>39</v>
      </c>
      <c r="L104" s="21" t="s">
        <v>152</v>
      </c>
      <c r="M104" s="21"/>
      <c r="N104" s="21"/>
      <c r="O104" s="21"/>
      <c r="P104" s="21" t="s">
        <v>31</v>
      </c>
      <c r="Q104" s="9" t="s">
        <v>32</v>
      </c>
      <c r="R104" s="10" t="s">
        <v>33</v>
      </c>
      <c r="S104" s="25" t="s">
        <v>1077</v>
      </c>
      <c r="T104" s="27">
        <v>38508</v>
      </c>
      <c r="U104" s="25" t="s">
        <v>1078</v>
      </c>
      <c r="V104" s="25" t="s">
        <v>80</v>
      </c>
      <c r="W104" s="25"/>
    </row>
    <row r="105" spans="1:23" ht="22.5" customHeight="1">
      <c r="A105" s="20">
        <v>45996.041030092594</v>
      </c>
      <c r="B105" s="21" t="s">
        <v>1079</v>
      </c>
      <c r="C105" s="38"/>
      <c r="D105" s="21" t="s">
        <v>45</v>
      </c>
      <c r="E105" s="22">
        <v>32733</v>
      </c>
      <c r="F105" s="21" t="s">
        <v>980</v>
      </c>
      <c r="G105" s="21" t="s">
        <v>1080</v>
      </c>
      <c r="H105" s="21" t="s">
        <v>90</v>
      </c>
      <c r="I105" s="6" t="str">
        <f>VLOOKUP(CLEAN(F105),'World Bank Categories'!$B$4:$C$220,2,FALSE)</f>
        <v>Middle income</v>
      </c>
      <c r="J105" s="21" t="s">
        <v>1081</v>
      </c>
      <c r="K105" s="21" t="s">
        <v>39</v>
      </c>
      <c r="L105" s="21" t="s">
        <v>621</v>
      </c>
      <c r="M105" s="21" t="s">
        <v>1082</v>
      </c>
      <c r="N105" s="34" t="s">
        <v>1083</v>
      </c>
      <c r="O105" s="21" t="s">
        <v>365</v>
      </c>
      <c r="P105" s="21" t="s">
        <v>31</v>
      </c>
      <c r="Q105" s="9" t="s">
        <v>32</v>
      </c>
      <c r="R105" s="18" t="s">
        <v>33</v>
      </c>
      <c r="S105" s="25" t="s">
        <v>1079</v>
      </c>
      <c r="T105" s="27">
        <v>32733</v>
      </c>
      <c r="U105" s="25" t="s">
        <v>1081</v>
      </c>
      <c r="V105" s="25" t="s">
        <v>80</v>
      </c>
      <c r="W105" s="25"/>
    </row>
    <row r="106" spans="1:23" ht="22.5" customHeight="1">
      <c r="A106" s="20">
        <v>45997.913298611114</v>
      </c>
      <c r="B106" s="21" t="s">
        <v>1084</v>
      </c>
      <c r="C106" s="38"/>
      <c r="D106" s="21" t="s">
        <v>45</v>
      </c>
      <c r="E106" s="22">
        <v>36956</v>
      </c>
      <c r="F106" s="21" t="s">
        <v>64</v>
      </c>
      <c r="G106" s="21" t="s">
        <v>1085</v>
      </c>
      <c r="H106" s="21" t="s">
        <v>54</v>
      </c>
      <c r="I106" s="6" t="str">
        <f>VLOOKUP(CLEAN(F106),'World Bank Categories'!$B$4:$C$220,2,FALSE)</f>
        <v>Middle income</v>
      </c>
      <c r="J106" s="21" t="s">
        <v>1086</v>
      </c>
      <c r="K106" s="21" t="s">
        <v>29</v>
      </c>
      <c r="L106" s="21" t="s">
        <v>30</v>
      </c>
      <c r="M106" s="21"/>
      <c r="N106" s="21"/>
      <c r="O106" s="21"/>
      <c r="P106" s="21" t="s">
        <v>31</v>
      </c>
      <c r="Q106" s="9" t="s">
        <v>32</v>
      </c>
      <c r="R106" s="10" t="s">
        <v>33</v>
      </c>
      <c r="S106" s="25" t="s">
        <v>1084</v>
      </c>
      <c r="T106" s="27">
        <v>36956</v>
      </c>
      <c r="U106" s="25" t="s">
        <v>1086</v>
      </c>
      <c r="V106" s="25" t="s">
        <v>80</v>
      </c>
      <c r="W106" s="25"/>
    </row>
    <row r="107" spans="1:23" ht="22.5" customHeight="1">
      <c r="A107" s="20">
        <v>45999.920925925922</v>
      </c>
      <c r="B107" s="21" t="s">
        <v>1087</v>
      </c>
      <c r="C107" s="21" t="s">
        <v>1088</v>
      </c>
      <c r="D107" s="21" t="s">
        <v>24</v>
      </c>
      <c r="E107" s="22">
        <v>37314</v>
      </c>
      <c r="F107" s="21" t="s">
        <v>1063</v>
      </c>
      <c r="G107" s="21" t="s">
        <v>1089</v>
      </c>
      <c r="H107" s="21" t="s">
        <v>1090</v>
      </c>
      <c r="I107" s="6" t="str">
        <f>VLOOKUP(CLEAN(F107),'World Bank Categories'!$B$4:$C$220,2,FALSE)</f>
        <v>Middle income</v>
      </c>
      <c r="J107" s="21" t="s">
        <v>1091</v>
      </c>
      <c r="K107" s="21" t="s">
        <v>29</v>
      </c>
      <c r="L107" s="21" t="s">
        <v>30</v>
      </c>
      <c r="M107" s="21"/>
      <c r="N107" s="21"/>
      <c r="O107" s="21"/>
      <c r="P107" s="21" t="s">
        <v>31</v>
      </c>
      <c r="Q107" s="9" t="s">
        <v>32</v>
      </c>
      <c r="R107" s="18" t="s">
        <v>33</v>
      </c>
      <c r="S107" s="25" t="s">
        <v>1087</v>
      </c>
      <c r="T107" s="27">
        <v>37314</v>
      </c>
      <c r="U107" s="25" t="s">
        <v>1091</v>
      </c>
      <c r="V107" s="25" t="s">
        <v>80</v>
      </c>
      <c r="W107" s="25"/>
    </row>
    <row r="108" spans="1:23" ht="22.5" customHeight="1">
      <c r="A108" s="5">
        <v>46001.294196261573</v>
      </c>
      <c r="B108" s="6" t="s">
        <v>1095</v>
      </c>
      <c r="C108" s="7"/>
      <c r="D108" s="6" t="s">
        <v>24</v>
      </c>
      <c r="E108" s="8">
        <v>34048</v>
      </c>
      <c r="F108" s="6" t="s">
        <v>310</v>
      </c>
      <c r="G108" s="6" t="s">
        <v>1096</v>
      </c>
      <c r="H108" s="6" t="s">
        <v>1097</v>
      </c>
      <c r="I108" s="6" t="str">
        <f>VLOOKUP(CLEAN(F108),'World Bank Categories'!$B$4:$C$220,2,FALSE)</f>
        <v>High income</v>
      </c>
      <c r="J108" s="6" t="s">
        <v>1098</v>
      </c>
      <c r="K108" s="6" t="s">
        <v>29</v>
      </c>
      <c r="L108" s="6" t="s">
        <v>30</v>
      </c>
      <c r="M108" s="7"/>
      <c r="N108" s="6"/>
      <c r="O108" s="6"/>
      <c r="P108" s="6" t="s">
        <v>31</v>
      </c>
      <c r="Q108" s="9" t="s">
        <v>32</v>
      </c>
      <c r="R108" s="18" t="s">
        <v>33</v>
      </c>
      <c r="S108" s="11" t="s">
        <v>1095</v>
      </c>
      <c r="T108" s="12"/>
      <c r="U108" s="12"/>
      <c r="V108" s="12"/>
      <c r="W108" s="12"/>
    </row>
    <row r="109" spans="1:23" ht="22.5" customHeight="1">
      <c r="A109" s="20">
        <v>46001.703275462962</v>
      </c>
      <c r="B109" s="21" t="s">
        <v>1099</v>
      </c>
      <c r="C109" s="21" t="s">
        <v>1100</v>
      </c>
      <c r="D109" s="21" t="s">
        <v>24</v>
      </c>
      <c r="E109" s="22">
        <v>36638</v>
      </c>
      <c r="F109" s="21" t="s">
        <v>70</v>
      </c>
      <c r="G109" s="21" t="s">
        <v>71</v>
      </c>
      <c r="H109" s="21" t="s">
        <v>376</v>
      </c>
      <c r="I109" s="6" t="str">
        <f>VLOOKUP(CLEAN(F109),'World Bank Categories'!$B$4:$C$220,2,FALSE)</f>
        <v>Middle income</v>
      </c>
      <c r="J109" s="21" t="s">
        <v>1101</v>
      </c>
      <c r="K109" s="21" t="s">
        <v>29</v>
      </c>
      <c r="L109" s="21" t="s">
        <v>30</v>
      </c>
      <c r="M109" s="21"/>
      <c r="N109" s="21"/>
      <c r="O109" s="21"/>
      <c r="P109" s="21" t="s">
        <v>31</v>
      </c>
      <c r="Q109" s="9" t="s">
        <v>32</v>
      </c>
      <c r="R109" s="10" t="s">
        <v>33</v>
      </c>
      <c r="S109" s="25" t="s">
        <v>1099</v>
      </c>
      <c r="T109" s="27">
        <v>36638</v>
      </c>
      <c r="U109" s="25" t="s">
        <v>1101</v>
      </c>
      <c r="V109" s="25" t="s">
        <v>80</v>
      </c>
      <c r="W109" s="25"/>
    </row>
    <row r="110" spans="1:23" ht="22.5" customHeight="1">
      <c r="A110" s="20">
        <v>46002.060347222221</v>
      </c>
      <c r="B110" s="21" t="s">
        <v>1106</v>
      </c>
      <c r="C110" s="38"/>
      <c r="D110" s="21" t="s">
        <v>24</v>
      </c>
      <c r="E110" s="22">
        <v>34207</v>
      </c>
      <c r="F110" s="21" t="s">
        <v>1107</v>
      </c>
      <c r="G110" s="21" t="s">
        <v>1108</v>
      </c>
      <c r="H110" s="21" t="s">
        <v>1109</v>
      </c>
      <c r="I110" s="6" t="str">
        <f>VLOOKUP(CLEAN(F110),'World Bank Categories'!$B$4:$C$220,2,FALSE)</f>
        <v>Middle income</v>
      </c>
      <c r="J110" s="21" t="s">
        <v>1110</v>
      </c>
      <c r="K110" s="21" t="s">
        <v>29</v>
      </c>
      <c r="L110" s="21" t="s">
        <v>30</v>
      </c>
      <c r="M110" s="21"/>
      <c r="N110" s="21"/>
      <c r="O110" s="21"/>
      <c r="P110" s="21" t="s">
        <v>31</v>
      </c>
      <c r="Q110" s="9" t="s">
        <v>32</v>
      </c>
      <c r="R110" s="10" t="s">
        <v>33</v>
      </c>
      <c r="S110" s="25" t="s">
        <v>1106</v>
      </c>
      <c r="T110" s="27">
        <v>34207</v>
      </c>
      <c r="U110" s="25" t="s">
        <v>1110</v>
      </c>
      <c r="V110" s="25" t="s">
        <v>80</v>
      </c>
      <c r="W110" s="25"/>
    </row>
    <row r="111" spans="1:23" ht="22.5" customHeight="1">
      <c r="A111" s="20">
        <v>46002.060393518521</v>
      </c>
      <c r="B111" s="21" t="s">
        <v>1111</v>
      </c>
      <c r="C111" s="38"/>
      <c r="D111" s="21" t="s">
        <v>45</v>
      </c>
      <c r="E111" s="22">
        <v>36040</v>
      </c>
      <c r="F111" s="21" t="s">
        <v>1112</v>
      </c>
      <c r="G111" s="21" t="s">
        <v>1113</v>
      </c>
      <c r="H111" s="21" t="s">
        <v>1114</v>
      </c>
      <c r="I111" s="6" t="str">
        <f>VLOOKUP(CLEAN(F111),'World Bank Categories'!$B$4:$C$220,2,FALSE)</f>
        <v>Low income</v>
      </c>
      <c r="J111" s="21" t="s">
        <v>1115</v>
      </c>
      <c r="K111" s="21" t="s">
        <v>29</v>
      </c>
      <c r="L111" s="21" t="s">
        <v>30</v>
      </c>
      <c r="M111" s="21"/>
      <c r="N111" s="21"/>
      <c r="O111" s="21"/>
      <c r="P111" s="21" t="s">
        <v>31</v>
      </c>
      <c r="Q111" s="9" t="s">
        <v>32</v>
      </c>
      <c r="R111" s="18" t="s">
        <v>33</v>
      </c>
      <c r="S111" s="25" t="s">
        <v>1111</v>
      </c>
      <c r="T111" s="27">
        <v>35835</v>
      </c>
      <c r="U111" s="25" t="s">
        <v>1115</v>
      </c>
      <c r="V111" s="25" t="s">
        <v>236</v>
      </c>
      <c r="W111" s="25"/>
    </row>
    <row r="112" spans="1:23" ht="22.5" customHeight="1">
      <c r="A112" s="20">
        <v>46006.693368055552</v>
      </c>
      <c r="B112" s="21" t="s">
        <v>1133</v>
      </c>
      <c r="C112" s="38"/>
      <c r="D112" s="21" t="s">
        <v>45</v>
      </c>
      <c r="E112" s="22">
        <v>25932</v>
      </c>
      <c r="F112" s="21" t="s">
        <v>232</v>
      </c>
      <c r="G112" s="21" t="s">
        <v>1134</v>
      </c>
      <c r="H112" s="21" t="s">
        <v>1135</v>
      </c>
      <c r="I112" s="6" t="str">
        <f>VLOOKUP(CLEAN(F112),'World Bank Categories'!$B$4:$C$220,2,FALSE)</f>
        <v>Middle income</v>
      </c>
      <c r="J112" s="21" t="s">
        <v>1136</v>
      </c>
      <c r="K112" s="21" t="s">
        <v>29</v>
      </c>
      <c r="L112" s="21" t="s">
        <v>30</v>
      </c>
      <c r="M112" s="21"/>
      <c r="N112" s="21"/>
      <c r="O112" s="21"/>
      <c r="P112" s="21" t="s">
        <v>31</v>
      </c>
      <c r="Q112" s="9" t="s">
        <v>32</v>
      </c>
      <c r="R112" s="18" t="s">
        <v>33</v>
      </c>
      <c r="S112" s="25" t="s">
        <v>1137</v>
      </c>
      <c r="T112" s="27">
        <v>25932</v>
      </c>
      <c r="U112" s="25" t="s">
        <v>1136</v>
      </c>
      <c r="V112" s="25" t="s">
        <v>154</v>
      </c>
      <c r="W112" s="25"/>
    </row>
    <row r="113" spans="1:23" ht="22.5" customHeight="1">
      <c r="A113" s="20">
        <v>46007.604178240741</v>
      </c>
      <c r="B113" s="21" t="s">
        <v>1138</v>
      </c>
      <c r="C113" s="38"/>
      <c r="D113" s="21" t="s">
        <v>24</v>
      </c>
      <c r="E113" s="22">
        <v>36554</v>
      </c>
      <c r="F113" s="21" t="s">
        <v>70</v>
      </c>
      <c r="G113" s="21" t="s">
        <v>1139</v>
      </c>
      <c r="H113" s="21" t="s">
        <v>263</v>
      </c>
      <c r="I113" s="6" t="str">
        <f>VLOOKUP(CLEAN(F113),'World Bank Categories'!$B$4:$C$220,2,FALSE)</f>
        <v>Middle income</v>
      </c>
      <c r="J113" s="21" t="s">
        <v>1140</v>
      </c>
      <c r="K113" s="21" t="s">
        <v>29</v>
      </c>
      <c r="L113" s="21" t="s">
        <v>30</v>
      </c>
      <c r="M113" s="21"/>
      <c r="N113" s="21"/>
      <c r="O113" s="21"/>
      <c r="P113" s="21" t="s">
        <v>31</v>
      </c>
      <c r="Q113" s="9" t="s">
        <v>32</v>
      </c>
      <c r="R113" s="10" t="s">
        <v>33</v>
      </c>
      <c r="S113" s="25" t="s">
        <v>1141</v>
      </c>
      <c r="T113" s="27">
        <v>36554</v>
      </c>
      <c r="U113" s="25" t="s">
        <v>1140</v>
      </c>
      <c r="V113" s="25" t="s">
        <v>154</v>
      </c>
      <c r="W113" s="25"/>
    </row>
    <row r="114" spans="1:23" ht="22.5" customHeight="1">
      <c r="A114" s="46">
        <v>46007.891782407409</v>
      </c>
      <c r="B114" s="47" t="s">
        <v>1146</v>
      </c>
      <c r="C114" s="47" t="s">
        <v>1147</v>
      </c>
      <c r="D114" s="47" t="s">
        <v>24</v>
      </c>
      <c r="E114" s="49">
        <v>33954</v>
      </c>
      <c r="F114" s="47" t="s">
        <v>64</v>
      </c>
      <c r="G114" s="47" t="s">
        <v>1148</v>
      </c>
      <c r="H114" s="47" t="s">
        <v>186</v>
      </c>
      <c r="I114" s="6" t="str">
        <f>VLOOKUP(CLEAN(F114),'World Bank Categories'!$B$4:$C$220,2,FALSE)</f>
        <v>Middle income</v>
      </c>
      <c r="J114" s="47" t="s">
        <v>1149</v>
      </c>
      <c r="K114" s="47" t="s">
        <v>29</v>
      </c>
      <c r="L114" s="47" t="s">
        <v>30</v>
      </c>
      <c r="M114" s="47"/>
      <c r="N114" s="47"/>
      <c r="O114" s="47"/>
      <c r="P114" s="47" t="s">
        <v>31</v>
      </c>
      <c r="Q114" s="9" t="s">
        <v>32</v>
      </c>
      <c r="R114" s="10" t="s">
        <v>33</v>
      </c>
      <c r="S114" s="25" t="s">
        <v>1150</v>
      </c>
      <c r="T114" s="27">
        <v>33682</v>
      </c>
      <c r="U114" s="25" t="s">
        <v>1149</v>
      </c>
      <c r="V114" s="25" t="s">
        <v>114</v>
      </c>
      <c r="W114" s="25"/>
    </row>
    <row r="115" spans="1:23" ht="22.5" customHeight="1">
      <c r="A115" s="20">
        <v>46008.216574074075</v>
      </c>
      <c r="B115" s="21" t="s">
        <v>1155</v>
      </c>
      <c r="C115" s="38"/>
      <c r="D115" s="21" t="s">
        <v>45</v>
      </c>
      <c r="E115" s="22">
        <v>36733</v>
      </c>
      <c r="F115" s="21" t="s">
        <v>70</v>
      </c>
      <c r="G115" s="21" t="s">
        <v>1156</v>
      </c>
      <c r="H115" s="21" t="s">
        <v>98</v>
      </c>
      <c r="I115" s="6" t="str">
        <f>VLOOKUP(CLEAN(F115),'World Bank Categories'!$B$4:$C$220,2,FALSE)</f>
        <v>Middle income</v>
      </c>
      <c r="J115" s="21" t="s">
        <v>1157</v>
      </c>
      <c r="K115" s="21" t="s">
        <v>29</v>
      </c>
      <c r="L115" s="21" t="s">
        <v>30</v>
      </c>
      <c r="M115" s="21"/>
      <c r="N115" s="21"/>
      <c r="O115" s="21"/>
      <c r="P115" s="21" t="s">
        <v>31</v>
      </c>
      <c r="Q115" s="9" t="s">
        <v>32</v>
      </c>
      <c r="R115" s="10" t="s">
        <v>33</v>
      </c>
      <c r="S115" s="25" t="s">
        <v>1158</v>
      </c>
      <c r="T115" s="27">
        <v>36733</v>
      </c>
      <c r="U115" s="25" t="s">
        <v>1157</v>
      </c>
      <c r="V115" s="25" t="s">
        <v>1159</v>
      </c>
      <c r="W115" s="25"/>
    </row>
    <row r="116" spans="1:23" ht="22.5" customHeight="1">
      <c r="A116" s="20">
        <v>46009.054027777776</v>
      </c>
      <c r="B116" s="21" t="s">
        <v>1170</v>
      </c>
      <c r="C116" s="38"/>
      <c r="D116" s="21" t="s">
        <v>24</v>
      </c>
      <c r="E116" s="22">
        <v>31289</v>
      </c>
      <c r="F116" s="21" t="s">
        <v>416</v>
      </c>
      <c r="G116" s="21" t="s">
        <v>1171</v>
      </c>
      <c r="H116" s="21" t="s">
        <v>1172</v>
      </c>
      <c r="I116" s="6" t="str">
        <f>VLOOKUP(CLEAN(F116),'World Bank Categories'!$B$4:$C$220,2,FALSE)</f>
        <v>Middle income</v>
      </c>
      <c r="J116" s="21" t="s">
        <v>1173</v>
      </c>
      <c r="K116" s="21" t="s">
        <v>39</v>
      </c>
      <c r="L116" s="21" t="s">
        <v>152</v>
      </c>
      <c r="M116" s="21"/>
      <c r="N116" s="21"/>
      <c r="O116" s="21"/>
      <c r="P116" s="21" t="s">
        <v>31</v>
      </c>
      <c r="Q116" s="9" t="s">
        <v>32</v>
      </c>
      <c r="R116" s="18" t="s">
        <v>33</v>
      </c>
      <c r="S116" s="25" t="s">
        <v>1170</v>
      </c>
      <c r="T116" s="27">
        <v>31289</v>
      </c>
      <c r="U116" s="25" t="s">
        <v>1173</v>
      </c>
      <c r="V116" s="25" t="s">
        <v>80</v>
      </c>
      <c r="W116" s="25"/>
    </row>
    <row r="117" spans="1:23" ht="22.5" customHeight="1">
      <c r="A117" s="20">
        <v>46009.056770833333</v>
      </c>
      <c r="B117" s="21" t="s">
        <v>1174</v>
      </c>
      <c r="C117" s="38"/>
      <c r="D117" s="21" t="s">
        <v>24</v>
      </c>
      <c r="E117" s="22">
        <v>32539</v>
      </c>
      <c r="F117" s="21" t="s">
        <v>416</v>
      </c>
      <c r="G117" s="21" t="s">
        <v>1175</v>
      </c>
      <c r="H117" s="21" t="s">
        <v>1176</v>
      </c>
      <c r="I117" s="6" t="str">
        <f>VLOOKUP(CLEAN(F117),'World Bank Categories'!$B$4:$C$220,2,FALSE)</f>
        <v>Middle income</v>
      </c>
      <c r="J117" s="21" t="s">
        <v>1177</v>
      </c>
      <c r="K117" s="21" t="s">
        <v>39</v>
      </c>
      <c r="L117" s="21" t="s">
        <v>152</v>
      </c>
      <c r="M117" s="21"/>
      <c r="N117" s="21"/>
      <c r="O117" s="21"/>
      <c r="P117" s="21" t="s">
        <v>31</v>
      </c>
      <c r="Q117" s="9" t="s">
        <v>32</v>
      </c>
      <c r="R117" s="10" t="s">
        <v>33</v>
      </c>
      <c r="S117" s="25" t="s">
        <v>1174</v>
      </c>
      <c r="T117" s="27">
        <v>32539</v>
      </c>
      <c r="U117" s="25" t="s">
        <v>1177</v>
      </c>
      <c r="V117" s="25" t="s">
        <v>80</v>
      </c>
      <c r="W117" s="25"/>
    </row>
    <row r="118" spans="1:23" ht="22.5" customHeight="1">
      <c r="A118" s="20">
        <v>46009.236643518518</v>
      </c>
      <c r="B118" s="21" t="s">
        <v>1178</v>
      </c>
      <c r="C118" s="38"/>
      <c r="D118" s="21" t="s">
        <v>24</v>
      </c>
      <c r="E118" s="22">
        <v>36568</v>
      </c>
      <c r="F118" s="21" t="s">
        <v>1179</v>
      </c>
      <c r="G118" s="21" t="s">
        <v>1180</v>
      </c>
      <c r="H118" s="21" t="s">
        <v>1181</v>
      </c>
      <c r="I118" s="6" t="str">
        <f>VLOOKUP(CLEAN(F118),'World Bank Categories'!$B$4:$C$220,2,FALSE)</f>
        <v>High income</v>
      </c>
      <c r="J118" s="21" t="s">
        <v>1182</v>
      </c>
      <c r="K118" s="21" t="s">
        <v>29</v>
      </c>
      <c r="L118" s="21" t="s">
        <v>30</v>
      </c>
      <c r="M118" s="21"/>
      <c r="N118" s="21"/>
      <c r="O118" s="21"/>
      <c r="P118" s="21" t="s">
        <v>31</v>
      </c>
      <c r="Q118" s="9" t="s">
        <v>32</v>
      </c>
      <c r="R118" s="18" t="s">
        <v>1183</v>
      </c>
      <c r="S118" s="25" t="s">
        <v>1178</v>
      </c>
      <c r="T118" s="27">
        <v>36568</v>
      </c>
      <c r="U118" s="25" t="s">
        <v>1182</v>
      </c>
      <c r="V118" s="25" t="s">
        <v>80</v>
      </c>
      <c r="W118" s="25"/>
    </row>
    <row r="119" spans="1:23" ht="22.5" customHeight="1">
      <c r="A119" s="20">
        <v>46009.3828587963</v>
      </c>
      <c r="B119" s="21" t="s">
        <v>1187</v>
      </c>
      <c r="C119" s="38"/>
      <c r="D119" s="21" t="s">
        <v>45</v>
      </c>
      <c r="E119" s="22">
        <v>37319</v>
      </c>
      <c r="F119" s="21" t="s">
        <v>1188</v>
      </c>
      <c r="G119" s="21" t="s">
        <v>1189</v>
      </c>
      <c r="H119" s="21" t="s">
        <v>138</v>
      </c>
      <c r="I119" s="6" t="str">
        <f>VLOOKUP(CLEAN(F119),'World Bank Categories'!$B$4:$C$220,2,FALSE)</f>
        <v>High income</v>
      </c>
      <c r="J119" s="21" t="s">
        <v>1190</v>
      </c>
      <c r="K119" s="21" t="s">
        <v>29</v>
      </c>
      <c r="L119" s="21" t="s">
        <v>30</v>
      </c>
      <c r="M119" s="21"/>
      <c r="N119" s="21"/>
      <c r="O119" s="21"/>
      <c r="P119" s="21" t="s">
        <v>31</v>
      </c>
      <c r="Q119" s="9" t="s">
        <v>32</v>
      </c>
      <c r="R119" s="18" t="s">
        <v>43</v>
      </c>
      <c r="S119" s="25" t="s">
        <v>1191</v>
      </c>
      <c r="T119" s="27">
        <v>37319</v>
      </c>
      <c r="U119" s="25" t="s">
        <v>1190</v>
      </c>
      <c r="V119" s="25" t="s">
        <v>1192</v>
      </c>
      <c r="W119" s="25"/>
    </row>
    <row r="120" spans="1:23" ht="22.5" customHeight="1">
      <c r="A120" s="20">
        <v>46009.764351851853</v>
      </c>
      <c r="B120" s="21" t="s">
        <v>1193</v>
      </c>
      <c r="C120" s="38"/>
      <c r="D120" s="21" t="s">
        <v>45</v>
      </c>
      <c r="E120" s="22">
        <v>21647</v>
      </c>
      <c r="F120" s="21" t="s">
        <v>1194</v>
      </c>
      <c r="G120" s="21" t="s">
        <v>1195</v>
      </c>
      <c r="H120" s="21" t="s">
        <v>186</v>
      </c>
      <c r="I120" s="6" t="str">
        <f>VLOOKUP(CLEAN(F120),'World Bank Categories'!$B$4:$C$220,2,FALSE)</f>
        <v>Middle income</v>
      </c>
      <c r="J120" s="21" t="s">
        <v>1196</v>
      </c>
      <c r="K120" s="21" t="s">
        <v>29</v>
      </c>
      <c r="L120" s="21" t="s">
        <v>30</v>
      </c>
      <c r="M120" s="21"/>
      <c r="N120" s="21"/>
      <c r="O120" s="21"/>
      <c r="P120" s="21" t="s">
        <v>31</v>
      </c>
      <c r="Q120" s="9" t="s">
        <v>32</v>
      </c>
      <c r="R120" s="10" t="s">
        <v>33</v>
      </c>
      <c r="S120" s="25" t="s">
        <v>1197</v>
      </c>
      <c r="T120" s="27">
        <v>21647</v>
      </c>
      <c r="U120" s="25" t="s">
        <v>1196</v>
      </c>
      <c r="V120" s="25" t="s">
        <v>80</v>
      </c>
      <c r="W120" s="25"/>
    </row>
    <row r="121" spans="1:23" ht="22.5" customHeight="1">
      <c r="A121" s="20">
        <v>46009.945509259262</v>
      </c>
      <c r="B121" s="21" t="s">
        <v>1198</v>
      </c>
      <c r="C121" s="38"/>
      <c r="D121" s="21" t="s">
        <v>24</v>
      </c>
      <c r="E121" s="22">
        <v>30376</v>
      </c>
      <c r="F121" s="21" t="s">
        <v>799</v>
      </c>
      <c r="G121" s="21" t="s">
        <v>1199</v>
      </c>
      <c r="H121" s="21" t="s">
        <v>795</v>
      </c>
      <c r="I121" s="6" t="str">
        <f>VLOOKUP(CLEAN(F121),'World Bank Categories'!$B$4:$C$220,2,FALSE)</f>
        <v>Low income</v>
      </c>
      <c r="J121" s="21" t="s">
        <v>1200</v>
      </c>
      <c r="K121" s="21" t="s">
        <v>29</v>
      </c>
      <c r="L121" s="21" t="s">
        <v>30</v>
      </c>
      <c r="M121" s="21"/>
      <c r="N121" s="21"/>
      <c r="O121" s="21"/>
      <c r="P121" s="21" t="s">
        <v>31</v>
      </c>
      <c r="Q121" s="9" t="s">
        <v>32</v>
      </c>
      <c r="R121" s="10" t="s">
        <v>33</v>
      </c>
      <c r="S121" s="25" t="s">
        <v>1198</v>
      </c>
      <c r="T121" s="27">
        <v>30376</v>
      </c>
      <c r="U121" s="25" t="s">
        <v>1200</v>
      </c>
      <c r="V121" s="25" t="s">
        <v>80</v>
      </c>
      <c r="W121" s="25"/>
    </row>
    <row r="122" spans="1:23" ht="22.5" customHeight="1">
      <c r="A122" s="20">
        <v>46011.587581018517</v>
      </c>
      <c r="B122" s="21" t="s">
        <v>1227</v>
      </c>
      <c r="C122" s="38"/>
      <c r="D122" s="21" t="s">
        <v>24</v>
      </c>
      <c r="E122" s="22">
        <v>31038</v>
      </c>
      <c r="F122" s="21" t="s">
        <v>52</v>
      </c>
      <c r="G122" s="21" t="s">
        <v>1228</v>
      </c>
      <c r="H122" s="21" t="s">
        <v>1229</v>
      </c>
      <c r="I122" s="6" t="str">
        <f>VLOOKUP(CLEAN(F122),'World Bank Categories'!$B$4:$C$220,2,FALSE)</f>
        <v>Middle income</v>
      </c>
      <c r="J122" s="21" t="s">
        <v>1230</v>
      </c>
      <c r="K122" s="21" t="s">
        <v>29</v>
      </c>
      <c r="L122" s="21" t="s">
        <v>30</v>
      </c>
      <c r="M122" s="21"/>
      <c r="N122" s="21"/>
      <c r="O122" s="21"/>
      <c r="P122" s="21" t="s">
        <v>31</v>
      </c>
      <c r="Q122" s="9" t="s">
        <v>32</v>
      </c>
      <c r="R122" s="10" t="s">
        <v>33</v>
      </c>
      <c r="S122" s="25" t="s">
        <v>1231</v>
      </c>
      <c r="T122" s="27">
        <v>31038</v>
      </c>
      <c r="U122" s="25" t="s">
        <v>1230</v>
      </c>
      <c r="V122" s="25" t="s">
        <v>154</v>
      </c>
      <c r="W122" s="25"/>
    </row>
    <row r="123" spans="1:23" ht="22.5" customHeight="1">
      <c r="A123" s="28">
        <v>46012.652037037034</v>
      </c>
      <c r="B123" s="29" t="s">
        <v>1257</v>
      </c>
      <c r="C123" s="45"/>
      <c r="D123" s="29" t="s">
        <v>24</v>
      </c>
      <c r="E123" s="30">
        <v>32980</v>
      </c>
      <c r="F123" s="29" t="s">
        <v>346</v>
      </c>
      <c r="G123" s="29" t="s">
        <v>1258</v>
      </c>
      <c r="H123" s="29" t="s">
        <v>1259</v>
      </c>
      <c r="I123" s="6" t="str">
        <f>VLOOKUP(CLEAN(F123),'World Bank Categories'!$B$4:$C$220,2,FALSE)</f>
        <v>Middle income</v>
      </c>
      <c r="J123" s="29" t="s">
        <v>1260</v>
      </c>
      <c r="K123" s="29" t="s">
        <v>29</v>
      </c>
      <c r="L123" s="29" t="s">
        <v>30</v>
      </c>
      <c r="M123" s="29" t="s">
        <v>1261</v>
      </c>
      <c r="N123" s="54" t="s">
        <v>1262</v>
      </c>
      <c r="O123" s="14" t="s">
        <v>301</v>
      </c>
      <c r="P123" s="29" t="s">
        <v>31</v>
      </c>
      <c r="Q123" s="9" t="s">
        <v>32</v>
      </c>
      <c r="R123" s="18" t="s">
        <v>33</v>
      </c>
      <c r="S123" s="25" t="s">
        <v>1257</v>
      </c>
      <c r="T123" s="27">
        <v>32980</v>
      </c>
      <c r="U123" s="25" t="s">
        <v>1260</v>
      </c>
      <c r="V123" s="25" t="s">
        <v>80</v>
      </c>
      <c r="W123" s="25"/>
    </row>
    <row r="124" spans="1:23" ht="22.5" customHeight="1">
      <c r="A124" s="20">
        <v>46012.938622685186</v>
      </c>
      <c r="B124" s="21" t="s">
        <v>1271</v>
      </c>
      <c r="C124" s="38"/>
      <c r="D124" s="21" t="s">
        <v>45</v>
      </c>
      <c r="E124" s="22">
        <v>33105</v>
      </c>
      <c r="F124" s="21" t="s">
        <v>1272</v>
      </c>
      <c r="G124" s="21" t="s">
        <v>1273</v>
      </c>
      <c r="H124" s="21" t="s">
        <v>1274</v>
      </c>
      <c r="I124" s="6" t="str">
        <f>VLOOKUP(CLEAN(F124),'World Bank Categories'!$B$4:$C$220,2,FALSE)</f>
        <v>Low income</v>
      </c>
      <c r="J124" s="21" t="s">
        <v>1275</v>
      </c>
      <c r="K124" s="21" t="s">
        <v>29</v>
      </c>
      <c r="L124" s="21" t="s">
        <v>30</v>
      </c>
      <c r="M124" s="21"/>
      <c r="N124" s="21"/>
      <c r="O124" s="21"/>
      <c r="P124" s="21" t="s">
        <v>31</v>
      </c>
      <c r="Q124" s="9" t="s">
        <v>32</v>
      </c>
      <c r="R124" s="10" t="s">
        <v>33</v>
      </c>
      <c r="S124" s="25" t="s">
        <v>1271</v>
      </c>
      <c r="T124" s="27">
        <v>33105</v>
      </c>
      <c r="U124" s="25" t="s">
        <v>1275</v>
      </c>
      <c r="V124" s="25" t="s">
        <v>80</v>
      </c>
      <c r="W124" s="25"/>
    </row>
    <row r="125" spans="1:23" ht="22.5" customHeight="1">
      <c r="A125" s="20">
        <v>46013.748796296299</v>
      </c>
      <c r="B125" s="21" t="s">
        <v>1276</v>
      </c>
      <c r="C125" s="38"/>
      <c r="D125" s="21" t="s">
        <v>45</v>
      </c>
      <c r="E125" s="22">
        <v>28068</v>
      </c>
      <c r="F125" s="21" t="s">
        <v>1277</v>
      </c>
      <c r="G125" s="21" t="s">
        <v>1278</v>
      </c>
      <c r="H125" s="21" t="s">
        <v>98</v>
      </c>
      <c r="I125" s="6" t="str">
        <f>VLOOKUP(CLEAN(F125),'World Bank Categories'!$B$4:$C$220,2,FALSE)</f>
        <v>Middle income</v>
      </c>
      <c r="J125" s="21" t="s">
        <v>1279</v>
      </c>
      <c r="K125" s="21" t="s">
        <v>29</v>
      </c>
      <c r="L125" s="21" t="s">
        <v>1280</v>
      </c>
      <c r="M125" s="21" t="s">
        <v>1281</v>
      </c>
      <c r="N125" s="21" t="s">
        <v>1282</v>
      </c>
      <c r="O125" s="6" t="s">
        <v>444</v>
      </c>
      <c r="P125" s="21" t="s">
        <v>31</v>
      </c>
      <c r="Q125" s="9" t="s">
        <v>32</v>
      </c>
      <c r="R125" s="18" t="s">
        <v>33</v>
      </c>
      <c r="S125" s="25" t="s">
        <v>1276</v>
      </c>
      <c r="T125" s="27">
        <v>28068</v>
      </c>
      <c r="U125" s="25" t="s">
        <v>1279</v>
      </c>
      <c r="V125" s="25" t="s">
        <v>80</v>
      </c>
      <c r="W125" s="25"/>
    </row>
    <row r="126" spans="1:23" ht="22.5" customHeight="1">
      <c r="A126" s="20">
        <v>46014.312222222223</v>
      </c>
      <c r="B126" s="21" t="s">
        <v>1292</v>
      </c>
      <c r="C126" s="21" t="s">
        <v>1293</v>
      </c>
      <c r="D126" s="21" t="s">
        <v>45</v>
      </c>
      <c r="E126" s="22">
        <v>38455</v>
      </c>
      <c r="F126" s="21" t="s">
        <v>83</v>
      </c>
      <c r="G126" s="21" t="s">
        <v>123</v>
      </c>
      <c r="H126" s="21" t="s">
        <v>66</v>
      </c>
      <c r="I126" s="6" t="str">
        <f>VLOOKUP(CLEAN(F126),'World Bank Categories'!$B$4:$C$220,2,FALSE)</f>
        <v>Low income</v>
      </c>
      <c r="J126" s="21" t="s">
        <v>1294</v>
      </c>
      <c r="K126" s="21" t="s">
        <v>29</v>
      </c>
      <c r="L126" s="21" t="s">
        <v>30</v>
      </c>
      <c r="M126" s="21"/>
      <c r="N126" s="21"/>
      <c r="O126" s="21"/>
      <c r="P126" s="21" t="s">
        <v>31</v>
      </c>
      <c r="Q126" s="9" t="s">
        <v>32</v>
      </c>
      <c r="R126" s="18" t="s">
        <v>33</v>
      </c>
      <c r="S126" s="25" t="s">
        <v>1295</v>
      </c>
      <c r="T126" s="27">
        <v>38455</v>
      </c>
      <c r="U126" s="25" t="s">
        <v>1294</v>
      </c>
      <c r="V126" s="25" t="s">
        <v>154</v>
      </c>
      <c r="W126" s="25"/>
    </row>
    <row r="127" spans="1:23" ht="22.5" customHeight="1">
      <c r="A127" s="20">
        <v>46014.57917824074</v>
      </c>
      <c r="B127" s="21" t="s">
        <v>1300</v>
      </c>
      <c r="C127" s="38"/>
      <c r="D127" s="21" t="s">
        <v>24</v>
      </c>
      <c r="E127" s="22">
        <v>34091</v>
      </c>
      <c r="F127" s="21" t="s">
        <v>1301</v>
      </c>
      <c r="G127" s="21" t="s">
        <v>1302</v>
      </c>
      <c r="H127" s="21" t="s">
        <v>1303</v>
      </c>
      <c r="I127" s="6" t="str">
        <f>VLOOKUP(CLEAN(F127),'World Bank Categories'!$B$4:$C$220,2,FALSE)</f>
        <v>Middle income</v>
      </c>
      <c r="J127" s="21" t="s">
        <v>1304</v>
      </c>
      <c r="K127" s="21" t="s">
        <v>39</v>
      </c>
      <c r="L127" s="21" t="s">
        <v>30</v>
      </c>
      <c r="M127" s="21"/>
      <c r="N127" s="21"/>
      <c r="O127" s="21"/>
      <c r="P127" s="21" t="s">
        <v>31</v>
      </c>
      <c r="Q127" s="9" t="s">
        <v>32</v>
      </c>
      <c r="R127" s="10" t="s">
        <v>33</v>
      </c>
      <c r="S127" s="25" t="s">
        <v>1300</v>
      </c>
      <c r="T127" s="27">
        <v>34091</v>
      </c>
      <c r="U127" s="25" t="s">
        <v>1304</v>
      </c>
      <c r="V127" s="25" t="s">
        <v>80</v>
      </c>
      <c r="W127" s="25"/>
    </row>
    <row r="128" spans="1:23" ht="22.5" customHeight="1">
      <c r="A128" s="20">
        <v>46014.877974537034</v>
      </c>
      <c r="B128" s="21" t="s">
        <v>1315</v>
      </c>
      <c r="C128" s="38"/>
      <c r="D128" s="21" t="s">
        <v>24</v>
      </c>
      <c r="E128" s="22">
        <v>22759</v>
      </c>
      <c r="F128" s="21" t="s">
        <v>1316</v>
      </c>
      <c r="G128" s="21" t="s">
        <v>1317</v>
      </c>
      <c r="H128" s="21" t="s">
        <v>1318</v>
      </c>
      <c r="I128" s="6" t="str">
        <f>VLOOKUP(CLEAN(F128),'World Bank Categories'!$B$4:$C$220,2,FALSE)</f>
        <v>Low income</v>
      </c>
      <c r="J128" s="21" t="s">
        <v>1319</v>
      </c>
      <c r="K128" s="21" t="s">
        <v>39</v>
      </c>
      <c r="L128" s="21" t="s">
        <v>30</v>
      </c>
      <c r="M128" s="41"/>
      <c r="N128" s="21"/>
      <c r="O128" s="21"/>
      <c r="P128" s="21" t="s">
        <v>31</v>
      </c>
      <c r="Q128" s="9" t="s">
        <v>32</v>
      </c>
      <c r="R128" s="18" t="s">
        <v>33</v>
      </c>
      <c r="S128" s="25" t="s">
        <v>1320</v>
      </c>
      <c r="T128" s="27">
        <v>22759</v>
      </c>
      <c r="U128" s="25" t="s">
        <v>1319</v>
      </c>
      <c r="V128" s="25" t="s">
        <v>80</v>
      </c>
      <c r="W128" s="25"/>
    </row>
    <row r="129" spans="1:23" ht="22.5" customHeight="1">
      <c r="A129" s="20">
        <v>46015.102384259262</v>
      </c>
      <c r="B129" s="21" t="s">
        <v>1331</v>
      </c>
      <c r="C129" s="38"/>
      <c r="D129" s="21" t="s">
        <v>24</v>
      </c>
      <c r="E129" s="22">
        <v>35053</v>
      </c>
      <c r="F129" s="21" t="s">
        <v>52</v>
      </c>
      <c r="G129" s="21" t="s">
        <v>1332</v>
      </c>
      <c r="H129" s="21" t="s">
        <v>156</v>
      </c>
      <c r="I129" s="6" t="str">
        <f>VLOOKUP(CLEAN(F129),'World Bank Categories'!$B$4:$C$220,2,FALSE)</f>
        <v>Middle income</v>
      </c>
      <c r="J129" s="21" t="s">
        <v>1333</v>
      </c>
      <c r="K129" s="21" t="s">
        <v>29</v>
      </c>
      <c r="L129" s="21" t="s">
        <v>30</v>
      </c>
      <c r="M129" s="21"/>
      <c r="N129" s="21"/>
      <c r="O129" s="21"/>
      <c r="P129" s="21" t="s">
        <v>31</v>
      </c>
      <c r="Q129" s="9" t="s">
        <v>32</v>
      </c>
      <c r="R129" s="10" t="s">
        <v>43</v>
      </c>
      <c r="S129" s="25" t="s">
        <v>1331</v>
      </c>
      <c r="T129" s="27">
        <v>35053</v>
      </c>
      <c r="U129" s="25" t="s">
        <v>1333</v>
      </c>
      <c r="V129" s="25" t="s">
        <v>80</v>
      </c>
      <c r="W129" s="25"/>
    </row>
    <row r="130" spans="1:23" ht="22.5" customHeight="1">
      <c r="A130" s="20">
        <v>46015.335729166669</v>
      </c>
      <c r="B130" s="21" t="s">
        <v>1334</v>
      </c>
      <c r="C130" s="38"/>
      <c r="D130" s="21" t="s">
        <v>45</v>
      </c>
      <c r="E130" s="22">
        <v>37530</v>
      </c>
      <c r="F130" s="21" t="s">
        <v>1335</v>
      </c>
      <c r="G130" s="21" t="s">
        <v>1336</v>
      </c>
      <c r="H130" s="21" t="s">
        <v>66</v>
      </c>
      <c r="I130" s="6" t="str">
        <f>VLOOKUP(CLEAN(F130),'World Bank Categories'!$B$4:$C$220,2,FALSE)</f>
        <v>High income</v>
      </c>
      <c r="J130" s="21" t="s">
        <v>1337</v>
      </c>
      <c r="K130" s="21" t="s">
        <v>29</v>
      </c>
      <c r="L130" s="21" t="s">
        <v>30</v>
      </c>
      <c r="M130" s="21"/>
      <c r="N130" s="21"/>
      <c r="O130" s="21"/>
      <c r="P130" s="21" t="s">
        <v>31</v>
      </c>
      <c r="Q130" s="9" t="s">
        <v>32</v>
      </c>
      <c r="R130" s="18" t="s">
        <v>33</v>
      </c>
      <c r="S130" s="25" t="s">
        <v>1334</v>
      </c>
      <c r="T130" s="27">
        <v>37530</v>
      </c>
      <c r="U130" s="25" t="s">
        <v>1337</v>
      </c>
      <c r="V130" s="25" t="s">
        <v>80</v>
      </c>
      <c r="W130" s="25"/>
    </row>
    <row r="131" spans="1:23" ht="22.5" customHeight="1">
      <c r="A131" s="20">
        <v>46015.772731481484</v>
      </c>
      <c r="B131" s="21" t="s">
        <v>1341</v>
      </c>
      <c r="C131" s="38"/>
      <c r="D131" s="21" t="s">
        <v>24</v>
      </c>
      <c r="E131" s="22">
        <v>35790</v>
      </c>
      <c r="F131" s="21" t="s">
        <v>52</v>
      </c>
      <c r="G131" s="21" t="s">
        <v>1342</v>
      </c>
      <c r="H131" s="21" t="s">
        <v>1343</v>
      </c>
      <c r="I131" s="6" t="str">
        <f>VLOOKUP(CLEAN(F131),'World Bank Categories'!$B$4:$C$220,2,FALSE)</f>
        <v>Middle income</v>
      </c>
      <c r="J131" s="21" t="s">
        <v>1344</v>
      </c>
      <c r="K131" s="21" t="s">
        <v>39</v>
      </c>
      <c r="L131" s="32">
        <v>46202</v>
      </c>
      <c r="M131" s="21"/>
      <c r="N131" s="21"/>
      <c r="O131" s="21"/>
      <c r="P131" s="21" t="s">
        <v>31</v>
      </c>
      <c r="Q131" s="9" t="s">
        <v>32</v>
      </c>
      <c r="R131" s="18" t="s">
        <v>33</v>
      </c>
      <c r="S131" s="25" t="s">
        <v>1341</v>
      </c>
      <c r="T131" s="27">
        <v>35790</v>
      </c>
      <c r="U131" s="25" t="s">
        <v>1344</v>
      </c>
      <c r="V131" s="25" t="s">
        <v>80</v>
      </c>
      <c r="W131" s="25"/>
    </row>
    <row r="132" spans="1:23" ht="22.5" customHeight="1">
      <c r="A132" s="20">
        <v>46015.906504629631</v>
      </c>
      <c r="B132" s="21" t="s">
        <v>1345</v>
      </c>
      <c r="C132" s="38"/>
      <c r="D132" s="21" t="s">
        <v>24</v>
      </c>
      <c r="E132" s="22">
        <v>34001</v>
      </c>
      <c r="F132" s="21" t="s">
        <v>198</v>
      </c>
      <c r="G132" s="21" t="s">
        <v>1346</v>
      </c>
      <c r="H132" s="21" t="s">
        <v>1347</v>
      </c>
      <c r="I132" s="6" t="str">
        <f>VLOOKUP(CLEAN(F132),'World Bank Categories'!$B$4:$C$220,2,FALSE)</f>
        <v>Middle income</v>
      </c>
      <c r="J132" s="21" t="s">
        <v>1348</v>
      </c>
      <c r="K132" s="21" t="s">
        <v>29</v>
      </c>
      <c r="L132" s="21" t="s">
        <v>30</v>
      </c>
      <c r="M132" s="21"/>
      <c r="N132" s="21"/>
      <c r="O132" s="21"/>
      <c r="P132" s="21" t="s">
        <v>31</v>
      </c>
      <c r="Q132" s="9" t="s">
        <v>32</v>
      </c>
      <c r="R132" s="10" t="s">
        <v>33</v>
      </c>
      <c r="S132" s="25" t="s">
        <v>1345</v>
      </c>
      <c r="T132" s="27">
        <v>34001</v>
      </c>
      <c r="U132" s="25" t="s">
        <v>1348</v>
      </c>
      <c r="V132" s="25" t="s">
        <v>80</v>
      </c>
      <c r="W132" s="25"/>
    </row>
    <row r="133" spans="1:23" ht="22.5" customHeight="1">
      <c r="A133" s="20">
        <v>46017.499490740738</v>
      </c>
      <c r="B133" s="21" t="s">
        <v>1356</v>
      </c>
      <c r="C133" s="38"/>
      <c r="D133" s="21" t="s">
        <v>24</v>
      </c>
      <c r="E133" s="22">
        <v>37458</v>
      </c>
      <c r="F133" s="21" t="s">
        <v>1357</v>
      </c>
      <c r="G133" s="21" t="s">
        <v>394</v>
      </c>
      <c r="H133" s="21" t="s">
        <v>1358</v>
      </c>
      <c r="I133" s="6" t="str">
        <f>VLOOKUP(CLEAN(F133),'World Bank Categories'!$B$4:$C$220,2,FALSE)</f>
        <v>High income</v>
      </c>
      <c r="J133" s="21" t="s">
        <v>1359</v>
      </c>
      <c r="K133" s="21" t="s">
        <v>29</v>
      </c>
      <c r="L133" s="21" t="s">
        <v>30</v>
      </c>
      <c r="M133" s="21"/>
      <c r="N133" s="21"/>
      <c r="O133" s="21"/>
      <c r="P133" s="21" t="s">
        <v>31</v>
      </c>
      <c r="Q133" s="9" t="s">
        <v>32</v>
      </c>
      <c r="R133" s="10" t="s">
        <v>43</v>
      </c>
      <c r="S133" s="25" t="s">
        <v>1360</v>
      </c>
      <c r="T133" s="27">
        <v>37458</v>
      </c>
      <c r="U133" s="25" t="s">
        <v>1359</v>
      </c>
      <c r="V133" s="25" t="s">
        <v>463</v>
      </c>
      <c r="W133" s="25"/>
    </row>
    <row r="134" spans="1:23" ht="22.5" customHeight="1">
      <c r="A134" s="20">
        <v>46017.943622685183</v>
      </c>
      <c r="B134" s="21" t="s">
        <v>1367</v>
      </c>
      <c r="C134" s="38"/>
      <c r="D134" s="21" t="s">
        <v>24</v>
      </c>
      <c r="E134" s="22">
        <v>36742</v>
      </c>
      <c r="F134" s="21" t="s">
        <v>980</v>
      </c>
      <c r="G134" s="21" t="s">
        <v>1020</v>
      </c>
      <c r="H134" s="21" t="s">
        <v>368</v>
      </c>
      <c r="I134" s="6" t="str">
        <f>VLOOKUP(CLEAN(F134),'World Bank Categories'!$B$4:$C$220,2,FALSE)</f>
        <v>Middle income</v>
      </c>
      <c r="J134" s="21" t="s">
        <v>1368</v>
      </c>
      <c r="K134" s="21" t="s">
        <v>39</v>
      </c>
      <c r="L134" s="21" t="s">
        <v>152</v>
      </c>
      <c r="M134" s="21"/>
      <c r="N134" s="21"/>
      <c r="O134" s="21"/>
      <c r="P134" s="21" t="s">
        <v>31</v>
      </c>
      <c r="Q134" s="9" t="s">
        <v>32</v>
      </c>
      <c r="R134" s="18" t="s">
        <v>33</v>
      </c>
      <c r="S134" s="25" t="s">
        <v>1367</v>
      </c>
      <c r="T134" s="27">
        <v>36742</v>
      </c>
      <c r="U134" s="25" t="s">
        <v>1368</v>
      </c>
      <c r="V134" s="25" t="s">
        <v>80</v>
      </c>
      <c r="W134" s="25"/>
    </row>
    <row r="135" spans="1:23" ht="22.5" customHeight="1">
      <c r="A135" s="13">
        <v>46018.179594212968</v>
      </c>
      <c r="B135" s="14" t="s">
        <v>1371</v>
      </c>
      <c r="C135" s="15"/>
      <c r="D135" s="14" t="s">
        <v>24</v>
      </c>
      <c r="E135" s="16">
        <v>37865</v>
      </c>
      <c r="F135" s="14" t="s">
        <v>1357</v>
      </c>
      <c r="G135" s="14" t="s">
        <v>394</v>
      </c>
      <c r="H135" s="14" t="s">
        <v>138</v>
      </c>
      <c r="I135" s="6" t="str">
        <f>VLOOKUP(CLEAN(F135),'World Bank Categories'!$B$4:$C$220,2,FALSE)</f>
        <v>High income</v>
      </c>
      <c r="J135" s="14" t="s">
        <v>1372</v>
      </c>
      <c r="K135" s="14" t="s">
        <v>29</v>
      </c>
      <c r="L135" s="14" t="s">
        <v>30</v>
      </c>
      <c r="M135" s="15"/>
      <c r="N135" s="14"/>
      <c r="O135" s="14"/>
      <c r="P135" s="14" t="s">
        <v>31</v>
      </c>
      <c r="Q135" s="9" t="s">
        <v>32</v>
      </c>
      <c r="R135" s="10" t="s">
        <v>43</v>
      </c>
      <c r="S135" s="19" t="s">
        <v>1373</v>
      </c>
      <c r="T135" s="12"/>
      <c r="U135" s="12"/>
      <c r="V135" s="12"/>
      <c r="W135" s="12"/>
    </row>
    <row r="136" spans="1:23" ht="22.5" customHeight="1">
      <c r="A136" s="20">
        <v>46018.255462962959</v>
      </c>
      <c r="B136" s="21" t="s">
        <v>1374</v>
      </c>
      <c r="C136" s="38"/>
      <c r="D136" s="21" t="s">
        <v>24</v>
      </c>
      <c r="E136" s="22">
        <v>37761</v>
      </c>
      <c r="F136" s="21" t="s">
        <v>64</v>
      </c>
      <c r="G136" s="21" t="s">
        <v>1375</v>
      </c>
      <c r="H136" s="21" t="s">
        <v>461</v>
      </c>
      <c r="I136" s="6" t="str">
        <f>VLOOKUP(CLEAN(F136),'World Bank Categories'!$B$4:$C$220,2,FALSE)</f>
        <v>Middle income</v>
      </c>
      <c r="J136" s="21" t="s">
        <v>1376</v>
      </c>
      <c r="K136" s="21" t="s">
        <v>29</v>
      </c>
      <c r="L136" s="21" t="s">
        <v>30</v>
      </c>
      <c r="M136" s="21"/>
      <c r="N136" s="21"/>
      <c r="O136" s="21"/>
      <c r="P136" s="21" t="s">
        <v>31</v>
      </c>
      <c r="Q136" s="9" t="s">
        <v>32</v>
      </c>
      <c r="R136" s="18" t="s">
        <v>33</v>
      </c>
      <c r="S136" s="25" t="s">
        <v>1374</v>
      </c>
      <c r="T136" s="27">
        <v>37761</v>
      </c>
      <c r="U136" s="25" t="s">
        <v>1376</v>
      </c>
      <c r="V136" s="25" t="s">
        <v>80</v>
      </c>
      <c r="W136" s="25"/>
    </row>
    <row r="137" spans="1:23" ht="22.5" customHeight="1">
      <c r="A137" s="20">
        <v>46019.448113425926</v>
      </c>
      <c r="B137" s="21" t="s">
        <v>1386</v>
      </c>
      <c r="C137" s="38"/>
      <c r="D137" s="21" t="s">
        <v>24</v>
      </c>
      <c r="E137" s="22">
        <v>30435</v>
      </c>
      <c r="F137" s="21" t="s">
        <v>1387</v>
      </c>
      <c r="G137" s="21" t="s">
        <v>209</v>
      </c>
      <c r="H137" s="21" t="s">
        <v>1388</v>
      </c>
      <c r="I137" s="6" t="str">
        <f>VLOOKUP(CLEAN(F137),'World Bank Categories'!$B$4:$C$220,2,FALSE)</f>
        <v>Middle income</v>
      </c>
      <c r="J137" s="21" t="s">
        <v>1389</v>
      </c>
      <c r="K137" s="21" t="s">
        <v>39</v>
      </c>
      <c r="L137" s="21" t="s">
        <v>30</v>
      </c>
      <c r="M137" s="21"/>
      <c r="N137" s="21"/>
      <c r="O137" s="21"/>
      <c r="P137" s="21" t="s">
        <v>31</v>
      </c>
      <c r="Q137" s="9" t="s">
        <v>32</v>
      </c>
      <c r="R137" s="10" t="s">
        <v>33</v>
      </c>
      <c r="S137" s="25" t="s">
        <v>1386</v>
      </c>
      <c r="T137" s="27">
        <v>30435</v>
      </c>
      <c r="U137" s="25" t="s">
        <v>1389</v>
      </c>
      <c r="V137" s="25" t="s">
        <v>80</v>
      </c>
      <c r="W137" s="25"/>
    </row>
    <row r="138" spans="1:23" ht="22.5" customHeight="1">
      <c r="A138" s="20">
        <v>46019.814305555556</v>
      </c>
      <c r="B138" s="21" t="s">
        <v>1393</v>
      </c>
      <c r="C138" s="38"/>
      <c r="D138" s="21" t="s">
        <v>24</v>
      </c>
      <c r="E138" s="22">
        <v>35223</v>
      </c>
      <c r="F138" s="21" t="s">
        <v>52</v>
      </c>
      <c r="G138" s="21" t="s">
        <v>1394</v>
      </c>
      <c r="H138" s="21" t="s">
        <v>530</v>
      </c>
      <c r="I138" s="6" t="str">
        <f>VLOOKUP(CLEAN(F138),'World Bank Categories'!$B$4:$C$220,2,FALSE)</f>
        <v>Middle income</v>
      </c>
      <c r="J138" s="21" t="s">
        <v>1395</v>
      </c>
      <c r="K138" s="21" t="s">
        <v>29</v>
      </c>
      <c r="L138" s="21" t="s">
        <v>30</v>
      </c>
      <c r="M138" s="21"/>
      <c r="N138" s="21"/>
      <c r="O138" s="21"/>
      <c r="P138" s="21" t="s">
        <v>31</v>
      </c>
      <c r="Q138" s="9" t="s">
        <v>32</v>
      </c>
      <c r="R138" s="10" t="s">
        <v>43</v>
      </c>
      <c r="S138" s="25" t="s">
        <v>1396</v>
      </c>
      <c r="T138" s="27">
        <v>35223</v>
      </c>
      <c r="U138" s="25" t="s">
        <v>1395</v>
      </c>
      <c r="V138" s="25" t="s">
        <v>154</v>
      </c>
      <c r="W138" s="25"/>
    </row>
    <row r="139" spans="1:23" ht="22.5" customHeight="1">
      <c r="A139" s="20">
        <v>46020.02071759259</v>
      </c>
      <c r="B139" s="21" t="s">
        <v>1402</v>
      </c>
      <c r="C139" s="38"/>
      <c r="D139" s="21" t="s">
        <v>24</v>
      </c>
      <c r="E139" s="22">
        <v>37597</v>
      </c>
      <c r="F139" s="21" t="s">
        <v>1335</v>
      </c>
      <c r="G139" s="21" t="s">
        <v>1403</v>
      </c>
      <c r="H139" s="21" t="s">
        <v>160</v>
      </c>
      <c r="I139" s="6" t="str">
        <f>VLOOKUP(CLEAN(F139),'World Bank Categories'!$B$4:$C$220,2,FALSE)</f>
        <v>High income</v>
      </c>
      <c r="J139" s="21" t="s">
        <v>1404</v>
      </c>
      <c r="K139" s="21" t="s">
        <v>29</v>
      </c>
      <c r="L139" s="32">
        <v>46202</v>
      </c>
      <c r="M139" s="21"/>
      <c r="N139" s="21"/>
      <c r="O139" s="21"/>
      <c r="P139" s="21" t="s">
        <v>31</v>
      </c>
      <c r="Q139" s="9" t="s">
        <v>32</v>
      </c>
      <c r="R139" s="10" t="s">
        <v>33</v>
      </c>
      <c r="S139" s="25" t="s">
        <v>1402</v>
      </c>
      <c r="T139" s="27">
        <v>37597</v>
      </c>
      <c r="U139" s="25" t="s">
        <v>1404</v>
      </c>
      <c r="V139" s="25" t="s">
        <v>80</v>
      </c>
      <c r="W139" s="25"/>
    </row>
    <row r="140" spans="1:23" ht="22.5" customHeight="1">
      <c r="A140" s="20">
        <v>46020.150856481479</v>
      </c>
      <c r="B140" s="21" t="s">
        <v>1405</v>
      </c>
      <c r="C140" s="38"/>
      <c r="D140" s="21" t="s">
        <v>45</v>
      </c>
      <c r="E140" s="22">
        <v>34964</v>
      </c>
      <c r="F140" s="21" t="s">
        <v>799</v>
      </c>
      <c r="G140" s="21" t="s">
        <v>1406</v>
      </c>
      <c r="H140" s="21" t="s">
        <v>1407</v>
      </c>
      <c r="I140" s="6" t="str">
        <f>VLOOKUP(CLEAN(F140),'World Bank Categories'!$B$4:$C$220,2,FALSE)</f>
        <v>Low income</v>
      </c>
      <c r="J140" s="21" t="s">
        <v>1408</v>
      </c>
      <c r="K140" s="21" t="s">
        <v>29</v>
      </c>
      <c r="L140" s="21" t="s">
        <v>30</v>
      </c>
      <c r="M140" s="21"/>
      <c r="N140" s="21"/>
      <c r="O140" s="21"/>
      <c r="P140" s="21" t="s">
        <v>31</v>
      </c>
      <c r="Q140" s="9" t="s">
        <v>32</v>
      </c>
      <c r="R140" s="18" t="s">
        <v>33</v>
      </c>
      <c r="S140" s="25" t="s">
        <v>1405</v>
      </c>
      <c r="T140" s="27">
        <v>34964</v>
      </c>
      <c r="U140" s="25" t="s">
        <v>1408</v>
      </c>
      <c r="V140" s="25" t="s">
        <v>80</v>
      </c>
      <c r="W140" s="25"/>
    </row>
    <row r="141" spans="1:23" ht="22.5" customHeight="1">
      <c r="A141" s="20">
        <v>46020.19332175926</v>
      </c>
      <c r="B141" s="21" t="s">
        <v>1415</v>
      </c>
      <c r="C141" s="38"/>
      <c r="D141" s="21" t="s">
        <v>24</v>
      </c>
      <c r="E141" s="22">
        <v>35440</v>
      </c>
      <c r="F141" s="21" t="s">
        <v>52</v>
      </c>
      <c r="G141" s="21" t="s">
        <v>1416</v>
      </c>
      <c r="H141" s="21" t="s">
        <v>738</v>
      </c>
      <c r="I141" s="6" t="str">
        <f>VLOOKUP(CLEAN(F141),'World Bank Categories'!$B$4:$C$220,2,FALSE)</f>
        <v>Middle income</v>
      </c>
      <c r="J141" s="21" t="s">
        <v>1417</v>
      </c>
      <c r="K141" s="21" t="s">
        <v>29</v>
      </c>
      <c r="L141" s="21" t="s">
        <v>30</v>
      </c>
      <c r="M141" s="21"/>
      <c r="N141" s="21"/>
      <c r="O141" s="21"/>
      <c r="P141" s="21" t="s">
        <v>31</v>
      </c>
      <c r="Q141" s="9" t="s">
        <v>32</v>
      </c>
      <c r="R141" s="18" t="s">
        <v>33</v>
      </c>
      <c r="S141" s="25" t="s">
        <v>1415</v>
      </c>
      <c r="T141" s="27">
        <v>35440</v>
      </c>
      <c r="U141" s="25" t="s">
        <v>1417</v>
      </c>
      <c r="V141" s="25" t="s">
        <v>80</v>
      </c>
      <c r="W141" s="25"/>
    </row>
    <row r="142" spans="1:23" ht="22.5" customHeight="1">
      <c r="A142" s="20">
        <v>46020.428333333337</v>
      </c>
      <c r="B142" s="21" t="s">
        <v>1426</v>
      </c>
      <c r="C142" s="38"/>
      <c r="D142" s="21" t="s">
        <v>45</v>
      </c>
      <c r="E142" s="22">
        <v>33649</v>
      </c>
      <c r="F142" s="21" t="s">
        <v>1427</v>
      </c>
      <c r="G142" s="21" t="s">
        <v>1428</v>
      </c>
      <c r="H142" s="21" t="s">
        <v>1429</v>
      </c>
      <c r="I142" s="6" t="str">
        <f>VLOOKUP(CLEAN(F142),'World Bank Categories'!$B$4:$C$220,2,FALSE)</f>
        <v>Low income</v>
      </c>
      <c r="J142" s="21" t="s">
        <v>1430</v>
      </c>
      <c r="K142" s="21" t="s">
        <v>29</v>
      </c>
      <c r="L142" s="21" t="s">
        <v>1431</v>
      </c>
      <c r="M142" s="21"/>
      <c r="N142" s="21"/>
      <c r="O142" s="21"/>
      <c r="P142" s="21" t="s">
        <v>31</v>
      </c>
      <c r="Q142" s="9" t="s">
        <v>32</v>
      </c>
      <c r="R142" s="10" t="s">
        <v>33</v>
      </c>
      <c r="S142" s="25" t="s">
        <v>1432</v>
      </c>
      <c r="T142" s="27">
        <v>33649</v>
      </c>
      <c r="U142" s="25" t="s">
        <v>1430</v>
      </c>
      <c r="V142" s="25" t="s">
        <v>154</v>
      </c>
      <c r="W142" s="25"/>
    </row>
    <row r="143" spans="1:23" ht="22.5" customHeight="1">
      <c r="A143" s="20">
        <v>46020.688252314816</v>
      </c>
      <c r="B143" s="21" t="s">
        <v>1433</v>
      </c>
      <c r="C143" s="38"/>
      <c r="D143" s="21" t="s">
        <v>24</v>
      </c>
      <c r="E143" s="57" t="s">
        <v>1434</v>
      </c>
      <c r="F143" s="21" t="s">
        <v>35</v>
      </c>
      <c r="G143" s="21" t="s">
        <v>1435</v>
      </c>
      <c r="H143" s="21" t="s">
        <v>943</v>
      </c>
      <c r="I143" s="6" t="str">
        <f>VLOOKUP(CLEAN(F143),'World Bank Categories'!$B$4:$C$220,2,FALSE)</f>
        <v>Middle income</v>
      </c>
      <c r="J143" s="21" t="s">
        <v>1436</v>
      </c>
      <c r="K143" s="21" t="s">
        <v>29</v>
      </c>
      <c r="L143" s="32">
        <v>46202</v>
      </c>
      <c r="M143" s="21" t="s">
        <v>1437</v>
      </c>
      <c r="N143" s="21"/>
      <c r="O143" s="21"/>
      <c r="P143" s="21" t="s">
        <v>31</v>
      </c>
      <c r="Q143" s="9" t="s">
        <v>32</v>
      </c>
      <c r="R143" s="18" t="s">
        <v>43</v>
      </c>
      <c r="S143" s="25" t="s">
        <v>1433</v>
      </c>
      <c r="T143" s="27">
        <v>28603</v>
      </c>
      <c r="U143" s="25" t="s">
        <v>1438</v>
      </c>
      <c r="V143" s="25" t="s">
        <v>236</v>
      </c>
      <c r="W143" s="25"/>
    </row>
    <row r="144" spans="1:23" ht="22.5" customHeight="1">
      <c r="A144" s="5">
        <v>46020.823621111107</v>
      </c>
      <c r="B144" s="6" t="s">
        <v>1443</v>
      </c>
      <c r="C144" s="6" t="s">
        <v>1444</v>
      </c>
      <c r="D144" s="6" t="s">
        <v>45</v>
      </c>
      <c r="E144" s="8">
        <v>33835</v>
      </c>
      <c r="F144" s="6" t="s">
        <v>1053</v>
      </c>
      <c r="G144" s="6" t="s">
        <v>1445</v>
      </c>
      <c r="H144" s="6" t="s">
        <v>1446</v>
      </c>
      <c r="I144" s="6" t="str">
        <f>VLOOKUP(CLEAN(F144),'World Bank Categories'!$B$4:$C$220,2,FALSE)</f>
        <v>High income</v>
      </c>
      <c r="J144" s="6" t="s">
        <v>1447</v>
      </c>
      <c r="K144" s="6" t="s">
        <v>29</v>
      </c>
      <c r="L144" s="6" t="s">
        <v>162</v>
      </c>
      <c r="M144" s="7"/>
      <c r="N144" s="6"/>
      <c r="O144" s="6"/>
      <c r="P144" s="6" t="s">
        <v>31</v>
      </c>
      <c r="Q144" s="9" t="s">
        <v>32</v>
      </c>
      <c r="R144" s="18" t="s">
        <v>43</v>
      </c>
      <c r="S144" s="11" t="s">
        <v>1443</v>
      </c>
      <c r="T144" s="12"/>
      <c r="U144" s="12"/>
      <c r="V144" s="12"/>
      <c r="W144" s="12"/>
    </row>
    <row r="145" spans="1:23" ht="22.5" customHeight="1">
      <c r="A145" s="20">
        <v>46021.017557870371</v>
      </c>
      <c r="B145" s="21" t="s">
        <v>1459</v>
      </c>
      <c r="C145" s="38"/>
      <c r="D145" s="21" t="s">
        <v>45</v>
      </c>
      <c r="E145" s="22">
        <v>37131</v>
      </c>
      <c r="F145" s="21" t="s">
        <v>475</v>
      </c>
      <c r="G145" s="21" t="s">
        <v>476</v>
      </c>
      <c r="H145" s="21" t="s">
        <v>48</v>
      </c>
      <c r="I145" s="6" t="str">
        <f>VLOOKUP(CLEAN(F145),'World Bank Categories'!$B$4:$C$220,2,FALSE)</f>
        <v>Middle income</v>
      </c>
      <c r="J145" s="21" t="s">
        <v>1460</v>
      </c>
      <c r="K145" s="21" t="s">
        <v>29</v>
      </c>
      <c r="L145" s="21" t="s">
        <v>30</v>
      </c>
      <c r="M145" s="21"/>
      <c r="N145" s="21"/>
      <c r="O145" s="21"/>
      <c r="P145" s="21" t="s">
        <v>31</v>
      </c>
      <c r="Q145" s="9" t="s">
        <v>32</v>
      </c>
      <c r="R145" s="10" t="s">
        <v>43</v>
      </c>
      <c r="S145" s="25" t="s">
        <v>1459</v>
      </c>
      <c r="T145" s="27">
        <v>37131</v>
      </c>
      <c r="U145" s="25" t="s">
        <v>1460</v>
      </c>
      <c r="V145" s="25" t="s">
        <v>80</v>
      </c>
      <c r="W145" s="25"/>
    </row>
    <row r="146" spans="1:23" ht="22.5" customHeight="1">
      <c r="A146" s="20">
        <v>46021.026064814818</v>
      </c>
      <c r="B146" s="21" t="s">
        <v>1461</v>
      </c>
      <c r="C146" s="38"/>
      <c r="D146" s="21" t="s">
        <v>45</v>
      </c>
      <c r="E146" s="22">
        <v>37622</v>
      </c>
      <c r="F146" s="21" t="s">
        <v>980</v>
      </c>
      <c r="G146" s="21" t="s">
        <v>1462</v>
      </c>
      <c r="H146" s="21" t="s">
        <v>66</v>
      </c>
      <c r="I146" s="6" t="str">
        <f>VLOOKUP(CLEAN(F146),'World Bank Categories'!$B$4:$C$220,2,FALSE)</f>
        <v>Middle income</v>
      </c>
      <c r="J146" s="21" t="s">
        <v>1463</v>
      </c>
      <c r="K146" s="21" t="s">
        <v>29</v>
      </c>
      <c r="L146" s="21" t="s">
        <v>30</v>
      </c>
      <c r="M146" s="21"/>
      <c r="N146" s="21"/>
      <c r="O146" s="21"/>
      <c r="P146" s="21" t="s">
        <v>31</v>
      </c>
      <c r="Q146" s="9" t="s">
        <v>32</v>
      </c>
      <c r="R146" s="18" t="s">
        <v>33</v>
      </c>
      <c r="S146" s="25" t="s">
        <v>1464</v>
      </c>
      <c r="T146" s="27">
        <v>37622</v>
      </c>
      <c r="U146" s="25" t="s">
        <v>1463</v>
      </c>
      <c r="V146" s="25" t="s">
        <v>80</v>
      </c>
      <c r="W146" s="25"/>
    </row>
    <row r="147" spans="1:23" ht="22.5" customHeight="1">
      <c r="A147" s="20">
        <v>46021.200810185182</v>
      </c>
      <c r="B147" s="21" t="s">
        <v>1469</v>
      </c>
      <c r="C147" s="21" t="s">
        <v>1470</v>
      </c>
      <c r="D147" s="21" t="s">
        <v>24</v>
      </c>
      <c r="E147" s="22">
        <v>34039</v>
      </c>
      <c r="F147" s="21" t="s">
        <v>252</v>
      </c>
      <c r="G147" s="21" t="s">
        <v>1471</v>
      </c>
      <c r="H147" s="21" t="s">
        <v>1472</v>
      </c>
      <c r="I147" s="6" t="str">
        <f>VLOOKUP(CLEAN(F147),'World Bank Categories'!$B$4:$C$220,2,FALSE)</f>
        <v>Middle income</v>
      </c>
      <c r="J147" s="21" t="s">
        <v>1473</v>
      </c>
      <c r="K147" s="21" t="s">
        <v>39</v>
      </c>
      <c r="L147" s="21" t="s">
        <v>30</v>
      </c>
      <c r="M147" s="21"/>
      <c r="N147" s="21"/>
      <c r="O147" s="21"/>
      <c r="P147" s="21" t="s">
        <v>31</v>
      </c>
      <c r="Q147" s="9" t="s">
        <v>32</v>
      </c>
      <c r="R147" s="10" t="s">
        <v>33</v>
      </c>
      <c r="S147" s="25" t="s">
        <v>1474</v>
      </c>
      <c r="T147" s="27">
        <v>34039</v>
      </c>
      <c r="U147" s="25" t="s">
        <v>1473</v>
      </c>
      <c r="V147" s="25" t="s">
        <v>463</v>
      </c>
      <c r="W147" s="25"/>
    </row>
    <row r="148" spans="1:23" ht="22.5" customHeight="1">
      <c r="A148" s="20">
        <v>46021.207002314812</v>
      </c>
      <c r="B148" s="21" t="s">
        <v>1484</v>
      </c>
      <c r="C148" s="38"/>
      <c r="D148" s="21" t="s">
        <v>45</v>
      </c>
      <c r="E148" s="22">
        <v>33521</v>
      </c>
      <c r="F148" s="21" t="s">
        <v>416</v>
      </c>
      <c r="G148" s="21" t="s">
        <v>1485</v>
      </c>
      <c r="H148" s="21" t="s">
        <v>247</v>
      </c>
      <c r="I148" s="6" t="str">
        <f>VLOOKUP(CLEAN(F148),'World Bank Categories'!$B$4:$C$220,2,FALSE)</f>
        <v>Middle income</v>
      </c>
      <c r="J148" s="21" t="s">
        <v>1486</v>
      </c>
      <c r="K148" s="21" t="s">
        <v>39</v>
      </c>
      <c r="L148" s="21" t="s">
        <v>152</v>
      </c>
      <c r="M148" s="21"/>
      <c r="N148" s="21"/>
      <c r="O148" s="21"/>
      <c r="P148" s="21" t="s">
        <v>31</v>
      </c>
      <c r="Q148" s="9" t="s">
        <v>32</v>
      </c>
      <c r="R148" s="18" t="s">
        <v>33</v>
      </c>
      <c r="S148" s="25" t="s">
        <v>1487</v>
      </c>
      <c r="T148" s="27">
        <v>33521</v>
      </c>
      <c r="U148" s="25" t="s">
        <v>1486</v>
      </c>
      <c r="V148" s="25" t="s">
        <v>154</v>
      </c>
      <c r="W148" s="25"/>
    </row>
    <row r="149" spans="1:23" ht="22.5" customHeight="1">
      <c r="A149" s="20">
        <v>46021.660543981481</v>
      </c>
      <c r="B149" s="21" t="s">
        <v>1499</v>
      </c>
      <c r="C149" s="38"/>
      <c r="D149" s="21" t="s">
        <v>45</v>
      </c>
      <c r="E149" s="22">
        <v>35871</v>
      </c>
      <c r="F149" s="21" t="s">
        <v>980</v>
      </c>
      <c r="G149" s="21" t="s">
        <v>1500</v>
      </c>
      <c r="H149" s="21" t="s">
        <v>1501</v>
      </c>
      <c r="I149" s="6" t="str">
        <f>VLOOKUP(CLEAN(F149),'World Bank Categories'!$B$4:$C$220,2,FALSE)</f>
        <v>Middle income</v>
      </c>
      <c r="J149" s="21" t="s">
        <v>1502</v>
      </c>
      <c r="K149" s="21" t="s">
        <v>29</v>
      </c>
      <c r="L149" s="21" t="s">
        <v>30</v>
      </c>
      <c r="M149" s="21"/>
      <c r="N149" s="21"/>
      <c r="O149" s="21"/>
      <c r="P149" s="21" t="s">
        <v>31</v>
      </c>
      <c r="Q149" s="9" t="s">
        <v>32</v>
      </c>
      <c r="R149" s="18" t="s">
        <v>33</v>
      </c>
      <c r="S149" s="25" t="s">
        <v>1499</v>
      </c>
      <c r="T149" s="27">
        <v>35871</v>
      </c>
      <c r="U149" s="25" t="s">
        <v>1502</v>
      </c>
      <c r="V149" s="25" t="s">
        <v>80</v>
      </c>
      <c r="W149" s="25"/>
    </row>
    <row r="150" spans="1:23" ht="22.5" customHeight="1">
      <c r="A150" s="20">
        <v>46021.703020833331</v>
      </c>
      <c r="B150" s="21" t="s">
        <v>1503</v>
      </c>
      <c r="C150" s="38"/>
      <c r="D150" s="21" t="s">
        <v>24</v>
      </c>
      <c r="E150" s="22">
        <v>45782</v>
      </c>
      <c r="F150" s="21" t="s">
        <v>980</v>
      </c>
      <c r="G150" s="21" t="s">
        <v>1504</v>
      </c>
      <c r="H150" s="21" t="s">
        <v>66</v>
      </c>
      <c r="I150" s="6" t="str">
        <f>VLOOKUP(CLEAN(F150),'World Bank Categories'!$B$4:$C$220,2,FALSE)</f>
        <v>Middle income</v>
      </c>
      <c r="J150" s="21" t="s">
        <v>1505</v>
      </c>
      <c r="K150" s="21" t="s">
        <v>29</v>
      </c>
      <c r="L150" s="21" t="s">
        <v>30</v>
      </c>
      <c r="M150" s="21"/>
      <c r="N150" s="21"/>
      <c r="O150" s="21"/>
      <c r="P150" s="21" t="s">
        <v>31</v>
      </c>
      <c r="Q150" s="9" t="s">
        <v>32</v>
      </c>
      <c r="R150" s="10" t="s">
        <v>33</v>
      </c>
      <c r="S150" s="25" t="s">
        <v>1503</v>
      </c>
      <c r="T150" s="27">
        <v>36651</v>
      </c>
      <c r="U150" s="25" t="s">
        <v>1506</v>
      </c>
      <c r="V150" s="25" t="s">
        <v>1507</v>
      </c>
      <c r="W150" s="25"/>
    </row>
    <row r="151" spans="1:23" ht="22.5" customHeight="1">
      <c r="A151" s="20">
        <v>46021.725277777776</v>
      </c>
      <c r="B151" s="21" t="s">
        <v>1508</v>
      </c>
      <c r="C151" s="21" t="s">
        <v>1508</v>
      </c>
      <c r="D151" s="21" t="s">
        <v>24</v>
      </c>
      <c r="E151" s="22">
        <v>38404</v>
      </c>
      <c r="F151" s="21" t="s">
        <v>1362</v>
      </c>
      <c r="G151" s="21" t="s">
        <v>1509</v>
      </c>
      <c r="H151" s="21" t="s">
        <v>66</v>
      </c>
      <c r="I151" s="6" t="str">
        <f>VLOOKUP(CLEAN(F151),'World Bank Categories'!$B$4:$C$220,2,FALSE)</f>
        <v>Middle income</v>
      </c>
      <c r="J151" s="21" t="s">
        <v>1510</v>
      </c>
      <c r="K151" s="21" t="s">
        <v>29</v>
      </c>
      <c r="L151" s="21" t="s">
        <v>30</v>
      </c>
      <c r="M151" s="21"/>
      <c r="N151" s="21"/>
      <c r="O151" s="21"/>
      <c r="P151" s="21" t="s">
        <v>31</v>
      </c>
      <c r="Q151" s="9" t="s">
        <v>32</v>
      </c>
      <c r="R151" s="18" t="s">
        <v>33</v>
      </c>
      <c r="S151" s="25" t="s">
        <v>1508</v>
      </c>
      <c r="T151" s="27">
        <v>38404</v>
      </c>
      <c r="U151" s="25" t="s">
        <v>1510</v>
      </c>
      <c r="V151" s="25" t="s">
        <v>80</v>
      </c>
      <c r="W151" s="25"/>
    </row>
    <row r="152" spans="1:23" ht="22.5" customHeight="1">
      <c r="A152" s="5">
        <v>46021.779096157406</v>
      </c>
      <c r="B152" s="6" t="s">
        <v>1511</v>
      </c>
      <c r="C152" s="7"/>
      <c r="D152" s="6" t="s">
        <v>45</v>
      </c>
      <c r="E152" s="8">
        <v>31717</v>
      </c>
      <c r="F152" s="6" t="s">
        <v>274</v>
      </c>
      <c r="G152" s="6" t="s">
        <v>1512</v>
      </c>
      <c r="H152" s="6" t="s">
        <v>1513</v>
      </c>
      <c r="I152" s="6" t="str">
        <f>VLOOKUP(CLEAN(F152),'World Bank Categories'!$B$4:$C$220,2,FALSE)</f>
        <v>Middle income</v>
      </c>
      <c r="J152" s="6" t="s">
        <v>1514</v>
      </c>
      <c r="K152" s="6" t="s">
        <v>29</v>
      </c>
      <c r="L152" s="6" t="s">
        <v>30</v>
      </c>
      <c r="M152" s="7"/>
      <c r="N152" s="6"/>
      <c r="O152" s="6"/>
      <c r="P152" s="6" t="s">
        <v>31</v>
      </c>
      <c r="Q152" s="9" t="s">
        <v>32</v>
      </c>
      <c r="R152" s="10" t="s">
        <v>33</v>
      </c>
      <c r="S152" s="11" t="s">
        <v>1511</v>
      </c>
      <c r="T152" s="12"/>
      <c r="U152" s="12"/>
      <c r="V152" s="12"/>
      <c r="W152" s="12"/>
    </row>
    <row r="153" spans="1:23" ht="22.5" customHeight="1">
      <c r="A153" s="20">
        <v>46021.904548611114</v>
      </c>
      <c r="B153" s="21" t="s">
        <v>1519</v>
      </c>
      <c r="C153" s="38"/>
      <c r="D153" s="21" t="s">
        <v>45</v>
      </c>
      <c r="E153" s="22">
        <v>30425</v>
      </c>
      <c r="F153" s="21" t="s">
        <v>274</v>
      </c>
      <c r="G153" s="21" t="s">
        <v>1520</v>
      </c>
      <c r="H153" s="21" t="s">
        <v>1521</v>
      </c>
      <c r="I153" s="6" t="str">
        <f>VLOOKUP(CLEAN(F153),'World Bank Categories'!$B$4:$C$220,2,FALSE)</f>
        <v>Middle income</v>
      </c>
      <c r="J153" s="21" t="s">
        <v>1522</v>
      </c>
      <c r="K153" s="21" t="s">
        <v>29</v>
      </c>
      <c r="L153" s="21" t="s">
        <v>30</v>
      </c>
      <c r="M153" s="21"/>
      <c r="N153" s="21"/>
      <c r="O153" s="21"/>
      <c r="P153" s="21" t="s">
        <v>31</v>
      </c>
      <c r="Q153" s="9" t="s">
        <v>32</v>
      </c>
      <c r="R153" s="10" t="s">
        <v>33</v>
      </c>
      <c r="S153" s="25" t="s">
        <v>1519</v>
      </c>
      <c r="T153" s="27">
        <v>30425</v>
      </c>
      <c r="U153" s="25" t="s">
        <v>1522</v>
      </c>
      <c r="V153" s="25" t="s">
        <v>80</v>
      </c>
      <c r="W153" s="25"/>
    </row>
    <row r="154" spans="1:23" ht="22.5" customHeight="1">
      <c r="A154" s="46">
        <v>46021.929826388892</v>
      </c>
      <c r="B154" s="47" t="s">
        <v>1523</v>
      </c>
      <c r="C154" s="47" t="s">
        <v>1524</v>
      </c>
      <c r="D154" s="47" t="s">
        <v>45</v>
      </c>
      <c r="E154" s="49">
        <v>35123</v>
      </c>
      <c r="F154" s="47" t="s">
        <v>980</v>
      </c>
      <c r="G154" s="47" t="s">
        <v>1013</v>
      </c>
      <c r="H154" s="47" t="s">
        <v>66</v>
      </c>
      <c r="I154" s="6" t="str">
        <f>VLOOKUP(CLEAN(F154),'World Bank Categories'!$B$4:$C$220,2,FALSE)</f>
        <v>Middle income</v>
      </c>
      <c r="J154" s="47" t="s">
        <v>1525</v>
      </c>
      <c r="K154" s="47" t="s">
        <v>39</v>
      </c>
      <c r="L154" s="47" t="s">
        <v>621</v>
      </c>
      <c r="M154" s="47"/>
      <c r="N154" s="47"/>
      <c r="O154" s="47"/>
      <c r="P154" s="47" t="s">
        <v>31</v>
      </c>
      <c r="Q154" s="9" t="s">
        <v>32</v>
      </c>
      <c r="R154" s="18" t="s">
        <v>33</v>
      </c>
      <c r="S154" s="25" t="s">
        <v>1523</v>
      </c>
      <c r="T154" s="27">
        <v>35123</v>
      </c>
      <c r="U154" s="25" t="s">
        <v>1525</v>
      </c>
      <c r="V154" s="25" t="s">
        <v>80</v>
      </c>
      <c r="W154" s="25"/>
    </row>
    <row r="155" spans="1:23" ht="22.5" customHeight="1">
      <c r="A155" s="20">
        <v>46021.989988425928</v>
      </c>
      <c r="B155" s="21" t="s">
        <v>1526</v>
      </c>
      <c r="C155" s="38"/>
      <c r="D155" s="21" t="s">
        <v>24</v>
      </c>
      <c r="E155" s="22">
        <v>33794</v>
      </c>
      <c r="F155" s="21" t="s">
        <v>227</v>
      </c>
      <c r="G155" s="21" t="s">
        <v>1527</v>
      </c>
      <c r="H155" s="21" t="s">
        <v>1528</v>
      </c>
      <c r="I155" s="6" t="str">
        <f>VLOOKUP(CLEAN(F155),'World Bank Categories'!$B$4:$C$220,2,FALSE)</f>
        <v>Middle income</v>
      </c>
      <c r="J155" s="21" t="s">
        <v>1529</v>
      </c>
      <c r="K155" s="21" t="s">
        <v>29</v>
      </c>
      <c r="L155" s="21" t="s">
        <v>30</v>
      </c>
      <c r="M155" s="21" t="s">
        <v>1530</v>
      </c>
      <c r="N155" s="21" t="s">
        <v>1531</v>
      </c>
      <c r="O155" s="14" t="s">
        <v>301</v>
      </c>
      <c r="P155" s="21" t="s">
        <v>31</v>
      </c>
      <c r="Q155" s="9" t="s">
        <v>32</v>
      </c>
      <c r="R155" s="18" t="s">
        <v>33</v>
      </c>
      <c r="S155" s="25" t="s">
        <v>1526</v>
      </c>
      <c r="T155" s="27">
        <v>33794</v>
      </c>
      <c r="U155" s="25" t="s">
        <v>1529</v>
      </c>
      <c r="V155" s="25" t="s">
        <v>80</v>
      </c>
      <c r="W155" s="25"/>
    </row>
    <row r="156" spans="1:23" ht="22.5" customHeight="1">
      <c r="A156" s="46">
        <v>46022.304710648146</v>
      </c>
      <c r="B156" s="47" t="s">
        <v>1557</v>
      </c>
      <c r="C156" s="48"/>
      <c r="D156" s="47" t="s">
        <v>24</v>
      </c>
      <c r="E156" s="49">
        <v>34921</v>
      </c>
      <c r="F156" s="47" t="s">
        <v>751</v>
      </c>
      <c r="G156" s="47" t="s">
        <v>1558</v>
      </c>
      <c r="H156" s="47" t="s">
        <v>1559</v>
      </c>
      <c r="I156" s="6" t="str">
        <f>VLOOKUP(CLEAN(F156),'World Bank Categories'!$B$4:$C$220,2,FALSE)</f>
        <v>Low income</v>
      </c>
      <c r="J156" s="47" t="s">
        <v>1560</v>
      </c>
      <c r="K156" s="47" t="s">
        <v>29</v>
      </c>
      <c r="L156" s="47" t="s">
        <v>30</v>
      </c>
      <c r="M156" s="59"/>
      <c r="N156" s="47"/>
      <c r="O156" s="47"/>
      <c r="P156" s="47" t="s">
        <v>31</v>
      </c>
      <c r="Q156" s="9" t="s">
        <v>32</v>
      </c>
      <c r="R156" s="18" t="s">
        <v>33</v>
      </c>
      <c r="S156" s="25" t="s">
        <v>1557</v>
      </c>
      <c r="T156" s="27">
        <v>34921</v>
      </c>
      <c r="U156" s="25" t="s">
        <v>1560</v>
      </c>
      <c r="V156" s="25" t="s">
        <v>80</v>
      </c>
      <c r="W156" s="25"/>
    </row>
    <row r="157" spans="1:23" ht="22.5" customHeight="1">
      <c r="A157" s="20">
        <v>46022.307395833333</v>
      </c>
      <c r="B157" s="21" t="s">
        <v>1561</v>
      </c>
      <c r="C157" s="38"/>
      <c r="D157" s="21" t="s">
        <v>24</v>
      </c>
      <c r="E157" s="22">
        <v>36177</v>
      </c>
      <c r="F157" s="21" t="s">
        <v>751</v>
      </c>
      <c r="G157" s="21" t="s">
        <v>1562</v>
      </c>
      <c r="H157" s="21" t="s">
        <v>943</v>
      </c>
      <c r="I157" s="6" t="str">
        <f>VLOOKUP(CLEAN(F157),'World Bank Categories'!$B$4:$C$220,2,FALSE)</f>
        <v>Low income</v>
      </c>
      <c r="J157" s="21" t="s">
        <v>1563</v>
      </c>
      <c r="K157" s="21" t="s">
        <v>29</v>
      </c>
      <c r="L157" s="21" t="s">
        <v>30</v>
      </c>
      <c r="M157" s="21"/>
      <c r="N157" s="21"/>
      <c r="O157" s="21"/>
      <c r="P157" s="21" t="s">
        <v>31</v>
      </c>
      <c r="Q157" s="9" t="s">
        <v>32</v>
      </c>
      <c r="R157" s="10" t="s">
        <v>33</v>
      </c>
      <c r="S157" s="25" t="s">
        <v>1564</v>
      </c>
      <c r="T157" s="27">
        <v>36177</v>
      </c>
      <c r="U157" s="25" t="s">
        <v>1563</v>
      </c>
      <c r="V157" s="25" t="s">
        <v>154</v>
      </c>
      <c r="W157" s="25"/>
    </row>
    <row r="158" spans="1:23" ht="22.5" customHeight="1">
      <c r="A158" s="20">
        <v>46022.475474537037</v>
      </c>
      <c r="B158" s="21" t="s">
        <v>1565</v>
      </c>
      <c r="C158" s="38"/>
      <c r="D158" s="21" t="s">
        <v>24</v>
      </c>
      <c r="E158" s="22">
        <v>37841</v>
      </c>
      <c r="F158" s="21" t="s">
        <v>980</v>
      </c>
      <c r="G158" s="21" t="s">
        <v>985</v>
      </c>
      <c r="H158" s="21" t="s">
        <v>368</v>
      </c>
      <c r="I158" s="6" t="str">
        <f>VLOOKUP(CLEAN(F158),'World Bank Categories'!$B$4:$C$220,2,FALSE)</f>
        <v>Middle income</v>
      </c>
      <c r="J158" s="21" t="s">
        <v>1566</v>
      </c>
      <c r="K158" s="21" t="s">
        <v>39</v>
      </c>
      <c r="L158" s="21" t="s">
        <v>152</v>
      </c>
      <c r="M158" s="21"/>
      <c r="N158" s="21"/>
      <c r="O158" s="21"/>
      <c r="P158" s="21" t="s">
        <v>31</v>
      </c>
      <c r="Q158" s="9" t="s">
        <v>32</v>
      </c>
      <c r="R158" s="18" t="s">
        <v>33</v>
      </c>
      <c r="S158" s="25" t="s">
        <v>1565</v>
      </c>
      <c r="T158" s="27">
        <v>37841</v>
      </c>
      <c r="U158" s="25" t="s">
        <v>1566</v>
      </c>
      <c r="V158" s="25" t="s">
        <v>80</v>
      </c>
      <c r="W158" s="25"/>
    </row>
    <row r="159" spans="1:23" ht="22.5" customHeight="1">
      <c r="A159" s="20">
        <v>46022.57402777778</v>
      </c>
      <c r="B159" s="21" t="s">
        <v>1571</v>
      </c>
      <c r="C159" s="38"/>
      <c r="D159" s="21" t="s">
        <v>45</v>
      </c>
      <c r="E159" s="22">
        <v>26548</v>
      </c>
      <c r="F159" s="21" t="s">
        <v>1572</v>
      </c>
      <c r="G159" s="21" t="s">
        <v>209</v>
      </c>
      <c r="H159" s="21" t="s">
        <v>1573</v>
      </c>
      <c r="I159" s="6" t="str">
        <f>VLOOKUP(CLEAN(F159),'World Bank Categories'!$B$4:$C$220,2,FALSE)</f>
        <v>High income</v>
      </c>
      <c r="J159" s="21" t="s">
        <v>1574</v>
      </c>
      <c r="K159" s="21" t="s">
        <v>39</v>
      </c>
      <c r="L159" s="21" t="s">
        <v>162</v>
      </c>
      <c r="M159" s="21" t="s">
        <v>1575</v>
      </c>
      <c r="N159" s="21"/>
      <c r="O159" s="21"/>
      <c r="P159" s="21" t="s">
        <v>31</v>
      </c>
      <c r="Q159" s="9" t="s">
        <v>32</v>
      </c>
      <c r="R159" s="10" t="s">
        <v>33</v>
      </c>
      <c r="S159" s="25" t="s">
        <v>1576</v>
      </c>
      <c r="T159" s="27">
        <v>26548</v>
      </c>
      <c r="U159" s="25" t="s">
        <v>1574</v>
      </c>
      <c r="V159" s="25" t="s">
        <v>154</v>
      </c>
      <c r="W159" s="25"/>
    </row>
    <row r="160" spans="1:23" ht="22.5" customHeight="1">
      <c r="A160" s="20">
        <v>46022.748981481483</v>
      </c>
      <c r="B160" s="21" t="s">
        <v>1581</v>
      </c>
      <c r="C160" s="38"/>
      <c r="D160" s="21" t="s">
        <v>45</v>
      </c>
      <c r="E160" s="22">
        <v>32515</v>
      </c>
      <c r="F160" s="21" t="s">
        <v>980</v>
      </c>
      <c r="G160" s="21" t="s">
        <v>1080</v>
      </c>
      <c r="H160" s="21" t="s">
        <v>1582</v>
      </c>
      <c r="I160" s="6" t="str">
        <f>VLOOKUP(CLEAN(F160),'World Bank Categories'!$B$4:$C$220,2,FALSE)</f>
        <v>Middle income</v>
      </c>
      <c r="J160" s="21" t="s">
        <v>1583</v>
      </c>
      <c r="K160" s="21" t="s">
        <v>39</v>
      </c>
      <c r="L160" s="21" t="s">
        <v>152</v>
      </c>
      <c r="M160" s="21"/>
      <c r="N160" s="21"/>
      <c r="O160" s="21"/>
      <c r="P160" s="21" t="s">
        <v>31</v>
      </c>
      <c r="Q160" s="9" t="s">
        <v>32</v>
      </c>
      <c r="R160" s="10" t="s">
        <v>33</v>
      </c>
      <c r="S160" s="25" t="s">
        <v>1584</v>
      </c>
      <c r="T160" s="27">
        <v>32515</v>
      </c>
      <c r="U160" s="25" t="s">
        <v>1583</v>
      </c>
      <c r="V160" s="25" t="s">
        <v>154</v>
      </c>
      <c r="W160" s="25"/>
    </row>
    <row r="161" spans="1:23" ht="22.5" customHeight="1">
      <c r="A161" s="20">
        <v>46022.751805555556</v>
      </c>
      <c r="B161" s="21" t="s">
        <v>1585</v>
      </c>
      <c r="C161" s="21" t="s">
        <v>1586</v>
      </c>
      <c r="D161" s="21" t="s">
        <v>24</v>
      </c>
      <c r="E161" s="22">
        <v>33802</v>
      </c>
      <c r="F161" s="21" t="s">
        <v>980</v>
      </c>
      <c r="G161" s="21" t="s">
        <v>1587</v>
      </c>
      <c r="H161" s="21" t="s">
        <v>1588</v>
      </c>
      <c r="I161" s="6" t="str">
        <f>VLOOKUP(CLEAN(F161),'World Bank Categories'!$B$4:$C$220,2,FALSE)</f>
        <v>Middle income</v>
      </c>
      <c r="J161" s="21" t="s">
        <v>1583</v>
      </c>
      <c r="K161" s="21" t="s">
        <v>39</v>
      </c>
      <c r="L161" s="21" t="s">
        <v>152</v>
      </c>
      <c r="M161" s="21" t="s">
        <v>1589</v>
      </c>
      <c r="N161" s="17" t="s">
        <v>1590</v>
      </c>
      <c r="O161" s="6" t="s">
        <v>444</v>
      </c>
      <c r="P161" s="21" t="s">
        <v>31</v>
      </c>
      <c r="Q161" s="9" t="s">
        <v>32</v>
      </c>
      <c r="R161" s="18" t="s">
        <v>33</v>
      </c>
      <c r="S161" s="25" t="s">
        <v>1591</v>
      </c>
      <c r="T161" s="27">
        <v>33802</v>
      </c>
      <c r="U161" s="25" t="s">
        <v>1583</v>
      </c>
      <c r="V161" s="25" t="s">
        <v>316</v>
      </c>
      <c r="W161" s="25"/>
    </row>
    <row r="162" spans="1:23" ht="22.5" customHeight="1">
      <c r="A162" s="13">
        <v>46022.787485104171</v>
      </c>
      <c r="B162" s="14" t="s">
        <v>1592</v>
      </c>
      <c r="C162" s="15"/>
      <c r="D162" s="14" t="s">
        <v>45</v>
      </c>
      <c r="E162" s="16">
        <v>34716</v>
      </c>
      <c r="F162" s="14" t="s">
        <v>1593</v>
      </c>
      <c r="G162" s="14" t="s">
        <v>1594</v>
      </c>
      <c r="H162" s="14" t="s">
        <v>1595</v>
      </c>
      <c r="I162" s="6" t="str">
        <f>VLOOKUP(CLEAN(F162),'World Bank Categories'!$B$4:$C$220,2,FALSE)</f>
        <v>High income</v>
      </c>
      <c r="J162" s="14" t="s">
        <v>1596</v>
      </c>
      <c r="K162" s="14" t="s">
        <v>29</v>
      </c>
      <c r="L162" s="14" t="s">
        <v>30</v>
      </c>
      <c r="M162" s="15"/>
      <c r="N162" s="14"/>
      <c r="O162" s="14"/>
      <c r="P162" s="14" t="s">
        <v>31</v>
      </c>
      <c r="Q162" s="9" t="s">
        <v>32</v>
      </c>
      <c r="R162" s="10" t="s">
        <v>33</v>
      </c>
      <c r="S162" s="19" t="s">
        <v>1597</v>
      </c>
      <c r="T162" s="12"/>
      <c r="U162" s="12"/>
      <c r="V162" s="12"/>
      <c r="W162" s="12"/>
    </row>
    <row r="163" spans="1:23" ht="22.5" customHeight="1">
      <c r="A163" s="20">
        <v>46022.810127314813</v>
      </c>
      <c r="B163" s="21" t="s">
        <v>1598</v>
      </c>
      <c r="C163" s="38"/>
      <c r="D163" s="21" t="s">
        <v>45</v>
      </c>
      <c r="E163" s="22">
        <v>34193</v>
      </c>
      <c r="F163" s="21" t="s">
        <v>64</v>
      </c>
      <c r="G163" s="21" t="s">
        <v>1599</v>
      </c>
      <c r="H163" s="21" t="s">
        <v>1600</v>
      </c>
      <c r="I163" s="6" t="str">
        <f>VLOOKUP(CLEAN(F163),'World Bank Categories'!$B$4:$C$220,2,FALSE)</f>
        <v>Middle income</v>
      </c>
      <c r="J163" s="21" t="s">
        <v>1601</v>
      </c>
      <c r="K163" s="21" t="s">
        <v>29</v>
      </c>
      <c r="L163" s="21" t="s">
        <v>30</v>
      </c>
      <c r="M163" s="21"/>
      <c r="N163" s="21"/>
      <c r="O163" s="21"/>
      <c r="P163" s="21" t="s">
        <v>31</v>
      </c>
      <c r="Q163" s="9" t="s">
        <v>32</v>
      </c>
      <c r="R163" s="18" t="s">
        <v>33</v>
      </c>
      <c r="S163" s="25" t="s">
        <v>1602</v>
      </c>
      <c r="T163" s="27">
        <v>34193</v>
      </c>
      <c r="U163" s="25" t="s">
        <v>1601</v>
      </c>
      <c r="V163" s="25" t="s">
        <v>154</v>
      </c>
      <c r="W163" s="25"/>
    </row>
    <row r="164" spans="1:23" ht="22.5" customHeight="1">
      <c r="A164" s="20">
        <v>46022.829918981479</v>
      </c>
      <c r="B164" s="21" t="s">
        <v>1603</v>
      </c>
      <c r="C164" s="38"/>
      <c r="D164" s="21" t="s">
        <v>24</v>
      </c>
      <c r="E164" s="22">
        <v>36640</v>
      </c>
      <c r="F164" s="21" t="s">
        <v>70</v>
      </c>
      <c r="G164" s="21" t="s">
        <v>1604</v>
      </c>
      <c r="H164" s="21" t="s">
        <v>1605</v>
      </c>
      <c r="I164" s="6" t="str">
        <f>VLOOKUP(CLEAN(F164),'World Bank Categories'!$B$4:$C$220,2,FALSE)</f>
        <v>Middle income</v>
      </c>
      <c r="J164" s="21" t="s">
        <v>1606</v>
      </c>
      <c r="K164" s="21" t="s">
        <v>39</v>
      </c>
      <c r="L164" s="21" t="s">
        <v>30</v>
      </c>
      <c r="M164" s="21"/>
      <c r="N164" s="21"/>
      <c r="O164" s="21"/>
      <c r="P164" s="21" t="s">
        <v>31</v>
      </c>
      <c r="Q164" s="9" t="s">
        <v>32</v>
      </c>
      <c r="R164" s="10" t="s">
        <v>33</v>
      </c>
      <c r="S164" s="25" t="s">
        <v>1607</v>
      </c>
      <c r="T164" s="27">
        <v>36640</v>
      </c>
      <c r="U164" s="25" t="s">
        <v>1606</v>
      </c>
      <c r="V164" s="25" t="s">
        <v>154</v>
      </c>
      <c r="W164" s="25"/>
    </row>
    <row r="165" spans="1:23" ht="22.5" customHeight="1">
      <c r="A165" s="20">
        <v>46022.859351851854</v>
      </c>
      <c r="B165" s="21" t="s">
        <v>1608</v>
      </c>
      <c r="C165" s="38"/>
      <c r="D165" s="21" t="s">
        <v>45</v>
      </c>
      <c r="E165" s="22">
        <v>37485</v>
      </c>
      <c r="F165" s="21" t="s">
        <v>486</v>
      </c>
      <c r="G165" s="21" t="s">
        <v>1609</v>
      </c>
      <c r="H165" s="21" t="s">
        <v>1610</v>
      </c>
      <c r="I165" s="6" t="str">
        <f>VLOOKUP(CLEAN(F165),'World Bank Categories'!$B$4:$C$220,2,FALSE)</f>
        <v>High income</v>
      </c>
      <c r="J165" s="21" t="s">
        <v>1611</v>
      </c>
      <c r="K165" s="21" t="s">
        <v>29</v>
      </c>
      <c r="L165" s="21" t="s">
        <v>30</v>
      </c>
      <c r="M165" s="21"/>
      <c r="N165" s="21"/>
      <c r="O165" s="21"/>
      <c r="P165" s="21" t="s">
        <v>31</v>
      </c>
      <c r="Q165" s="9" t="s">
        <v>32</v>
      </c>
      <c r="R165" s="18" t="s">
        <v>33</v>
      </c>
      <c r="S165" s="25" t="s">
        <v>1608</v>
      </c>
      <c r="T165" s="27">
        <v>37485</v>
      </c>
      <c r="U165" s="25" t="s">
        <v>1611</v>
      </c>
      <c r="V165" s="25" t="s">
        <v>80</v>
      </c>
      <c r="W165" s="25"/>
    </row>
    <row r="166" spans="1:23" ht="22.5" customHeight="1">
      <c r="A166" s="20">
        <v>46022.892071759263</v>
      </c>
      <c r="B166" s="21" t="s">
        <v>1612</v>
      </c>
      <c r="C166" s="38"/>
      <c r="D166" s="21" t="s">
        <v>24</v>
      </c>
      <c r="E166" s="22">
        <v>33796</v>
      </c>
      <c r="F166" s="21" t="s">
        <v>980</v>
      </c>
      <c r="G166" s="21" t="s">
        <v>1613</v>
      </c>
      <c r="H166" s="21" t="s">
        <v>1614</v>
      </c>
      <c r="I166" s="6" t="str">
        <f>VLOOKUP(CLEAN(F166),'World Bank Categories'!$B$4:$C$220,2,FALSE)</f>
        <v>Middle income</v>
      </c>
      <c r="J166" s="21" t="s">
        <v>1615</v>
      </c>
      <c r="K166" s="21" t="s">
        <v>39</v>
      </c>
      <c r="L166" s="21" t="s">
        <v>152</v>
      </c>
      <c r="M166" s="21" t="s">
        <v>1616</v>
      </c>
      <c r="N166" s="21"/>
      <c r="O166" s="21"/>
      <c r="P166" s="21" t="s">
        <v>31</v>
      </c>
      <c r="Q166" s="9" t="s">
        <v>32</v>
      </c>
      <c r="R166" s="10" t="s">
        <v>33</v>
      </c>
      <c r="S166" s="25" t="s">
        <v>1612</v>
      </c>
      <c r="T166" s="27">
        <v>33796</v>
      </c>
      <c r="U166" s="25" t="s">
        <v>1615</v>
      </c>
      <c r="V166" s="25" t="s">
        <v>80</v>
      </c>
      <c r="W166" s="25"/>
    </row>
    <row r="167" spans="1:23" ht="22.5" customHeight="1">
      <c r="A167" s="20">
        <v>46022.911192129628</v>
      </c>
      <c r="B167" s="21" t="s">
        <v>1617</v>
      </c>
      <c r="C167" s="38"/>
      <c r="D167" s="21" t="s">
        <v>45</v>
      </c>
      <c r="E167" s="22">
        <v>26568</v>
      </c>
      <c r="F167" s="21" t="s">
        <v>416</v>
      </c>
      <c r="G167" s="21" t="s">
        <v>1618</v>
      </c>
      <c r="H167" s="21" t="s">
        <v>1619</v>
      </c>
      <c r="I167" s="6" t="str">
        <f>VLOOKUP(CLEAN(F167),'World Bank Categories'!$B$4:$C$220,2,FALSE)</f>
        <v>Middle income</v>
      </c>
      <c r="J167" s="21" t="s">
        <v>1620</v>
      </c>
      <c r="K167" s="21" t="s">
        <v>29</v>
      </c>
      <c r="L167" s="21" t="s">
        <v>30</v>
      </c>
      <c r="M167" s="21"/>
      <c r="N167" s="21"/>
      <c r="O167" s="21"/>
      <c r="P167" s="21" t="s">
        <v>31</v>
      </c>
      <c r="Q167" s="9" t="s">
        <v>32</v>
      </c>
      <c r="R167" s="18" t="s">
        <v>33</v>
      </c>
      <c r="S167" s="25" t="s">
        <v>1617</v>
      </c>
      <c r="T167" s="27">
        <v>26568</v>
      </c>
      <c r="U167" s="25" t="s">
        <v>1620</v>
      </c>
      <c r="V167" s="25" t="s">
        <v>80</v>
      </c>
      <c r="W167" s="25"/>
    </row>
    <row r="168" spans="1:23" ht="22.5" customHeight="1">
      <c r="A168" s="28">
        <v>46022.918877314813</v>
      </c>
      <c r="B168" s="29" t="s">
        <v>1624</v>
      </c>
      <c r="C168" s="45"/>
      <c r="D168" s="29" t="s">
        <v>45</v>
      </c>
      <c r="E168" s="30">
        <v>33287</v>
      </c>
      <c r="F168" s="21" t="s">
        <v>980</v>
      </c>
      <c r="G168" s="29" t="s">
        <v>1625</v>
      </c>
      <c r="H168" s="29" t="s">
        <v>111</v>
      </c>
      <c r="I168" s="6" t="str">
        <f>VLOOKUP(CLEAN(F168),'World Bank Categories'!$B$4:$C$220,2,FALSE)</f>
        <v>Middle income</v>
      </c>
      <c r="J168" s="29" t="s">
        <v>1626</v>
      </c>
      <c r="K168" s="29" t="s">
        <v>39</v>
      </c>
      <c r="L168" s="31">
        <v>46205</v>
      </c>
      <c r="M168" s="29"/>
      <c r="N168" s="29"/>
      <c r="O168" s="29"/>
      <c r="P168" s="29" t="s">
        <v>31</v>
      </c>
      <c r="Q168" s="9" t="s">
        <v>32</v>
      </c>
      <c r="R168" s="18" t="s">
        <v>33</v>
      </c>
      <c r="S168" s="25" t="s">
        <v>1624</v>
      </c>
      <c r="T168" s="27">
        <v>33287</v>
      </c>
      <c r="U168" s="25" t="s">
        <v>1626</v>
      </c>
      <c r="V168" s="25" t="s">
        <v>80</v>
      </c>
      <c r="W168" s="25"/>
    </row>
    <row r="169" spans="1:23" ht="22.5" customHeight="1">
      <c r="A169" s="20">
        <v>46022.962546296294</v>
      </c>
      <c r="B169" s="21" t="s">
        <v>1636</v>
      </c>
      <c r="C169" s="21" t="s">
        <v>1637</v>
      </c>
      <c r="D169" s="21" t="s">
        <v>24</v>
      </c>
      <c r="E169" s="22">
        <v>35640</v>
      </c>
      <c r="F169" s="21" t="s">
        <v>799</v>
      </c>
      <c r="G169" s="21" t="s">
        <v>1638</v>
      </c>
      <c r="H169" s="21" t="s">
        <v>1639</v>
      </c>
      <c r="I169" s="6" t="str">
        <f>VLOOKUP(CLEAN(F169),'World Bank Categories'!$B$4:$C$220,2,FALSE)</f>
        <v>Low income</v>
      </c>
      <c r="J169" s="21" t="s">
        <v>1640</v>
      </c>
      <c r="K169" s="21" t="s">
        <v>39</v>
      </c>
      <c r="L169" s="21" t="s">
        <v>30</v>
      </c>
      <c r="M169" s="21"/>
      <c r="N169" s="21"/>
      <c r="O169" s="21"/>
      <c r="P169" s="21" t="s">
        <v>31</v>
      </c>
      <c r="Q169" s="9" t="s">
        <v>32</v>
      </c>
      <c r="R169" s="10" t="s">
        <v>33</v>
      </c>
      <c r="S169" s="25" t="s">
        <v>1641</v>
      </c>
      <c r="T169" s="27">
        <v>35640</v>
      </c>
      <c r="U169" s="25" t="s">
        <v>1640</v>
      </c>
      <c r="V169" s="25" t="s">
        <v>316</v>
      </c>
      <c r="W169" s="25"/>
    </row>
    <row r="170" spans="1:23" ht="22.5" customHeight="1">
      <c r="A170" s="20">
        <v>46022.983715277776</v>
      </c>
      <c r="B170" s="21" t="s">
        <v>1642</v>
      </c>
      <c r="C170" s="38"/>
      <c r="D170" s="21" t="s">
        <v>45</v>
      </c>
      <c r="E170" s="22">
        <v>27918</v>
      </c>
      <c r="F170" s="21" t="s">
        <v>64</v>
      </c>
      <c r="G170" s="21" t="s">
        <v>1599</v>
      </c>
      <c r="H170" s="21" t="s">
        <v>1643</v>
      </c>
      <c r="I170" s="6" t="str">
        <f>VLOOKUP(CLEAN(F170),'World Bank Categories'!$B$4:$C$220,2,FALSE)</f>
        <v>Middle income</v>
      </c>
      <c r="J170" s="21" t="s">
        <v>1644</v>
      </c>
      <c r="K170" s="21" t="s">
        <v>29</v>
      </c>
      <c r="L170" s="21" t="s">
        <v>30</v>
      </c>
      <c r="M170" s="21"/>
      <c r="N170" s="21"/>
      <c r="O170" s="21"/>
      <c r="P170" s="21" t="s">
        <v>31</v>
      </c>
      <c r="Q170" s="9" t="s">
        <v>32</v>
      </c>
      <c r="R170" s="18" t="s">
        <v>17</v>
      </c>
      <c r="S170" s="25" t="s">
        <v>1645</v>
      </c>
      <c r="T170" s="27">
        <v>27918</v>
      </c>
      <c r="U170" s="25" t="s">
        <v>1644</v>
      </c>
      <c r="V170" s="25" t="s">
        <v>154</v>
      </c>
      <c r="W170" s="25"/>
    </row>
    <row r="171" spans="1:23" ht="22.5" customHeight="1">
      <c r="A171" s="20">
        <v>46023.099398148152</v>
      </c>
      <c r="B171" s="21" t="s">
        <v>1653</v>
      </c>
      <c r="C171" s="38"/>
      <c r="D171" s="21" t="s">
        <v>24</v>
      </c>
      <c r="E171" s="22">
        <v>31644</v>
      </c>
      <c r="F171" s="21" t="s">
        <v>227</v>
      </c>
      <c r="G171" s="21" t="s">
        <v>1654</v>
      </c>
      <c r="H171" s="21" t="s">
        <v>1655</v>
      </c>
      <c r="I171" s="6" t="str">
        <f>VLOOKUP(CLEAN(F171),'World Bank Categories'!$B$4:$C$220,2,FALSE)</f>
        <v>Middle income</v>
      </c>
      <c r="J171" s="21" t="s">
        <v>1656</v>
      </c>
      <c r="K171" s="21" t="s">
        <v>39</v>
      </c>
      <c r="L171" s="21" t="s">
        <v>30</v>
      </c>
      <c r="M171" s="21" t="s">
        <v>1657</v>
      </c>
      <c r="N171" s="21" t="s">
        <v>1658</v>
      </c>
      <c r="O171" s="21" t="s">
        <v>1659</v>
      </c>
      <c r="P171" s="21" t="s">
        <v>31</v>
      </c>
      <c r="Q171" s="9" t="s">
        <v>32</v>
      </c>
      <c r="R171" s="10" t="s">
        <v>33</v>
      </c>
      <c r="S171" s="25" t="s">
        <v>1653</v>
      </c>
      <c r="T171" s="27">
        <v>31644</v>
      </c>
      <c r="U171" s="25" t="s">
        <v>1656</v>
      </c>
      <c r="V171" s="25" t="s">
        <v>80</v>
      </c>
      <c r="W171" s="25"/>
    </row>
    <row r="172" spans="1:23" ht="22.5" customHeight="1">
      <c r="A172" s="46">
        <v>46023.142557870371</v>
      </c>
      <c r="B172" s="47" t="s">
        <v>1675</v>
      </c>
      <c r="C172" s="48"/>
      <c r="D172" s="47" t="s">
        <v>24</v>
      </c>
      <c r="E172" s="49">
        <v>28817</v>
      </c>
      <c r="F172" s="21" t="s">
        <v>208</v>
      </c>
      <c r="G172" s="47" t="s">
        <v>1676</v>
      </c>
      <c r="H172" s="47" t="s">
        <v>1677</v>
      </c>
      <c r="I172" s="6" t="str">
        <f>VLOOKUP(CLEAN(F172),'World Bank Categories'!$B$4:$C$220,2,FALSE)</f>
        <v>Low income</v>
      </c>
      <c r="J172" s="47" t="s">
        <v>1678</v>
      </c>
      <c r="K172" s="47" t="s">
        <v>39</v>
      </c>
      <c r="L172" s="47" t="s">
        <v>152</v>
      </c>
      <c r="M172" s="47"/>
      <c r="N172" s="47"/>
      <c r="O172" s="47"/>
      <c r="P172" s="47" t="s">
        <v>31</v>
      </c>
      <c r="Q172" s="9" t="s">
        <v>32</v>
      </c>
      <c r="R172" s="10" t="s">
        <v>33</v>
      </c>
      <c r="S172" s="25" t="s">
        <v>1679</v>
      </c>
      <c r="T172" s="27">
        <v>28817</v>
      </c>
      <c r="U172" s="25" t="s">
        <v>1678</v>
      </c>
      <c r="V172" s="25" t="s">
        <v>154</v>
      </c>
      <c r="W172" s="25"/>
    </row>
    <row r="173" spans="1:23" ht="22.5" customHeight="1">
      <c r="A173" s="28">
        <v>46023.200138888889</v>
      </c>
      <c r="B173" s="29" t="s">
        <v>1692</v>
      </c>
      <c r="C173" s="29" t="s">
        <v>1693</v>
      </c>
      <c r="D173" s="29" t="s">
        <v>24</v>
      </c>
      <c r="E173" s="30">
        <v>30682</v>
      </c>
      <c r="F173" s="21" t="s">
        <v>1690</v>
      </c>
      <c r="G173" s="29" t="s">
        <v>1694</v>
      </c>
      <c r="H173" s="29" t="s">
        <v>1695</v>
      </c>
      <c r="I173" s="6" t="str">
        <f>VLOOKUP(CLEAN(F173),'World Bank Categories'!$B$4:$C$220,2,FALSE)</f>
        <v>Middle income</v>
      </c>
      <c r="J173" s="29" t="s">
        <v>1696</v>
      </c>
      <c r="K173" s="29" t="s">
        <v>39</v>
      </c>
      <c r="L173" s="29" t="s">
        <v>30</v>
      </c>
      <c r="M173" s="29"/>
      <c r="N173" s="29"/>
      <c r="O173" s="29"/>
      <c r="P173" s="29" t="s">
        <v>31</v>
      </c>
      <c r="Q173" s="9" t="s">
        <v>32</v>
      </c>
      <c r="R173" s="10" t="s">
        <v>33</v>
      </c>
      <c r="S173" s="25" t="s">
        <v>1697</v>
      </c>
      <c r="T173" s="27">
        <v>30682</v>
      </c>
      <c r="U173" s="25" t="s">
        <v>1696</v>
      </c>
      <c r="V173" s="25" t="s">
        <v>154</v>
      </c>
      <c r="W173" s="25"/>
    </row>
    <row r="174" spans="1:23" ht="22.5" customHeight="1">
      <c r="A174" s="20">
        <v>46024.641712962963</v>
      </c>
      <c r="B174" s="21" t="s">
        <v>1707</v>
      </c>
      <c r="C174" s="38"/>
      <c r="D174" s="21" t="s">
        <v>24</v>
      </c>
      <c r="E174" s="22">
        <v>36513</v>
      </c>
      <c r="F174" s="21" t="s">
        <v>227</v>
      </c>
      <c r="G174" s="21" t="s">
        <v>1708</v>
      </c>
      <c r="H174" s="21" t="s">
        <v>1709</v>
      </c>
      <c r="I174" s="6" t="str">
        <f>VLOOKUP(CLEAN(F174),'World Bank Categories'!$B$4:$C$220,2,FALSE)</f>
        <v>Middle income</v>
      </c>
      <c r="J174" s="21" t="s">
        <v>1710</v>
      </c>
      <c r="K174" s="21" t="s">
        <v>29</v>
      </c>
      <c r="L174" s="21" t="s">
        <v>152</v>
      </c>
      <c r="M174" s="21"/>
      <c r="N174" s="21"/>
      <c r="O174" s="21"/>
      <c r="P174" s="21" t="s">
        <v>31</v>
      </c>
      <c r="Q174" s="9" t="s">
        <v>32</v>
      </c>
      <c r="R174" s="10" t="s">
        <v>43</v>
      </c>
      <c r="S174" s="25" t="s">
        <v>1711</v>
      </c>
      <c r="T174" s="27">
        <v>36513</v>
      </c>
      <c r="U174" s="25" t="s">
        <v>1710</v>
      </c>
      <c r="V174" s="25" t="s">
        <v>80</v>
      </c>
      <c r="W174" s="25"/>
    </row>
    <row r="175" spans="1:23" ht="22.5" customHeight="1">
      <c r="A175" s="50">
        <v>46024.920520833337</v>
      </c>
      <c r="B175" s="51" t="s">
        <v>1712</v>
      </c>
      <c r="C175" s="52"/>
      <c r="D175" s="51" t="s">
        <v>24</v>
      </c>
      <c r="E175" s="53">
        <v>37639</v>
      </c>
      <c r="F175" s="51" t="s">
        <v>64</v>
      </c>
      <c r="G175" s="51" t="s">
        <v>1713</v>
      </c>
      <c r="H175" s="51" t="s">
        <v>160</v>
      </c>
      <c r="I175" s="6" t="str">
        <f>VLOOKUP(CLEAN(F175),'World Bank Categories'!$B$4:$C$220,2,FALSE)</f>
        <v>Middle income</v>
      </c>
      <c r="J175" s="51" t="s">
        <v>1714</v>
      </c>
      <c r="K175" s="51" t="s">
        <v>29</v>
      </c>
      <c r="L175" s="51" t="s">
        <v>30</v>
      </c>
      <c r="M175" s="51"/>
      <c r="N175" s="51"/>
      <c r="O175" s="51"/>
      <c r="P175" s="51" t="s">
        <v>31</v>
      </c>
      <c r="Q175" s="9" t="s">
        <v>32</v>
      </c>
      <c r="R175" s="10" t="s">
        <v>43</v>
      </c>
      <c r="S175" s="25" t="s">
        <v>1712</v>
      </c>
      <c r="T175" s="27">
        <v>37639</v>
      </c>
      <c r="U175" s="25" t="s">
        <v>1714</v>
      </c>
      <c r="V175" s="25" t="s">
        <v>80</v>
      </c>
      <c r="W175" s="25"/>
    </row>
    <row r="176" spans="1:23" ht="22.5" customHeight="1">
      <c r="A176" s="20">
        <v>46027.786365740743</v>
      </c>
      <c r="B176" s="21" t="s">
        <v>1738</v>
      </c>
      <c r="C176" s="38"/>
      <c r="D176" s="21" t="s">
        <v>24</v>
      </c>
      <c r="E176" s="22">
        <v>28601</v>
      </c>
      <c r="F176" s="21" t="s">
        <v>245</v>
      </c>
      <c r="G176" s="21" t="s">
        <v>1739</v>
      </c>
      <c r="H176" s="21" t="s">
        <v>1740</v>
      </c>
      <c r="I176" s="6" t="str">
        <f>VLOOKUP(CLEAN(F176),'World Bank Categories'!$B$4:$C$220,2,FALSE)</f>
        <v>Middle income</v>
      </c>
      <c r="J176" s="21" t="s">
        <v>1741</v>
      </c>
      <c r="K176" s="21" t="s">
        <v>29</v>
      </c>
      <c r="L176" s="21" t="s">
        <v>30</v>
      </c>
      <c r="M176" s="21" t="s">
        <v>1742</v>
      </c>
      <c r="N176" s="21"/>
      <c r="O176" s="21"/>
      <c r="P176" s="21" t="s">
        <v>31</v>
      </c>
      <c r="Q176" s="9" t="s">
        <v>32</v>
      </c>
      <c r="R176" s="18" t="s">
        <v>43</v>
      </c>
      <c r="S176" s="25" t="s">
        <v>1743</v>
      </c>
      <c r="T176" s="27">
        <v>28601</v>
      </c>
      <c r="U176" s="25" t="s">
        <v>1741</v>
      </c>
      <c r="V176" s="25" t="s">
        <v>154</v>
      </c>
      <c r="W176" s="25"/>
    </row>
    <row r="177" spans="1:23" ht="22.5" customHeight="1">
      <c r="A177" s="20">
        <v>46027.909479166665</v>
      </c>
      <c r="B177" s="21" t="s">
        <v>1744</v>
      </c>
      <c r="C177" s="38"/>
      <c r="D177" s="21" t="s">
        <v>24</v>
      </c>
      <c r="E177" s="22">
        <v>36703</v>
      </c>
      <c r="F177" s="21" t="s">
        <v>1745</v>
      </c>
      <c r="G177" s="21" t="s">
        <v>1746</v>
      </c>
      <c r="H177" s="21" t="s">
        <v>1747</v>
      </c>
      <c r="I177" s="6" t="str">
        <f>VLOOKUP(CLEAN(F177),'World Bank Categories'!$B$4:$C$220,2,FALSE)</f>
        <v>High income</v>
      </c>
      <c r="J177" s="21" t="s">
        <v>1748</v>
      </c>
      <c r="K177" s="21" t="s">
        <v>29</v>
      </c>
      <c r="L177" s="21" t="s">
        <v>30</v>
      </c>
      <c r="M177" s="21"/>
      <c r="N177" s="21"/>
      <c r="O177" s="21"/>
      <c r="P177" s="21" t="s">
        <v>31</v>
      </c>
      <c r="Q177" s="9" t="s">
        <v>32</v>
      </c>
      <c r="R177" s="10" t="s">
        <v>33</v>
      </c>
      <c r="S177" s="25" t="s">
        <v>1749</v>
      </c>
      <c r="T177" s="27">
        <v>36703</v>
      </c>
      <c r="U177" s="25" t="s">
        <v>1748</v>
      </c>
      <c r="V177" s="25" t="s">
        <v>80</v>
      </c>
      <c r="W177" s="25"/>
    </row>
    <row r="178" spans="1:23" ht="22.5" customHeight="1">
      <c r="A178" s="20">
        <v>46028.649305555555</v>
      </c>
      <c r="B178" s="21" t="s">
        <v>1760</v>
      </c>
      <c r="C178" s="21" t="s">
        <v>1761</v>
      </c>
      <c r="D178" s="21" t="s">
        <v>24</v>
      </c>
      <c r="E178" s="22">
        <v>30817</v>
      </c>
      <c r="F178" s="21" t="s">
        <v>416</v>
      </c>
      <c r="G178" s="21" t="s">
        <v>1762</v>
      </c>
      <c r="H178" s="21" t="s">
        <v>1763</v>
      </c>
      <c r="I178" s="6" t="str">
        <f>VLOOKUP(CLEAN(F178),'World Bank Categories'!$B$4:$C$220,2,FALSE)</f>
        <v>Middle income</v>
      </c>
      <c r="J178" s="21" t="s">
        <v>1764</v>
      </c>
      <c r="K178" s="21" t="s">
        <v>39</v>
      </c>
      <c r="L178" s="21" t="s">
        <v>162</v>
      </c>
      <c r="M178" s="21"/>
      <c r="N178" s="21"/>
      <c r="O178" s="21"/>
      <c r="P178" s="21" t="s">
        <v>31</v>
      </c>
      <c r="Q178" s="9" t="s">
        <v>32</v>
      </c>
      <c r="R178" s="60" t="s">
        <v>33</v>
      </c>
      <c r="S178" s="25" t="s">
        <v>1765</v>
      </c>
      <c r="T178" s="27">
        <v>30817</v>
      </c>
      <c r="U178" s="61" t="s">
        <v>1766</v>
      </c>
      <c r="V178" s="25" t="s">
        <v>1767</v>
      </c>
      <c r="W178" s="25"/>
    </row>
    <row r="179" spans="1:23" ht="22.5" customHeight="1">
      <c r="A179" s="20">
        <v>46029.174733796295</v>
      </c>
      <c r="B179" s="21" t="s">
        <v>1774</v>
      </c>
      <c r="C179" s="38"/>
      <c r="D179" s="21" t="s">
        <v>45</v>
      </c>
      <c r="E179" s="22">
        <v>34179</v>
      </c>
      <c r="F179" s="21" t="s">
        <v>232</v>
      </c>
      <c r="G179" s="21" t="s">
        <v>1775</v>
      </c>
      <c r="H179" s="21" t="s">
        <v>186</v>
      </c>
      <c r="I179" s="6" t="str">
        <f>VLOOKUP(CLEAN(F179),'World Bank Categories'!$B$4:$C$220,2,FALSE)</f>
        <v>Middle income</v>
      </c>
      <c r="J179" s="21" t="s">
        <v>1776</v>
      </c>
      <c r="K179" s="21" t="s">
        <v>39</v>
      </c>
      <c r="L179" s="21" t="s">
        <v>621</v>
      </c>
      <c r="M179" s="21" t="s">
        <v>1777</v>
      </c>
      <c r="N179" s="21"/>
      <c r="O179" s="21"/>
      <c r="P179" s="21" t="s">
        <v>31</v>
      </c>
      <c r="Q179" s="9" t="s">
        <v>32</v>
      </c>
      <c r="R179" s="10" t="s">
        <v>43</v>
      </c>
      <c r="S179" s="25" t="s">
        <v>1774</v>
      </c>
      <c r="T179" s="27">
        <v>34179</v>
      </c>
      <c r="U179" s="25" t="s">
        <v>1776</v>
      </c>
      <c r="V179" s="25" t="s">
        <v>80</v>
      </c>
      <c r="W179" s="25"/>
    </row>
    <row r="180" spans="1:23" ht="22.5" customHeight="1">
      <c r="A180" s="20">
        <v>46030.285532407404</v>
      </c>
      <c r="B180" s="21" t="s">
        <v>1784</v>
      </c>
      <c r="C180" s="38"/>
      <c r="D180" s="21" t="s">
        <v>24</v>
      </c>
      <c r="E180" s="22">
        <v>31724</v>
      </c>
      <c r="F180" s="21" t="s">
        <v>227</v>
      </c>
      <c r="G180" s="21" t="s">
        <v>1785</v>
      </c>
      <c r="H180" s="21" t="s">
        <v>66</v>
      </c>
      <c r="I180" s="6" t="str">
        <f>VLOOKUP(CLEAN(F180),'World Bank Categories'!$B$4:$C$220,2,FALSE)</f>
        <v>Middle income</v>
      </c>
      <c r="J180" s="21" t="s">
        <v>1786</v>
      </c>
      <c r="K180" s="21" t="s">
        <v>29</v>
      </c>
      <c r="L180" s="21" t="s">
        <v>30</v>
      </c>
      <c r="M180" s="21"/>
      <c r="N180" s="21"/>
      <c r="O180" s="21"/>
      <c r="P180" s="21" t="s">
        <v>31</v>
      </c>
      <c r="Q180" s="9" t="s">
        <v>32</v>
      </c>
      <c r="R180" s="18" t="s">
        <v>43</v>
      </c>
      <c r="S180" s="25" t="s">
        <v>1784</v>
      </c>
      <c r="T180" s="27">
        <v>31724</v>
      </c>
      <c r="U180" s="25" t="s">
        <v>1786</v>
      </c>
      <c r="V180" s="25" t="s">
        <v>80</v>
      </c>
      <c r="W180" s="25"/>
    </row>
    <row r="181" spans="1:23" ht="22.5" customHeight="1">
      <c r="A181" s="20">
        <v>46030.645844907405</v>
      </c>
      <c r="B181" s="21" t="s">
        <v>1787</v>
      </c>
      <c r="C181" s="38"/>
      <c r="D181" s="21" t="s">
        <v>45</v>
      </c>
      <c r="E181" s="22">
        <v>33521</v>
      </c>
      <c r="F181" s="21" t="s">
        <v>1788</v>
      </c>
      <c r="G181" s="21" t="s">
        <v>1789</v>
      </c>
      <c r="H181" s="21" t="s">
        <v>1790</v>
      </c>
      <c r="I181" s="6" t="str">
        <f>VLOOKUP(CLEAN(F181),'World Bank Categories'!$B$4:$C$220,2,FALSE)</f>
        <v>Low income</v>
      </c>
      <c r="J181" s="21" t="s">
        <v>1791</v>
      </c>
      <c r="K181" s="21" t="s">
        <v>29</v>
      </c>
      <c r="L181" s="32">
        <v>46202</v>
      </c>
      <c r="M181" s="21"/>
      <c r="N181" s="21"/>
      <c r="O181" s="21"/>
      <c r="P181" s="21" t="s">
        <v>31</v>
      </c>
      <c r="Q181" s="9" t="s">
        <v>32</v>
      </c>
      <c r="R181" s="10" t="s">
        <v>33</v>
      </c>
      <c r="S181" s="25" t="s">
        <v>1787</v>
      </c>
      <c r="T181" s="27">
        <v>33521</v>
      </c>
      <c r="U181" s="25" t="s">
        <v>1791</v>
      </c>
      <c r="V181" s="25" t="s">
        <v>80</v>
      </c>
      <c r="W181" s="25"/>
    </row>
    <row r="182" spans="1:23" ht="22.5" customHeight="1">
      <c r="A182" s="28">
        <v>46031.707824074074</v>
      </c>
      <c r="B182" s="29" t="s">
        <v>1792</v>
      </c>
      <c r="C182" s="29" t="s">
        <v>871</v>
      </c>
      <c r="D182" s="29" t="s">
        <v>45</v>
      </c>
      <c r="E182" s="30">
        <v>28098</v>
      </c>
      <c r="F182" s="29" t="s">
        <v>1793</v>
      </c>
      <c r="G182" s="29" t="s">
        <v>1794</v>
      </c>
      <c r="H182" s="29" t="s">
        <v>111</v>
      </c>
      <c r="I182" s="6" t="str">
        <f>VLOOKUP(CLEAN(F182),'World Bank Categories'!$B$4:$C$220,2,FALSE)</f>
        <v>Middle income</v>
      </c>
      <c r="J182" s="29" t="s">
        <v>1795</v>
      </c>
      <c r="K182" s="29" t="s">
        <v>29</v>
      </c>
      <c r="L182" s="29" t="s">
        <v>30</v>
      </c>
      <c r="M182" s="29" t="s">
        <v>1796</v>
      </c>
      <c r="N182" s="29"/>
      <c r="O182" s="29"/>
      <c r="P182" s="29" t="s">
        <v>31</v>
      </c>
      <c r="Q182" s="9" t="s">
        <v>32</v>
      </c>
      <c r="R182" s="18" t="s">
        <v>33</v>
      </c>
      <c r="S182" s="25" t="s">
        <v>1797</v>
      </c>
      <c r="T182" s="27">
        <v>28098</v>
      </c>
      <c r="U182" s="25" t="s">
        <v>1795</v>
      </c>
      <c r="V182" s="25" t="s">
        <v>80</v>
      </c>
      <c r="W182" s="25"/>
    </row>
    <row r="183" spans="1:23" ht="22.5" customHeight="1">
      <c r="A183" s="20">
        <v>46034.835868055554</v>
      </c>
      <c r="B183" s="21" t="s">
        <v>1804</v>
      </c>
      <c r="C183" s="21" t="s">
        <v>1805</v>
      </c>
      <c r="D183" s="21" t="s">
        <v>45</v>
      </c>
      <c r="E183" s="22">
        <v>34308</v>
      </c>
      <c r="F183" s="21" t="s">
        <v>88</v>
      </c>
      <c r="G183" s="21" t="s">
        <v>1806</v>
      </c>
      <c r="H183" s="21" t="s">
        <v>738</v>
      </c>
      <c r="I183" s="6" t="str">
        <f>VLOOKUP(CLEAN(F183),'World Bank Categories'!$B$4:$C$220,2,FALSE)</f>
        <v>Low income</v>
      </c>
      <c r="J183" s="21" t="s">
        <v>1807</v>
      </c>
      <c r="K183" s="21" t="s">
        <v>29</v>
      </c>
      <c r="L183" s="21" t="s">
        <v>241</v>
      </c>
      <c r="M183" s="21"/>
      <c r="N183" s="21"/>
      <c r="O183" s="21"/>
      <c r="P183" s="21" t="s">
        <v>31</v>
      </c>
      <c r="Q183" s="9" t="s">
        <v>32</v>
      </c>
      <c r="R183" s="10" t="s">
        <v>43</v>
      </c>
      <c r="S183" s="25" t="s">
        <v>1804</v>
      </c>
      <c r="T183" s="27">
        <v>34308</v>
      </c>
      <c r="U183" s="25" t="s">
        <v>1807</v>
      </c>
      <c r="V183" s="25" t="s">
        <v>80</v>
      </c>
      <c r="W183" s="25"/>
    </row>
    <row r="184" spans="1:23" ht="22.5" customHeight="1">
      <c r="A184" s="50">
        <v>46036.194340277776</v>
      </c>
      <c r="B184" s="51" t="s">
        <v>1811</v>
      </c>
      <c r="C184" s="52"/>
      <c r="D184" s="51" t="s">
        <v>45</v>
      </c>
      <c r="E184" s="53">
        <v>37541</v>
      </c>
      <c r="F184" s="51" t="s">
        <v>310</v>
      </c>
      <c r="G184" s="51" t="s">
        <v>1812</v>
      </c>
      <c r="H184" s="51" t="s">
        <v>160</v>
      </c>
      <c r="I184" s="6" t="str">
        <f>VLOOKUP(CLEAN(F184),'World Bank Categories'!$B$4:$C$220,2,FALSE)</f>
        <v>High income</v>
      </c>
      <c r="J184" s="51" t="s">
        <v>1813</v>
      </c>
      <c r="K184" s="51" t="s">
        <v>29</v>
      </c>
      <c r="L184" s="51" t="s">
        <v>30</v>
      </c>
      <c r="M184" s="51"/>
      <c r="N184" s="51"/>
      <c r="O184" s="51"/>
      <c r="P184" s="51" t="s">
        <v>31</v>
      </c>
      <c r="Q184" s="9" t="s">
        <v>32</v>
      </c>
      <c r="R184" s="18" t="s">
        <v>33</v>
      </c>
      <c r="S184" s="25" t="s">
        <v>1814</v>
      </c>
      <c r="T184" s="27">
        <v>37541</v>
      </c>
      <c r="U184" s="25" t="s">
        <v>1813</v>
      </c>
      <c r="V184" s="25" t="s">
        <v>1815</v>
      </c>
      <c r="W184" s="25"/>
    </row>
    <row r="185" spans="1:23" ht="22.5" customHeight="1">
      <c r="A185" s="20">
        <v>46036.462164351855</v>
      </c>
      <c r="B185" s="21" t="s">
        <v>1816</v>
      </c>
      <c r="C185" s="38"/>
      <c r="D185" s="21" t="s">
        <v>45</v>
      </c>
      <c r="E185" s="22">
        <v>38177</v>
      </c>
      <c r="F185" s="21" t="s">
        <v>198</v>
      </c>
      <c r="G185" s="21" t="s">
        <v>1817</v>
      </c>
      <c r="H185" s="21" t="s">
        <v>1818</v>
      </c>
      <c r="I185" s="6" t="str">
        <f>VLOOKUP(CLEAN(F185),'World Bank Categories'!$B$4:$C$220,2,FALSE)</f>
        <v>Middle income</v>
      </c>
      <c r="J185" s="21" t="s">
        <v>1819</v>
      </c>
      <c r="K185" s="21" t="s">
        <v>29</v>
      </c>
      <c r="L185" s="21" t="s">
        <v>30</v>
      </c>
      <c r="M185" s="21"/>
      <c r="N185" s="21"/>
      <c r="O185" s="21"/>
      <c r="P185" s="21" t="s">
        <v>31</v>
      </c>
      <c r="Q185" s="9" t="s">
        <v>32</v>
      </c>
      <c r="R185" s="18" t="s">
        <v>33</v>
      </c>
      <c r="S185" s="25" t="s">
        <v>1816</v>
      </c>
      <c r="T185" s="27">
        <v>38177</v>
      </c>
      <c r="U185" s="25" t="s">
        <v>1819</v>
      </c>
      <c r="V185" s="25" t="s">
        <v>80</v>
      </c>
      <c r="W185" s="25"/>
    </row>
    <row r="186" spans="1:23" ht="22.5" customHeight="1">
      <c r="A186" s="20">
        <v>46036.474131944444</v>
      </c>
      <c r="B186" s="21" t="s">
        <v>1820</v>
      </c>
      <c r="C186" s="38"/>
      <c r="D186" s="21" t="s">
        <v>45</v>
      </c>
      <c r="E186" s="22">
        <v>34163</v>
      </c>
      <c r="F186" s="21" t="s">
        <v>198</v>
      </c>
      <c r="G186" s="21" t="s">
        <v>1821</v>
      </c>
      <c r="H186" s="21" t="s">
        <v>111</v>
      </c>
      <c r="I186" s="6" t="str">
        <f>VLOOKUP(CLEAN(F186),'World Bank Categories'!$B$4:$C$220,2,FALSE)</f>
        <v>Middle income</v>
      </c>
      <c r="J186" s="21" t="s">
        <v>1822</v>
      </c>
      <c r="K186" s="21" t="s">
        <v>29</v>
      </c>
      <c r="L186" s="21" t="s">
        <v>30</v>
      </c>
      <c r="M186" s="21"/>
      <c r="N186" s="21"/>
      <c r="O186" s="21"/>
      <c r="P186" s="21" t="s">
        <v>31</v>
      </c>
      <c r="Q186" s="9" t="s">
        <v>32</v>
      </c>
      <c r="R186" s="10" t="s">
        <v>33</v>
      </c>
      <c r="S186" s="25" t="s">
        <v>1823</v>
      </c>
      <c r="T186" s="27">
        <v>34163</v>
      </c>
      <c r="U186" s="25" t="s">
        <v>1822</v>
      </c>
      <c r="V186" s="25" t="s">
        <v>80</v>
      </c>
      <c r="W186" s="25"/>
    </row>
    <row r="187" spans="1:23" ht="22.5" customHeight="1">
      <c r="A187" s="20">
        <v>46037.537766203706</v>
      </c>
      <c r="B187" s="21" t="s">
        <v>1827</v>
      </c>
      <c r="C187" s="38"/>
      <c r="D187" s="21" t="s">
        <v>45</v>
      </c>
      <c r="E187" s="22">
        <v>27957</v>
      </c>
      <c r="F187" s="21" t="s">
        <v>416</v>
      </c>
      <c r="G187" s="21" t="s">
        <v>1828</v>
      </c>
      <c r="H187" s="21" t="s">
        <v>1829</v>
      </c>
      <c r="I187" s="6" t="str">
        <f>VLOOKUP(CLEAN(F187),'World Bank Categories'!$B$4:$C$220,2,FALSE)</f>
        <v>Middle income</v>
      </c>
      <c r="J187" s="21" t="s">
        <v>1830</v>
      </c>
      <c r="K187" s="21" t="s">
        <v>29</v>
      </c>
      <c r="L187" s="21" t="s">
        <v>30</v>
      </c>
      <c r="M187" s="21"/>
      <c r="N187" s="21"/>
      <c r="O187" s="21"/>
      <c r="P187" s="21" t="s">
        <v>31</v>
      </c>
      <c r="Q187" s="9" t="s">
        <v>32</v>
      </c>
      <c r="R187" s="10" t="s">
        <v>33</v>
      </c>
      <c r="S187" s="25" t="s">
        <v>1831</v>
      </c>
      <c r="T187" s="27">
        <v>27957</v>
      </c>
      <c r="U187" s="25" t="s">
        <v>1832</v>
      </c>
      <c r="V187" s="25" t="s">
        <v>80</v>
      </c>
      <c r="W187" s="25"/>
    </row>
    <row r="188" spans="1:23" ht="22.5" customHeight="1">
      <c r="A188" s="20">
        <v>46038.401076388887</v>
      </c>
      <c r="B188" s="21" t="s">
        <v>1833</v>
      </c>
      <c r="C188" s="38"/>
      <c r="D188" s="21" t="s">
        <v>24</v>
      </c>
      <c r="E188" s="22">
        <v>22296</v>
      </c>
      <c r="F188" s="21" t="s">
        <v>1834</v>
      </c>
      <c r="G188" s="21" t="s">
        <v>1835</v>
      </c>
      <c r="H188" s="21" t="s">
        <v>1836</v>
      </c>
      <c r="I188" s="6" t="str">
        <f>VLOOKUP(CLEAN(F188),'World Bank Categories'!$B$4:$C$220,2,FALSE)</f>
        <v>Middle income</v>
      </c>
      <c r="J188" s="21" t="s">
        <v>1837</v>
      </c>
      <c r="K188" s="21" t="s">
        <v>29</v>
      </c>
      <c r="L188" s="21" t="s">
        <v>162</v>
      </c>
      <c r="M188" s="21"/>
      <c r="N188" s="21"/>
      <c r="O188" s="21"/>
      <c r="P188" s="21" t="s">
        <v>31</v>
      </c>
      <c r="Q188" s="9" t="s">
        <v>32</v>
      </c>
      <c r="R188" s="18" t="s">
        <v>33</v>
      </c>
      <c r="S188" s="25" t="s">
        <v>1838</v>
      </c>
      <c r="T188" s="27">
        <v>22296</v>
      </c>
      <c r="U188" s="25" t="s">
        <v>1837</v>
      </c>
      <c r="V188" s="25" t="s">
        <v>154</v>
      </c>
      <c r="W188" s="25"/>
    </row>
    <row r="189" spans="1:23" ht="22.5" customHeight="1">
      <c r="A189" s="20">
        <v>46038.503981481481</v>
      </c>
      <c r="B189" s="21" t="s">
        <v>1839</v>
      </c>
      <c r="C189" s="38"/>
      <c r="D189" s="21" t="s">
        <v>24</v>
      </c>
      <c r="E189" s="22">
        <v>36205</v>
      </c>
      <c r="F189" s="21" t="s">
        <v>198</v>
      </c>
      <c r="G189" s="21" t="s">
        <v>1840</v>
      </c>
      <c r="H189" s="21" t="s">
        <v>1841</v>
      </c>
      <c r="I189" s="6" t="str">
        <f>VLOOKUP(CLEAN(F189),'World Bank Categories'!$B$4:$C$220,2,FALSE)</f>
        <v>Middle income</v>
      </c>
      <c r="J189" s="21" t="s">
        <v>1842</v>
      </c>
      <c r="K189" s="21" t="s">
        <v>29</v>
      </c>
      <c r="L189" s="21" t="s">
        <v>30</v>
      </c>
      <c r="M189" s="21"/>
      <c r="N189" s="21"/>
      <c r="O189" s="21"/>
      <c r="P189" s="21" t="s">
        <v>31</v>
      </c>
      <c r="Q189" s="9" t="s">
        <v>32</v>
      </c>
      <c r="R189" s="10" t="s">
        <v>33</v>
      </c>
      <c r="S189" s="25" t="s">
        <v>1843</v>
      </c>
      <c r="T189" s="27">
        <v>36205</v>
      </c>
      <c r="U189" s="25" t="s">
        <v>1842</v>
      </c>
      <c r="V189" s="25" t="s">
        <v>80</v>
      </c>
      <c r="W189" s="25"/>
    </row>
    <row r="190" spans="1:23" ht="22.5" customHeight="1">
      <c r="A190" s="13">
        <v>46039.934555925924</v>
      </c>
      <c r="B190" s="14" t="s">
        <v>1844</v>
      </c>
      <c r="C190" s="15"/>
      <c r="D190" s="14" t="s">
        <v>24</v>
      </c>
      <c r="E190" s="16">
        <v>30243</v>
      </c>
      <c r="F190" s="14" t="s">
        <v>227</v>
      </c>
      <c r="G190" s="14" t="s">
        <v>1845</v>
      </c>
      <c r="H190" s="14" t="s">
        <v>1756</v>
      </c>
      <c r="I190" s="6" t="str">
        <f>VLOOKUP(CLEAN(F190),'World Bank Categories'!$B$4:$C$220,2,FALSE)</f>
        <v>Middle income</v>
      </c>
      <c r="J190" s="14" t="s">
        <v>1846</v>
      </c>
      <c r="K190" s="14" t="s">
        <v>29</v>
      </c>
      <c r="L190" s="14" t="s">
        <v>30</v>
      </c>
      <c r="M190" s="15"/>
      <c r="N190" s="14"/>
      <c r="O190" s="14"/>
      <c r="P190" s="14" t="s">
        <v>31</v>
      </c>
      <c r="Q190" s="9" t="s">
        <v>32</v>
      </c>
      <c r="R190" s="18" t="s">
        <v>43</v>
      </c>
      <c r="S190" s="19" t="s">
        <v>1847</v>
      </c>
      <c r="T190" s="12"/>
      <c r="U190" s="12"/>
      <c r="V190" s="12"/>
      <c r="W190" s="12"/>
    </row>
    <row r="191" spans="1:23" ht="22.5" customHeight="1">
      <c r="A191" s="28">
        <v>46040.917222222219</v>
      </c>
      <c r="B191" s="29" t="s">
        <v>1857</v>
      </c>
      <c r="C191" s="29" t="s">
        <v>1858</v>
      </c>
      <c r="D191" s="29" t="s">
        <v>24</v>
      </c>
      <c r="E191" s="30">
        <v>36056</v>
      </c>
      <c r="F191" s="29" t="s">
        <v>198</v>
      </c>
      <c r="G191" s="29" t="s">
        <v>1859</v>
      </c>
      <c r="H191" s="29" t="s">
        <v>111</v>
      </c>
      <c r="I191" s="6" t="str">
        <f>VLOOKUP(CLEAN(F191),'World Bank Categories'!$B$4:$C$220,2,FALSE)</f>
        <v>Middle income</v>
      </c>
      <c r="J191" s="29" t="s">
        <v>1860</v>
      </c>
      <c r="K191" s="29" t="s">
        <v>29</v>
      </c>
      <c r="L191" s="29" t="s">
        <v>162</v>
      </c>
      <c r="M191" s="29"/>
      <c r="N191" s="29"/>
      <c r="O191" s="29"/>
      <c r="P191" s="29" t="s">
        <v>31</v>
      </c>
      <c r="Q191" s="9" t="s">
        <v>32</v>
      </c>
      <c r="R191" s="10" t="s">
        <v>43</v>
      </c>
      <c r="S191" s="25" t="s">
        <v>1861</v>
      </c>
      <c r="T191" s="27">
        <v>36056</v>
      </c>
      <c r="U191" s="25" t="s">
        <v>1860</v>
      </c>
      <c r="V191" s="25" t="s">
        <v>80</v>
      </c>
      <c r="W191" s="25"/>
    </row>
    <row r="192" spans="1:23" ht="22.5" customHeight="1">
      <c r="A192" s="20">
        <v>46042.005740740744</v>
      </c>
      <c r="B192" s="21" t="s">
        <v>1873</v>
      </c>
      <c r="C192" s="38"/>
      <c r="D192" s="21" t="s">
        <v>24</v>
      </c>
      <c r="E192" s="22">
        <v>37259</v>
      </c>
      <c r="F192" s="21" t="s">
        <v>198</v>
      </c>
      <c r="G192" s="21" t="s">
        <v>1874</v>
      </c>
      <c r="H192" s="21" t="s">
        <v>1875</v>
      </c>
      <c r="I192" s="6" t="str">
        <f>VLOOKUP(CLEAN(F192),'World Bank Categories'!$B$4:$C$220,2,FALSE)</f>
        <v>Middle income</v>
      </c>
      <c r="J192" s="21" t="s">
        <v>1876</v>
      </c>
      <c r="K192" s="21" t="s">
        <v>29</v>
      </c>
      <c r="L192" s="21" t="s">
        <v>30</v>
      </c>
      <c r="M192" s="21" t="s">
        <v>1877</v>
      </c>
      <c r="N192" s="21"/>
      <c r="O192" s="21"/>
      <c r="P192" s="21" t="s">
        <v>31</v>
      </c>
      <c r="Q192" s="9" t="s">
        <v>32</v>
      </c>
      <c r="R192" s="10" t="s">
        <v>1878</v>
      </c>
      <c r="S192" s="25" t="s">
        <v>1873</v>
      </c>
      <c r="T192" s="27">
        <v>37259</v>
      </c>
      <c r="U192" s="25" t="s">
        <v>1876</v>
      </c>
      <c r="V192" s="25" t="s">
        <v>80</v>
      </c>
      <c r="W192" s="25"/>
    </row>
    <row r="193" spans="1:23" ht="22.5" customHeight="1">
      <c r="A193" s="20">
        <v>46042.882222222222</v>
      </c>
      <c r="B193" s="21" t="s">
        <v>1895</v>
      </c>
      <c r="C193" s="38"/>
      <c r="D193" s="21" t="s">
        <v>45</v>
      </c>
      <c r="E193" s="22">
        <v>33142</v>
      </c>
      <c r="F193" s="21" t="s">
        <v>227</v>
      </c>
      <c r="G193" s="21" t="s">
        <v>1896</v>
      </c>
      <c r="H193" s="21" t="s">
        <v>1897</v>
      </c>
      <c r="I193" s="6" t="str">
        <f>VLOOKUP(CLEAN(F193),'World Bank Categories'!$B$4:$C$220,2,FALSE)</f>
        <v>Middle income</v>
      </c>
      <c r="J193" s="21" t="s">
        <v>1898</v>
      </c>
      <c r="K193" s="21" t="s">
        <v>29</v>
      </c>
      <c r="L193" s="21" t="s">
        <v>30</v>
      </c>
      <c r="M193" s="21"/>
      <c r="N193" s="21"/>
      <c r="O193" s="21"/>
      <c r="P193" s="21" t="s">
        <v>31</v>
      </c>
      <c r="Q193" s="9" t="s">
        <v>32</v>
      </c>
      <c r="R193" s="18" t="s">
        <v>33</v>
      </c>
      <c r="S193" s="25" t="s">
        <v>1895</v>
      </c>
      <c r="T193" s="27">
        <v>33142</v>
      </c>
      <c r="U193" s="25" t="s">
        <v>1898</v>
      </c>
      <c r="V193" s="25" t="s">
        <v>80</v>
      </c>
      <c r="W193" s="25"/>
    </row>
    <row r="194" spans="1:23" ht="22.5" customHeight="1">
      <c r="A194" s="20">
        <v>46044.714733796296</v>
      </c>
      <c r="B194" s="21" t="s">
        <v>1899</v>
      </c>
      <c r="C194" s="21"/>
      <c r="D194" s="21" t="s">
        <v>24</v>
      </c>
      <c r="E194" s="22">
        <v>31420</v>
      </c>
      <c r="F194" s="21" t="s">
        <v>1900</v>
      </c>
      <c r="G194" s="21" t="s">
        <v>1901</v>
      </c>
      <c r="H194" s="21" t="s">
        <v>1902</v>
      </c>
      <c r="I194" s="6" t="str">
        <f>VLOOKUP(CLEAN(F194),'World Bank Categories'!$B$4:$C$220,2,FALSE)</f>
        <v>Middle income</v>
      </c>
      <c r="J194" s="21" t="s">
        <v>1903</v>
      </c>
      <c r="K194" s="21" t="s">
        <v>29</v>
      </c>
      <c r="L194" s="21" t="s">
        <v>162</v>
      </c>
      <c r="M194" s="21"/>
      <c r="N194" s="21"/>
      <c r="O194" s="21"/>
      <c r="P194" s="21" t="s">
        <v>31</v>
      </c>
      <c r="Q194" s="9" t="s">
        <v>32</v>
      </c>
      <c r="R194" s="10" t="s">
        <v>33</v>
      </c>
      <c r="S194" s="25" t="s">
        <v>1899</v>
      </c>
      <c r="T194" s="27">
        <v>31420</v>
      </c>
      <c r="U194" s="25" t="s">
        <v>1903</v>
      </c>
      <c r="V194" s="25" t="s">
        <v>80</v>
      </c>
      <c r="W194" s="25"/>
    </row>
    <row r="195" spans="1:23" ht="22.5" customHeight="1">
      <c r="A195" s="20">
        <v>46044.941377314812</v>
      </c>
      <c r="B195" s="21" t="s">
        <v>1904</v>
      </c>
      <c r="C195" s="21"/>
      <c r="D195" s="21" t="s">
        <v>24</v>
      </c>
      <c r="E195" s="22">
        <v>28919</v>
      </c>
      <c r="F195" s="21" t="s">
        <v>1905</v>
      </c>
      <c r="G195" s="21" t="s">
        <v>1906</v>
      </c>
      <c r="H195" s="21" t="s">
        <v>186</v>
      </c>
      <c r="I195" s="6" t="str">
        <f>VLOOKUP(CLEAN(F195),'World Bank Categories'!$B$4:$C$220,2,FALSE)</f>
        <v>Low income</v>
      </c>
      <c r="J195" s="21" t="s">
        <v>1907</v>
      </c>
      <c r="K195" s="21" t="s">
        <v>29</v>
      </c>
      <c r="L195" s="21" t="s">
        <v>30</v>
      </c>
      <c r="M195" s="21"/>
      <c r="N195" s="21"/>
      <c r="O195" s="21"/>
      <c r="P195" s="21" t="s">
        <v>31</v>
      </c>
      <c r="Q195" s="9" t="s">
        <v>32</v>
      </c>
      <c r="R195" s="18" t="s">
        <v>33</v>
      </c>
      <c r="S195" s="25" t="s">
        <v>1904</v>
      </c>
      <c r="T195" s="27">
        <v>28919</v>
      </c>
      <c r="U195" s="25" t="s">
        <v>1907</v>
      </c>
      <c r="V195" s="25" t="s">
        <v>80</v>
      </c>
      <c r="W195" s="25"/>
    </row>
    <row r="196" spans="1:23" ht="22.5" customHeight="1">
      <c r="A196" s="20">
        <v>46046.196261574078</v>
      </c>
      <c r="B196" s="21" t="s">
        <v>1914</v>
      </c>
      <c r="C196" s="38"/>
      <c r="D196" s="21" t="s">
        <v>45</v>
      </c>
      <c r="E196" s="22">
        <v>21506</v>
      </c>
      <c r="F196" s="21" t="s">
        <v>332</v>
      </c>
      <c r="G196" s="21" t="s">
        <v>1915</v>
      </c>
      <c r="H196" s="21" t="s">
        <v>1655</v>
      </c>
      <c r="I196" s="6" t="str">
        <f>VLOOKUP(CLEAN(F196),'World Bank Categories'!$B$4:$C$220,2,FALSE)</f>
        <v>High income</v>
      </c>
      <c r="J196" s="21" t="s">
        <v>1916</v>
      </c>
      <c r="K196" s="21" t="s">
        <v>39</v>
      </c>
      <c r="L196" s="21" t="s">
        <v>621</v>
      </c>
      <c r="M196" s="21"/>
      <c r="N196" s="21"/>
      <c r="O196" s="21"/>
      <c r="P196" s="21" t="s">
        <v>31</v>
      </c>
      <c r="Q196" s="9" t="s">
        <v>32</v>
      </c>
      <c r="R196" s="18" t="s">
        <v>33</v>
      </c>
      <c r="S196" s="25" t="s">
        <v>1917</v>
      </c>
      <c r="T196" s="27">
        <v>21506</v>
      </c>
      <c r="U196" s="25" t="s">
        <v>1916</v>
      </c>
      <c r="V196" s="25" t="s">
        <v>154</v>
      </c>
      <c r="W196" s="25"/>
    </row>
    <row r="197" spans="1:23" ht="22.5" customHeight="1">
      <c r="A197" s="46">
        <v>46046.811539351853</v>
      </c>
      <c r="B197" s="47" t="s">
        <v>1918</v>
      </c>
      <c r="C197" s="48"/>
      <c r="D197" s="47" t="s">
        <v>24</v>
      </c>
      <c r="E197" s="49">
        <v>36581</v>
      </c>
      <c r="F197" s="47" t="s">
        <v>470</v>
      </c>
      <c r="G197" s="47" t="s">
        <v>1918</v>
      </c>
      <c r="H197" s="47" t="s">
        <v>1919</v>
      </c>
      <c r="I197" s="6" t="str">
        <f>VLOOKUP(CLEAN(F197),'World Bank Categories'!$B$4:$C$220,2,FALSE)</f>
        <v>Middle income</v>
      </c>
      <c r="J197" s="47" t="s">
        <v>1920</v>
      </c>
      <c r="K197" s="47" t="s">
        <v>39</v>
      </c>
      <c r="L197" s="47" t="s">
        <v>30</v>
      </c>
      <c r="M197" s="47"/>
      <c r="N197" s="47"/>
      <c r="O197" s="47"/>
      <c r="P197" s="47" t="s">
        <v>31</v>
      </c>
      <c r="Q197" s="9" t="s">
        <v>32</v>
      </c>
      <c r="R197" s="10" t="s">
        <v>33</v>
      </c>
      <c r="S197" s="25" t="s">
        <v>1918</v>
      </c>
      <c r="T197" s="27">
        <v>36581</v>
      </c>
      <c r="U197" s="25" t="s">
        <v>1920</v>
      </c>
      <c r="V197" s="25" t="s">
        <v>80</v>
      </c>
      <c r="W197" s="25"/>
    </row>
    <row r="198" spans="1:23" ht="22.5" customHeight="1">
      <c r="A198" s="13">
        <v>46048.142859097221</v>
      </c>
      <c r="B198" s="14" t="s">
        <v>1921</v>
      </c>
      <c r="C198" s="15"/>
      <c r="D198" s="14" t="s">
        <v>24</v>
      </c>
      <c r="E198" s="16">
        <v>29327</v>
      </c>
      <c r="F198" s="14" t="s">
        <v>232</v>
      </c>
      <c r="G198" s="14" t="s">
        <v>1922</v>
      </c>
      <c r="H198" s="14" t="s">
        <v>1923</v>
      </c>
      <c r="I198" s="6" t="str">
        <f>VLOOKUP(CLEAN(F198),'World Bank Categories'!$B$4:$C$220,2,FALSE)</f>
        <v>Middle income</v>
      </c>
      <c r="J198" s="14" t="s">
        <v>1924</v>
      </c>
      <c r="K198" s="14" t="s">
        <v>39</v>
      </c>
      <c r="L198" s="14" t="s">
        <v>152</v>
      </c>
      <c r="M198" s="14" t="s">
        <v>1925</v>
      </c>
      <c r="N198" s="14" t="s">
        <v>1926</v>
      </c>
      <c r="O198" s="14" t="s">
        <v>301</v>
      </c>
      <c r="P198" s="14" t="s">
        <v>31</v>
      </c>
      <c r="Q198" s="9" t="s">
        <v>32</v>
      </c>
      <c r="R198" s="18" t="s">
        <v>43</v>
      </c>
      <c r="S198" s="19" t="s">
        <v>1921</v>
      </c>
      <c r="T198" s="12"/>
      <c r="U198" s="12"/>
      <c r="V198" s="12"/>
      <c r="W198" s="12"/>
    </row>
    <row r="199" spans="1:23" ht="22.5" customHeight="1">
      <c r="A199" s="20">
        <v>46048.291168981479</v>
      </c>
      <c r="B199" s="21" t="s">
        <v>1927</v>
      </c>
      <c r="C199" s="38"/>
      <c r="D199" s="21" t="s">
        <v>24</v>
      </c>
      <c r="E199" s="22">
        <v>35532</v>
      </c>
      <c r="F199" s="21" t="s">
        <v>52</v>
      </c>
      <c r="G199" s="21" t="s">
        <v>1044</v>
      </c>
      <c r="H199" s="21" t="s">
        <v>90</v>
      </c>
      <c r="I199" s="6" t="str">
        <f>VLOOKUP(CLEAN(F199),'World Bank Categories'!$B$4:$C$220,2,FALSE)</f>
        <v>Middle income</v>
      </c>
      <c r="J199" s="21" t="s">
        <v>1928</v>
      </c>
      <c r="K199" s="21" t="s">
        <v>29</v>
      </c>
      <c r="L199" s="21" t="s">
        <v>30</v>
      </c>
      <c r="M199" s="21"/>
      <c r="N199" s="21"/>
      <c r="O199" s="21"/>
      <c r="P199" s="21" t="s">
        <v>31</v>
      </c>
      <c r="Q199" s="9" t="s">
        <v>32</v>
      </c>
      <c r="R199" s="10" t="s">
        <v>17</v>
      </c>
      <c r="S199" s="25" t="s">
        <v>1929</v>
      </c>
      <c r="T199" s="27">
        <v>35532</v>
      </c>
      <c r="U199" s="25" t="s">
        <v>1928</v>
      </c>
      <c r="V199" s="25" t="s">
        <v>154</v>
      </c>
      <c r="W199" s="25"/>
    </row>
    <row r="200" spans="1:23" ht="22.5" customHeight="1">
      <c r="A200" s="20">
        <v>46048.748993055553</v>
      </c>
      <c r="B200" s="21" t="s">
        <v>1935</v>
      </c>
      <c r="C200" s="38"/>
      <c r="D200" s="21" t="s">
        <v>45</v>
      </c>
      <c r="E200" s="22">
        <v>31397</v>
      </c>
      <c r="F200" s="21" t="s">
        <v>980</v>
      </c>
      <c r="G200" s="21" t="s">
        <v>1462</v>
      </c>
      <c r="H200" s="21" t="s">
        <v>738</v>
      </c>
      <c r="I200" s="6" t="str">
        <f>VLOOKUP(CLEAN(F200),'World Bank Categories'!$B$4:$C$220,2,FALSE)</f>
        <v>Middle income</v>
      </c>
      <c r="J200" s="21" t="s">
        <v>1936</v>
      </c>
      <c r="K200" s="21" t="s">
        <v>39</v>
      </c>
      <c r="L200" s="21" t="s">
        <v>152</v>
      </c>
      <c r="M200" s="21" t="s">
        <v>1937</v>
      </c>
      <c r="N200" s="21" t="s">
        <v>1938</v>
      </c>
      <c r="O200" s="14" t="s">
        <v>365</v>
      </c>
      <c r="P200" s="21" t="s">
        <v>31</v>
      </c>
      <c r="Q200" s="9" t="s">
        <v>32</v>
      </c>
      <c r="R200" s="10" t="s">
        <v>33</v>
      </c>
      <c r="S200" s="25" t="s">
        <v>1935</v>
      </c>
      <c r="T200" s="27">
        <v>31397</v>
      </c>
      <c r="U200" s="25" t="s">
        <v>1936</v>
      </c>
      <c r="V200" s="25" t="s">
        <v>80</v>
      </c>
      <c r="W200" s="25"/>
    </row>
    <row r="201" spans="1:23" ht="22.5" customHeight="1">
      <c r="A201" s="20">
        <v>46049.217256944445</v>
      </c>
      <c r="B201" s="21" t="s">
        <v>1939</v>
      </c>
      <c r="C201" s="38"/>
      <c r="D201" s="21" t="s">
        <v>24</v>
      </c>
      <c r="E201" s="22">
        <v>37378</v>
      </c>
      <c r="F201" s="21" t="s">
        <v>64</v>
      </c>
      <c r="G201" s="21" t="s">
        <v>1940</v>
      </c>
      <c r="H201" s="21" t="s">
        <v>1941</v>
      </c>
      <c r="I201" s="6" t="str">
        <f>VLOOKUP(CLEAN(F201),'World Bank Categories'!$B$4:$C$220,2,FALSE)</f>
        <v>Middle income</v>
      </c>
      <c r="J201" s="21" t="s">
        <v>1942</v>
      </c>
      <c r="K201" s="21" t="s">
        <v>29</v>
      </c>
      <c r="L201" s="21" t="s">
        <v>30</v>
      </c>
      <c r="M201" s="21"/>
      <c r="N201" s="21"/>
      <c r="O201" s="21"/>
      <c r="P201" s="21" t="s">
        <v>31</v>
      </c>
      <c r="Q201" s="9" t="s">
        <v>32</v>
      </c>
      <c r="R201" s="18" t="s">
        <v>33</v>
      </c>
      <c r="S201" s="25" t="s">
        <v>1943</v>
      </c>
      <c r="T201" s="27">
        <v>37378</v>
      </c>
      <c r="U201" s="25" t="s">
        <v>1942</v>
      </c>
      <c r="V201" s="25" t="s">
        <v>154</v>
      </c>
      <c r="W201" s="25"/>
    </row>
    <row r="202" spans="1:23" ht="22.5" customHeight="1">
      <c r="A202" s="20">
        <v>46050.183344907404</v>
      </c>
      <c r="B202" s="21" t="s">
        <v>1956</v>
      </c>
      <c r="C202" s="21" t="s">
        <v>1957</v>
      </c>
      <c r="D202" s="21" t="s">
        <v>24</v>
      </c>
      <c r="E202" s="22">
        <v>30192</v>
      </c>
      <c r="F202" s="21" t="s">
        <v>1958</v>
      </c>
      <c r="G202" s="21" t="s">
        <v>209</v>
      </c>
      <c r="H202" s="21" t="s">
        <v>1959</v>
      </c>
      <c r="I202" s="6" t="str">
        <f>VLOOKUP(CLEAN(F202),'World Bank Categories'!$B$4:$C$220,2,FALSE)</f>
        <v>Middle income</v>
      </c>
      <c r="J202" s="21" t="s">
        <v>1960</v>
      </c>
      <c r="K202" s="21" t="s">
        <v>29</v>
      </c>
      <c r="L202" s="21" t="s">
        <v>30</v>
      </c>
      <c r="M202" s="21"/>
      <c r="N202" s="21"/>
      <c r="O202" s="21"/>
      <c r="P202" s="21" t="s">
        <v>31</v>
      </c>
      <c r="Q202" s="9" t="s">
        <v>32</v>
      </c>
      <c r="R202" s="10" t="s">
        <v>33</v>
      </c>
      <c r="S202" s="25" t="s">
        <v>1961</v>
      </c>
      <c r="T202" s="27">
        <v>30192</v>
      </c>
      <c r="U202" s="25" t="s">
        <v>1960</v>
      </c>
      <c r="V202" s="25" t="s">
        <v>463</v>
      </c>
      <c r="W202" s="25"/>
    </row>
    <row r="203" spans="1:23" ht="22.5" customHeight="1">
      <c r="A203" s="20">
        <v>46050.300057870372</v>
      </c>
      <c r="B203" s="21" t="s">
        <v>1962</v>
      </c>
      <c r="C203" s="38"/>
      <c r="D203" s="21" t="s">
        <v>24</v>
      </c>
      <c r="E203" s="22">
        <v>35839</v>
      </c>
      <c r="F203" s="21" t="s">
        <v>1112</v>
      </c>
      <c r="G203" s="21" t="s">
        <v>1963</v>
      </c>
      <c r="H203" s="21" t="s">
        <v>66</v>
      </c>
      <c r="I203" s="6" t="str">
        <f>VLOOKUP(CLEAN(F203),'World Bank Categories'!$B$4:$C$220,2,FALSE)</f>
        <v>Low income</v>
      </c>
      <c r="J203" s="21" t="s">
        <v>1964</v>
      </c>
      <c r="K203" s="21" t="s">
        <v>29</v>
      </c>
      <c r="L203" s="21" t="s">
        <v>30</v>
      </c>
      <c r="M203" s="21"/>
      <c r="N203" s="21"/>
      <c r="O203" s="21"/>
      <c r="P203" s="21" t="s">
        <v>31</v>
      </c>
      <c r="Q203" s="9" t="s">
        <v>32</v>
      </c>
      <c r="R203" s="18" t="s">
        <v>33</v>
      </c>
      <c r="S203" s="25" t="s">
        <v>1965</v>
      </c>
      <c r="T203" s="27">
        <v>35839</v>
      </c>
      <c r="U203" s="25" t="s">
        <v>1966</v>
      </c>
      <c r="V203" s="25" t="s">
        <v>1967</v>
      </c>
      <c r="W203" s="25"/>
    </row>
    <row r="204" spans="1:23" ht="22.5" customHeight="1">
      <c r="A204" s="20">
        <v>46050.632569444446</v>
      </c>
      <c r="B204" s="21" t="s">
        <v>1974</v>
      </c>
      <c r="C204" s="38"/>
      <c r="D204" s="21" t="s">
        <v>45</v>
      </c>
      <c r="E204" s="22">
        <v>37487</v>
      </c>
      <c r="F204" s="21" t="s">
        <v>227</v>
      </c>
      <c r="G204" s="21" t="s">
        <v>1975</v>
      </c>
      <c r="H204" s="21" t="s">
        <v>368</v>
      </c>
      <c r="I204" s="6" t="str">
        <f>VLOOKUP(CLEAN(F204),'World Bank Categories'!$B$4:$C$220,2,FALSE)</f>
        <v>Middle income</v>
      </c>
      <c r="J204" s="21" t="s">
        <v>1976</v>
      </c>
      <c r="K204" s="21" t="s">
        <v>29</v>
      </c>
      <c r="L204" s="32">
        <v>46202</v>
      </c>
      <c r="M204" s="21"/>
      <c r="N204" s="21"/>
      <c r="O204" s="21"/>
      <c r="P204" s="21" t="s">
        <v>31</v>
      </c>
      <c r="Q204" s="9" t="s">
        <v>32</v>
      </c>
      <c r="R204" s="18" t="s">
        <v>43</v>
      </c>
      <c r="S204" s="25" t="s">
        <v>1974</v>
      </c>
      <c r="T204" s="27">
        <v>37487</v>
      </c>
      <c r="U204" s="25" t="s">
        <v>1976</v>
      </c>
      <c r="V204" s="25" t="s">
        <v>80</v>
      </c>
      <c r="W204" s="25"/>
    </row>
    <row r="205" spans="1:23" ht="22.5" customHeight="1">
      <c r="A205" s="28">
        <v>46051.205057870371</v>
      </c>
      <c r="B205" s="29" t="s">
        <v>1982</v>
      </c>
      <c r="C205" s="45"/>
      <c r="D205" s="29" t="s">
        <v>24</v>
      </c>
      <c r="E205" s="30">
        <v>37090</v>
      </c>
      <c r="F205" s="29" t="s">
        <v>1983</v>
      </c>
      <c r="G205" s="29" t="s">
        <v>1984</v>
      </c>
      <c r="H205" s="29" t="s">
        <v>138</v>
      </c>
      <c r="I205" s="6" t="str">
        <f>VLOOKUP(CLEAN(F205),'World Bank Categories'!$B$4:$C$220,2,FALSE)</f>
        <v>High income</v>
      </c>
      <c r="J205" s="29" t="s">
        <v>1985</v>
      </c>
      <c r="K205" s="29" t="s">
        <v>29</v>
      </c>
      <c r="L205" s="29" t="s">
        <v>30</v>
      </c>
      <c r="M205" s="29"/>
      <c r="N205" s="29"/>
      <c r="O205" s="29"/>
      <c r="P205" s="29" t="s">
        <v>31</v>
      </c>
      <c r="Q205" s="9" t="s">
        <v>32</v>
      </c>
      <c r="R205" s="18" t="s">
        <v>43</v>
      </c>
      <c r="S205" s="25" t="s">
        <v>1986</v>
      </c>
      <c r="T205" s="27">
        <v>37090</v>
      </c>
      <c r="U205" s="25" t="s">
        <v>1985</v>
      </c>
      <c r="V205" s="25" t="s">
        <v>80</v>
      </c>
      <c r="W205" s="25"/>
    </row>
    <row r="206" spans="1:23" ht="22.5" customHeight="1">
      <c r="A206" s="20">
        <v>46051.657500000001</v>
      </c>
      <c r="B206" s="21" t="s">
        <v>1987</v>
      </c>
      <c r="C206" s="21" t="s">
        <v>1988</v>
      </c>
      <c r="D206" s="21" t="s">
        <v>24</v>
      </c>
      <c r="E206" s="22">
        <v>38406</v>
      </c>
      <c r="F206" s="21" t="s">
        <v>1053</v>
      </c>
      <c r="G206" s="21" t="s">
        <v>1989</v>
      </c>
      <c r="H206" s="21" t="s">
        <v>66</v>
      </c>
      <c r="I206" s="6" t="str">
        <f>VLOOKUP(CLEAN(F206),'World Bank Categories'!$B$4:$C$220,2,FALSE)</f>
        <v>High income</v>
      </c>
      <c r="J206" s="21" t="s">
        <v>1990</v>
      </c>
      <c r="K206" s="21" t="s">
        <v>39</v>
      </c>
      <c r="L206" s="21" t="s">
        <v>1991</v>
      </c>
      <c r="M206" s="21"/>
      <c r="N206" s="21"/>
      <c r="O206" s="21"/>
      <c r="P206" s="21" t="s">
        <v>31</v>
      </c>
      <c r="Q206" s="9" t="s">
        <v>32</v>
      </c>
      <c r="R206" s="10" t="s">
        <v>43</v>
      </c>
      <c r="S206" s="25" t="s">
        <v>1987</v>
      </c>
      <c r="T206" s="27">
        <v>38406</v>
      </c>
      <c r="U206" s="25" t="s">
        <v>1990</v>
      </c>
      <c r="V206" s="25" t="s">
        <v>80</v>
      </c>
      <c r="W206" s="25"/>
    </row>
    <row r="207" spans="1:23" ht="22.5" customHeight="1">
      <c r="A207" s="20">
        <v>46051.683333333334</v>
      </c>
      <c r="B207" s="21" t="s">
        <v>1992</v>
      </c>
      <c r="C207" s="21" t="s">
        <v>1993</v>
      </c>
      <c r="D207" s="21" t="s">
        <v>24</v>
      </c>
      <c r="E207" s="22">
        <v>38440</v>
      </c>
      <c r="F207" s="21" t="s">
        <v>1053</v>
      </c>
      <c r="G207" s="21" t="s">
        <v>1994</v>
      </c>
      <c r="H207" s="21" t="s">
        <v>1995</v>
      </c>
      <c r="I207" s="6" t="str">
        <f>VLOOKUP(CLEAN(F207),'World Bank Categories'!$B$4:$C$220,2,FALSE)</f>
        <v>High income</v>
      </c>
      <c r="J207" s="21" t="s">
        <v>1996</v>
      </c>
      <c r="K207" s="21" t="s">
        <v>29</v>
      </c>
      <c r="L207" s="21" t="s">
        <v>30</v>
      </c>
      <c r="M207" s="21"/>
      <c r="N207" s="21"/>
      <c r="O207" s="21"/>
      <c r="P207" s="21" t="s">
        <v>31</v>
      </c>
      <c r="Q207" s="9" t="s">
        <v>32</v>
      </c>
      <c r="R207" s="18" t="s">
        <v>43</v>
      </c>
      <c r="S207" s="25" t="s">
        <v>1997</v>
      </c>
      <c r="T207" s="27">
        <v>38439</v>
      </c>
      <c r="U207" s="25" t="s">
        <v>1996</v>
      </c>
      <c r="V207" s="25" t="s">
        <v>114</v>
      </c>
      <c r="W207" s="25"/>
    </row>
    <row r="208" spans="1:23" ht="22.5" customHeight="1">
      <c r="A208" s="20">
        <v>46051.695625</v>
      </c>
      <c r="B208" s="21" t="s">
        <v>1998</v>
      </c>
      <c r="C208" s="21" t="s">
        <v>1999</v>
      </c>
      <c r="D208" s="21" t="s">
        <v>45</v>
      </c>
      <c r="E208" s="22">
        <v>38279</v>
      </c>
      <c r="F208" s="21" t="s">
        <v>1053</v>
      </c>
      <c r="G208" s="21" t="s">
        <v>2000</v>
      </c>
      <c r="H208" s="21" t="s">
        <v>160</v>
      </c>
      <c r="I208" s="6" t="str">
        <f>VLOOKUP(CLEAN(F208),'World Bank Categories'!$B$4:$C$220,2,FALSE)</f>
        <v>High income</v>
      </c>
      <c r="J208" s="21" t="s">
        <v>2001</v>
      </c>
      <c r="K208" s="21" t="s">
        <v>29</v>
      </c>
      <c r="L208" s="21" t="s">
        <v>30</v>
      </c>
      <c r="M208" s="21"/>
      <c r="N208" s="21"/>
      <c r="O208" s="21"/>
      <c r="P208" s="21" t="s">
        <v>31</v>
      </c>
      <c r="Q208" s="9" t="s">
        <v>32</v>
      </c>
      <c r="R208" s="10" t="s">
        <v>43</v>
      </c>
      <c r="S208" s="25" t="s">
        <v>1998</v>
      </c>
      <c r="T208" s="27">
        <v>38279</v>
      </c>
      <c r="U208" s="25" t="s">
        <v>2001</v>
      </c>
      <c r="V208" s="25" t="s">
        <v>80</v>
      </c>
      <c r="W208" s="25"/>
    </row>
    <row r="209" spans="1:23" ht="22.5" customHeight="1">
      <c r="A209" s="20">
        <v>46051.713055555556</v>
      </c>
      <c r="B209" s="21" t="s">
        <v>2002</v>
      </c>
      <c r="C209" s="21" t="s">
        <v>2003</v>
      </c>
      <c r="D209" s="21" t="s">
        <v>24</v>
      </c>
      <c r="E209" s="22">
        <v>36813</v>
      </c>
      <c r="F209" s="21" t="s">
        <v>1053</v>
      </c>
      <c r="G209" s="21" t="s">
        <v>1258</v>
      </c>
      <c r="H209" s="21" t="s">
        <v>2004</v>
      </c>
      <c r="I209" s="6" t="str">
        <f>VLOOKUP(CLEAN(F209),'World Bank Categories'!$B$4:$C$220,2,FALSE)</f>
        <v>High income</v>
      </c>
      <c r="J209" s="21" t="s">
        <v>2005</v>
      </c>
      <c r="K209" s="21" t="s">
        <v>29</v>
      </c>
      <c r="L209" s="21" t="s">
        <v>30</v>
      </c>
      <c r="M209" s="21"/>
      <c r="N209" s="21"/>
      <c r="O209" s="21"/>
      <c r="P209" s="21" t="s">
        <v>31</v>
      </c>
      <c r="Q209" s="9" t="s">
        <v>32</v>
      </c>
      <c r="R209" s="18" t="s">
        <v>43</v>
      </c>
      <c r="S209" s="25" t="s">
        <v>2002</v>
      </c>
      <c r="T209" s="27">
        <v>36813</v>
      </c>
      <c r="U209" s="25" t="s">
        <v>2005</v>
      </c>
      <c r="V209" s="25" t="s">
        <v>80</v>
      </c>
      <c r="W209" s="25"/>
    </row>
    <row r="210" spans="1:23" ht="22.5" customHeight="1">
      <c r="A210" s="20">
        <v>46051.749722222223</v>
      </c>
      <c r="B210" s="21" t="s">
        <v>2006</v>
      </c>
      <c r="C210" s="21" t="s">
        <v>2007</v>
      </c>
      <c r="D210" s="21" t="s">
        <v>24</v>
      </c>
      <c r="E210" s="22">
        <v>38157</v>
      </c>
      <c r="F210" s="21" t="s">
        <v>1053</v>
      </c>
      <c r="G210" s="21" t="s">
        <v>2008</v>
      </c>
      <c r="H210" s="21" t="s">
        <v>66</v>
      </c>
      <c r="I210" s="6" t="str">
        <f>VLOOKUP(CLEAN(F210),'World Bank Categories'!$B$4:$C$220,2,FALSE)</f>
        <v>High income</v>
      </c>
      <c r="J210" s="21" t="s">
        <v>2009</v>
      </c>
      <c r="K210" s="21" t="s">
        <v>29</v>
      </c>
      <c r="L210" s="21" t="s">
        <v>30</v>
      </c>
      <c r="M210" s="21"/>
      <c r="N210" s="21"/>
      <c r="O210" s="21"/>
      <c r="P210" s="21" t="s">
        <v>31</v>
      </c>
      <c r="Q210" s="9" t="s">
        <v>32</v>
      </c>
      <c r="R210" s="10" t="s">
        <v>43</v>
      </c>
      <c r="S210" s="25" t="s">
        <v>2010</v>
      </c>
      <c r="T210" s="27">
        <v>38157</v>
      </c>
      <c r="U210" s="25" t="s">
        <v>2009</v>
      </c>
      <c r="V210" s="25" t="s">
        <v>80</v>
      </c>
      <c r="W210" s="25"/>
    </row>
    <row r="211" spans="1:23" ht="22.5" customHeight="1">
      <c r="A211" s="20">
        <v>46051.760891203703</v>
      </c>
      <c r="B211" s="21" t="s">
        <v>2011</v>
      </c>
      <c r="C211" s="21" t="s">
        <v>2012</v>
      </c>
      <c r="D211" s="21" t="s">
        <v>24</v>
      </c>
      <c r="E211" s="22">
        <v>37912</v>
      </c>
      <c r="F211" s="21" t="s">
        <v>1053</v>
      </c>
      <c r="G211" s="21" t="s">
        <v>2008</v>
      </c>
      <c r="H211" s="21" t="s">
        <v>2013</v>
      </c>
      <c r="I211" s="6" t="str">
        <f>VLOOKUP(CLEAN(F211),'World Bank Categories'!$B$4:$C$220,2,FALSE)</f>
        <v>High income</v>
      </c>
      <c r="J211" s="21" t="s">
        <v>2014</v>
      </c>
      <c r="K211" s="21" t="s">
        <v>29</v>
      </c>
      <c r="L211" s="21" t="s">
        <v>30</v>
      </c>
      <c r="M211" s="21"/>
      <c r="N211" s="21"/>
      <c r="O211" s="21"/>
      <c r="P211" s="21" t="s">
        <v>31</v>
      </c>
      <c r="Q211" s="9" t="s">
        <v>32</v>
      </c>
      <c r="R211" s="18" t="s">
        <v>43</v>
      </c>
      <c r="S211" s="25" t="s">
        <v>2015</v>
      </c>
      <c r="T211" s="27">
        <v>37912</v>
      </c>
      <c r="U211" s="25" t="s">
        <v>2014</v>
      </c>
      <c r="V211" s="25" t="s">
        <v>80</v>
      </c>
      <c r="W211" s="25"/>
    </row>
    <row r="212" spans="1:23" ht="22.5" customHeight="1">
      <c r="A212" s="5">
        <v>46051.763829930554</v>
      </c>
      <c r="B212" s="6" t="s">
        <v>2016</v>
      </c>
      <c r="C212" s="7"/>
      <c r="D212" s="6" t="s">
        <v>24</v>
      </c>
      <c r="E212" s="8">
        <v>35622</v>
      </c>
      <c r="F212" s="6" t="s">
        <v>58</v>
      </c>
      <c r="G212" s="6" t="s">
        <v>2017</v>
      </c>
      <c r="H212" s="6" t="s">
        <v>2018</v>
      </c>
      <c r="I212" s="6" t="str">
        <f>VLOOKUP(CLEAN(F212),'World Bank Categories'!$B$4:$C$220,2,FALSE)</f>
        <v>Middle income</v>
      </c>
      <c r="J212" s="6" t="s">
        <v>2019</v>
      </c>
      <c r="K212" s="6" t="s">
        <v>39</v>
      </c>
      <c r="L212" s="6" t="s">
        <v>30</v>
      </c>
      <c r="M212" s="7"/>
      <c r="N212" s="6"/>
      <c r="O212" s="6"/>
      <c r="P212" s="6" t="s">
        <v>31</v>
      </c>
      <c r="Q212" s="9" t="s">
        <v>32</v>
      </c>
      <c r="R212" s="10" t="s">
        <v>33</v>
      </c>
      <c r="S212" s="11" t="s">
        <v>2020</v>
      </c>
      <c r="T212" s="12"/>
      <c r="U212" s="12"/>
      <c r="V212" s="12"/>
      <c r="W212" s="12"/>
    </row>
    <row r="213" spans="1:23" ht="22.5" customHeight="1">
      <c r="A213" s="20">
        <v>46051.773541666669</v>
      </c>
      <c r="B213" s="21" t="s">
        <v>2021</v>
      </c>
      <c r="C213" s="21" t="s">
        <v>2022</v>
      </c>
      <c r="D213" s="21" t="s">
        <v>45</v>
      </c>
      <c r="E213" s="22">
        <v>30047</v>
      </c>
      <c r="F213" s="21" t="s">
        <v>1053</v>
      </c>
      <c r="G213" s="21" t="s">
        <v>2023</v>
      </c>
      <c r="H213" s="21" t="s">
        <v>2024</v>
      </c>
      <c r="I213" s="6" t="str">
        <f>VLOOKUP(CLEAN(F213),'World Bank Categories'!$B$4:$C$220,2,FALSE)</f>
        <v>High income</v>
      </c>
      <c r="J213" s="21" t="s">
        <v>2025</v>
      </c>
      <c r="K213" s="21" t="s">
        <v>29</v>
      </c>
      <c r="L213" s="21" t="s">
        <v>30</v>
      </c>
      <c r="M213" s="21"/>
      <c r="N213" s="21"/>
      <c r="O213" s="21"/>
      <c r="P213" s="21" t="s">
        <v>31</v>
      </c>
      <c r="Q213" s="9" t="s">
        <v>32</v>
      </c>
      <c r="R213" s="18" t="s">
        <v>43</v>
      </c>
      <c r="S213" s="25" t="s">
        <v>2021</v>
      </c>
      <c r="T213" s="27">
        <v>30047</v>
      </c>
      <c r="U213" s="25" t="s">
        <v>2025</v>
      </c>
      <c r="V213" s="25" t="s">
        <v>80</v>
      </c>
      <c r="W213" s="25"/>
    </row>
    <row r="214" spans="1:23" ht="22.5" customHeight="1">
      <c r="A214" s="20">
        <v>46051.834907407407</v>
      </c>
      <c r="B214" s="21" t="s">
        <v>2028</v>
      </c>
      <c r="C214" s="21" t="s">
        <v>2029</v>
      </c>
      <c r="D214" s="21" t="s">
        <v>24</v>
      </c>
      <c r="E214" s="22">
        <v>38121</v>
      </c>
      <c r="F214" s="21" t="s">
        <v>1053</v>
      </c>
      <c r="G214" s="21" t="s">
        <v>2030</v>
      </c>
      <c r="H214" s="21" t="s">
        <v>66</v>
      </c>
      <c r="I214" s="6" t="str">
        <f>VLOOKUP(CLEAN(F214),'World Bank Categories'!$B$4:$C$220,2,FALSE)</f>
        <v>High income</v>
      </c>
      <c r="J214" s="21" t="s">
        <v>2031</v>
      </c>
      <c r="K214" s="21" t="s">
        <v>29</v>
      </c>
      <c r="L214" s="21" t="s">
        <v>30</v>
      </c>
      <c r="M214" s="21"/>
      <c r="N214" s="21"/>
      <c r="O214" s="21"/>
      <c r="P214" s="21" t="s">
        <v>31</v>
      </c>
      <c r="Q214" s="9" t="s">
        <v>32</v>
      </c>
      <c r="R214" s="18" t="s">
        <v>43</v>
      </c>
      <c r="S214" s="25" t="s">
        <v>2028</v>
      </c>
      <c r="T214" s="27">
        <v>38121</v>
      </c>
      <c r="U214" s="25" t="s">
        <v>2031</v>
      </c>
      <c r="V214" s="25" t="s">
        <v>80</v>
      </c>
      <c r="W214" s="25"/>
    </row>
    <row r="215" spans="1:23" ht="22.5" customHeight="1">
      <c r="A215" s="20">
        <v>46052.001377314817</v>
      </c>
      <c r="B215" s="21" t="s">
        <v>2032</v>
      </c>
      <c r="C215" s="38"/>
      <c r="D215" s="21" t="s">
        <v>45</v>
      </c>
      <c r="E215" s="22">
        <v>31681</v>
      </c>
      <c r="F215" s="21" t="s">
        <v>1932</v>
      </c>
      <c r="G215" s="21" t="s">
        <v>2033</v>
      </c>
      <c r="H215" s="21" t="s">
        <v>111</v>
      </c>
      <c r="I215" s="6" t="str">
        <f>VLOOKUP(CLEAN(F215),'World Bank Categories'!$B$4:$C$220,2,FALSE)</f>
        <v>Middle income</v>
      </c>
      <c r="J215" s="21" t="s">
        <v>2034</v>
      </c>
      <c r="K215" s="21" t="s">
        <v>39</v>
      </c>
      <c r="L215" s="21" t="s">
        <v>621</v>
      </c>
      <c r="M215" s="41"/>
      <c r="N215" s="21"/>
      <c r="O215" s="21"/>
      <c r="P215" s="21" t="s">
        <v>31</v>
      </c>
      <c r="Q215" s="9" t="s">
        <v>32</v>
      </c>
      <c r="R215" s="10" t="s">
        <v>33</v>
      </c>
      <c r="S215" s="25" t="s">
        <v>2035</v>
      </c>
      <c r="T215" s="27">
        <v>31316</v>
      </c>
      <c r="U215" s="25" t="s">
        <v>2034</v>
      </c>
      <c r="V215" s="25" t="s">
        <v>236</v>
      </c>
      <c r="W215" s="25"/>
    </row>
    <row r="216" spans="1:23" ht="22.5" customHeight="1">
      <c r="A216" s="46">
        <v>46052.021180555559</v>
      </c>
      <c r="B216" s="47" t="s">
        <v>2036</v>
      </c>
      <c r="C216" s="47" t="s">
        <v>2037</v>
      </c>
      <c r="D216" s="47" t="s">
        <v>45</v>
      </c>
      <c r="E216" s="49">
        <v>38244</v>
      </c>
      <c r="F216" s="47" t="s">
        <v>1053</v>
      </c>
      <c r="G216" s="47" t="s">
        <v>2038</v>
      </c>
      <c r="H216" s="47" t="s">
        <v>2039</v>
      </c>
      <c r="I216" s="6" t="str">
        <f>VLOOKUP(CLEAN(F216),'World Bank Categories'!$B$4:$C$220,2,FALSE)</f>
        <v>High income</v>
      </c>
      <c r="J216" s="47" t="s">
        <v>2040</v>
      </c>
      <c r="K216" s="47" t="s">
        <v>29</v>
      </c>
      <c r="L216" s="47" t="s">
        <v>162</v>
      </c>
      <c r="M216" s="47"/>
      <c r="N216" s="47"/>
      <c r="O216" s="47"/>
      <c r="P216" s="47" t="s">
        <v>31</v>
      </c>
      <c r="Q216" s="9" t="s">
        <v>32</v>
      </c>
      <c r="R216" s="18" t="s">
        <v>43</v>
      </c>
      <c r="S216" s="25" t="s">
        <v>2041</v>
      </c>
      <c r="T216" s="27">
        <v>38244</v>
      </c>
      <c r="U216" s="25" t="s">
        <v>2040</v>
      </c>
      <c r="V216" s="25" t="s">
        <v>154</v>
      </c>
      <c r="W216" s="25"/>
    </row>
    <row r="217" spans="1:23" ht="22.5" customHeight="1">
      <c r="A217" s="13">
        <v>46052.178642314815</v>
      </c>
      <c r="B217" s="14" t="s">
        <v>2042</v>
      </c>
      <c r="C217" s="15"/>
      <c r="D217" s="14" t="s">
        <v>45</v>
      </c>
      <c r="E217" s="16">
        <v>29271</v>
      </c>
      <c r="F217" s="14" t="s">
        <v>232</v>
      </c>
      <c r="G217" s="14" t="s">
        <v>648</v>
      </c>
      <c r="H217" s="14" t="s">
        <v>186</v>
      </c>
      <c r="I217" s="6" t="str">
        <f>VLOOKUP(CLEAN(F217),'World Bank Categories'!$B$4:$C$220,2,FALSE)</f>
        <v>Middle income</v>
      </c>
      <c r="J217" s="14" t="s">
        <v>2043</v>
      </c>
      <c r="K217" s="14" t="s">
        <v>29</v>
      </c>
      <c r="L217" s="14" t="s">
        <v>162</v>
      </c>
      <c r="M217" s="14" t="s">
        <v>2044</v>
      </c>
      <c r="N217" s="6" t="s">
        <v>2045</v>
      </c>
      <c r="O217" s="14" t="s">
        <v>2046</v>
      </c>
      <c r="P217" s="14" t="s">
        <v>31</v>
      </c>
      <c r="Q217" s="9" t="s">
        <v>32</v>
      </c>
      <c r="R217" s="18" t="s">
        <v>43</v>
      </c>
      <c r="S217" s="19" t="s">
        <v>2042</v>
      </c>
      <c r="T217" s="12"/>
      <c r="U217" s="12"/>
      <c r="V217" s="12"/>
      <c r="W217" s="12"/>
    </row>
    <row r="218" spans="1:23" ht="22.5" customHeight="1">
      <c r="A218" s="20">
        <v>46052.660381944443</v>
      </c>
      <c r="B218" s="21" t="s">
        <v>2052</v>
      </c>
      <c r="C218" s="38"/>
      <c r="D218" s="21" t="s">
        <v>45</v>
      </c>
      <c r="E218" s="22">
        <v>33592</v>
      </c>
      <c r="F218" s="21" t="s">
        <v>2053</v>
      </c>
      <c r="G218" s="21" t="s">
        <v>2054</v>
      </c>
      <c r="H218" s="21" t="s">
        <v>2055</v>
      </c>
      <c r="I218" s="6" t="str">
        <f>VLOOKUP(CLEAN(F218),'World Bank Categories'!$B$4:$C$220,2,FALSE)</f>
        <v>Middle income</v>
      </c>
      <c r="J218" s="21" t="s">
        <v>2056</v>
      </c>
      <c r="K218" s="21" t="s">
        <v>29</v>
      </c>
      <c r="L218" s="21" t="s">
        <v>30</v>
      </c>
      <c r="M218" s="21"/>
      <c r="N218" s="21"/>
      <c r="O218" s="21"/>
      <c r="P218" s="21" t="s">
        <v>31</v>
      </c>
      <c r="Q218" s="9" t="s">
        <v>32</v>
      </c>
      <c r="R218" s="18" t="s">
        <v>43</v>
      </c>
      <c r="S218" s="25" t="s">
        <v>2052</v>
      </c>
      <c r="T218" s="27">
        <v>33592</v>
      </c>
      <c r="U218" s="25" t="s">
        <v>2056</v>
      </c>
      <c r="V218" s="25" t="s">
        <v>80</v>
      </c>
      <c r="W218" s="25"/>
    </row>
    <row r="219" spans="1:23" ht="22.5" customHeight="1">
      <c r="A219" s="20">
        <v>46052.886030092595</v>
      </c>
      <c r="B219" s="21" t="s">
        <v>2061</v>
      </c>
      <c r="C219" s="21" t="s">
        <v>2062</v>
      </c>
      <c r="D219" s="21" t="s">
        <v>24</v>
      </c>
      <c r="E219" s="22">
        <v>38231</v>
      </c>
      <c r="F219" s="21" t="s">
        <v>1053</v>
      </c>
      <c r="G219" s="21" t="s">
        <v>2063</v>
      </c>
      <c r="H219" s="21" t="s">
        <v>66</v>
      </c>
      <c r="I219" s="6" t="str">
        <f>VLOOKUP(CLEAN(F219),'World Bank Categories'!$B$4:$C$220,2,FALSE)</f>
        <v>High income</v>
      </c>
      <c r="J219" s="21" t="s">
        <v>2064</v>
      </c>
      <c r="K219" s="21" t="s">
        <v>29</v>
      </c>
      <c r="L219" s="21" t="s">
        <v>30</v>
      </c>
      <c r="M219" s="21"/>
      <c r="N219" s="21"/>
      <c r="O219" s="21"/>
      <c r="P219" s="21" t="s">
        <v>31</v>
      </c>
      <c r="Q219" s="9" t="s">
        <v>32</v>
      </c>
      <c r="R219" s="10" t="s">
        <v>43</v>
      </c>
      <c r="S219" s="25" t="s">
        <v>2061</v>
      </c>
      <c r="T219" s="27">
        <v>38231</v>
      </c>
      <c r="U219" s="25" t="s">
        <v>2064</v>
      </c>
      <c r="V219" s="25" t="s">
        <v>80</v>
      </c>
      <c r="W219" s="25"/>
    </row>
    <row r="220" spans="1:23" ht="22.5" customHeight="1">
      <c r="A220" s="20">
        <v>46052.905624999999</v>
      </c>
      <c r="B220" s="21" t="s">
        <v>2065</v>
      </c>
      <c r="C220" s="38"/>
      <c r="D220" s="21" t="s">
        <v>45</v>
      </c>
      <c r="E220" s="22">
        <v>28783</v>
      </c>
      <c r="F220" s="21" t="s">
        <v>2066</v>
      </c>
      <c r="G220" s="21" t="s">
        <v>2067</v>
      </c>
      <c r="H220" s="21" t="s">
        <v>2068</v>
      </c>
      <c r="I220" s="6" t="str">
        <f>VLOOKUP(CLEAN(F220),'World Bank Categories'!$B$4:$C$220,2,FALSE)</f>
        <v>High income</v>
      </c>
      <c r="J220" s="21" t="s">
        <v>2069</v>
      </c>
      <c r="K220" s="21" t="s">
        <v>29</v>
      </c>
      <c r="L220" s="21" t="s">
        <v>30</v>
      </c>
      <c r="M220" s="21"/>
      <c r="N220" s="21"/>
      <c r="O220" s="21"/>
      <c r="P220" s="21" t="s">
        <v>31</v>
      </c>
      <c r="Q220" s="9" t="s">
        <v>32</v>
      </c>
      <c r="R220" s="18" t="s">
        <v>33</v>
      </c>
      <c r="S220" s="25" t="s">
        <v>2065</v>
      </c>
      <c r="T220" s="27">
        <v>28783</v>
      </c>
      <c r="U220" s="25" t="s">
        <v>2069</v>
      </c>
      <c r="V220" s="25" t="s">
        <v>80</v>
      </c>
      <c r="W220" s="25"/>
    </row>
    <row r="221" spans="1:23" ht="22.5" customHeight="1">
      <c r="A221" s="20">
        <v>46052.908622685187</v>
      </c>
      <c r="B221" s="21" t="s">
        <v>2077</v>
      </c>
      <c r="C221" s="21" t="s">
        <v>2078</v>
      </c>
      <c r="D221" s="21" t="s">
        <v>24</v>
      </c>
      <c r="E221" s="22">
        <v>37775</v>
      </c>
      <c r="F221" s="21" t="s">
        <v>1053</v>
      </c>
      <c r="G221" s="21" t="s">
        <v>2063</v>
      </c>
      <c r="H221" s="21" t="s">
        <v>2079</v>
      </c>
      <c r="I221" s="6" t="str">
        <f>VLOOKUP(CLEAN(F221),'World Bank Categories'!$B$4:$C$220,2,FALSE)</f>
        <v>High income</v>
      </c>
      <c r="J221" s="21" t="s">
        <v>2080</v>
      </c>
      <c r="K221" s="21" t="s">
        <v>29</v>
      </c>
      <c r="L221" s="21" t="s">
        <v>30</v>
      </c>
      <c r="M221" s="41"/>
      <c r="N221" s="21"/>
      <c r="O221" s="21"/>
      <c r="P221" s="21" t="s">
        <v>31</v>
      </c>
      <c r="Q221" s="9" t="s">
        <v>32</v>
      </c>
      <c r="R221" s="18" t="s">
        <v>43</v>
      </c>
      <c r="S221" s="25" t="s">
        <v>2081</v>
      </c>
      <c r="T221" s="27">
        <v>37775</v>
      </c>
      <c r="U221" s="25" t="s">
        <v>2080</v>
      </c>
      <c r="V221" s="25" t="s">
        <v>154</v>
      </c>
      <c r="W221" s="25"/>
    </row>
    <row r="222" spans="1:23" ht="22.5" customHeight="1">
      <c r="A222" s="20">
        <v>46052.942743055559</v>
      </c>
      <c r="B222" s="21" t="s">
        <v>2082</v>
      </c>
      <c r="C222" s="21" t="s">
        <v>2083</v>
      </c>
      <c r="D222" s="21" t="s">
        <v>45</v>
      </c>
      <c r="E222" s="22">
        <v>37230</v>
      </c>
      <c r="F222" s="21" t="s">
        <v>1053</v>
      </c>
      <c r="G222" s="21" t="s">
        <v>2084</v>
      </c>
      <c r="H222" s="21" t="s">
        <v>66</v>
      </c>
      <c r="I222" s="6" t="str">
        <f>VLOOKUP(CLEAN(F222),'World Bank Categories'!$B$4:$C$220,2,FALSE)</f>
        <v>High income</v>
      </c>
      <c r="J222" s="21" t="s">
        <v>2085</v>
      </c>
      <c r="K222" s="21" t="s">
        <v>29</v>
      </c>
      <c r="L222" s="21" t="s">
        <v>30</v>
      </c>
      <c r="M222" s="21"/>
      <c r="N222" s="21"/>
      <c r="O222" s="21"/>
      <c r="P222" s="21" t="s">
        <v>31</v>
      </c>
      <c r="Q222" s="9" t="s">
        <v>32</v>
      </c>
      <c r="R222" s="10" t="s">
        <v>43</v>
      </c>
      <c r="S222" s="25" t="s">
        <v>2086</v>
      </c>
      <c r="T222" s="27">
        <v>37230</v>
      </c>
      <c r="U222" s="25" t="s">
        <v>2085</v>
      </c>
      <c r="V222" s="25" t="s">
        <v>154</v>
      </c>
      <c r="W222" s="25"/>
    </row>
    <row r="223" spans="1:23" ht="22.5" customHeight="1">
      <c r="A223" s="20">
        <v>46052.955891203703</v>
      </c>
      <c r="B223" s="21" t="s">
        <v>2087</v>
      </c>
      <c r="C223" s="21" t="s">
        <v>2088</v>
      </c>
      <c r="D223" s="21" t="s">
        <v>24</v>
      </c>
      <c r="E223" s="22">
        <v>38616</v>
      </c>
      <c r="F223" s="21" t="s">
        <v>1053</v>
      </c>
      <c r="G223" s="21" t="s">
        <v>2089</v>
      </c>
      <c r="H223" s="21" t="s">
        <v>66</v>
      </c>
      <c r="I223" s="6" t="str">
        <f>VLOOKUP(CLEAN(F223),'World Bank Categories'!$B$4:$C$220,2,FALSE)</f>
        <v>High income</v>
      </c>
      <c r="J223" s="21" t="s">
        <v>2090</v>
      </c>
      <c r="K223" s="21" t="s">
        <v>29</v>
      </c>
      <c r="L223" s="21" t="s">
        <v>30</v>
      </c>
      <c r="M223" s="21"/>
      <c r="N223" s="21"/>
      <c r="O223" s="21"/>
      <c r="P223" s="21" t="s">
        <v>31</v>
      </c>
      <c r="Q223" s="9" t="s">
        <v>32</v>
      </c>
      <c r="R223" s="18" t="s">
        <v>43</v>
      </c>
      <c r="S223" s="25" t="s">
        <v>2091</v>
      </c>
      <c r="T223" s="27">
        <v>38616</v>
      </c>
      <c r="U223" s="25" t="s">
        <v>2090</v>
      </c>
      <c r="V223" s="25" t="s">
        <v>80</v>
      </c>
      <c r="W223" s="25"/>
    </row>
    <row r="224" spans="1:23" ht="22.5" customHeight="1">
      <c r="A224" s="20">
        <v>46052.968506944446</v>
      </c>
      <c r="B224" s="21" t="s">
        <v>2100</v>
      </c>
      <c r="C224" s="21" t="s">
        <v>2101</v>
      </c>
      <c r="D224" s="21" t="s">
        <v>24</v>
      </c>
      <c r="E224" s="22">
        <v>37548</v>
      </c>
      <c r="F224" s="21" t="s">
        <v>1053</v>
      </c>
      <c r="G224" s="21" t="s">
        <v>2102</v>
      </c>
      <c r="H224" s="21" t="s">
        <v>2103</v>
      </c>
      <c r="I224" s="6" t="str">
        <f>VLOOKUP(CLEAN(F224),'World Bank Categories'!$B$4:$C$220,2,FALSE)</f>
        <v>High income</v>
      </c>
      <c r="J224" s="21" t="s">
        <v>2104</v>
      </c>
      <c r="K224" s="21" t="s">
        <v>29</v>
      </c>
      <c r="L224" s="21" t="s">
        <v>162</v>
      </c>
      <c r="M224" s="21"/>
      <c r="N224" s="21"/>
      <c r="O224" s="21"/>
      <c r="P224" s="21" t="s">
        <v>31</v>
      </c>
      <c r="Q224" s="9" t="s">
        <v>32</v>
      </c>
      <c r="R224" s="18" t="s">
        <v>43</v>
      </c>
      <c r="S224" s="25" t="s">
        <v>2105</v>
      </c>
      <c r="T224" s="27">
        <v>37548</v>
      </c>
      <c r="U224" s="25" t="s">
        <v>2104</v>
      </c>
      <c r="V224" s="25" t="s">
        <v>154</v>
      </c>
      <c r="W224" s="25"/>
    </row>
    <row r="225" spans="1:23" ht="22.5" customHeight="1">
      <c r="A225" s="20">
        <v>46053.112071759257</v>
      </c>
      <c r="B225" s="21" t="s">
        <v>2106</v>
      </c>
      <c r="C225" s="38"/>
      <c r="D225" s="21" t="s">
        <v>45</v>
      </c>
      <c r="E225" s="22">
        <v>32247</v>
      </c>
      <c r="F225" s="21" t="s">
        <v>1387</v>
      </c>
      <c r="G225" s="21" t="s">
        <v>2107</v>
      </c>
      <c r="H225" s="21" t="s">
        <v>90</v>
      </c>
      <c r="I225" s="6" t="str">
        <f>VLOOKUP(CLEAN(F225),'World Bank Categories'!$B$4:$C$220,2,FALSE)</f>
        <v>Middle income</v>
      </c>
      <c r="J225" s="21" t="s">
        <v>2108</v>
      </c>
      <c r="K225" s="21" t="s">
        <v>29</v>
      </c>
      <c r="L225" s="21" t="s">
        <v>30</v>
      </c>
      <c r="M225" s="21"/>
      <c r="N225" s="21"/>
      <c r="O225" s="21"/>
      <c r="P225" s="21" t="s">
        <v>31</v>
      </c>
      <c r="Q225" s="9" t="s">
        <v>32</v>
      </c>
      <c r="R225" s="10" t="s">
        <v>33</v>
      </c>
      <c r="S225" s="25" t="s">
        <v>2106</v>
      </c>
      <c r="T225" s="27">
        <v>32247</v>
      </c>
      <c r="U225" s="25" t="s">
        <v>2108</v>
      </c>
      <c r="V225" s="25" t="s">
        <v>80</v>
      </c>
      <c r="W225" s="25"/>
    </row>
    <row r="226" spans="1:23" ht="22.5" customHeight="1">
      <c r="A226" s="20">
        <v>46053.123240740744</v>
      </c>
      <c r="B226" s="21" t="s">
        <v>2113</v>
      </c>
      <c r="C226" s="38"/>
      <c r="D226" s="21" t="s">
        <v>24</v>
      </c>
      <c r="E226" s="22">
        <v>34897</v>
      </c>
      <c r="F226" s="21" t="s">
        <v>2114</v>
      </c>
      <c r="G226" s="21" t="s">
        <v>2115</v>
      </c>
      <c r="H226" s="21" t="s">
        <v>2116</v>
      </c>
      <c r="I226" s="6" t="str">
        <f>VLOOKUP(CLEAN(F226),'World Bank Categories'!$B$4:$C$220,2,FALSE)</f>
        <v>Middle income</v>
      </c>
      <c r="J226" s="21" t="s">
        <v>2117</v>
      </c>
      <c r="K226" s="21" t="s">
        <v>39</v>
      </c>
      <c r="L226" s="21" t="s">
        <v>30</v>
      </c>
      <c r="M226" s="21"/>
      <c r="N226" s="21"/>
      <c r="O226" s="21"/>
      <c r="P226" s="21" t="s">
        <v>31</v>
      </c>
      <c r="Q226" s="9" t="s">
        <v>32</v>
      </c>
      <c r="R226" s="10" t="s">
        <v>33</v>
      </c>
      <c r="S226" s="25" t="s">
        <v>2118</v>
      </c>
      <c r="T226" s="27">
        <v>34897</v>
      </c>
      <c r="U226" s="25" t="s">
        <v>2117</v>
      </c>
      <c r="V226" s="25" t="s">
        <v>80</v>
      </c>
      <c r="W226" s="25"/>
    </row>
    <row r="227" spans="1:23" ht="22.5" customHeight="1">
      <c r="A227" s="20">
        <v>46053.191458333335</v>
      </c>
      <c r="B227" s="21" t="s">
        <v>2124</v>
      </c>
      <c r="C227" s="38"/>
      <c r="D227" s="21" t="s">
        <v>45</v>
      </c>
      <c r="E227" s="22">
        <v>26066</v>
      </c>
      <c r="F227" s="21" t="s">
        <v>198</v>
      </c>
      <c r="G227" s="21" t="s">
        <v>2125</v>
      </c>
      <c r="H227" s="21" t="s">
        <v>933</v>
      </c>
      <c r="I227" s="6" t="str">
        <f>VLOOKUP(CLEAN(F227),'World Bank Categories'!$B$4:$C$220,2,FALSE)</f>
        <v>Middle income</v>
      </c>
      <c r="J227" s="21" t="s">
        <v>2126</v>
      </c>
      <c r="K227" s="21" t="s">
        <v>39</v>
      </c>
      <c r="L227" s="21" t="s">
        <v>621</v>
      </c>
      <c r="M227" s="21" t="s">
        <v>2127</v>
      </c>
      <c r="N227" s="21"/>
      <c r="O227" s="21"/>
      <c r="P227" s="21" t="s">
        <v>31</v>
      </c>
      <c r="Q227" s="9" t="s">
        <v>32</v>
      </c>
      <c r="R227" s="10" t="s">
        <v>43</v>
      </c>
      <c r="S227" s="25" t="s">
        <v>2128</v>
      </c>
      <c r="T227" s="27">
        <v>26066</v>
      </c>
      <c r="U227" s="25" t="s">
        <v>2126</v>
      </c>
      <c r="V227" s="25" t="s">
        <v>80</v>
      </c>
      <c r="W227" s="25"/>
    </row>
    <row r="228" spans="1:23" ht="22.5" customHeight="1">
      <c r="A228" s="20">
        <v>46053.413263888891</v>
      </c>
      <c r="B228" s="21" t="s">
        <v>2133</v>
      </c>
      <c r="C228" s="21" t="s">
        <v>2134</v>
      </c>
      <c r="D228" s="21" t="s">
        <v>45</v>
      </c>
      <c r="E228" s="22">
        <v>35811</v>
      </c>
      <c r="F228" s="21" t="s">
        <v>1053</v>
      </c>
      <c r="G228" s="21" t="s">
        <v>2135</v>
      </c>
      <c r="H228" s="21" t="s">
        <v>2136</v>
      </c>
      <c r="I228" s="6" t="str">
        <f>VLOOKUP(CLEAN(F228),'World Bank Categories'!$B$4:$C$220,2,FALSE)</f>
        <v>High income</v>
      </c>
      <c r="J228" s="21" t="s">
        <v>2137</v>
      </c>
      <c r="K228" s="21" t="s">
        <v>29</v>
      </c>
      <c r="L228" s="21" t="s">
        <v>30</v>
      </c>
      <c r="M228" s="41"/>
      <c r="N228" s="21"/>
      <c r="O228" s="21"/>
      <c r="P228" s="21" t="s">
        <v>31</v>
      </c>
      <c r="Q228" s="9" t="s">
        <v>32</v>
      </c>
      <c r="R228" s="10" t="s">
        <v>43</v>
      </c>
      <c r="S228" s="25" t="s">
        <v>2133</v>
      </c>
      <c r="T228" s="27">
        <v>35811</v>
      </c>
      <c r="U228" s="25" t="s">
        <v>2137</v>
      </c>
      <c r="V228" s="25" t="s">
        <v>80</v>
      </c>
      <c r="W228" s="25"/>
    </row>
    <row r="229" spans="1:23" ht="22.5" customHeight="1">
      <c r="A229" s="20">
        <v>46053.440127314818</v>
      </c>
      <c r="B229" s="21" t="s">
        <v>2138</v>
      </c>
      <c r="C229" s="38"/>
      <c r="D229" s="21" t="s">
        <v>45</v>
      </c>
      <c r="E229" s="22">
        <v>29980</v>
      </c>
      <c r="F229" s="21" t="s">
        <v>2139</v>
      </c>
      <c r="G229" s="21" t="s">
        <v>2140</v>
      </c>
      <c r="H229" s="21" t="s">
        <v>2141</v>
      </c>
      <c r="I229" s="6" t="e">
        <f>VLOOKUP(CLEAN(F229),'World Bank Categories'!$B$4:$C$220,2,FALSE)</f>
        <v>#N/A</v>
      </c>
      <c r="J229" s="21" t="s">
        <v>2142</v>
      </c>
      <c r="K229" s="21" t="s">
        <v>29</v>
      </c>
      <c r="L229" s="21" t="s">
        <v>524</v>
      </c>
      <c r="M229" s="21"/>
      <c r="N229" s="21"/>
      <c r="O229" s="21"/>
      <c r="P229" s="21" t="s">
        <v>31</v>
      </c>
      <c r="Q229" s="9" t="s">
        <v>32</v>
      </c>
      <c r="R229" s="18" t="s">
        <v>33</v>
      </c>
      <c r="S229" s="25" t="s">
        <v>2138</v>
      </c>
      <c r="T229" s="27">
        <v>29980</v>
      </c>
      <c r="U229" s="25" t="s">
        <v>2142</v>
      </c>
      <c r="V229" s="25" t="s">
        <v>80</v>
      </c>
      <c r="W229" s="25"/>
    </row>
    <row r="230" spans="1:23" ht="22.5" customHeight="1">
      <c r="A230" s="20">
        <v>46053.442442129628</v>
      </c>
      <c r="B230" s="21" t="s">
        <v>2143</v>
      </c>
      <c r="C230" s="21" t="s">
        <v>2144</v>
      </c>
      <c r="D230" s="21" t="s">
        <v>24</v>
      </c>
      <c r="E230" s="22">
        <v>34618</v>
      </c>
      <c r="F230" s="21" t="s">
        <v>1053</v>
      </c>
      <c r="G230" s="21" t="s">
        <v>2145</v>
      </c>
      <c r="H230" s="21" t="s">
        <v>2146</v>
      </c>
      <c r="I230" s="6" t="str">
        <f>VLOOKUP(CLEAN(F230),'World Bank Categories'!$B$4:$C$220,2,FALSE)</f>
        <v>High income</v>
      </c>
      <c r="J230" s="21" t="s">
        <v>2147</v>
      </c>
      <c r="K230" s="21" t="s">
        <v>39</v>
      </c>
      <c r="L230" s="21" t="s">
        <v>621</v>
      </c>
      <c r="M230" s="21"/>
      <c r="N230" s="21"/>
      <c r="O230" s="21"/>
      <c r="P230" s="21" t="s">
        <v>31</v>
      </c>
      <c r="Q230" s="9" t="s">
        <v>32</v>
      </c>
      <c r="R230" s="10" t="s">
        <v>43</v>
      </c>
      <c r="S230" s="25" t="s">
        <v>2143</v>
      </c>
      <c r="T230" s="27">
        <v>34618</v>
      </c>
      <c r="U230" s="25" t="s">
        <v>2147</v>
      </c>
      <c r="V230" s="25" t="s">
        <v>80</v>
      </c>
      <c r="W230" s="25"/>
    </row>
    <row r="231" spans="1:23" ht="22.5" customHeight="1">
      <c r="A231" s="20">
        <v>46053.45</v>
      </c>
      <c r="B231" s="21" t="s">
        <v>2148</v>
      </c>
      <c r="C231" s="21" t="s">
        <v>2149</v>
      </c>
      <c r="D231" s="21" t="s">
        <v>45</v>
      </c>
      <c r="E231" s="22">
        <v>36814</v>
      </c>
      <c r="F231" s="21" t="s">
        <v>1053</v>
      </c>
      <c r="G231" s="21" t="s">
        <v>2150</v>
      </c>
      <c r="H231" s="21" t="s">
        <v>66</v>
      </c>
      <c r="I231" s="6" t="str">
        <f>VLOOKUP(CLEAN(F231),'World Bank Categories'!$B$4:$C$220,2,FALSE)</f>
        <v>High income</v>
      </c>
      <c r="J231" s="21" t="s">
        <v>2151</v>
      </c>
      <c r="K231" s="21" t="s">
        <v>29</v>
      </c>
      <c r="L231" s="21" t="s">
        <v>30</v>
      </c>
      <c r="M231" s="21"/>
      <c r="N231" s="21"/>
      <c r="O231" s="21"/>
      <c r="P231" s="21" t="s">
        <v>31</v>
      </c>
      <c r="Q231" s="9" t="s">
        <v>32</v>
      </c>
      <c r="R231" s="18" t="s">
        <v>43</v>
      </c>
      <c r="S231" s="25" t="s">
        <v>2152</v>
      </c>
      <c r="T231" s="27">
        <v>36814</v>
      </c>
      <c r="U231" s="25" t="s">
        <v>2151</v>
      </c>
      <c r="V231" s="25" t="s">
        <v>80</v>
      </c>
      <c r="W231" s="25"/>
    </row>
    <row r="232" spans="1:23" ht="22.5" customHeight="1">
      <c r="A232" s="20">
        <v>46053.453703703701</v>
      </c>
      <c r="B232" s="21" t="s">
        <v>2153</v>
      </c>
      <c r="C232" s="38"/>
      <c r="D232" s="21" t="s">
        <v>45</v>
      </c>
      <c r="E232" s="22">
        <v>28108</v>
      </c>
      <c r="F232" s="21" t="s">
        <v>2154</v>
      </c>
      <c r="G232" s="21" t="s">
        <v>2155</v>
      </c>
      <c r="H232" s="21" t="s">
        <v>111</v>
      </c>
      <c r="I232" s="6" t="str">
        <f>VLOOKUP(CLEAN(F232),'World Bank Categories'!$B$4:$C$220,2,FALSE)</f>
        <v>Middle income</v>
      </c>
      <c r="J232" s="21" t="s">
        <v>2156</v>
      </c>
      <c r="K232" s="21" t="s">
        <v>29</v>
      </c>
      <c r="L232" s="21" t="s">
        <v>30</v>
      </c>
      <c r="M232" s="21"/>
      <c r="N232" s="21"/>
      <c r="O232" s="21"/>
      <c r="P232" s="21" t="s">
        <v>31</v>
      </c>
      <c r="Q232" s="9" t="s">
        <v>32</v>
      </c>
      <c r="R232" s="10" t="s">
        <v>33</v>
      </c>
      <c r="S232" s="25" t="s">
        <v>2153</v>
      </c>
      <c r="T232" s="27">
        <v>28108</v>
      </c>
      <c r="U232" s="25" t="s">
        <v>2156</v>
      </c>
      <c r="V232" s="25" t="s">
        <v>80</v>
      </c>
      <c r="W232" s="25"/>
    </row>
    <row r="233" spans="1:23" ht="22.5" customHeight="1">
      <c r="A233" s="20">
        <v>46053.615833333337</v>
      </c>
      <c r="B233" s="21" t="s">
        <v>2157</v>
      </c>
      <c r="C233" s="38"/>
      <c r="D233" s="21" t="s">
        <v>45</v>
      </c>
      <c r="E233" s="22">
        <v>36770</v>
      </c>
      <c r="F233" s="21" t="s">
        <v>198</v>
      </c>
      <c r="G233" s="21" t="s">
        <v>1859</v>
      </c>
      <c r="H233" s="21" t="s">
        <v>2158</v>
      </c>
      <c r="I233" s="6" t="str">
        <f>VLOOKUP(CLEAN(F233),'World Bank Categories'!$B$4:$C$220,2,FALSE)</f>
        <v>Middle income</v>
      </c>
      <c r="J233" s="21" t="s">
        <v>2159</v>
      </c>
      <c r="K233" s="21" t="s">
        <v>29</v>
      </c>
      <c r="L233" s="21" t="s">
        <v>30</v>
      </c>
      <c r="M233" s="21"/>
      <c r="N233" s="21"/>
      <c r="O233" s="21"/>
      <c r="P233" s="21" t="s">
        <v>31</v>
      </c>
      <c r="Q233" s="9" t="s">
        <v>32</v>
      </c>
      <c r="R233" s="18" t="s">
        <v>33</v>
      </c>
      <c r="S233" s="25" t="s">
        <v>2157</v>
      </c>
      <c r="T233" s="27">
        <v>36770</v>
      </c>
      <c r="U233" s="25" t="s">
        <v>2159</v>
      </c>
      <c r="V233" s="25" t="s">
        <v>80</v>
      </c>
      <c r="W233" s="25"/>
    </row>
    <row r="234" spans="1:23" ht="22.5" customHeight="1">
      <c r="A234" s="13">
        <v>46053.667214155095</v>
      </c>
      <c r="B234" s="14" t="s">
        <v>2160</v>
      </c>
      <c r="C234" s="15"/>
      <c r="D234" s="14" t="s">
        <v>24</v>
      </c>
      <c r="E234" s="16">
        <v>35521</v>
      </c>
      <c r="F234" s="14" t="s">
        <v>652</v>
      </c>
      <c r="G234" s="14" t="s">
        <v>2161</v>
      </c>
      <c r="H234" s="14" t="s">
        <v>2162</v>
      </c>
      <c r="I234" s="6" t="str">
        <f>VLOOKUP(CLEAN(F234),'World Bank Categories'!$B$4:$C$220,2,FALSE)</f>
        <v>Middle income</v>
      </c>
      <c r="J234" s="14" t="s">
        <v>2163</v>
      </c>
      <c r="K234" s="14" t="s">
        <v>29</v>
      </c>
      <c r="L234" s="14" t="s">
        <v>30</v>
      </c>
      <c r="M234" s="15"/>
      <c r="N234" s="14"/>
      <c r="O234" s="14"/>
      <c r="P234" s="14" t="s">
        <v>31</v>
      </c>
      <c r="Q234" s="9" t="s">
        <v>32</v>
      </c>
      <c r="R234" s="10" t="s">
        <v>33</v>
      </c>
      <c r="S234" s="19" t="s">
        <v>2160</v>
      </c>
      <c r="T234" s="12"/>
      <c r="U234" s="12"/>
      <c r="V234" s="12"/>
      <c r="W234" s="12"/>
    </row>
    <row r="235" spans="1:23" ht="22.5" customHeight="1">
      <c r="A235" s="20">
        <v>46053.789826388886</v>
      </c>
      <c r="B235" s="21" t="s">
        <v>2168</v>
      </c>
      <c r="C235" s="21" t="s">
        <v>2169</v>
      </c>
      <c r="D235" s="21" t="s">
        <v>24</v>
      </c>
      <c r="E235" s="22">
        <v>38497</v>
      </c>
      <c r="F235" s="21" t="s">
        <v>1053</v>
      </c>
      <c r="G235" s="21" t="s">
        <v>2170</v>
      </c>
      <c r="H235" s="21" t="s">
        <v>66</v>
      </c>
      <c r="I235" s="6" t="str">
        <f>VLOOKUP(CLEAN(F235),'World Bank Categories'!$B$4:$C$220,2,FALSE)</f>
        <v>High income</v>
      </c>
      <c r="J235" s="21" t="s">
        <v>2171</v>
      </c>
      <c r="K235" s="21" t="s">
        <v>29</v>
      </c>
      <c r="L235" s="21" t="s">
        <v>30</v>
      </c>
      <c r="M235" s="21"/>
      <c r="N235" s="21"/>
      <c r="O235" s="21"/>
      <c r="P235" s="21" t="s">
        <v>31</v>
      </c>
      <c r="Q235" s="9" t="s">
        <v>32</v>
      </c>
      <c r="R235" s="10" t="s">
        <v>43</v>
      </c>
      <c r="S235" s="25" t="s">
        <v>2168</v>
      </c>
      <c r="T235" s="27">
        <v>38497</v>
      </c>
      <c r="U235" s="25" t="s">
        <v>2171</v>
      </c>
      <c r="V235" s="25" t="s">
        <v>80</v>
      </c>
      <c r="W235" s="25"/>
    </row>
    <row r="236" spans="1:23" ht="22.5" customHeight="1">
      <c r="A236" s="20">
        <v>46053.805567129632</v>
      </c>
      <c r="B236" s="21" t="s">
        <v>2172</v>
      </c>
      <c r="C236" s="21" t="s">
        <v>2173</v>
      </c>
      <c r="D236" s="21" t="s">
        <v>24</v>
      </c>
      <c r="E236" s="22">
        <v>38478</v>
      </c>
      <c r="F236" s="21" t="s">
        <v>1053</v>
      </c>
      <c r="G236" s="21" t="s">
        <v>2174</v>
      </c>
      <c r="H236" s="21" t="s">
        <v>2175</v>
      </c>
      <c r="I236" s="6" t="str">
        <f>VLOOKUP(CLEAN(F236),'World Bank Categories'!$B$4:$C$220,2,FALSE)</f>
        <v>High income</v>
      </c>
      <c r="J236" s="21" t="s">
        <v>2176</v>
      </c>
      <c r="K236" s="21" t="s">
        <v>29</v>
      </c>
      <c r="L236" s="21" t="s">
        <v>30</v>
      </c>
      <c r="M236" s="21" t="s">
        <v>2177</v>
      </c>
      <c r="N236" s="21"/>
      <c r="O236" s="21"/>
      <c r="P236" s="21" t="s">
        <v>31</v>
      </c>
      <c r="Q236" s="9" t="s">
        <v>32</v>
      </c>
      <c r="R236" s="18" t="s">
        <v>43</v>
      </c>
      <c r="S236" s="25" t="s">
        <v>2172</v>
      </c>
      <c r="T236" s="27">
        <v>38478</v>
      </c>
      <c r="U236" s="25" t="s">
        <v>2176</v>
      </c>
      <c r="V236" s="25" t="s">
        <v>80</v>
      </c>
      <c r="W236" s="25"/>
    </row>
    <row r="237" spans="1:23" ht="22.5" customHeight="1">
      <c r="A237" s="20">
        <v>46053.809155092589</v>
      </c>
      <c r="B237" s="21" t="s">
        <v>2178</v>
      </c>
      <c r="C237" s="21" t="s">
        <v>2179</v>
      </c>
      <c r="D237" s="21" t="s">
        <v>24</v>
      </c>
      <c r="E237" s="22">
        <v>36567</v>
      </c>
      <c r="F237" s="21" t="s">
        <v>1053</v>
      </c>
      <c r="G237" s="21" t="s">
        <v>2180</v>
      </c>
      <c r="H237" s="21" t="s">
        <v>160</v>
      </c>
      <c r="I237" s="6" t="str">
        <f>VLOOKUP(CLEAN(F237),'World Bank Categories'!$B$4:$C$220,2,FALSE)</f>
        <v>High income</v>
      </c>
      <c r="J237" s="21" t="s">
        <v>2181</v>
      </c>
      <c r="K237" s="21" t="s">
        <v>29</v>
      </c>
      <c r="L237" s="21" t="s">
        <v>30</v>
      </c>
      <c r="M237" s="21" t="s">
        <v>2182</v>
      </c>
      <c r="N237" s="21"/>
      <c r="O237" s="21"/>
      <c r="P237" s="21" t="s">
        <v>31</v>
      </c>
      <c r="Q237" s="9" t="s">
        <v>32</v>
      </c>
      <c r="R237" s="10" t="s">
        <v>43</v>
      </c>
      <c r="S237" s="25" t="s">
        <v>2183</v>
      </c>
      <c r="T237" s="27">
        <v>36567</v>
      </c>
      <c r="U237" s="25" t="s">
        <v>2181</v>
      </c>
      <c r="V237" s="25" t="s">
        <v>80</v>
      </c>
      <c r="W237" s="25"/>
    </row>
    <row r="238" spans="1:23" ht="22.5" customHeight="1">
      <c r="A238" s="20">
        <v>46053.813171296293</v>
      </c>
      <c r="B238" s="21" t="s">
        <v>2184</v>
      </c>
      <c r="C238" s="38"/>
      <c r="D238" s="21" t="s">
        <v>24</v>
      </c>
      <c r="E238" s="22">
        <v>25892</v>
      </c>
      <c r="F238" s="21" t="s">
        <v>1932</v>
      </c>
      <c r="G238" s="21" t="s">
        <v>2185</v>
      </c>
      <c r="H238" s="21" t="s">
        <v>2186</v>
      </c>
      <c r="I238" s="6" t="str">
        <f>VLOOKUP(CLEAN(F238),'World Bank Categories'!$B$4:$C$220,2,FALSE)</f>
        <v>Middle income</v>
      </c>
      <c r="J238" s="21" t="s">
        <v>2187</v>
      </c>
      <c r="K238" s="21" t="s">
        <v>39</v>
      </c>
      <c r="L238" s="21" t="s">
        <v>621</v>
      </c>
      <c r="M238" s="41"/>
      <c r="N238" s="21"/>
      <c r="O238" s="21"/>
      <c r="P238" s="21" t="s">
        <v>31</v>
      </c>
      <c r="Q238" s="9" t="s">
        <v>32</v>
      </c>
      <c r="R238" s="18" t="s">
        <v>43</v>
      </c>
      <c r="S238" s="25" t="s">
        <v>2184</v>
      </c>
      <c r="T238" s="27">
        <v>25892</v>
      </c>
      <c r="U238" s="25" t="s">
        <v>2187</v>
      </c>
      <c r="V238" s="25" t="s">
        <v>80</v>
      </c>
      <c r="W238" s="25"/>
    </row>
    <row r="239" spans="1:23" ht="22.5" customHeight="1">
      <c r="A239" s="20">
        <v>46053.818842592591</v>
      </c>
      <c r="B239" s="21" t="s">
        <v>2188</v>
      </c>
      <c r="C239" s="38"/>
      <c r="D239" s="21" t="s">
        <v>45</v>
      </c>
      <c r="E239" s="22">
        <v>28800</v>
      </c>
      <c r="F239" s="21" t="s">
        <v>1932</v>
      </c>
      <c r="G239" s="21" t="s">
        <v>2185</v>
      </c>
      <c r="H239" s="21" t="s">
        <v>2189</v>
      </c>
      <c r="I239" s="6" t="str">
        <f>VLOOKUP(CLEAN(F239),'World Bank Categories'!$B$4:$C$220,2,FALSE)</f>
        <v>Middle income</v>
      </c>
      <c r="J239" s="21" t="s">
        <v>2190</v>
      </c>
      <c r="K239" s="21" t="s">
        <v>39</v>
      </c>
      <c r="L239" s="21" t="s">
        <v>621</v>
      </c>
      <c r="M239" s="41"/>
      <c r="N239" s="21"/>
      <c r="O239" s="21"/>
      <c r="P239" s="21" t="s">
        <v>31</v>
      </c>
      <c r="Q239" s="9" t="s">
        <v>32</v>
      </c>
      <c r="R239" s="10" t="s">
        <v>43</v>
      </c>
      <c r="S239" s="25" t="s">
        <v>2188</v>
      </c>
      <c r="T239" s="27">
        <v>28800</v>
      </c>
      <c r="U239" s="25" t="s">
        <v>2190</v>
      </c>
      <c r="V239" s="25" t="s">
        <v>80</v>
      </c>
      <c r="W239" s="25"/>
    </row>
    <row r="240" spans="1:23" ht="22.5" customHeight="1">
      <c r="A240" s="20">
        <v>46053.821539351855</v>
      </c>
      <c r="B240" s="21" t="s">
        <v>2191</v>
      </c>
      <c r="C240" s="38"/>
      <c r="D240" s="21" t="s">
        <v>24</v>
      </c>
      <c r="E240" s="22">
        <v>31669</v>
      </c>
      <c r="F240" s="21" t="s">
        <v>1932</v>
      </c>
      <c r="G240" s="21" t="s">
        <v>2192</v>
      </c>
      <c r="H240" s="21" t="s">
        <v>1006</v>
      </c>
      <c r="I240" s="6" t="str">
        <f>VLOOKUP(CLEAN(F240),'World Bank Categories'!$B$4:$C$220,2,FALSE)</f>
        <v>Middle income</v>
      </c>
      <c r="J240" s="21" t="s">
        <v>2193</v>
      </c>
      <c r="K240" s="21" t="s">
        <v>39</v>
      </c>
      <c r="L240" s="21" t="s">
        <v>621</v>
      </c>
      <c r="M240" s="21" t="s">
        <v>2194</v>
      </c>
      <c r="N240" s="17" t="s">
        <v>2195</v>
      </c>
      <c r="O240" s="6" t="s">
        <v>444</v>
      </c>
      <c r="P240" s="21" t="s">
        <v>31</v>
      </c>
      <c r="Q240" s="9" t="s">
        <v>32</v>
      </c>
      <c r="R240" s="18" t="s">
        <v>33</v>
      </c>
      <c r="S240" s="25" t="s">
        <v>2196</v>
      </c>
      <c r="T240" s="27">
        <v>31669</v>
      </c>
      <c r="U240" s="25" t="s">
        <v>2193</v>
      </c>
      <c r="V240" s="25" t="s">
        <v>80</v>
      </c>
      <c r="W240" s="25"/>
    </row>
    <row r="241" spans="1:23" ht="22.5" customHeight="1">
      <c r="A241" s="20">
        <v>46053.861030092594</v>
      </c>
      <c r="B241" s="21" t="s">
        <v>2197</v>
      </c>
      <c r="C241" s="21" t="s">
        <v>2198</v>
      </c>
      <c r="D241" s="21" t="s">
        <v>24</v>
      </c>
      <c r="E241" s="22">
        <v>35060</v>
      </c>
      <c r="F241" s="21" t="s">
        <v>1053</v>
      </c>
      <c r="G241" s="21" t="s">
        <v>2199</v>
      </c>
      <c r="H241" s="21" t="s">
        <v>1109</v>
      </c>
      <c r="I241" s="6" t="str">
        <f>VLOOKUP(CLEAN(F241),'World Bank Categories'!$B$4:$C$220,2,FALSE)</f>
        <v>High income</v>
      </c>
      <c r="J241" s="21" t="s">
        <v>2200</v>
      </c>
      <c r="K241" s="21" t="s">
        <v>29</v>
      </c>
      <c r="L241" s="21" t="s">
        <v>30</v>
      </c>
      <c r="M241" s="21"/>
      <c r="N241" s="21"/>
      <c r="O241" s="21"/>
      <c r="P241" s="21" t="s">
        <v>31</v>
      </c>
      <c r="Q241" s="9" t="s">
        <v>32</v>
      </c>
      <c r="R241" s="10" t="s">
        <v>43</v>
      </c>
      <c r="S241" s="25" t="s">
        <v>2197</v>
      </c>
      <c r="T241" s="27">
        <v>35060</v>
      </c>
      <c r="U241" s="25" t="s">
        <v>2201</v>
      </c>
      <c r="V241" s="25" t="s">
        <v>80</v>
      </c>
      <c r="W241" s="25"/>
    </row>
    <row r="242" spans="1:23" ht="22.5" customHeight="1">
      <c r="A242" s="28">
        <v>46053.871388888889</v>
      </c>
      <c r="B242" s="29" t="s">
        <v>2204</v>
      </c>
      <c r="C242" s="45"/>
      <c r="D242" s="29" t="s">
        <v>24</v>
      </c>
      <c r="E242" s="30">
        <v>28629</v>
      </c>
      <c r="F242" s="29" t="s">
        <v>1932</v>
      </c>
      <c r="G242" s="29" t="s">
        <v>2205</v>
      </c>
      <c r="H242" s="29" t="s">
        <v>2206</v>
      </c>
      <c r="I242" s="6" t="str">
        <f>VLOOKUP(CLEAN(F242),'World Bank Categories'!$B$4:$C$220,2,FALSE)</f>
        <v>Middle income</v>
      </c>
      <c r="J242" s="29" t="s">
        <v>2207</v>
      </c>
      <c r="K242" s="29" t="s">
        <v>39</v>
      </c>
      <c r="L242" s="29" t="s">
        <v>621</v>
      </c>
      <c r="M242" s="62"/>
      <c r="N242" s="29"/>
      <c r="O242" s="29"/>
      <c r="P242" s="29" t="s">
        <v>31</v>
      </c>
      <c r="Q242" s="9" t="s">
        <v>32</v>
      </c>
      <c r="R242" s="10" t="s">
        <v>33</v>
      </c>
      <c r="S242" s="25" t="s">
        <v>2208</v>
      </c>
      <c r="T242" s="27">
        <v>28629</v>
      </c>
      <c r="U242" s="25" t="s">
        <v>2207</v>
      </c>
      <c r="V242" s="25" t="s">
        <v>80</v>
      </c>
      <c r="W242" s="25"/>
    </row>
    <row r="243" spans="1:23" ht="22.5" customHeight="1">
      <c r="A243" s="20">
        <v>46053.900381944448</v>
      </c>
      <c r="B243" s="21" t="s">
        <v>2213</v>
      </c>
      <c r="C243" s="38"/>
      <c r="D243" s="21" t="s">
        <v>24</v>
      </c>
      <c r="E243" s="22">
        <v>31511</v>
      </c>
      <c r="F243" s="21" t="s">
        <v>1932</v>
      </c>
      <c r="G243" s="21" t="s">
        <v>2205</v>
      </c>
      <c r="H243" s="21" t="s">
        <v>2214</v>
      </c>
      <c r="I243" s="6" t="str">
        <f>VLOOKUP(CLEAN(F243),'World Bank Categories'!$B$4:$C$220,2,FALSE)</f>
        <v>Middle income</v>
      </c>
      <c r="J243" s="21" t="s">
        <v>2215</v>
      </c>
      <c r="K243" s="21" t="s">
        <v>39</v>
      </c>
      <c r="L243" s="21" t="s">
        <v>621</v>
      </c>
      <c r="M243" s="21" t="s">
        <v>2216</v>
      </c>
      <c r="N243" s="21"/>
      <c r="O243" s="21"/>
      <c r="P243" s="21" t="s">
        <v>31</v>
      </c>
      <c r="Q243" s="9" t="s">
        <v>32</v>
      </c>
      <c r="R243" s="10" t="s">
        <v>33</v>
      </c>
      <c r="S243" s="25" t="s">
        <v>2213</v>
      </c>
      <c r="T243" s="27">
        <v>31511</v>
      </c>
      <c r="U243" s="25" t="s">
        <v>2215</v>
      </c>
      <c r="V243" s="25" t="s">
        <v>80</v>
      </c>
      <c r="W243" s="25"/>
    </row>
    <row r="244" spans="1:23" ht="22.5" customHeight="1">
      <c r="A244" s="20">
        <v>46053.917199074072</v>
      </c>
      <c r="B244" s="21" t="s">
        <v>2217</v>
      </c>
      <c r="C244" s="38"/>
      <c r="D244" s="21" t="s">
        <v>24</v>
      </c>
      <c r="E244" s="22">
        <v>24884</v>
      </c>
      <c r="F244" s="21" t="s">
        <v>1834</v>
      </c>
      <c r="G244" s="21" t="s">
        <v>2218</v>
      </c>
      <c r="H244" s="21" t="s">
        <v>2219</v>
      </c>
      <c r="I244" s="6" t="str">
        <f>VLOOKUP(CLEAN(F244),'World Bank Categories'!$B$4:$C$220,2,FALSE)</f>
        <v>Middle income</v>
      </c>
      <c r="J244" s="21" t="s">
        <v>2220</v>
      </c>
      <c r="K244" s="21" t="s">
        <v>39</v>
      </c>
      <c r="L244" s="32">
        <v>46204</v>
      </c>
      <c r="M244" s="21"/>
      <c r="N244" s="21"/>
      <c r="O244" s="21"/>
      <c r="P244" s="21" t="s">
        <v>31</v>
      </c>
      <c r="Q244" s="9" t="s">
        <v>32</v>
      </c>
      <c r="R244" s="18" t="s">
        <v>33</v>
      </c>
      <c r="S244" s="25" t="s">
        <v>2217</v>
      </c>
      <c r="T244" s="27">
        <v>24884</v>
      </c>
      <c r="U244" s="25" t="s">
        <v>2220</v>
      </c>
      <c r="V244" s="25" t="s">
        <v>80</v>
      </c>
      <c r="W244" s="25"/>
    </row>
    <row r="245" spans="1:23" ht="22.5" customHeight="1">
      <c r="A245" s="20">
        <v>46053.917384259257</v>
      </c>
      <c r="B245" s="21" t="s">
        <v>2221</v>
      </c>
      <c r="C245" s="38"/>
      <c r="D245" s="21" t="s">
        <v>24</v>
      </c>
      <c r="E245" s="22">
        <v>21638</v>
      </c>
      <c r="F245" s="21" t="s">
        <v>1834</v>
      </c>
      <c r="G245" s="21" t="s">
        <v>2222</v>
      </c>
      <c r="H245" s="21" t="s">
        <v>2223</v>
      </c>
      <c r="I245" s="6" t="str">
        <f>VLOOKUP(CLEAN(F245),'World Bank Categories'!$B$4:$C$220,2,FALSE)</f>
        <v>Middle income</v>
      </c>
      <c r="J245" s="21" t="s">
        <v>2224</v>
      </c>
      <c r="K245" s="21" t="s">
        <v>39</v>
      </c>
      <c r="L245" s="21" t="s">
        <v>2225</v>
      </c>
      <c r="M245" s="21"/>
      <c r="N245" s="21"/>
      <c r="O245" s="21"/>
      <c r="P245" s="21" t="s">
        <v>31</v>
      </c>
      <c r="Q245" s="9" t="s">
        <v>32</v>
      </c>
      <c r="R245" s="10" t="s">
        <v>33</v>
      </c>
      <c r="S245" s="25" t="s">
        <v>2226</v>
      </c>
      <c r="T245" s="27">
        <v>21638</v>
      </c>
      <c r="U245" s="25" t="s">
        <v>2227</v>
      </c>
      <c r="V245" s="25" t="s">
        <v>101</v>
      </c>
      <c r="W245" s="25"/>
    </row>
    <row r="246" spans="1:23" ht="22.5" customHeight="1">
      <c r="A246" s="20">
        <v>46053.936944444446</v>
      </c>
      <c r="B246" s="21" t="s">
        <v>2228</v>
      </c>
      <c r="C246" s="21" t="s">
        <v>2228</v>
      </c>
      <c r="D246" s="21" t="s">
        <v>45</v>
      </c>
      <c r="E246" s="22">
        <v>38427</v>
      </c>
      <c r="F246" s="21" t="s">
        <v>1932</v>
      </c>
      <c r="G246" s="21" t="s">
        <v>2229</v>
      </c>
      <c r="H246" s="21" t="s">
        <v>2230</v>
      </c>
      <c r="I246" s="6" t="str">
        <f>VLOOKUP(CLEAN(F246),'World Bank Categories'!$B$4:$C$220,2,FALSE)</f>
        <v>Middle income</v>
      </c>
      <c r="J246" s="21" t="s">
        <v>2231</v>
      </c>
      <c r="K246" s="21" t="s">
        <v>39</v>
      </c>
      <c r="L246" s="21" t="s">
        <v>152</v>
      </c>
      <c r="M246" s="21"/>
      <c r="N246" s="21"/>
      <c r="O246" s="21"/>
      <c r="P246" s="21" t="s">
        <v>31</v>
      </c>
      <c r="Q246" s="9" t="s">
        <v>32</v>
      </c>
      <c r="R246" s="18" t="s">
        <v>33</v>
      </c>
      <c r="S246" s="25" t="s">
        <v>2228</v>
      </c>
      <c r="T246" s="27">
        <v>38427</v>
      </c>
      <c r="U246" s="25" t="s">
        <v>2231</v>
      </c>
      <c r="V246" s="25" t="s">
        <v>80</v>
      </c>
      <c r="W246" s="25"/>
    </row>
    <row r="247" spans="1:23" ht="22.5" customHeight="1">
      <c r="A247" s="20">
        <v>46053.996701388889</v>
      </c>
      <c r="B247" s="21" t="s">
        <v>2235</v>
      </c>
      <c r="C247" s="38"/>
      <c r="D247" s="21" t="s">
        <v>24</v>
      </c>
      <c r="E247" s="22">
        <v>24315</v>
      </c>
      <c r="F247" s="21" t="s">
        <v>1932</v>
      </c>
      <c r="G247" s="21" t="s">
        <v>2236</v>
      </c>
      <c r="H247" s="21" t="s">
        <v>2237</v>
      </c>
      <c r="I247" s="6" t="str">
        <f>VLOOKUP(CLEAN(F247),'World Bank Categories'!$B$4:$C$220,2,FALSE)</f>
        <v>Middle income</v>
      </c>
      <c r="J247" s="21" t="s">
        <v>2238</v>
      </c>
      <c r="K247" s="21" t="s">
        <v>39</v>
      </c>
      <c r="L247" s="21" t="s">
        <v>152</v>
      </c>
      <c r="M247" s="41"/>
      <c r="N247" s="21"/>
      <c r="O247" s="21"/>
      <c r="P247" s="21" t="s">
        <v>31</v>
      </c>
      <c r="Q247" s="9" t="s">
        <v>32</v>
      </c>
      <c r="R247" s="18" t="s">
        <v>33</v>
      </c>
      <c r="S247" s="25" t="s">
        <v>2235</v>
      </c>
      <c r="T247" s="27">
        <v>24315</v>
      </c>
      <c r="U247" s="25" t="s">
        <v>2238</v>
      </c>
      <c r="V247" s="25" t="s">
        <v>80</v>
      </c>
      <c r="W247" s="25"/>
    </row>
    <row r="248" spans="1:23" ht="22.5" customHeight="1">
      <c r="A248" s="20">
        <v>46054.065555555557</v>
      </c>
      <c r="B248" s="21" t="s">
        <v>2239</v>
      </c>
      <c r="C248" s="38"/>
      <c r="D248" s="21" t="s">
        <v>24</v>
      </c>
      <c r="E248" s="22">
        <v>34968</v>
      </c>
      <c r="F248" s="21" t="s">
        <v>227</v>
      </c>
      <c r="G248" s="21" t="s">
        <v>2240</v>
      </c>
      <c r="H248" s="21" t="s">
        <v>2241</v>
      </c>
      <c r="I248" s="6" t="str">
        <f>VLOOKUP(CLEAN(F248),'World Bank Categories'!$B$4:$C$220,2,FALSE)</f>
        <v>Middle income</v>
      </c>
      <c r="J248" s="21" t="s">
        <v>2242</v>
      </c>
      <c r="K248" s="21" t="s">
        <v>29</v>
      </c>
      <c r="L248" s="21" t="s">
        <v>30</v>
      </c>
      <c r="M248" s="41"/>
      <c r="N248" s="21"/>
      <c r="O248" s="21"/>
      <c r="P248" s="21" t="s">
        <v>31</v>
      </c>
      <c r="Q248" s="9" t="s">
        <v>32</v>
      </c>
      <c r="R248" s="10" t="s">
        <v>33</v>
      </c>
      <c r="S248" s="25" t="s">
        <v>2239</v>
      </c>
      <c r="T248" s="27">
        <v>34968</v>
      </c>
      <c r="U248" s="25" t="s">
        <v>2242</v>
      </c>
      <c r="V248" s="25" t="s">
        <v>80</v>
      </c>
      <c r="W248" s="25"/>
    </row>
    <row r="249" spans="1:23" ht="22.5" customHeight="1">
      <c r="A249" s="28">
        <v>46054.067453703705</v>
      </c>
      <c r="B249" s="29" t="s">
        <v>2243</v>
      </c>
      <c r="C249" s="29" t="s">
        <v>2243</v>
      </c>
      <c r="D249" s="29" t="s">
        <v>45</v>
      </c>
      <c r="E249" s="30">
        <v>35182</v>
      </c>
      <c r="F249" s="29" t="s">
        <v>227</v>
      </c>
      <c r="G249" s="29" t="s">
        <v>2240</v>
      </c>
      <c r="H249" s="29" t="s">
        <v>2241</v>
      </c>
      <c r="I249" s="6" t="str">
        <f>VLOOKUP(CLEAN(F249),'World Bank Categories'!$B$4:$C$220,2,FALSE)</f>
        <v>Middle income</v>
      </c>
      <c r="J249" s="29" t="s">
        <v>2244</v>
      </c>
      <c r="K249" s="29" t="s">
        <v>29</v>
      </c>
      <c r="L249" s="29" t="s">
        <v>30</v>
      </c>
      <c r="M249" s="62"/>
      <c r="N249" s="29"/>
      <c r="O249" s="29"/>
      <c r="P249" s="29" t="s">
        <v>31</v>
      </c>
      <c r="Q249" s="9" t="s">
        <v>32</v>
      </c>
      <c r="R249" s="18" t="s">
        <v>33</v>
      </c>
      <c r="S249" s="25" t="s">
        <v>2243</v>
      </c>
      <c r="T249" s="27">
        <v>35182</v>
      </c>
      <c r="U249" s="25" t="s">
        <v>2244</v>
      </c>
      <c r="V249" s="25" t="s">
        <v>80</v>
      </c>
      <c r="W249" s="25"/>
    </row>
    <row r="250" spans="1:23" ht="22.5" customHeight="1">
      <c r="A250" s="20">
        <v>46054.117303240739</v>
      </c>
      <c r="B250" s="21" t="s">
        <v>2251</v>
      </c>
      <c r="C250" s="21" t="s">
        <v>2252</v>
      </c>
      <c r="D250" s="21" t="s">
        <v>24</v>
      </c>
      <c r="E250" s="22">
        <v>31552</v>
      </c>
      <c r="F250" s="21" t="s">
        <v>2066</v>
      </c>
      <c r="G250" s="21" t="s">
        <v>2253</v>
      </c>
      <c r="H250" s="21" t="s">
        <v>2254</v>
      </c>
      <c r="I250" s="6" t="str">
        <f>VLOOKUP(CLEAN(F250),'World Bank Categories'!$B$4:$C$220,2,FALSE)</f>
        <v>High income</v>
      </c>
      <c r="J250" s="21" t="s">
        <v>2255</v>
      </c>
      <c r="K250" s="21" t="s">
        <v>29</v>
      </c>
      <c r="L250" s="21" t="s">
        <v>30</v>
      </c>
      <c r="M250" s="21"/>
      <c r="N250" s="21"/>
      <c r="O250" s="21"/>
      <c r="P250" s="21" t="s">
        <v>31</v>
      </c>
      <c r="Q250" s="9" t="s">
        <v>32</v>
      </c>
      <c r="R250" s="18" t="s">
        <v>33</v>
      </c>
      <c r="S250" s="25" t="s">
        <v>2256</v>
      </c>
      <c r="T250" s="27">
        <v>31552</v>
      </c>
      <c r="U250" s="25" t="s">
        <v>2255</v>
      </c>
      <c r="V250" s="25" t="s">
        <v>154</v>
      </c>
      <c r="W250" s="25"/>
    </row>
    <row r="251" spans="1:23" ht="22.5" customHeight="1">
      <c r="A251" s="20">
        <v>46055.474780092591</v>
      </c>
      <c r="B251" s="21" t="s">
        <v>2288</v>
      </c>
      <c r="C251" s="38"/>
      <c r="D251" s="21" t="s">
        <v>24</v>
      </c>
      <c r="E251" s="22">
        <v>35005</v>
      </c>
      <c r="F251" s="21" t="s">
        <v>1932</v>
      </c>
      <c r="G251" s="21" t="s">
        <v>2289</v>
      </c>
      <c r="H251" s="21" t="s">
        <v>640</v>
      </c>
      <c r="I251" s="6" t="str">
        <f>VLOOKUP(CLEAN(F251),'World Bank Categories'!$B$4:$C$220,2,FALSE)</f>
        <v>Middle income</v>
      </c>
      <c r="J251" s="21" t="s">
        <v>2290</v>
      </c>
      <c r="K251" s="21" t="s">
        <v>29</v>
      </c>
      <c r="L251" s="21" t="s">
        <v>30</v>
      </c>
      <c r="M251" s="21"/>
      <c r="N251" s="21"/>
      <c r="O251" s="21"/>
      <c r="P251" s="21" t="s">
        <v>31</v>
      </c>
      <c r="Q251" s="9" t="s">
        <v>32</v>
      </c>
      <c r="R251" s="18" t="s">
        <v>33</v>
      </c>
      <c r="S251" s="25" t="s">
        <v>2288</v>
      </c>
      <c r="T251" s="27">
        <v>35005</v>
      </c>
      <c r="U251" s="25" t="s">
        <v>2290</v>
      </c>
      <c r="V251" s="25" t="s">
        <v>80</v>
      </c>
      <c r="W251" s="25"/>
    </row>
    <row r="252" spans="1:23" ht="22.5" customHeight="1">
      <c r="A252" s="5">
        <v>46055.537247627319</v>
      </c>
      <c r="B252" s="6" t="s">
        <v>2291</v>
      </c>
      <c r="C252" s="7"/>
      <c r="D252" s="6" t="s">
        <v>24</v>
      </c>
      <c r="E252" s="8">
        <v>32052</v>
      </c>
      <c r="F252" s="6" t="s">
        <v>1179</v>
      </c>
      <c r="G252" s="6" t="s">
        <v>1665</v>
      </c>
      <c r="H252" s="6" t="s">
        <v>186</v>
      </c>
      <c r="I252" s="6" t="str">
        <f>VLOOKUP(CLEAN(F252),'World Bank Categories'!$B$4:$C$220,2,FALSE)</f>
        <v>High income</v>
      </c>
      <c r="J252" s="6" t="s">
        <v>2292</v>
      </c>
      <c r="K252" s="6" t="s">
        <v>39</v>
      </c>
      <c r="L252" s="6" t="s">
        <v>162</v>
      </c>
      <c r="M252" s="7"/>
      <c r="N252" s="6"/>
      <c r="O252" s="6"/>
      <c r="P252" s="6" t="s">
        <v>2293</v>
      </c>
      <c r="Q252" s="9" t="s">
        <v>32</v>
      </c>
      <c r="R252" s="10" t="s">
        <v>43</v>
      </c>
      <c r="S252" s="11" t="s">
        <v>2294</v>
      </c>
      <c r="T252" s="12"/>
      <c r="U252" s="12"/>
      <c r="V252" s="12"/>
      <c r="W252" s="12"/>
    </row>
    <row r="253" spans="1:23" ht="22.5" customHeight="1">
      <c r="A253" s="20">
        <v>46057.974895833337</v>
      </c>
      <c r="B253" s="21" t="s">
        <v>2295</v>
      </c>
      <c r="C253" s="21" t="s">
        <v>2296</v>
      </c>
      <c r="D253" s="21" t="s">
        <v>45</v>
      </c>
      <c r="E253" s="22">
        <v>37881</v>
      </c>
      <c r="F253" s="21" t="s">
        <v>1053</v>
      </c>
      <c r="G253" s="21" t="s">
        <v>2297</v>
      </c>
      <c r="H253" s="21" t="s">
        <v>66</v>
      </c>
      <c r="I253" s="6" t="str">
        <f>VLOOKUP(CLEAN(F253),'World Bank Categories'!$B$4:$C$220,2,FALSE)</f>
        <v>High income</v>
      </c>
      <c r="J253" s="21" t="s">
        <v>2298</v>
      </c>
      <c r="K253" s="21" t="s">
        <v>29</v>
      </c>
      <c r="L253" s="21" t="s">
        <v>30</v>
      </c>
      <c r="M253" s="21"/>
      <c r="N253" s="21"/>
      <c r="O253" s="21"/>
      <c r="P253" s="21" t="s">
        <v>31</v>
      </c>
      <c r="Q253" s="9" t="s">
        <v>32</v>
      </c>
      <c r="R253" s="10" t="s">
        <v>43</v>
      </c>
      <c r="S253" s="25" t="s">
        <v>2295</v>
      </c>
      <c r="T253" s="27">
        <v>37881</v>
      </c>
      <c r="U253" s="25" t="s">
        <v>2298</v>
      </c>
      <c r="V253" s="25" t="s">
        <v>80</v>
      </c>
      <c r="W253" s="25"/>
    </row>
    <row r="254" spans="1:23" ht="22.5" customHeight="1">
      <c r="A254" s="20">
        <v>46059.140752314815</v>
      </c>
      <c r="B254" s="21" t="s">
        <v>2301</v>
      </c>
      <c r="C254" s="38"/>
      <c r="D254" s="21" t="s">
        <v>24</v>
      </c>
      <c r="E254" s="22">
        <v>35691</v>
      </c>
      <c r="F254" s="21" t="s">
        <v>208</v>
      </c>
      <c r="G254" s="21" t="s">
        <v>2302</v>
      </c>
      <c r="H254" s="21" t="s">
        <v>2303</v>
      </c>
      <c r="I254" s="6" t="str">
        <f>VLOOKUP(CLEAN(F254),'World Bank Categories'!$B$4:$C$220,2,FALSE)</f>
        <v>Low income</v>
      </c>
      <c r="J254" s="21" t="s">
        <v>2304</v>
      </c>
      <c r="K254" s="21" t="s">
        <v>29</v>
      </c>
      <c r="L254" s="21" t="s">
        <v>30</v>
      </c>
      <c r="M254" s="21"/>
      <c r="N254" s="21"/>
      <c r="O254" s="21"/>
      <c r="P254" s="21" t="s">
        <v>31</v>
      </c>
      <c r="Q254" s="9" t="s">
        <v>32</v>
      </c>
      <c r="R254" s="10" t="s">
        <v>33</v>
      </c>
      <c r="S254" s="25" t="s">
        <v>2301</v>
      </c>
      <c r="T254" s="27">
        <v>35691</v>
      </c>
      <c r="U254" s="25" t="s">
        <v>2304</v>
      </c>
      <c r="V254" s="25" t="s">
        <v>80</v>
      </c>
      <c r="W254" s="25"/>
    </row>
    <row r="255" spans="1:23" ht="22.5" customHeight="1">
      <c r="A255" s="13">
        <v>46059.665206921301</v>
      </c>
      <c r="B255" s="14" t="s">
        <v>2305</v>
      </c>
      <c r="C255" s="14" t="s">
        <v>2306</v>
      </c>
      <c r="D255" s="14" t="s">
        <v>45</v>
      </c>
      <c r="E255" s="16">
        <v>36206</v>
      </c>
      <c r="F255" s="14" t="s">
        <v>208</v>
      </c>
      <c r="G255" s="14" t="s">
        <v>2307</v>
      </c>
      <c r="H255" s="14" t="s">
        <v>66</v>
      </c>
      <c r="I255" s="6" t="str">
        <f>VLOOKUP(CLEAN(F255),'World Bank Categories'!$B$4:$C$220,2,FALSE)</f>
        <v>Low income</v>
      </c>
      <c r="J255" s="14" t="s">
        <v>2308</v>
      </c>
      <c r="K255" s="14" t="s">
        <v>29</v>
      </c>
      <c r="L255" s="14" t="s">
        <v>162</v>
      </c>
      <c r="M255" s="15"/>
      <c r="N255" s="14"/>
      <c r="O255" s="14"/>
      <c r="P255" s="14" t="s">
        <v>31</v>
      </c>
      <c r="Q255" s="9" t="s">
        <v>32</v>
      </c>
      <c r="R255" s="18" t="s">
        <v>33</v>
      </c>
      <c r="S255" s="19">
        <v>256759021143</v>
      </c>
      <c r="T255" s="12"/>
      <c r="U255" s="12"/>
      <c r="V255" s="12"/>
      <c r="W255" s="12"/>
    </row>
    <row r="256" spans="1:23" ht="22.5" customHeight="1">
      <c r="A256" s="20">
        <v>46062.000092592592</v>
      </c>
      <c r="B256" s="21" t="s">
        <v>2331</v>
      </c>
      <c r="C256" s="38"/>
      <c r="D256" s="21" t="s">
        <v>24</v>
      </c>
      <c r="E256" s="22">
        <v>37860</v>
      </c>
      <c r="F256" s="21" t="s">
        <v>2332</v>
      </c>
      <c r="G256" s="21" t="s">
        <v>2333</v>
      </c>
      <c r="H256" s="21" t="s">
        <v>2334</v>
      </c>
      <c r="I256" s="6" t="str">
        <f>VLOOKUP(CLEAN(F256),'World Bank Categories'!$B$4:$C$220,2,FALSE)</f>
        <v>High income</v>
      </c>
      <c r="J256" s="21" t="s">
        <v>2335</v>
      </c>
      <c r="K256" s="21" t="s">
        <v>29</v>
      </c>
      <c r="L256" s="21" t="s">
        <v>30</v>
      </c>
      <c r="M256" s="21" t="s">
        <v>2336</v>
      </c>
      <c r="N256" s="21"/>
      <c r="O256" s="21"/>
      <c r="P256" s="21" t="s">
        <v>31</v>
      </c>
      <c r="Q256" s="9" t="s">
        <v>32</v>
      </c>
      <c r="R256" s="18" t="s">
        <v>43</v>
      </c>
      <c r="S256" s="25" t="s">
        <v>2337</v>
      </c>
      <c r="T256" s="27">
        <v>37860</v>
      </c>
      <c r="U256" s="25" t="s">
        <v>2335</v>
      </c>
      <c r="V256" s="25" t="s">
        <v>154</v>
      </c>
      <c r="W256" s="25"/>
    </row>
    <row r="257" spans="1:23" ht="22.5" customHeight="1">
      <c r="A257" s="20">
        <v>46062.387488425928</v>
      </c>
      <c r="B257" s="21" t="s">
        <v>2338</v>
      </c>
      <c r="C257" s="21" t="s">
        <v>2339</v>
      </c>
      <c r="D257" s="21" t="s">
        <v>45</v>
      </c>
      <c r="E257" s="22">
        <v>38768</v>
      </c>
      <c r="F257" s="21" t="s">
        <v>1053</v>
      </c>
      <c r="G257" s="21" t="s">
        <v>2340</v>
      </c>
      <c r="H257" s="21" t="s">
        <v>66</v>
      </c>
      <c r="I257" s="6" t="str">
        <f>VLOOKUP(CLEAN(F257),'World Bank Categories'!$B$4:$C$220,2,FALSE)</f>
        <v>High income</v>
      </c>
      <c r="J257" s="21" t="s">
        <v>2341</v>
      </c>
      <c r="K257" s="21" t="s">
        <v>39</v>
      </c>
      <c r="L257" s="21" t="s">
        <v>1991</v>
      </c>
      <c r="M257" s="21"/>
      <c r="N257" s="21"/>
      <c r="O257" s="21"/>
      <c r="P257" s="21" t="s">
        <v>31</v>
      </c>
      <c r="Q257" s="9" t="s">
        <v>32</v>
      </c>
      <c r="R257" s="10" t="s">
        <v>43</v>
      </c>
      <c r="S257" s="25" t="s">
        <v>2342</v>
      </c>
      <c r="T257" s="27">
        <v>38768</v>
      </c>
      <c r="U257" s="25" t="s">
        <v>2341</v>
      </c>
      <c r="V257" s="25" t="s">
        <v>154</v>
      </c>
      <c r="W257" s="25"/>
    </row>
    <row r="258" spans="1:23" ht="22.5" customHeight="1">
      <c r="A258" s="20">
        <v>46063.252685185187</v>
      </c>
      <c r="B258" s="21" t="s">
        <v>2343</v>
      </c>
      <c r="C258" s="38"/>
      <c r="D258" s="21" t="s">
        <v>24</v>
      </c>
      <c r="E258" s="22">
        <v>36639</v>
      </c>
      <c r="F258" s="21" t="s">
        <v>2344</v>
      </c>
      <c r="G258" s="21" t="s">
        <v>2345</v>
      </c>
      <c r="H258" s="21" t="s">
        <v>66</v>
      </c>
      <c r="I258" s="6" t="str">
        <f>VLOOKUP(CLEAN(F258),'World Bank Categories'!$B$4:$C$220,2,FALSE)</f>
        <v>High income</v>
      </c>
      <c r="J258" s="21" t="s">
        <v>2346</v>
      </c>
      <c r="K258" s="21" t="s">
        <v>29</v>
      </c>
      <c r="L258" s="21" t="s">
        <v>30</v>
      </c>
      <c r="M258" s="21"/>
      <c r="N258" s="21"/>
      <c r="O258" s="21"/>
      <c r="P258" s="21" t="s">
        <v>31</v>
      </c>
      <c r="Q258" s="9" t="s">
        <v>32</v>
      </c>
      <c r="R258" s="18" t="s">
        <v>43</v>
      </c>
      <c r="S258" s="25" t="s">
        <v>2343</v>
      </c>
      <c r="T258" s="27">
        <v>36639</v>
      </c>
      <c r="U258" s="25" t="s">
        <v>2346</v>
      </c>
      <c r="V258" s="25" t="s">
        <v>80</v>
      </c>
      <c r="W258" s="25"/>
    </row>
    <row r="259" spans="1:23" ht="22.5" customHeight="1">
      <c r="A259" s="46">
        <v>46063.824826388889</v>
      </c>
      <c r="B259" s="47" t="s">
        <v>2347</v>
      </c>
      <c r="C259" s="48"/>
      <c r="D259" s="47" t="s">
        <v>24</v>
      </c>
      <c r="E259" s="49">
        <v>36791</v>
      </c>
      <c r="F259" s="21" t="s">
        <v>208</v>
      </c>
      <c r="G259" s="47" t="s">
        <v>2348</v>
      </c>
      <c r="H259" s="47" t="s">
        <v>2349</v>
      </c>
      <c r="I259" s="6" t="str">
        <f>VLOOKUP(CLEAN(F259),'World Bank Categories'!$B$4:$C$220,2,FALSE)</f>
        <v>Low income</v>
      </c>
      <c r="J259" s="47" t="s">
        <v>2350</v>
      </c>
      <c r="K259" s="47" t="s">
        <v>39</v>
      </c>
      <c r="L259" s="47" t="s">
        <v>30</v>
      </c>
      <c r="M259" s="47"/>
      <c r="N259" s="47"/>
      <c r="O259" s="47"/>
      <c r="P259" s="47" t="s">
        <v>31</v>
      </c>
      <c r="Q259" s="9" t="s">
        <v>32</v>
      </c>
      <c r="R259" s="10" t="s">
        <v>33</v>
      </c>
      <c r="S259" s="25" t="s">
        <v>2347</v>
      </c>
      <c r="T259" s="27">
        <v>36791</v>
      </c>
      <c r="U259" s="25" t="s">
        <v>2350</v>
      </c>
      <c r="V259" s="25" t="s">
        <v>80</v>
      </c>
      <c r="W259" s="25"/>
    </row>
    <row r="260" spans="1:23" ht="22.5" customHeight="1">
      <c r="A260" s="20">
        <v>46064.68949074074</v>
      </c>
      <c r="B260" s="21" t="s">
        <v>2351</v>
      </c>
      <c r="C260" s="21" t="s">
        <v>2352</v>
      </c>
      <c r="D260" s="21" t="s">
        <v>24</v>
      </c>
      <c r="E260" s="22">
        <v>38027</v>
      </c>
      <c r="F260" s="21" t="s">
        <v>1053</v>
      </c>
      <c r="G260" s="21" t="s">
        <v>2353</v>
      </c>
      <c r="H260" s="21" t="s">
        <v>2354</v>
      </c>
      <c r="I260" s="6" t="str">
        <f>VLOOKUP(CLEAN(F260),'World Bank Categories'!$B$4:$C$220,2,FALSE)</f>
        <v>High income</v>
      </c>
      <c r="J260" s="21" t="s">
        <v>2355</v>
      </c>
      <c r="K260" s="21" t="s">
        <v>29</v>
      </c>
      <c r="L260" s="21" t="s">
        <v>30</v>
      </c>
      <c r="M260" s="41"/>
      <c r="N260" s="21"/>
      <c r="O260" s="21"/>
      <c r="P260" s="21" t="s">
        <v>31</v>
      </c>
      <c r="Q260" s="9" t="s">
        <v>32</v>
      </c>
      <c r="R260" s="18" t="s">
        <v>43</v>
      </c>
      <c r="S260" s="25" t="s">
        <v>2351</v>
      </c>
      <c r="T260" s="27">
        <v>38027</v>
      </c>
      <c r="U260" s="25" t="s">
        <v>2355</v>
      </c>
      <c r="V260" s="25" t="s">
        <v>80</v>
      </c>
      <c r="W260" s="25"/>
    </row>
    <row r="261" spans="1:23" ht="22.5" customHeight="1">
      <c r="A261" s="5">
        <v>46065.836202812498</v>
      </c>
      <c r="B261" s="6" t="s">
        <v>2360</v>
      </c>
      <c r="C261" s="7"/>
      <c r="D261" s="6" t="s">
        <v>24</v>
      </c>
      <c r="E261" s="8">
        <v>37501</v>
      </c>
      <c r="F261" s="6" t="s">
        <v>2344</v>
      </c>
      <c r="G261" s="6" t="s">
        <v>2361</v>
      </c>
      <c r="H261" s="14" t="s">
        <v>66</v>
      </c>
      <c r="I261" s="6" t="str">
        <f>VLOOKUP(CLEAN(F261),'World Bank Categories'!$B$4:$C$220,2,FALSE)</f>
        <v>High income</v>
      </c>
      <c r="J261" s="14" t="s">
        <v>2362</v>
      </c>
      <c r="K261" s="14" t="s">
        <v>29</v>
      </c>
      <c r="L261" s="14" t="s">
        <v>162</v>
      </c>
      <c r="M261" s="15"/>
      <c r="N261" s="14"/>
      <c r="O261" s="14"/>
      <c r="P261" s="14" t="s">
        <v>31</v>
      </c>
      <c r="Q261" s="9" t="s">
        <v>32</v>
      </c>
      <c r="R261" s="10" t="s">
        <v>43</v>
      </c>
      <c r="S261" s="19" t="s">
        <v>2360</v>
      </c>
      <c r="T261" s="12"/>
      <c r="U261" s="12"/>
      <c r="V261" s="12"/>
      <c r="W261" s="12"/>
    </row>
    <row r="262" spans="1:23" ht="22.5" customHeight="1">
      <c r="A262" s="20">
        <v>46072.009606481479</v>
      </c>
      <c r="B262" s="21" t="s">
        <v>2382</v>
      </c>
      <c r="C262" s="38"/>
      <c r="D262" s="21" t="s">
        <v>45</v>
      </c>
      <c r="E262" s="22">
        <v>35333</v>
      </c>
      <c r="F262" s="21" t="s">
        <v>2378</v>
      </c>
      <c r="G262" s="21" t="s">
        <v>2383</v>
      </c>
      <c r="H262" s="21" t="s">
        <v>2384</v>
      </c>
      <c r="I262" s="6" t="str">
        <f>VLOOKUP(CLEAN(F262),'World Bank Categories'!$B$4:$C$220,2,FALSE)</f>
        <v>Middle income</v>
      </c>
      <c r="J262" s="21" t="s">
        <v>2385</v>
      </c>
      <c r="K262" s="21" t="s">
        <v>29</v>
      </c>
      <c r="L262" s="21" t="s">
        <v>30</v>
      </c>
      <c r="M262" s="21"/>
      <c r="N262" s="21"/>
      <c r="O262" s="21"/>
      <c r="P262" s="21" t="s">
        <v>31</v>
      </c>
      <c r="Q262" s="9" t="s">
        <v>32</v>
      </c>
      <c r="R262" s="10" t="s">
        <v>33</v>
      </c>
      <c r="S262" s="25" t="s">
        <v>2382</v>
      </c>
      <c r="T262" s="27">
        <v>35333</v>
      </c>
      <c r="U262" s="25" t="s">
        <v>2385</v>
      </c>
      <c r="V262" s="25" t="s">
        <v>80</v>
      </c>
      <c r="W262" s="25"/>
    </row>
    <row r="263" spans="1:23" ht="22.5" customHeight="1">
      <c r="A263" s="20">
        <v>46074.745497685188</v>
      </c>
      <c r="B263" s="21" t="s">
        <v>2386</v>
      </c>
      <c r="C263" s="21" t="s">
        <v>2387</v>
      </c>
      <c r="D263" s="21" t="s">
        <v>24</v>
      </c>
      <c r="E263" s="22">
        <v>36615</v>
      </c>
      <c r="F263" s="21" t="s">
        <v>1053</v>
      </c>
      <c r="G263" s="21" t="s">
        <v>2388</v>
      </c>
      <c r="H263" s="21" t="s">
        <v>160</v>
      </c>
      <c r="I263" s="6" t="str">
        <f>VLOOKUP(CLEAN(F263),'World Bank Categories'!$B$4:$C$220,2,FALSE)</f>
        <v>High income</v>
      </c>
      <c r="J263" s="21" t="s">
        <v>2389</v>
      </c>
      <c r="K263" s="21" t="s">
        <v>29</v>
      </c>
      <c r="L263" s="21" t="s">
        <v>30</v>
      </c>
      <c r="M263" s="21"/>
      <c r="N263" s="21"/>
      <c r="O263" s="21"/>
      <c r="P263" s="21" t="s">
        <v>31</v>
      </c>
      <c r="Q263" s="9" t="s">
        <v>32</v>
      </c>
      <c r="R263" s="18" t="s">
        <v>43</v>
      </c>
      <c r="S263" s="25"/>
      <c r="T263" s="26"/>
      <c r="U263" s="25"/>
      <c r="V263" s="25"/>
      <c r="W263" s="25"/>
    </row>
    <row r="264" spans="1:23" ht="22.5" customHeight="1">
      <c r="A264" s="20">
        <v>46074.767384259256</v>
      </c>
      <c r="B264" s="21" t="s">
        <v>2390</v>
      </c>
      <c r="C264" s="21" t="s">
        <v>2391</v>
      </c>
      <c r="D264" s="21" t="s">
        <v>24</v>
      </c>
      <c r="E264" s="22">
        <v>37797</v>
      </c>
      <c r="F264" s="21" t="s">
        <v>1053</v>
      </c>
      <c r="G264" s="21" t="s">
        <v>2392</v>
      </c>
      <c r="H264" s="21" t="s">
        <v>160</v>
      </c>
      <c r="I264" s="6" t="str">
        <f>VLOOKUP(CLEAN(F264),'World Bank Categories'!$B$4:$C$220,2,FALSE)</f>
        <v>High income</v>
      </c>
      <c r="J264" s="21" t="s">
        <v>2393</v>
      </c>
      <c r="K264" s="21" t="s">
        <v>29</v>
      </c>
      <c r="L264" s="21" t="s">
        <v>30</v>
      </c>
      <c r="M264" s="21"/>
      <c r="N264" s="21"/>
      <c r="O264" s="21"/>
      <c r="P264" s="21" t="s">
        <v>31</v>
      </c>
      <c r="Q264" s="9" t="s">
        <v>32</v>
      </c>
      <c r="R264" s="10" t="s">
        <v>43</v>
      </c>
      <c r="S264" s="25" t="s">
        <v>2390</v>
      </c>
      <c r="T264" s="27">
        <v>37797</v>
      </c>
      <c r="U264" s="25" t="s">
        <v>2393</v>
      </c>
      <c r="V264" s="25" t="s">
        <v>80</v>
      </c>
      <c r="W264" s="25"/>
    </row>
    <row r="265" spans="1:23" ht="22.5" customHeight="1">
      <c r="A265" s="20">
        <v>46076.793553240743</v>
      </c>
      <c r="B265" s="21" t="s">
        <v>2394</v>
      </c>
      <c r="C265" s="38"/>
      <c r="D265" s="21" t="s">
        <v>24</v>
      </c>
      <c r="E265" s="22">
        <v>36175</v>
      </c>
      <c r="F265" s="21" t="s">
        <v>52</v>
      </c>
      <c r="G265" s="21" t="s">
        <v>2395</v>
      </c>
      <c r="H265" s="21" t="s">
        <v>2396</v>
      </c>
      <c r="I265" s="6" t="str">
        <f>VLOOKUP(CLEAN(F265),'World Bank Categories'!$B$4:$C$220,2,FALSE)</f>
        <v>Middle income</v>
      </c>
      <c r="J265" s="21" t="s">
        <v>2397</v>
      </c>
      <c r="K265" s="21" t="s">
        <v>29</v>
      </c>
      <c r="L265" s="21" t="s">
        <v>30</v>
      </c>
      <c r="M265" s="21"/>
      <c r="N265" s="21"/>
      <c r="O265" s="21"/>
      <c r="P265" s="21" t="s">
        <v>31</v>
      </c>
      <c r="Q265" s="9" t="s">
        <v>32</v>
      </c>
      <c r="R265" s="10" t="s">
        <v>43</v>
      </c>
      <c r="S265" s="25" t="s">
        <v>2398</v>
      </c>
      <c r="T265" s="26"/>
      <c r="U265" s="25"/>
      <c r="V265" s="25"/>
      <c r="W265" s="25"/>
    </row>
    <row r="266" spans="1:23" ht="22.5" customHeight="1">
      <c r="A266" s="20">
        <v>46078.314074074071</v>
      </c>
      <c r="B266" s="21" t="s">
        <v>2399</v>
      </c>
      <c r="C266" s="21" t="s">
        <v>2400</v>
      </c>
      <c r="D266" s="21" t="s">
        <v>24</v>
      </c>
      <c r="E266" s="22">
        <v>37677</v>
      </c>
      <c r="F266" s="21" t="s">
        <v>955</v>
      </c>
      <c r="G266" s="21" t="s">
        <v>2401</v>
      </c>
      <c r="H266" s="21" t="s">
        <v>2402</v>
      </c>
      <c r="I266" s="6" t="str">
        <f>VLOOKUP(CLEAN(F266),'World Bank Categories'!$B$4:$C$220,2,FALSE)</f>
        <v>High income</v>
      </c>
      <c r="J266" s="21" t="s">
        <v>2403</v>
      </c>
      <c r="K266" s="21" t="s">
        <v>29</v>
      </c>
      <c r="L266" s="21" t="s">
        <v>30</v>
      </c>
      <c r="M266" s="21"/>
      <c r="N266" s="21"/>
      <c r="O266" s="21"/>
      <c r="P266" s="21" t="s">
        <v>31</v>
      </c>
      <c r="Q266" s="9" t="s">
        <v>32</v>
      </c>
      <c r="R266" s="18" t="s">
        <v>43</v>
      </c>
      <c r="S266" s="25" t="s">
        <v>2399</v>
      </c>
      <c r="T266" s="27">
        <v>45713</v>
      </c>
      <c r="U266" s="25" t="s">
        <v>2404</v>
      </c>
      <c r="V266" s="25" t="s">
        <v>236</v>
      </c>
      <c r="W266" s="25"/>
    </row>
    <row r="267" spans="1:23" ht="22.5" customHeight="1">
      <c r="A267" s="20">
        <v>46078.314976851849</v>
      </c>
      <c r="B267" s="21" t="s">
        <v>2405</v>
      </c>
      <c r="C267" s="38"/>
      <c r="D267" s="21" t="s">
        <v>24</v>
      </c>
      <c r="E267" s="22">
        <v>37871</v>
      </c>
      <c r="F267" s="21" t="s">
        <v>955</v>
      </c>
      <c r="G267" s="21" t="s">
        <v>2406</v>
      </c>
      <c r="H267" s="21" t="s">
        <v>2407</v>
      </c>
      <c r="I267" s="6" t="str">
        <f>VLOOKUP(CLEAN(F267),'World Bank Categories'!$B$4:$C$220,2,FALSE)</f>
        <v>High income</v>
      </c>
      <c r="J267" s="21" t="s">
        <v>2408</v>
      </c>
      <c r="K267" s="21" t="s">
        <v>29</v>
      </c>
      <c r="L267" s="21" t="s">
        <v>30</v>
      </c>
      <c r="M267" s="21"/>
      <c r="N267" s="21"/>
      <c r="O267" s="21"/>
      <c r="P267" s="21" t="s">
        <v>31</v>
      </c>
      <c r="Q267" s="9" t="s">
        <v>32</v>
      </c>
      <c r="R267" s="10" t="s">
        <v>43</v>
      </c>
      <c r="S267" s="25" t="s">
        <v>2405</v>
      </c>
      <c r="T267" s="27">
        <v>37871</v>
      </c>
      <c r="U267" s="25" t="s">
        <v>2408</v>
      </c>
      <c r="V267" s="25" t="s">
        <v>80</v>
      </c>
      <c r="W267" s="25"/>
    </row>
    <row r="268" spans="1:23" ht="22.5" customHeight="1">
      <c r="A268" s="5">
        <v>46078.702383587966</v>
      </c>
      <c r="B268" s="6" t="s">
        <v>2409</v>
      </c>
      <c r="C268" s="6" t="s">
        <v>2410</v>
      </c>
      <c r="D268" s="6" t="s">
        <v>24</v>
      </c>
      <c r="E268" s="8">
        <v>39050</v>
      </c>
      <c r="F268" s="6" t="s">
        <v>1053</v>
      </c>
      <c r="G268" s="6" t="s">
        <v>2411</v>
      </c>
      <c r="H268" s="6" t="s">
        <v>66</v>
      </c>
      <c r="I268" s="6" t="str">
        <f>VLOOKUP(CLEAN(F268),'World Bank Categories'!$B$4:$C$220,2,FALSE)</f>
        <v>High income</v>
      </c>
      <c r="J268" s="6" t="s">
        <v>2412</v>
      </c>
      <c r="K268" s="6" t="s">
        <v>29</v>
      </c>
      <c r="L268" s="6" t="s">
        <v>30</v>
      </c>
      <c r="M268" s="7"/>
      <c r="N268" s="6"/>
      <c r="O268" s="6"/>
      <c r="P268" s="6" t="s">
        <v>31</v>
      </c>
      <c r="Q268" s="9" t="s">
        <v>32</v>
      </c>
      <c r="R268" s="18" t="s">
        <v>43</v>
      </c>
      <c r="S268" s="11" t="s">
        <v>2413</v>
      </c>
      <c r="T268" s="12"/>
      <c r="U268" s="12"/>
      <c r="V268" s="12"/>
      <c r="W268" s="12"/>
    </row>
    <row r="269" spans="1:23" ht="22.5" customHeight="1">
      <c r="A269" s="28">
        <v>46078.702731481484</v>
      </c>
      <c r="B269" s="29" t="s">
        <v>2414</v>
      </c>
      <c r="C269" s="29" t="s">
        <v>2415</v>
      </c>
      <c r="D269" s="29" t="s">
        <v>24</v>
      </c>
      <c r="E269" s="30">
        <v>35435</v>
      </c>
      <c r="F269" s="29" t="s">
        <v>1053</v>
      </c>
      <c r="G269" s="29" t="s">
        <v>2416</v>
      </c>
      <c r="H269" s="29" t="s">
        <v>160</v>
      </c>
      <c r="I269" s="6" t="str">
        <f>VLOOKUP(CLEAN(F269),'World Bank Categories'!$B$4:$C$220,2,FALSE)</f>
        <v>High income</v>
      </c>
      <c r="J269" s="29" t="s">
        <v>2417</v>
      </c>
      <c r="K269" s="29" t="s">
        <v>29</v>
      </c>
      <c r="L269" s="29" t="s">
        <v>30</v>
      </c>
      <c r="M269" s="29"/>
      <c r="N269" s="29"/>
      <c r="O269" s="29"/>
      <c r="P269" s="29" t="s">
        <v>31</v>
      </c>
      <c r="Q269" s="9" t="s">
        <v>32</v>
      </c>
      <c r="R269" s="10" t="s">
        <v>43</v>
      </c>
      <c r="S269" s="25" t="s">
        <v>2418</v>
      </c>
      <c r="T269" s="27">
        <v>35435</v>
      </c>
      <c r="U269" s="25" t="s">
        <v>2417</v>
      </c>
      <c r="V269" s="25" t="s">
        <v>154</v>
      </c>
      <c r="W269" s="25"/>
    </row>
    <row r="270" spans="1:23" ht="22.5" customHeight="1">
      <c r="A270" s="20">
        <v>46078.702835648146</v>
      </c>
      <c r="B270" s="21" t="s">
        <v>2419</v>
      </c>
      <c r="C270" s="21" t="s">
        <v>2420</v>
      </c>
      <c r="D270" s="21" t="s">
        <v>24</v>
      </c>
      <c r="E270" s="22">
        <v>37575</v>
      </c>
      <c r="F270" s="21" t="s">
        <v>1053</v>
      </c>
      <c r="G270" s="21" t="s">
        <v>2421</v>
      </c>
      <c r="H270" s="21" t="s">
        <v>66</v>
      </c>
      <c r="I270" s="6" t="str">
        <f>VLOOKUP(CLEAN(F270),'World Bank Categories'!$B$4:$C$220,2,FALSE)</f>
        <v>High income</v>
      </c>
      <c r="J270" s="21" t="s">
        <v>2422</v>
      </c>
      <c r="K270" s="21" t="s">
        <v>39</v>
      </c>
      <c r="L270" s="21" t="s">
        <v>162</v>
      </c>
      <c r="M270" s="21"/>
      <c r="N270" s="21"/>
      <c r="O270" s="21"/>
      <c r="P270" s="21" t="s">
        <v>31</v>
      </c>
      <c r="Q270" s="9" t="s">
        <v>32</v>
      </c>
      <c r="R270" s="18" t="s">
        <v>43</v>
      </c>
      <c r="S270" s="25" t="s">
        <v>2420</v>
      </c>
      <c r="T270" s="27">
        <v>37575</v>
      </c>
      <c r="U270" s="25" t="s">
        <v>2422</v>
      </c>
      <c r="V270" s="25" t="s">
        <v>463</v>
      </c>
      <c r="W270" s="25"/>
    </row>
    <row r="271" spans="1:23" ht="22.5" customHeight="1">
      <c r="A271" s="46">
        <v>46078.703460648147</v>
      </c>
      <c r="B271" s="47" t="s">
        <v>2423</v>
      </c>
      <c r="C271" s="47" t="s">
        <v>2424</v>
      </c>
      <c r="D271" s="47" t="s">
        <v>24</v>
      </c>
      <c r="E271" s="49">
        <v>38292</v>
      </c>
      <c r="F271" s="47" t="s">
        <v>1053</v>
      </c>
      <c r="G271" s="47" t="s">
        <v>2425</v>
      </c>
      <c r="H271" s="47" t="s">
        <v>66</v>
      </c>
      <c r="I271" s="6" t="str">
        <f>VLOOKUP(CLEAN(F271),'World Bank Categories'!$B$4:$C$220,2,FALSE)</f>
        <v>High income</v>
      </c>
      <c r="J271" s="47" t="s">
        <v>2426</v>
      </c>
      <c r="K271" s="47" t="s">
        <v>29</v>
      </c>
      <c r="L271" s="47" t="s">
        <v>30</v>
      </c>
      <c r="M271" s="47"/>
      <c r="N271" s="47"/>
      <c r="O271" s="47"/>
      <c r="P271" s="47" t="s">
        <v>31</v>
      </c>
      <c r="Q271" s="9" t="s">
        <v>32</v>
      </c>
      <c r="R271" s="10" t="s">
        <v>43</v>
      </c>
      <c r="S271" s="25" t="s">
        <v>2423</v>
      </c>
      <c r="T271" s="27">
        <v>38292</v>
      </c>
      <c r="U271" s="25" t="s">
        <v>2426</v>
      </c>
      <c r="V271" s="25" t="s">
        <v>80</v>
      </c>
      <c r="W271" s="25"/>
    </row>
    <row r="272" spans="1:23" ht="22.5" customHeight="1">
      <c r="A272" s="20">
        <v>46078.705289351848</v>
      </c>
      <c r="B272" s="21" t="s">
        <v>2427</v>
      </c>
      <c r="C272" s="21" t="s">
        <v>2428</v>
      </c>
      <c r="D272" s="21" t="s">
        <v>24</v>
      </c>
      <c r="E272" s="22">
        <v>38464</v>
      </c>
      <c r="F272" s="21" t="s">
        <v>1053</v>
      </c>
      <c r="G272" s="21" t="s">
        <v>2429</v>
      </c>
      <c r="H272" s="21" t="s">
        <v>160</v>
      </c>
      <c r="I272" s="6" t="str">
        <f>VLOOKUP(CLEAN(F272),'World Bank Categories'!$B$4:$C$220,2,FALSE)</f>
        <v>High income</v>
      </c>
      <c r="J272" s="21" t="s">
        <v>2430</v>
      </c>
      <c r="K272" s="21" t="s">
        <v>39</v>
      </c>
      <c r="L272" s="21" t="s">
        <v>621</v>
      </c>
      <c r="M272" s="21"/>
      <c r="N272" s="21"/>
      <c r="O272" s="21"/>
      <c r="P272" s="21" t="s">
        <v>31</v>
      </c>
      <c r="Q272" s="9" t="s">
        <v>32</v>
      </c>
      <c r="R272" s="18" t="s">
        <v>43</v>
      </c>
      <c r="S272" s="25" t="s">
        <v>2431</v>
      </c>
      <c r="T272" s="27">
        <v>38464</v>
      </c>
      <c r="U272" s="25" t="s">
        <v>2430</v>
      </c>
      <c r="V272" s="25" t="s">
        <v>154</v>
      </c>
      <c r="W272" s="25"/>
    </row>
    <row r="273" spans="1:23" ht="22.5" customHeight="1">
      <c r="A273" s="20">
        <v>46078.706226851849</v>
      </c>
      <c r="B273" s="21" t="s">
        <v>2432</v>
      </c>
      <c r="C273" s="21" t="s">
        <v>2433</v>
      </c>
      <c r="D273" s="21" t="s">
        <v>24</v>
      </c>
      <c r="E273" s="22">
        <v>38386</v>
      </c>
      <c r="F273" s="21" t="s">
        <v>1053</v>
      </c>
      <c r="G273" s="21" t="s">
        <v>2434</v>
      </c>
      <c r="H273" s="21" t="s">
        <v>160</v>
      </c>
      <c r="I273" s="6" t="str">
        <f>VLOOKUP(CLEAN(F273),'World Bank Categories'!$B$4:$C$220,2,FALSE)</f>
        <v>High income</v>
      </c>
      <c r="J273" s="21" t="s">
        <v>2435</v>
      </c>
      <c r="K273" s="21" t="s">
        <v>39</v>
      </c>
      <c r="L273" s="21" t="s">
        <v>152</v>
      </c>
      <c r="M273" s="21"/>
      <c r="N273" s="21"/>
      <c r="O273" s="21"/>
      <c r="P273" s="21" t="s">
        <v>31</v>
      </c>
      <c r="Q273" s="9" t="s">
        <v>32</v>
      </c>
      <c r="R273" s="10" t="s">
        <v>43</v>
      </c>
      <c r="S273" s="25" t="s">
        <v>2436</v>
      </c>
      <c r="T273" s="27">
        <v>38386</v>
      </c>
      <c r="U273" s="25" t="s">
        <v>2435</v>
      </c>
      <c r="V273" s="25" t="s">
        <v>154</v>
      </c>
      <c r="W273" s="25"/>
    </row>
    <row r="274" spans="1:23" ht="22.5" customHeight="1">
      <c r="A274" s="20">
        <v>46078.710069444445</v>
      </c>
      <c r="B274" s="21" t="s">
        <v>2437</v>
      </c>
      <c r="C274" s="21" t="s">
        <v>2438</v>
      </c>
      <c r="D274" s="21" t="s">
        <v>24</v>
      </c>
      <c r="E274" s="22">
        <v>37657</v>
      </c>
      <c r="F274" s="21" t="s">
        <v>1053</v>
      </c>
      <c r="G274" s="21" t="s">
        <v>2439</v>
      </c>
      <c r="H274" s="21" t="s">
        <v>368</v>
      </c>
      <c r="I274" s="6" t="str">
        <f>VLOOKUP(CLEAN(F274),'World Bank Categories'!$B$4:$C$220,2,FALSE)</f>
        <v>High income</v>
      </c>
      <c r="J274" s="21" t="s">
        <v>2440</v>
      </c>
      <c r="K274" s="21" t="s">
        <v>39</v>
      </c>
      <c r="L274" s="21" t="s">
        <v>1991</v>
      </c>
      <c r="M274" s="21"/>
      <c r="N274" s="21"/>
      <c r="O274" s="21"/>
      <c r="P274" s="21" t="s">
        <v>31</v>
      </c>
      <c r="Q274" s="9" t="s">
        <v>32</v>
      </c>
      <c r="R274" s="18" t="s">
        <v>43</v>
      </c>
      <c r="S274" s="25" t="s">
        <v>2441</v>
      </c>
      <c r="T274" s="27">
        <v>37657</v>
      </c>
      <c r="U274" s="25" t="s">
        <v>2440</v>
      </c>
      <c r="V274" s="25" t="s">
        <v>154</v>
      </c>
      <c r="W274" s="25"/>
    </row>
    <row r="275" spans="1:23" ht="22.5" customHeight="1">
      <c r="A275" s="20">
        <v>46078.7109837963</v>
      </c>
      <c r="B275" s="21" t="s">
        <v>2442</v>
      </c>
      <c r="C275" s="21" t="s">
        <v>2443</v>
      </c>
      <c r="D275" s="21" t="s">
        <v>24</v>
      </c>
      <c r="E275" s="22">
        <v>36664</v>
      </c>
      <c r="F275" s="21" t="s">
        <v>1053</v>
      </c>
      <c r="G275" s="21" t="s">
        <v>2444</v>
      </c>
      <c r="H275" s="21" t="s">
        <v>160</v>
      </c>
      <c r="I275" s="6" t="str">
        <f>VLOOKUP(CLEAN(F275),'World Bank Categories'!$B$4:$C$220,2,FALSE)</f>
        <v>High income</v>
      </c>
      <c r="J275" s="21" t="s">
        <v>2445</v>
      </c>
      <c r="K275" s="21" t="s">
        <v>39</v>
      </c>
      <c r="L275" s="21" t="s">
        <v>621</v>
      </c>
      <c r="M275" s="21"/>
      <c r="N275" s="21"/>
      <c r="O275" s="21"/>
      <c r="P275" s="21" t="s">
        <v>31</v>
      </c>
      <c r="Q275" s="9" t="s">
        <v>32</v>
      </c>
      <c r="R275" s="10" t="s">
        <v>43</v>
      </c>
      <c r="S275" s="25" t="s">
        <v>2446</v>
      </c>
      <c r="T275" s="27">
        <v>36664</v>
      </c>
      <c r="U275" s="25" t="s">
        <v>2445</v>
      </c>
      <c r="V275" s="25" t="s">
        <v>80</v>
      </c>
      <c r="W275" s="25"/>
    </row>
    <row r="276" spans="1:23" ht="22.5" customHeight="1">
      <c r="A276" s="28">
        <v>46078.711527777778</v>
      </c>
      <c r="B276" s="29" t="s">
        <v>2447</v>
      </c>
      <c r="C276" s="29" t="s">
        <v>2448</v>
      </c>
      <c r="D276" s="29" t="s">
        <v>24</v>
      </c>
      <c r="E276" s="30">
        <v>37132</v>
      </c>
      <c r="F276" s="29" t="s">
        <v>1053</v>
      </c>
      <c r="G276" s="29" t="s">
        <v>2449</v>
      </c>
      <c r="H276" s="29" t="s">
        <v>66</v>
      </c>
      <c r="I276" s="6" t="str">
        <f>VLOOKUP(CLEAN(F276),'World Bank Categories'!$B$4:$C$220,2,FALSE)</f>
        <v>High income</v>
      </c>
      <c r="J276" s="29" t="s">
        <v>2450</v>
      </c>
      <c r="K276" s="29" t="s">
        <v>29</v>
      </c>
      <c r="L276" s="29" t="s">
        <v>30</v>
      </c>
      <c r="M276" s="29"/>
      <c r="N276" s="29"/>
      <c r="O276" s="29"/>
      <c r="P276" s="29" t="s">
        <v>31</v>
      </c>
      <c r="Q276" s="9" t="s">
        <v>32</v>
      </c>
      <c r="R276" s="18" t="s">
        <v>43</v>
      </c>
      <c r="S276" s="25" t="s">
        <v>2451</v>
      </c>
      <c r="T276" s="27">
        <v>37132</v>
      </c>
      <c r="U276" s="25" t="s">
        <v>2450</v>
      </c>
      <c r="V276" s="25" t="s">
        <v>1192</v>
      </c>
      <c r="W276" s="25"/>
    </row>
    <row r="277" spans="1:23" ht="22.5" customHeight="1">
      <c r="A277" s="28">
        <v>46078.712523148148</v>
      </c>
      <c r="B277" s="29" t="s">
        <v>2452</v>
      </c>
      <c r="C277" s="29" t="s">
        <v>2453</v>
      </c>
      <c r="D277" s="29" t="s">
        <v>45</v>
      </c>
      <c r="E277" s="30">
        <v>37221</v>
      </c>
      <c r="F277" s="29" t="s">
        <v>1053</v>
      </c>
      <c r="G277" s="29" t="s">
        <v>2454</v>
      </c>
      <c r="H277" s="29" t="s">
        <v>66</v>
      </c>
      <c r="I277" s="6" t="str">
        <f>VLOOKUP(CLEAN(F277),'World Bank Categories'!$B$4:$C$220,2,FALSE)</f>
        <v>High income</v>
      </c>
      <c r="J277" s="29" t="s">
        <v>2455</v>
      </c>
      <c r="K277" s="29" t="s">
        <v>29</v>
      </c>
      <c r="L277" s="29" t="s">
        <v>30</v>
      </c>
      <c r="M277" s="29"/>
      <c r="N277" s="29"/>
      <c r="O277" s="29"/>
      <c r="P277" s="29" t="s">
        <v>31</v>
      </c>
      <c r="Q277" s="9" t="s">
        <v>32</v>
      </c>
      <c r="R277" s="10" t="s">
        <v>43</v>
      </c>
      <c r="S277" s="25" t="s">
        <v>2456</v>
      </c>
      <c r="T277" s="27">
        <v>37221</v>
      </c>
      <c r="U277" s="25" t="s">
        <v>2455</v>
      </c>
      <c r="V277" s="25" t="s">
        <v>154</v>
      </c>
      <c r="W277" s="25"/>
    </row>
    <row r="278" spans="1:23" ht="22.5" customHeight="1">
      <c r="A278" s="20">
        <v>46078.715509259258</v>
      </c>
      <c r="B278" s="21" t="s">
        <v>2457</v>
      </c>
      <c r="C278" s="21" t="s">
        <v>2458</v>
      </c>
      <c r="D278" s="21" t="s">
        <v>24</v>
      </c>
      <c r="E278" s="22">
        <v>38323</v>
      </c>
      <c r="F278" s="21" t="s">
        <v>1053</v>
      </c>
      <c r="G278" s="21" t="s">
        <v>2459</v>
      </c>
      <c r="H278" s="21" t="s">
        <v>66</v>
      </c>
      <c r="I278" s="6" t="str">
        <f>VLOOKUP(CLEAN(F278),'World Bank Categories'!$B$4:$C$220,2,FALSE)</f>
        <v>High income</v>
      </c>
      <c r="J278" s="21" t="s">
        <v>2460</v>
      </c>
      <c r="K278" s="21" t="s">
        <v>29</v>
      </c>
      <c r="L278" s="21" t="s">
        <v>30</v>
      </c>
      <c r="M278" s="21"/>
      <c r="N278" s="21"/>
      <c r="O278" s="21"/>
      <c r="P278" s="21" t="s">
        <v>31</v>
      </c>
      <c r="Q278" s="9" t="s">
        <v>32</v>
      </c>
      <c r="R278" s="18" t="s">
        <v>43</v>
      </c>
      <c r="S278" s="25" t="s">
        <v>2461</v>
      </c>
      <c r="T278" s="27">
        <v>38323</v>
      </c>
      <c r="U278" s="25" t="s">
        <v>2460</v>
      </c>
      <c r="V278" s="25" t="s">
        <v>154</v>
      </c>
      <c r="W278" s="25"/>
    </row>
    <row r="279" spans="1:23" ht="22.5" customHeight="1">
      <c r="A279" s="20">
        <v>46078.716423611113</v>
      </c>
      <c r="B279" s="21" t="s">
        <v>2462</v>
      </c>
      <c r="C279" s="21" t="s">
        <v>2463</v>
      </c>
      <c r="D279" s="21" t="s">
        <v>24</v>
      </c>
      <c r="E279" s="22">
        <v>35839</v>
      </c>
      <c r="F279" s="21" t="s">
        <v>1053</v>
      </c>
      <c r="G279" s="21" t="s">
        <v>2464</v>
      </c>
      <c r="H279" s="21" t="s">
        <v>2465</v>
      </c>
      <c r="I279" s="6" t="str">
        <f>VLOOKUP(CLEAN(F279),'World Bank Categories'!$B$4:$C$220,2,FALSE)</f>
        <v>High income</v>
      </c>
      <c r="J279" s="21" t="s">
        <v>2466</v>
      </c>
      <c r="K279" s="21" t="s">
        <v>29</v>
      </c>
      <c r="L279" s="21" t="s">
        <v>30</v>
      </c>
      <c r="M279" s="21"/>
      <c r="N279" s="21"/>
      <c r="O279" s="21"/>
      <c r="P279" s="21" t="s">
        <v>31</v>
      </c>
      <c r="Q279" s="9" t="s">
        <v>32</v>
      </c>
      <c r="R279" s="10" t="s">
        <v>43</v>
      </c>
      <c r="S279" s="25" t="s">
        <v>2462</v>
      </c>
      <c r="T279" s="27">
        <v>35839</v>
      </c>
      <c r="U279" s="25" t="s">
        <v>2466</v>
      </c>
      <c r="V279" s="25" t="s">
        <v>80</v>
      </c>
      <c r="W279" s="25"/>
    </row>
    <row r="280" spans="1:23" ht="22.5" customHeight="1">
      <c r="A280" s="20">
        <v>46078.719583333332</v>
      </c>
      <c r="B280" s="21" t="s">
        <v>2467</v>
      </c>
      <c r="C280" s="21" t="s">
        <v>2468</v>
      </c>
      <c r="D280" s="21" t="s">
        <v>24</v>
      </c>
      <c r="E280" s="22">
        <v>37390</v>
      </c>
      <c r="F280" s="21" t="s">
        <v>1053</v>
      </c>
      <c r="G280" s="21" t="s">
        <v>2469</v>
      </c>
      <c r="H280" s="21" t="s">
        <v>66</v>
      </c>
      <c r="I280" s="6" t="str">
        <f>VLOOKUP(CLEAN(F280),'World Bank Categories'!$B$4:$C$220,2,FALSE)</f>
        <v>High income</v>
      </c>
      <c r="J280" s="21" t="s">
        <v>2470</v>
      </c>
      <c r="K280" s="21" t="s">
        <v>29</v>
      </c>
      <c r="L280" s="21" t="s">
        <v>30</v>
      </c>
      <c r="M280" s="21"/>
      <c r="N280" s="21"/>
      <c r="O280" s="21"/>
      <c r="P280" s="21" t="s">
        <v>31</v>
      </c>
      <c r="Q280" s="9" t="s">
        <v>32</v>
      </c>
      <c r="R280" s="18" t="s">
        <v>43</v>
      </c>
      <c r="S280" s="25" t="s">
        <v>2467</v>
      </c>
      <c r="T280" s="27">
        <v>37390</v>
      </c>
      <c r="U280" s="25" t="s">
        <v>2470</v>
      </c>
      <c r="V280" s="25" t="s">
        <v>80</v>
      </c>
      <c r="W280" s="25"/>
    </row>
    <row r="281" spans="1:23" ht="22.5" customHeight="1">
      <c r="A281" s="20">
        <v>46078.739004629628</v>
      </c>
      <c r="B281" s="21" t="s">
        <v>2471</v>
      </c>
      <c r="C281" s="21" t="s">
        <v>2472</v>
      </c>
      <c r="D281" s="21" t="s">
        <v>45</v>
      </c>
      <c r="E281" s="22">
        <v>36540</v>
      </c>
      <c r="F281" s="21" t="s">
        <v>1053</v>
      </c>
      <c r="G281" s="21" t="s">
        <v>2473</v>
      </c>
      <c r="H281" s="21" t="s">
        <v>276</v>
      </c>
      <c r="I281" s="6" t="str">
        <f>VLOOKUP(CLEAN(F281),'World Bank Categories'!$B$4:$C$220,2,FALSE)</f>
        <v>High income</v>
      </c>
      <c r="J281" s="21" t="s">
        <v>2474</v>
      </c>
      <c r="K281" s="21" t="s">
        <v>39</v>
      </c>
      <c r="L281" s="21" t="s">
        <v>2475</v>
      </c>
      <c r="M281" s="21"/>
      <c r="N281" s="21"/>
      <c r="O281" s="21"/>
      <c r="P281" s="21" t="s">
        <v>31</v>
      </c>
      <c r="Q281" s="9" t="s">
        <v>32</v>
      </c>
      <c r="R281" s="10" t="s">
        <v>43</v>
      </c>
      <c r="S281" s="25" t="s">
        <v>2476</v>
      </c>
      <c r="T281" s="27">
        <v>36540</v>
      </c>
      <c r="U281" s="25" t="s">
        <v>2474</v>
      </c>
      <c r="V281" s="25" t="s">
        <v>80</v>
      </c>
      <c r="W281" s="25"/>
    </row>
    <row r="282" spans="1:23" ht="22.5" customHeight="1">
      <c r="A282" s="20">
        <v>46078.742581018516</v>
      </c>
      <c r="B282" s="21" t="s">
        <v>2477</v>
      </c>
      <c r="C282" s="21" t="s">
        <v>2478</v>
      </c>
      <c r="D282" s="21" t="s">
        <v>24</v>
      </c>
      <c r="E282" s="22">
        <v>38593</v>
      </c>
      <c r="F282" s="21" t="s">
        <v>1053</v>
      </c>
      <c r="G282" s="21" t="s">
        <v>2479</v>
      </c>
      <c r="H282" s="21" t="s">
        <v>66</v>
      </c>
      <c r="I282" s="6" t="str">
        <f>VLOOKUP(CLEAN(F282),'World Bank Categories'!$B$4:$C$220,2,FALSE)</f>
        <v>High income</v>
      </c>
      <c r="J282" s="21" t="s">
        <v>2480</v>
      </c>
      <c r="K282" s="21" t="s">
        <v>29</v>
      </c>
      <c r="L282" s="21" t="s">
        <v>30</v>
      </c>
      <c r="M282" s="21"/>
      <c r="N282" s="21"/>
      <c r="O282" s="21"/>
      <c r="P282" s="21" t="s">
        <v>31</v>
      </c>
      <c r="Q282" s="9" t="s">
        <v>32</v>
      </c>
      <c r="R282" s="18" t="s">
        <v>43</v>
      </c>
      <c r="S282" s="25" t="s">
        <v>2481</v>
      </c>
      <c r="T282" s="27">
        <v>38593</v>
      </c>
      <c r="U282" s="25" t="s">
        <v>2480</v>
      </c>
      <c r="V282" s="25" t="s">
        <v>154</v>
      </c>
      <c r="W282" s="25"/>
    </row>
    <row r="283" spans="1:23" ht="47.25" customHeight="1">
      <c r="A283" s="20">
        <v>46078.750011574077</v>
      </c>
      <c r="B283" s="21" t="s">
        <v>2482</v>
      </c>
      <c r="C283" s="21" t="s">
        <v>2483</v>
      </c>
      <c r="D283" s="21" t="s">
        <v>24</v>
      </c>
      <c r="E283" s="22">
        <v>34396</v>
      </c>
      <c r="F283" s="21" t="s">
        <v>1053</v>
      </c>
      <c r="G283" s="21" t="s">
        <v>1258</v>
      </c>
      <c r="H283" s="21" t="s">
        <v>2024</v>
      </c>
      <c r="I283" s="6" t="str">
        <f>VLOOKUP(CLEAN(F283),'World Bank Categories'!$B$4:$C$220,2,FALSE)</f>
        <v>High income</v>
      </c>
      <c r="J283" s="21" t="s">
        <v>2484</v>
      </c>
      <c r="K283" s="21" t="s">
        <v>39</v>
      </c>
      <c r="L283" s="21" t="s">
        <v>152</v>
      </c>
      <c r="M283" s="21"/>
      <c r="N283" s="21"/>
      <c r="O283" s="21"/>
      <c r="P283" s="21" t="s">
        <v>31</v>
      </c>
      <c r="Q283" s="9" t="s">
        <v>32</v>
      </c>
      <c r="R283" s="10" t="s">
        <v>43</v>
      </c>
      <c r="S283" s="25" t="s">
        <v>2482</v>
      </c>
      <c r="T283" s="27">
        <v>34396</v>
      </c>
      <c r="U283" s="25" t="s">
        <v>2484</v>
      </c>
      <c r="V283" s="25" t="s">
        <v>80</v>
      </c>
      <c r="W283" s="25"/>
    </row>
    <row r="284" spans="1:23" ht="22.5" customHeight="1">
      <c r="A284" s="20">
        <v>46078.758993055555</v>
      </c>
      <c r="B284" s="21" t="s">
        <v>2485</v>
      </c>
      <c r="C284" s="21" t="s">
        <v>2486</v>
      </c>
      <c r="D284" s="21" t="s">
        <v>24</v>
      </c>
      <c r="E284" s="22">
        <v>36963</v>
      </c>
      <c r="F284" s="21" t="s">
        <v>1053</v>
      </c>
      <c r="G284" s="21" t="s">
        <v>2487</v>
      </c>
      <c r="H284" s="21" t="s">
        <v>66</v>
      </c>
      <c r="I284" s="6" t="str">
        <f>VLOOKUP(CLEAN(F284),'World Bank Categories'!$B$4:$C$220,2,FALSE)</f>
        <v>High income</v>
      </c>
      <c r="J284" s="21" t="s">
        <v>2488</v>
      </c>
      <c r="K284" s="21" t="s">
        <v>39</v>
      </c>
      <c r="L284" s="21" t="s">
        <v>621</v>
      </c>
      <c r="M284" s="21"/>
      <c r="N284" s="21"/>
      <c r="O284" s="21"/>
      <c r="P284" s="21" t="s">
        <v>31</v>
      </c>
      <c r="Q284" s="9" t="s">
        <v>32</v>
      </c>
      <c r="R284" s="18" t="s">
        <v>43</v>
      </c>
      <c r="S284" s="25" t="s">
        <v>2485</v>
      </c>
      <c r="T284" s="27">
        <v>36963</v>
      </c>
      <c r="U284" s="25" t="s">
        <v>2488</v>
      </c>
      <c r="V284" s="25" t="s">
        <v>80</v>
      </c>
      <c r="W284" s="25"/>
    </row>
    <row r="285" spans="1:23" ht="22.5" customHeight="1">
      <c r="A285" s="20">
        <v>46078.983784722222</v>
      </c>
      <c r="B285" s="21" t="s">
        <v>2489</v>
      </c>
      <c r="C285" s="21" t="s">
        <v>2490</v>
      </c>
      <c r="D285" s="21" t="s">
        <v>24</v>
      </c>
      <c r="E285" s="22">
        <v>36641</v>
      </c>
      <c r="F285" s="21" t="s">
        <v>1053</v>
      </c>
      <c r="G285" s="21" t="s">
        <v>2353</v>
      </c>
      <c r="H285" s="21" t="s">
        <v>66</v>
      </c>
      <c r="I285" s="6" t="str">
        <f>VLOOKUP(CLEAN(F285),'World Bank Categories'!$B$4:$C$220,2,FALSE)</f>
        <v>High income</v>
      </c>
      <c r="J285" s="21" t="s">
        <v>2491</v>
      </c>
      <c r="K285" s="21" t="s">
        <v>29</v>
      </c>
      <c r="L285" s="21" t="s">
        <v>30</v>
      </c>
      <c r="M285" s="21"/>
      <c r="N285" s="21"/>
      <c r="O285" s="21"/>
      <c r="P285" s="21" t="s">
        <v>31</v>
      </c>
      <c r="Q285" s="9" t="s">
        <v>32</v>
      </c>
      <c r="R285" s="10" t="s">
        <v>43</v>
      </c>
      <c r="S285" s="25" t="s">
        <v>2492</v>
      </c>
      <c r="T285" s="27">
        <v>36641</v>
      </c>
      <c r="U285" s="25" t="s">
        <v>2491</v>
      </c>
      <c r="V285" s="25" t="s">
        <v>1967</v>
      </c>
      <c r="W285" s="25"/>
    </row>
    <row r="286" spans="1:23" ht="22.5" customHeight="1">
      <c r="A286" s="20">
        <v>46079.008171296293</v>
      </c>
      <c r="B286" s="21" t="s">
        <v>2493</v>
      </c>
      <c r="C286" s="21" t="s">
        <v>2494</v>
      </c>
      <c r="D286" s="21" t="s">
        <v>24</v>
      </c>
      <c r="E286" s="22">
        <v>38277</v>
      </c>
      <c r="F286" s="21" t="s">
        <v>1053</v>
      </c>
      <c r="G286" s="21" t="s">
        <v>2495</v>
      </c>
      <c r="H286" s="21" t="s">
        <v>66</v>
      </c>
      <c r="I286" s="6" t="str">
        <f>VLOOKUP(CLEAN(F286),'World Bank Categories'!$B$4:$C$220,2,FALSE)</f>
        <v>High income</v>
      </c>
      <c r="J286" s="21" t="s">
        <v>2496</v>
      </c>
      <c r="K286" s="21" t="s">
        <v>39</v>
      </c>
      <c r="L286" s="21" t="s">
        <v>152</v>
      </c>
      <c r="M286" s="21"/>
      <c r="N286" s="21"/>
      <c r="O286" s="21"/>
      <c r="P286" s="21" t="s">
        <v>31</v>
      </c>
      <c r="Q286" s="9" t="s">
        <v>32</v>
      </c>
      <c r="R286" s="18" t="s">
        <v>43</v>
      </c>
      <c r="S286" s="25" t="s">
        <v>2493</v>
      </c>
      <c r="T286" s="27">
        <v>38277</v>
      </c>
      <c r="U286" s="25" t="s">
        <v>2496</v>
      </c>
      <c r="V286" s="25" t="s">
        <v>80</v>
      </c>
      <c r="W286" s="25"/>
    </row>
    <row r="287" spans="1:23" ht="22.5" customHeight="1">
      <c r="A287" s="28">
        <v>46079.036712962959</v>
      </c>
      <c r="B287" s="29" t="s">
        <v>2497</v>
      </c>
      <c r="C287" s="29" t="s">
        <v>2498</v>
      </c>
      <c r="D287" s="29" t="s">
        <v>24</v>
      </c>
      <c r="E287" s="30">
        <v>38253</v>
      </c>
      <c r="F287" s="29" t="s">
        <v>1053</v>
      </c>
      <c r="G287" s="29" t="s">
        <v>2499</v>
      </c>
      <c r="H287" s="29" t="s">
        <v>578</v>
      </c>
      <c r="I287" s="6" t="str">
        <f>VLOOKUP(CLEAN(F287),'World Bank Categories'!$B$4:$C$220,2,FALSE)</f>
        <v>High income</v>
      </c>
      <c r="J287" s="29" t="s">
        <v>2500</v>
      </c>
      <c r="K287" s="29" t="s">
        <v>29</v>
      </c>
      <c r="L287" s="29" t="s">
        <v>30</v>
      </c>
      <c r="M287" s="29"/>
      <c r="N287" s="29"/>
      <c r="O287" s="29"/>
      <c r="P287" s="29" t="s">
        <v>31</v>
      </c>
      <c r="Q287" s="9" t="s">
        <v>32</v>
      </c>
      <c r="R287" s="10" t="s">
        <v>43</v>
      </c>
      <c r="S287" s="25" t="s">
        <v>2498</v>
      </c>
      <c r="T287" s="27">
        <v>38253</v>
      </c>
      <c r="U287" s="25" t="s">
        <v>2500</v>
      </c>
      <c r="V287" s="25" t="s">
        <v>463</v>
      </c>
      <c r="W287" s="25"/>
    </row>
    <row r="288" spans="1:23" ht="22.5" customHeight="1">
      <c r="A288" s="20">
        <v>46079.341226851851</v>
      </c>
      <c r="B288" s="21" t="s">
        <v>2501</v>
      </c>
      <c r="C288" s="38"/>
      <c r="D288" s="21" t="s">
        <v>24</v>
      </c>
      <c r="E288" s="22">
        <v>34944</v>
      </c>
      <c r="F288" s="21" t="s">
        <v>486</v>
      </c>
      <c r="G288" s="21" t="s">
        <v>2502</v>
      </c>
      <c r="H288" s="21" t="s">
        <v>2503</v>
      </c>
      <c r="I288" s="6" t="str">
        <f>VLOOKUP(CLEAN(F288),'World Bank Categories'!$B$4:$C$220,2,FALSE)</f>
        <v>High income</v>
      </c>
      <c r="J288" s="21" t="s">
        <v>2504</v>
      </c>
      <c r="K288" s="21" t="s">
        <v>29</v>
      </c>
      <c r="L288" s="21" t="s">
        <v>30</v>
      </c>
      <c r="M288" s="21"/>
      <c r="N288" s="21"/>
      <c r="O288" s="21"/>
      <c r="P288" s="21" t="s">
        <v>31</v>
      </c>
      <c r="Q288" s="9" t="s">
        <v>32</v>
      </c>
      <c r="R288" s="18" t="s">
        <v>33</v>
      </c>
      <c r="S288" s="25" t="s">
        <v>2505</v>
      </c>
      <c r="T288" s="27">
        <v>34944</v>
      </c>
      <c r="U288" s="25" t="s">
        <v>2504</v>
      </c>
      <c r="V288" s="25" t="s">
        <v>154</v>
      </c>
      <c r="W288" s="25"/>
    </row>
    <row r="289" spans="1:23" ht="22.5" customHeight="1">
      <c r="A289" s="20">
        <v>46080.035925925928</v>
      </c>
      <c r="B289" s="21" t="s">
        <v>2506</v>
      </c>
      <c r="C289" s="21" t="s">
        <v>2144</v>
      </c>
      <c r="D289" s="21" t="s">
        <v>24</v>
      </c>
      <c r="E289" s="22">
        <v>38604</v>
      </c>
      <c r="F289" s="21" t="s">
        <v>1053</v>
      </c>
      <c r="G289" s="21" t="s">
        <v>1258</v>
      </c>
      <c r="H289" s="21" t="s">
        <v>66</v>
      </c>
      <c r="I289" s="6" t="str">
        <f>VLOOKUP(CLEAN(F289),'World Bank Categories'!$B$4:$C$220,2,FALSE)</f>
        <v>High income</v>
      </c>
      <c r="J289" s="21" t="s">
        <v>2507</v>
      </c>
      <c r="K289" s="21" t="s">
        <v>39</v>
      </c>
      <c r="L289" s="21" t="s">
        <v>152</v>
      </c>
      <c r="M289" s="21"/>
      <c r="N289" s="21"/>
      <c r="O289" s="21"/>
      <c r="P289" s="21" t="s">
        <v>31</v>
      </c>
      <c r="Q289" s="9" t="s">
        <v>32</v>
      </c>
      <c r="R289" s="10" t="s">
        <v>43</v>
      </c>
      <c r="S289" s="25" t="s">
        <v>2506</v>
      </c>
      <c r="T289" s="27">
        <v>38604</v>
      </c>
      <c r="U289" s="25" t="s">
        <v>2507</v>
      </c>
      <c r="V289" s="25" t="s">
        <v>80</v>
      </c>
      <c r="W289" s="25"/>
    </row>
    <row r="290" spans="1:23" ht="22.5" customHeight="1">
      <c r="A290" s="20">
        <v>46080.037997685184</v>
      </c>
      <c r="B290" s="21" t="s">
        <v>2508</v>
      </c>
      <c r="C290" s="21" t="s">
        <v>2509</v>
      </c>
      <c r="D290" s="21" t="s">
        <v>45</v>
      </c>
      <c r="E290" s="22">
        <v>38670</v>
      </c>
      <c r="F290" s="21" t="s">
        <v>1053</v>
      </c>
      <c r="G290" s="21" t="s">
        <v>1258</v>
      </c>
      <c r="H290" s="21" t="s">
        <v>66</v>
      </c>
      <c r="I290" s="6" t="str">
        <f>VLOOKUP(CLEAN(F290),'World Bank Categories'!$B$4:$C$220,2,FALSE)</f>
        <v>High income</v>
      </c>
      <c r="J290" s="21" t="s">
        <v>2510</v>
      </c>
      <c r="K290" s="21" t="s">
        <v>39</v>
      </c>
      <c r="L290" s="21" t="s">
        <v>152</v>
      </c>
      <c r="M290" s="21"/>
      <c r="N290" s="21"/>
      <c r="O290" s="21"/>
      <c r="P290" s="21" t="s">
        <v>31</v>
      </c>
      <c r="Q290" s="9" t="s">
        <v>32</v>
      </c>
      <c r="R290" s="18" t="s">
        <v>43</v>
      </c>
      <c r="S290" s="25" t="s">
        <v>2511</v>
      </c>
      <c r="T290" s="27">
        <v>38670</v>
      </c>
      <c r="U290" s="25" t="s">
        <v>2510</v>
      </c>
      <c r="V290" s="25" t="s">
        <v>154</v>
      </c>
      <c r="W290" s="25"/>
    </row>
    <row r="291" spans="1:23" ht="22.5" customHeight="1">
      <c r="A291" s="28">
        <v>46080.042060185187</v>
      </c>
      <c r="B291" s="29" t="s">
        <v>2512</v>
      </c>
      <c r="C291" s="29" t="s">
        <v>2513</v>
      </c>
      <c r="D291" s="29" t="s">
        <v>24</v>
      </c>
      <c r="E291" s="30">
        <v>38524</v>
      </c>
      <c r="F291" s="29" t="s">
        <v>1053</v>
      </c>
      <c r="G291" s="29" t="s">
        <v>1258</v>
      </c>
      <c r="H291" s="29" t="s">
        <v>66</v>
      </c>
      <c r="I291" s="6" t="str">
        <f>VLOOKUP(CLEAN(F291),'World Bank Categories'!$B$4:$C$220,2,FALSE)</f>
        <v>High income</v>
      </c>
      <c r="J291" s="29" t="s">
        <v>2514</v>
      </c>
      <c r="K291" s="29" t="s">
        <v>39</v>
      </c>
      <c r="L291" s="29" t="s">
        <v>152</v>
      </c>
      <c r="M291" s="29" t="s">
        <v>2515</v>
      </c>
      <c r="N291" s="29"/>
      <c r="O291" s="29"/>
      <c r="P291" s="29" t="s">
        <v>31</v>
      </c>
      <c r="Q291" s="9" t="s">
        <v>32</v>
      </c>
      <c r="R291" s="10" t="s">
        <v>43</v>
      </c>
      <c r="S291" s="25" t="s">
        <v>2512</v>
      </c>
      <c r="T291" s="27">
        <v>38524</v>
      </c>
      <c r="U291" s="25" t="s">
        <v>2514</v>
      </c>
      <c r="V291" s="25" t="s">
        <v>80</v>
      </c>
      <c r="W291" s="25"/>
    </row>
    <row r="292" spans="1:23" ht="22.5" customHeight="1">
      <c r="A292" s="20">
        <v>46080.042071759257</v>
      </c>
      <c r="B292" s="21" t="s">
        <v>2516</v>
      </c>
      <c r="C292" s="21" t="s">
        <v>2517</v>
      </c>
      <c r="D292" s="21" t="s">
        <v>45</v>
      </c>
      <c r="E292" s="22">
        <v>38764</v>
      </c>
      <c r="F292" s="21" t="s">
        <v>1053</v>
      </c>
      <c r="G292" s="21" t="s">
        <v>1258</v>
      </c>
      <c r="H292" s="21" t="s">
        <v>160</v>
      </c>
      <c r="I292" s="6" t="str">
        <f>VLOOKUP(CLEAN(F292),'World Bank Categories'!$B$4:$C$220,2,FALSE)</f>
        <v>High income</v>
      </c>
      <c r="J292" s="21" t="s">
        <v>2518</v>
      </c>
      <c r="K292" s="21" t="s">
        <v>39</v>
      </c>
      <c r="L292" s="21" t="s">
        <v>152</v>
      </c>
      <c r="M292" s="21"/>
      <c r="N292" s="21"/>
      <c r="O292" s="21"/>
      <c r="P292" s="21" t="s">
        <v>31</v>
      </c>
      <c r="Q292" s="9" t="s">
        <v>32</v>
      </c>
      <c r="R292" s="18" t="s">
        <v>43</v>
      </c>
      <c r="S292" s="25" t="s">
        <v>2519</v>
      </c>
      <c r="T292" s="27">
        <v>38764</v>
      </c>
      <c r="U292" s="25" t="s">
        <v>2518</v>
      </c>
      <c r="V292" s="25" t="s">
        <v>1815</v>
      </c>
      <c r="W292" s="25"/>
    </row>
    <row r="293" spans="1:23" ht="22.5" customHeight="1">
      <c r="A293" s="20">
        <v>46080.053159722222</v>
      </c>
      <c r="B293" s="21" t="s">
        <v>2520</v>
      </c>
      <c r="C293" s="21" t="s">
        <v>2521</v>
      </c>
      <c r="D293" s="21" t="s">
        <v>24</v>
      </c>
      <c r="E293" s="22">
        <v>38723</v>
      </c>
      <c r="F293" s="21" t="s">
        <v>1053</v>
      </c>
      <c r="G293" s="21" t="s">
        <v>2522</v>
      </c>
      <c r="H293" s="21" t="s">
        <v>160</v>
      </c>
      <c r="I293" s="6" t="str">
        <f>VLOOKUP(CLEAN(F293),'World Bank Categories'!$B$4:$C$220,2,FALSE)</f>
        <v>High income</v>
      </c>
      <c r="J293" s="21" t="s">
        <v>2523</v>
      </c>
      <c r="K293" s="21" t="s">
        <v>29</v>
      </c>
      <c r="L293" s="21" t="s">
        <v>30</v>
      </c>
      <c r="M293" s="41"/>
      <c r="N293" s="21"/>
      <c r="O293" s="21"/>
      <c r="P293" s="21" t="s">
        <v>31</v>
      </c>
      <c r="Q293" s="9" t="s">
        <v>32</v>
      </c>
      <c r="R293" s="10" t="s">
        <v>43</v>
      </c>
      <c r="S293" s="25" t="s">
        <v>2524</v>
      </c>
      <c r="T293" s="27">
        <v>38723</v>
      </c>
      <c r="U293" s="25" t="s">
        <v>2523</v>
      </c>
      <c r="V293" s="25" t="s">
        <v>154</v>
      </c>
      <c r="W293" s="25"/>
    </row>
    <row r="294" spans="1:23" ht="22.5" customHeight="1">
      <c r="A294" s="20">
        <v>46080.209050925929</v>
      </c>
      <c r="B294" s="21" t="s">
        <v>2525</v>
      </c>
      <c r="C294" s="38"/>
      <c r="D294" s="21" t="s">
        <v>24</v>
      </c>
      <c r="E294" s="22">
        <v>36526</v>
      </c>
      <c r="F294" s="21" t="s">
        <v>1179</v>
      </c>
      <c r="G294" s="21" t="s">
        <v>2526</v>
      </c>
      <c r="H294" s="21" t="s">
        <v>138</v>
      </c>
      <c r="I294" s="6" t="str">
        <f>VLOOKUP(CLEAN(F294),'World Bank Categories'!$B$4:$C$220,2,FALSE)</f>
        <v>High income</v>
      </c>
      <c r="J294" s="21" t="s">
        <v>2527</v>
      </c>
      <c r="K294" s="21" t="s">
        <v>29</v>
      </c>
      <c r="L294" s="21" t="s">
        <v>30</v>
      </c>
      <c r="M294" s="21"/>
      <c r="N294" s="21"/>
      <c r="O294" s="21"/>
      <c r="P294" s="21" t="s">
        <v>31</v>
      </c>
      <c r="Q294" s="9" t="s">
        <v>32</v>
      </c>
      <c r="R294" s="18" t="s">
        <v>43</v>
      </c>
      <c r="S294" s="25" t="s">
        <v>2525</v>
      </c>
      <c r="T294" s="27">
        <v>36526</v>
      </c>
      <c r="U294" s="25" t="s">
        <v>2527</v>
      </c>
      <c r="V294" s="25" t="s">
        <v>80</v>
      </c>
      <c r="W294" s="25"/>
    </row>
    <row r="295" spans="1:23" ht="22.5" customHeight="1">
      <c r="A295" s="20">
        <v>46080.859664351854</v>
      </c>
      <c r="B295" s="21" t="s">
        <v>2528</v>
      </c>
      <c r="C295" s="38"/>
      <c r="D295" s="21" t="s">
        <v>24</v>
      </c>
      <c r="E295" s="22">
        <v>36108</v>
      </c>
      <c r="F295" s="21" t="s">
        <v>2529</v>
      </c>
      <c r="G295" s="21" t="s">
        <v>2530</v>
      </c>
      <c r="H295" s="21" t="s">
        <v>66</v>
      </c>
      <c r="I295" s="6" t="str">
        <f>VLOOKUP(CLEAN(F295),'World Bank Categories'!$B$4:$C$220,2,FALSE)</f>
        <v>Middle income</v>
      </c>
      <c r="J295" s="21" t="s">
        <v>2531</v>
      </c>
      <c r="K295" s="21" t="s">
        <v>29</v>
      </c>
      <c r="L295" s="21" t="s">
        <v>30</v>
      </c>
      <c r="M295" s="21"/>
      <c r="N295" s="21"/>
      <c r="O295" s="21"/>
      <c r="P295" s="21" t="s">
        <v>31</v>
      </c>
      <c r="Q295" s="9" t="s">
        <v>32</v>
      </c>
      <c r="R295" s="10" t="s">
        <v>33</v>
      </c>
      <c r="S295" s="25" t="s">
        <v>2532</v>
      </c>
      <c r="T295" s="27">
        <v>36108</v>
      </c>
      <c r="U295" s="25" t="s">
        <v>2531</v>
      </c>
      <c r="V295" s="25" t="s">
        <v>80</v>
      </c>
      <c r="W295" s="25"/>
    </row>
    <row r="296" spans="1:23" ht="22.5" customHeight="1">
      <c r="A296" s="46">
        <v>46080.868171296293</v>
      </c>
      <c r="B296" s="47" t="s">
        <v>2533</v>
      </c>
      <c r="C296" s="48"/>
      <c r="D296" s="47" t="s">
        <v>45</v>
      </c>
      <c r="E296" s="49">
        <v>36879</v>
      </c>
      <c r="F296" s="47" t="s">
        <v>52</v>
      </c>
      <c r="G296" s="47" t="s">
        <v>2534</v>
      </c>
      <c r="H296" s="47" t="s">
        <v>2535</v>
      </c>
      <c r="I296" s="6" t="str">
        <f>VLOOKUP(CLEAN(F296),'World Bank Categories'!$B$4:$C$220,2,FALSE)</f>
        <v>Middle income</v>
      </c>
      <c r="J296" s="47" t="s">
        <v>2536</v>
      </c>
      <c r="K296" s="47" t="s">
        <v>29</v>
      </c>
      <c r="L296" s="47" t="s">
        <v>30</v>
      </c>
      <c r="M296" s="47"/>
      <c r="N296" s="47"/>
      <c r="O296" s="47"/>
      <c r="P296" s="47" t="s">
        <v>31</v>
      </c>
      <c r="Q296" s="9" t="s">
        <v>32</v>
      </c>
      <c r="R296" s="18" t="s">
        <v>33</v>
      </c>
      <c r="S296" s="25" t="s">
        <v>2537</v>
      </c>
      <c r="T296" s="27">
        <v>36879</v>
      </c>
      <c r="U296" s="25" t="s">
        <v>2536</v>
      </c>
      <c r="V296" s="25" t="s">
        <v>154</v>
      </c>
      <c r="W296" s="25"/>
    </row>
    <row r="297" spans="1:23" ht="22.5" customHeight="1">
      <c r="A297" s="46">
        <v>46080.875451388885</v>
      </c>
      <c r="B297" s="47" t="s">
        <v>2540</v>
      </c>
      <c r="C297" s="48"/>
      <c r="D297" s="47" t="s">
        <v>45</v>
      </c>
      <c r="E297" s="49">
        <v>24098</v>
      </c>
      <c r="F297" s="47" t="s">
        <v>64</v>
      </c>
      <c r="G297" s="47" t="s">
        <v>2541</v>
      </c>
      <c r="H297" s="47" t="s">
        <v>2542</v>
      </c>
      <c r="I297" s="6" t="str">
        <f>VLOOKUP(CLEAN(F297),'World Bank Categories'!$B$4:$C$220,2,FALSE)</f>
        <v>Middle income</v>
      </c>
      <c r="J297" s="47" t="s">
        <v>2543</v>
      </c>
      <c r="K297" s="47" t="s">
        <v>29</v>
      </c>
      <c r="L297" s="47" t="s">
        <v>30</v>
      </c>
      <c r="M297" s="47"/>
      <c r="N297" s="47"/>
      <c r="O297" s="47"/>
      <c r="P297" s="47" t="s">
        <v>31</v>
      </c>
      <c r="Q297" s="9" t="s">
        <v>32</v>
      </c>
      <c r="R297" s="18" t="s">
        <v>33</v>
      </c>
      <c r="S297" s="25" t="s">
        <v>2544</v>
      </c>
      <c r="T297" s="27">
        <v>24098</v>
      </c>
      <c r="U297" s="25" t="s">
        <v>2543</v>
      </c>
      <c r="V297" s="25" t="s">
        <v>154</v>
      </c>
      <c r="W297" s="25"/>
    </row>
    <row r="298" spans="1:23" ht="22.5" customHeight="1">
      <c r="A298" s="20">
        <v>46080.878599537034</v>
      </c>
      <c r="B298" s="21" t="s">
        <v>2555</v>
      </c>
      <c r="C298" s="38"/>
      <c r="D298" s="21" t="s">
        <v>24</v>
      </c>
      <c r="E298" s="22">
        <v>35342</v>
      </c>
      <c r="F298" s="21" t="s">
        <v>2556</v>
      </c>
      <c r="G298" s="21" t="s">
        <v>2557</v>
      </c>
      <c r="H298" s="21" t="s">
        <v>2558</v>
      </c>
      <c r="I298" s="6" t="str">
        <f>VLOOKUP(CLEAN(F298),'World Bank Categories'!$B$4:$C$220,2,FALSE)</f>
        <v>Middle income</v>
      </c>
      <c r="J298" s="21" t="s">
        <v>2559</v>
      </c>
      <c r="K298" s="21" t="s">
        <v>29</v>
      </c>
      <c r="L298" s="21" t="s">
        <v>30</v>
      </c>
      <c r="M298" s="41"/>
      <c r="N298" s="21"/>
      <c r="O298" s="21"/>
      <c r="P298" s="21" t="s">
        <v>31</v>
      </c>
      <c r="Q298" s="9" t="s">
        <v>32</v>
      </c>
      <c r="R298" s="18" t="s">
        <v>33</v>
      </c>
      <c r="S298" s="25" t="s">
        <v>2555</v>
      </c>
      <c r="T298" s="27">
        <v>35342</v>
      </c>
      <c r="U298" s="25" t="s">
        <v>2559</v>
      </c>
      <c r="V298" s="25" t="s">
        <v>80</v>
      </c>
      <c r="W298" s="25"/>
    </row>
    <row r="299" spans="1:23" ht="22.5" customHeight="1">
      <c r="A299" s="50">
        <v>46080.885729166665</v>
      </c>
      <c r="B299" s="51" t="s">
        <v>2560</v>
      </c>
      <c r="C299" s="52"/>
      <c r="D299" s="51" t="s">
        <v>45</v>
      </c>
      <c r="E299" s="53">
        <v>36433</v>
      </c>
      <c r="F299" s="51" t="s">
        <v>652</v>
      </c>
      <c r="G299" s="51" t="s">
        <v>2561</v>
      </c>
      <c r="H299" s="51" t="s">
        <v>2562</v>
      </c>
      <c r="I299" s="6" t="str">
        <f>VLOOKUP(CLEAN(F299),'World Bank Categories'!$B$4:$C$220,2,FALSE)</f>
        <v>Middle income</v>
      </c>
      <c r="J299" s="51" t="s">
        <v>2563</v>
      </c>
      <c r="K299" s="51" t="s">
        <v>39</v>
      </c>
      <c r="L299" s="51" t="s">
        <v>152</v>
      </c>
      <c r="M299" s="51"/>
      <c r="N299" s="51"/>
      <c r="O299" s="51"/>
      <c r="P299" s="51" t="s">
        <v>31</v>
      </c>
      <c r="Q299" s="9" t="s">
        <v>32</v>
      </c>
      <c r="R299" s="10" t="s">
        <v>33</v>
      </c>
      <c r="S299" s="25" t="s">
        <v>2564</v>
      </c>
      <c r="T299" s="27">
        <v>36524</v>
      </c>
      <c r="U299" s="25" t="s">
        <v>2563</v>
      </c>
      <c r="V299" s="25" t="s">
        <v>2565</v>
      </c>
      <c r="W299" s="25"/>
    </row>
    <row r="300" spans="1:23" ht="22.5" customHeight="1">
      <c r="A300" s="20">
        <v>46080.886435185188</v>
      </c>
      <c r="B300" s="21" t="s">
        <v>2566</v>
      </c>
      <c r="C300" s="38"/>
      <c r="D300" s="21" t="s">
        <v>45</v>
      </c>
      <c r="E300" s="22">
        <v>27845</v>
      </c>
      <c r="F300" s="21" t="s">
        <v>416</v>
      </c>
      <c r="G300" s="21" t="s">
        <v>2567</v>
      </c>
      <c r="H300" s="21" t="s">
        <v>2568</v>
      </c>
      <c r="I300" s="6" t="str">
        <f>VLOOKUP(CLEAN(F300),'World Bank Categories'!$B$4:$C$220,2,FALSE)</f>
        <v>Middle income</v>
      </c>
      <c r="J300" s="21" t="s">
        <v>2569</v>
      </c>
      <c r="K300" s="21" t="s">
        <v>29</v>
      </c>
      <c r="L300" s="21" t="s">
        <v>30</v>
      </c>
      <c r="M300" s="21"/>
      <c r="N300" s="21"/>
      <c r="O300" s="21"/>
      <c r="P300" s="21" t="s">
        <v>31</v>
      </c>
      <c r="Q300" s="9" t="s">
        <v>32</v>
      </c>
      <c r="R300" s="18" t="s">
        <v>33</v>
      </c>
      <c r="S300" s="25" t="s">
        <v>2566</v>
      </c>
      <c r="T300" s="27">
        <v>27845</v>
      </c>
      <c r="U300" s="25" t="s">
        <v>2570</v>
      </c>
      <c r="V300" s="25" t="s">
        <v>80</v>
      </c>
      <c r="W300" s="25"/>
    </row>
    <row r="301" spans="1:23" ht="22.5" customHeight="1">
      <c r="A301" s="20">
        <v>46080.913981481484</v>
      </c>
      <c r="B301" s="21" t="s">
        <v>2577</v>
      </c>
      <c r="C301" s="21" t="s">
        <v>2578</v>
      </c>
      <c r="D301" s="21" t="s">
        <v>24</v>
      </c>
      <c r="E301" s="22">
        <v>34500</v>
      </c>
      <c r="F301" s="21" t="s">
        <v>52</v>
      </c>
      <c r="G301" s="21" t="s">
        <v>2579</v>
      </c>
      <c r="H301" s="21" t="s">
        <v>2580</v>
      </c>
      <c r="I301" s="6" t="str">
        <f>VLOOKUP(CLEAN(F301),'World Bank Categories'!$B$4:$C$220,2,FALSE)</f>
        <v>Middle income</v>
      </c>
      <c r="J301" s="21" t="s">
        <v>2581</v>
      </c>
      <c r="K301" s="21" t="s">
        <v>29</v>
      </c>
      <c r="L301" s="21" t="s">
        <v>30</v>
      </c>
      <c r="M301" s="21" t="s">
        <v>2582</v>
      </c>
      <c r="N301" s="21"/>
      <c r="O301" s="21"/>
      <c r="P301" s="21" t="s">
        <v>31</v>
      </c>
      <c r="Q301" s="9" t="s">
        <v>32</v>
      </c>
      <c r="R301" s="18" t="s">
        <v>33</v>
      </c>
      <c r="S301" s="25" t="s">
        <v>2577</v>
      </c>
      <c r="T301" s="27">
        <v>34500</v>
      </c>
      <c r="U301" s="25" t="s">
        <v>2581</v>
      </c>
      <c r="V301" s="25" t="s">
        <v>80</v>
      </c>
      <c r="W301" s="25"/>
    </row>
    <row r="302" spans="1:23" ht="22.5" customHeight="1">
      <c r="A302" s="20">
        <v>46080.932673611111</v>
      </c>
      <c r="B302" s="21" t="s">
        <v>2587</v>
      </c>
      <c r="C302" s="21" t="s">
        <v>2587</v>
      </c>
      <c r="D302" s="21" t="s">
        <v>45</v>
      </c>
      <c r="E302" s="22">
        <v>35634</v>
      </c>
      <c r="F302" s="21" t="s">
        <v>208</v>
      </c>
      <c r="G302" s="21" t="s">
        <v>2588</v>
      </c>
      <c r="H302" s="21" t="s">
        <v>2589</v>
      </c>
      <c r="I302" s="6" t="str">
        <f>VLOOKUP(CLEAN(F302),'World Bank Categories'!$B$4:$C$220,2,FALSE)</f>
        <v>Low income</v>
      </c>
      <c r="J302" s="21" t="s">
        <v>2590</v>
      </c>
      <c r="K302" s="21" t="s">
        <v>29</v>
      </c>
      <c r="L302" s="32">
        <v>46202</v>
      </c>
      <c r="M302" s="21"/>
      <c r="N302" s="21"/>
      <c r="O302" s="21"/>
      <c r="P302" s="21" t="s">
        <v>31</v>
      </c>
      <c r="Q302" s="9" t="s">
        <v>32</v>
      </c>
      <c r="R302" s="18" t="s">
        <v>33</v>
      </c>
      <c r="S302" s="25" t="s">
        <v>2587</v>
      </c>
      <c r="T302" s="27">
        <v>35634</v>
      </c>
      <c r="U302" s="25" t="s">
        <v>2590</v>
      </c>
      <c r="V302" s="25" t="s">
        <v>80</v>
      </c>
      <c r="W302" s="25"/>
    </row>
    <row r="303" spans="1:23" ht="22.5" customHeight="1">
      <c r="A303" s="28">
        <v>46080.938287037039</v>
      </c>
      <c r="B303" s="29" t="s">
        <v>2591</v>
      </c>
      <c r="C303" s="45"/>
      <c r="D303" s="29" t="s">
        <v>24</v>
      </c>
      <c r="E303" s="30">
        <v>35302</v>
      </c>
      <c r="F303" s="29" t="s">
        <v>475</v>
      </c>
      <c r="G303" s="29" t="s">
        <v>2592</v>
      </c>
      <c r="H303" s="29" t="s">
        <v>2593</v>
      </c>
      <c r="I303" s="6" t="str">
        <f>VLOOKUP(CLEAN(F303),'World Bank Categories'!$B$4:$C$220,2,FALSE)</f>
        <v>Middle income</v>
      </c>
      <c r="J303" s="29" t="s">
        <v>2594</v>
      </c>
      <c r="K303" s="29" t="s">
        <v>39</v>
      </c>
      <c r="L303" s="29" t="s">
        <v>30</v>
      </c>
      <c r="M303" s="29"/>
      <c r="N303" s="29"/>
      <c r="O303" s="29"/>
      <c r="P303" s="29" t="s">
        <v>31</v>
      </c>
      <c r="Q303" s="9" t="s">
        <v>32</v>
      </c>
      <c r="R303" s="10" t="s">
        <v>33</v>
      </c>
      <c r="S303" s="25" t="s">
        <v>2591</v>
      </c>
      <c r="T303" s="27">
        <v>35302</v>
      </c>
      <c r="U303" s="25" t="s">
        <v>2594</v>
      </c>
      <c r="V303" s="25" t="s">
        <v>80</v>
      </c>
      <c r="W303" s="25"/>
    </row>
    <row r="304" spans="1:23" ht="22.5" customHeight="1">
      <c r="A304" s="46">
        <v>46080.945185185185</v>
      </c>
      <c r="B304" s="47" t="s">
        <v>2595</v>
      </c>
      <c r="C304" s="48"/>
      <c r="D304" s="47" t="s">
        <v>45</v>
      </c>
      <c r="E304" s="49">
        <v>33632</v>
      </c>
      <c r="F304" s="47" t="s">
        <v>2596</v>
      </c>
      <c r="G304" s="47" t="s">
        <v>2597</v>
      </c>
      <c r="H304" s="47" t="s">
        <v>111</v>
      </c>
      <c r="I304" s="6" t="str">
        <f>VLOOKUP(CLEAN(F304),'World Bank Categories'!$B$4:$C$220,2,FALSE)</f>
        <v>Middle income</v>
      </c>
      <c r="J304" s="47" t="s">
        <v>2598</v>
      </c>
      <c r="K304" s="47" t="s">
        <v>39</v>
      </c>
      <c r="L304" s="47" t="s">
        <v>162</v>
      </c>
      <c r="M304" s="47"/>
      <c r="N304" s="47"/>
      <c r="O304" s="47"/>
      <c r="P304" s="47" t="s">
        <v>31</v>
      </c>
      <c r="Q304" s="9" t="s">
        <v>32</v>
      </c>
      <c r="R304" s="18" t="s">
        <v>33</v>
      </c>
      <c r="S304" s="25" t="s">
        <v>2595</v>
      </c>
      <c r="T304" s="27">
        <v>33632</v>
      </c>
      <c r="U304" s="25" t="s">
        <v>2598</v>
      </c>
      <c r="V304" s="25" t="s">
        <v>80</v>
      </c>
      <c r="W304" s="25"/>
    </row>
    <row r="305" spans="1:23" ht="22.5" customHeight="1">
      <c r="A305" s="28">
        <v>46080.951956018522</v>
      </c>
      <c r="B305" s="29" t="s">
        <v>2599</v>
      </c>
      <c r="C305" s="45"/>
      <c r="D305" s="29" t="s">
        <v>24</v>
      </c>
      <c r="E305" s="30">
        <v>46200</v>
      </c>
      <c r="F305" s="29" t="s">
        <v>470</v>
      </c>
      <c r="G305" s="29" t="s">
        <v>2600</v>
      </c>
      <c r="H305" s="29" t="s">
        <v>2601</v>
      </c>
      <c r="I305" s="6" t="str">
        <f>VLOOKUP(CLEAN(F305),'World Bank Categories'!$B$4:$C$220,2,FALSE)</f>
        <v>Middle income</v>
      </c>
      <c r="J305" s="29" t="s">
        <v>2602</v>
      </c>
      <c r="K305" s="29" t="s">
        <v>29</v>
      </c>
      <c r="L305" s="29" t="s">
        <v>30</v>
      </c>
      <c r="M305" s="29"/>
      <c r="N305" s="29"/>
      <c r="O305" s="29"/>
      <c r="P305" s="29" t="s">
        <v>31</v>
      </c>
      <c r="Q305" s="9" t="s">
        <v>32</v>
      </c>
      <c r="R305" s="10" t="s">
        <v>33</v>
      </c>
      <c r="S305" s="25" t="s">
        <v>2603</v>
      </c>
      <c r="T305" s="27">
        <v>37065</v>
      </c>
      <c r="U305" s="25" t="s">
        <v>2602</v>
      </c>
      <c r="V305" s="25" t="s">
        <v>114</v>
      </c>
      <c r="W305" s="25"/>
    </row>
    <row r="306" spans="1:23" ht="22.5" customHeight="1">
      <c r="A306" s="28">
        <v>46080.955277777779</v>
      </c>
      <c r="B306" s="29" t="s">
        <v>2604</v>
      </c>
      <c r="C306" s="45"/>
      <c r="D306" s="29" t="s">
        <v>24</v>
      </c>
      <c r="E306" s="30">
        <v>28446</v>
      </c>
      <c r="F306" s="29" t="s">
        <v>1063</v>
      </c>
      <c r="G306" s="29" t="s">
        <v>2605</v>
      </c>
      <c r="H306" s="29" t="s">
        <v>2606</v>
      </c>
      <c r="I306" s="6" t="str">
        <f>VLOOKUP(CLEAN(F306),'World Bank Categories'!$B$4:$C$220,2,FALSE)</f>
        <v>Middle income</v>
      </c>
      <c r="J306" s="29" t="s">
        <v>2607</v>
      </c>
      <c r="K306" s="29" t="s">
        <v>39</v>
      </c>
      <c r="L306" s="29" t="s">
        <v>30</v>
      </c>
      <c r="M306" s="29"/>
      <c r="N306" s="29"/>
      <c r="O306" s="29"/>
      <c r="P306" s="29" t="s">
        <v>31</v>
      </c>
      <c r="Q306" s="9" t="s">
        <v>32</v>
      </c>
      <c r="R306" s="18" t="s">
        <v>33</v>
      </c>
      <c r="S306" s="25" t="s">
        <v>2604</v>
      </c>
      <c r="T306" s="27">
        <v>28446</v>
      </c>
      <c r="U306" s="25" t="s">
        <v>2607</v>
      </c>
      <c r="V306" s="25" t="s">
        <v>80</v>
      </c>
      <c r="W306" s="25"/>
    </row>
    <row r="307" spans="1:23" ht="22.5" customHeight="1">
      <c r="A307" s="28">
        <v>46081.001759259256</v>
      </c>
      <c r="B307" s="29" t="s">
        <v>2608</v>
      </c>
      <c r="C307" s="45"/>
      <c r="D307" s="29" t="s">
        <v>45</v>
      </c>
      <c r="E307" s="30">
        <v>34121</v>
      </c>
      <c r="F307" s="21" t="s">
        <v>980</v>
      </c>
      <c r="G307" s="29" t="s">
        <v>2609</v>
      </c>
      <c r="H307" s="29" t="s">
        <v>111</v>
      </c>
      <c r="I307" s="6" t="str">
        <f>VLOOKUP(CLEAN(F307),'World Bank Categories'!$B$4:$C$220,2,FALSE)</f>
        <v>Middle income</v>
      </c>
      <c r="J307" s="29" t="s">
        <v>2610</v>
      </c>
      <c r="K307" s="29" t="s">
        <v>29</v>
      </c>
      <c r="L307" s="29" t="s">
        <v>152</v>
      </c>
      <c r="M307" s="29"/>
      <c r="N307" s="29"/>
      <c r="O307" s="29"/>
      <c r="P307" s="29" t="s">
        <v>31</v>
      </c>
      <c r="Q307" s="9" t="s">
        <v>32</v>
      </c>
      <c r="R307" s="10" t="s">
        <v>33</v>
      </c>
      <c r="S307" s="25" t="s">
        <v>2608</v>
      </c>
      <c r="T307" s="27">
        <v>34121</v>
      </c>
      <c r="U307" s="25" t="s">
        <v>2611</v>
      </c>
      <c r="V307" s="25" t="s">
        <v>80</v>
      </c>
      <c r="W307" s="25"/>
    </row>
    <row r="308" spans="1:23" ht="22.5" customHeight="1">
      <c r="A308" s="28">
        <v>46081.022592592592</v>
      </c>
      <c r="B308" s="29" t="s">
        <v>2612</v>
      </c>
      <c r="C308" s="45"/>
      <c r="D308" s="29" t="s">
        <v>45</v>
      </c>
      <c r="E308" s="30">
        <v>28807</v>
      </c>
      <c r="F308" s="29" t="s">
        <v>1316</v>
      </c>
      <c r="G308" s="29" t="s">
        <v>2613</v>
      </c>
      <c r="H308" s="29" t="s">
        <v>738</v>
      </c>
      <c r="I308" s="6" t="str">
        <f>VLOOKUP(CLEAN(F308),'World Bank Categories'!$B$4:$C$220,2,FALSE)</f>
        <v>Low income</v>
      </c>
      <c r="J308" s="29" t="s">
        <v>2614</v>
      </c>
      <c r="K308" s="29" t="s">
        <v>39</v>
      </c>
      <c r="L308" s="29" t="s">
        <v>162</v>
      </c>
      <c r="M308" s="29"/>
      <c r="N308" s="29"/>
      <c r="O308" s="29"/>
      <c r="P308" s="29" t="s">
        <v>31</v>
      </c>
      <c r="Q308" s="9" t="s">
        <v>32</v>
      </c>
      <c r="R308" s="18" t="s">
        <v>33</v>
      </c>
      <c r="S308" s="25" t="s">
        <v>2615</v>
      </c>
      <c r="T308" s="27">
        <v>28807</v>
      </c>
      <c r="U308" s="25" t="s">
        <v>2614</v>
      </c>
      <c r="V308" s="25" t="s">
        <v>80</v>
      </c>
      <c r="W308" s="25"/>
    </row>
    <row r="309" spans="1:23" ht="22.5" customHeight="1">
      <c r="A309" s="46">
        <v>46081.028078703705</v>
      </c>
      <c r="B309" s="47" t="s">
        <v>2616</v>
      </c>
      <c r="C309" s="48"/>
      <c r="D309" s="47" t="s">
        <v>24</v>
      </c>
      <c r="E309" s="49">
        <v>24960</v>
      </c>
      <c r="F309" s="47" t="s">
        <v>1179</v>
      </c>
      <c r="G309" s="47" t="s">
        <v>2617</v>
      </c>
      <c r="H309" s="47" t="s">
        <v>66</v>
      </c>
      <c r="I309" s="6" t="str">
        <f>VLOOKUP(CLEAN(F309),'World Bank Categories'!$B$4:$C$220,2,FALSE)</f>
        <v>High income</v>
      </c>
      <c r="J309" s="47" t="s">
        <v>2618</v>
      </c>
      <c r="K309" s="47" t="s">
        <v>29</v>
      </c>
      <c r="L309" s="47" t="s">
        <v>30</v>
      </c>
      <c r="M309" s="47" t="s">
        <v>2619</v>
      </c>
      <c r="N309" s="47"/>
      <c r="O309" s="47"/>
      <c r="P309" s="47" t="s">
        <v>31</v>
      </c>
      <c r="Q309" s="9" t="s">
        <v>32</v>
      </c>
      <c r="R309" s="10" t="s">
        <v>33</v>
      </c>
      <c r="S309" s="25" t="s">
        <v>2616</v>
      </c>
      <c r="T309" s="27">
        <v>46052</v>
      </c>
      <c r="U309" s="25" t="s">
        <v>2618</v>
      </c>
      <c r="V309" s="25" t="s">
        <v>236</v>
      </c>
      <c r="W309" s="25"/>
    </row>
    <row r="310" spans="1:23" ht="22.5" customHeight="1">
      <c r="A310" s="20">
        <v>46081.049039351848</v>
      </c>
      <c r="B310" s="21" t="s">
        <v>2620</v>
      </c>
      <c r="C310" s="38"/>
      <c r="D310" s="21" t="s">
        <v>24</v>
      </c>
      <c r="E310" s="22">
        <v>33387</v>
      </c>
      <c r="F310" s="21" t="s">
        <v>438</v>
      </c>
      <c r="G310" s="21" t="s">
        <v>2621</v>
      </c>
      <c r="H310" s="21" t="s">
        <v>2622</v>
      </c>
      <c r="I310" s="6" t="str">
        <f>VLOOKUP(CLEAN(F310),'World Bank Categories'!$B$4:$C$220,2,FALSE)</f>
        <v>Middle income</v>
      </c>
      <c r="J310" s="21" t="s">
        <v>2623</v>
      </c>
      <c r="K310" s="21" t="s">
        <v>39</v>
      </c>
      <c r="L310" s="21" t="s">
        <v>30</v>
      </c>
      <c r="M310" s="21"/>
      <c r="N310" s="21"/>
      <c r="O310" s="21"/>
      <c r="P310" s="21" t="s">
        <v>31</v>
      </c>
      <c r="Q310" s="9" t="s">
        <v>32</v>
      </c>
      <c r="R310" s="18" t="s">
        <v>33</v>
      </c>
      <c r="S310" s="25" t="s">
        <v>2624</v>
      </c>
      <c r="T310" s="27">
        <v>33387</v>
      </c>
      <c r="U310" s="25" t="s">
        <v>2623</v>
      </c>
      <c r="V310" s="25" t="s">
        <v>80</v>
      </c>
      <c r="W310" s="25"/>
    </row>
    <row r="311" spans="1:23" ht="22.5" customHeight="1">
      <c r="A311" s="28">
        <v>46081.069374999999</v>
      </c>
      <c r="B311" s="29" t="s">
        <v>2625</v>
      </c>
      <c r="C311" s="45"/>
      <c r="D311" s="29" t="s">
        <v>24</v>
      </c>
      <c r="E311" s="30">
        <v>33925</v>
      </c>
      <c r="F311" s="29" t="s">
        <v>438</v>
      </c>
      <c r="G311" s="29" t="s">
        <v>1068</v>
      </c>
      <c r="H311" s="29" t="s">
        <v>957</v>
      </c>
      <c r="I311" s="6" t="str">
        <f>VLOOKUP(CLEAN(F311),'World Bank Categories'!$B$4:$C$220,2,FALSE)</f>
        <v>Middle income</v>
      </c>
      <c r="J311" s="29" t="s">
        <v>2626</v>
      </c>
      <c r="K311" s="29" t="s">
        <v>39</v>
      </c>
      <c r="L311" s="29" t="s">
        <v>30</v>
      </c>
      <c r="M311" s="29"/>
      <c r="N311" s="29"/>
      <c r="O311" s="29"/>
      <c r="P311" s="29" t="s">
        <v>31</v>
      </c>
      <c r="Q311" s="9" t="s">
        <v>32</v>
      </c>
      <c r="R311" s="10" t="s">
        <v>33</v>
      </c>
      <c r="S311" s="25" t="s">
        <v>2627</v>
      </c>
      <c r="T311" s="27">
        <v>33925</v>
      </c>
      <c r="U311" s="25" t="s">
        <v>2626</v>
      </c>
      <c r="V311" s="25" t="s">
        <v>1670</v>
      </c>
      <c r="W311" s="25"/>
    </row>
    <row r="312" spans="1:23" ht="22.5" customHeight="1">
      <c r="A312" s="28">
        <v>46081.076956018522</v>
      </c>
      <c r="B312" s="29" t="s">
        <v>2628</v>
      </c>
      <c r="C312" s="45"/>
      <c r="D312" s="29" t="s">
        <v>24</v>
      </c>
      <c r="E312" s="30">
        <v>19023</v>
      </c>
      <c r="F312" s="29" t="s">
        <v>1316</v>
      </c>
      <c r="G312" s="29" t="s">
        <v>2629</v>
      </c>
      <c r="H312" s="29" t="s">
        <v>2630</v>
      </c>
      <c r="I312" s="6" t="str">
        <f>VLOOKUP(CLEAN(F312),'World Bank Categories'!$B$4:$C$220,2,FALSE)</f>
        <v>Low income</v>
      </c>
      <c r="J312" s="29" t="s">
        <v>2631</v>
      </c>
      <c r="K312" s="29" t="s">
        <v>39</v>
      </c>
      <c r="L312" s="29" t="s">
        <v>152</v>
      </c>
      <c r="M312" s="29"/>
      <c r="N312" s="29"/>
      <c r="O312" s="29"/>
      <c r="P312" s="29" t="s">
        <v>31</v>
      </c>
      <c r="Q312" s="9" t="s">
        <v>32</v>
      </c>
      <c r="R312" s="18" t="s">
        <v>33</v>
      </c>
      <c r="S312" s="25" t="s">
        <v>2632</v>
      </c>
      <c r="T312" s="27">
        <v>19023</v>
      </c>
      <c r="U312" s="25" t="s">
        <v>2631</v>
      </c>
      <c r="V312" s="25" t="s">
        <v>80</v>
      </c>
      <c r="W312" s="25"/>
    </row>
    <row r="313" spans="1:23" ht="22.5" customHeight="1">
      <c r="A313" s="28">
        <v>46081.111898148149</v>
      </c>
      <c r="B313" s="29" t="s">
        <v>2633</v>
      </c>
      <c r="C313" s="29" t="s">
        <v>2634</v>
      </c>
      <c r="D313" s="29" t="s">
        <v>45</v>
      </c>
      <c r="E313" s="30">
        <v>28090</v>
      </c>
      <c r="F313" s="29" t="s">
        <v>1316</v>
      </c>
      <c r="G313" s="29" t="s">
        <v>2613</v>
      </c>
      <c r="H313" s="29" t="s">
        <v>2635</v>
      </c>
      <c r="I313" s="6" t="str">
        <f>VLOOKUP(CLEAN(F313),'World Bank Categories'!$B$4:$C$220,2,FALSE)</f>
        <v>Low income</v>
      </c>
      <c r="J313" s="29" t="s">
        <v>2636</v>
      </c>
      <c r="K313" s="29" t="s">
        <v>39</v>
      </c>
      <c r="L313" s="29" t="s">
        <v>30</v>
      </c>
      <c r="M313" s="29"/>
      <c r="N313" s="29"/>
      <c r="O313" s="29"/>
      <c r="P313" s="29" t="s">
        <v>31</v>
      </c>
      <c r="Q313" s="9" t="s">
        <v>32</v>
      </c>
      <c r="R313" s="10" t="s">
        <v>33</v>
      </c>
      <c r="S313" s="25" t="s">
        <v>2633</v>
      </c>
      <c r="T313" s="27">
        <v>28090</v>
      </c>
      <c r="U313" s="25" t="s">
        <v>2636</v>
      </c>
      <c r="V313" s="25" t="s">
        <v>80</v>
      </c>
      <c r="W313" s="25"/>
    </row>
    <row r="314" spans="1:23" ht="22.5" customHeight="1">
      <c r="A314" s="46">
        <v>46081.14634259259</v>
      </c>
      <c r="B314" s="47" t="s">
        <v>2641</v>
      </c>
      <c r="C314" s="48"/>
      <c r="D314" s="47" t="s">
        <v>24</v>
      </c>
      <c r="E314" s="49">
        <v>37659</v>
      </c>
      <c r="F314" s="21" t="s">
        <v>208</v>
      </c>
      <c r="G314" s="47" t="s">
        <v>2642</v>
      </c>
      <c r="H314" s="47" t="s">
        <v>66</v>
      </c>
      <c r="I314" s="6" t="str">
        <f>VLOOKUP(CLEAN(F314),'World Bank Categories'!$B$4:$C$220,2,FALSE)</f>
        <v>Low income</v>
      </c>
      <c r="J314" s="47" t="s">
        <v>2643</v>
      </c>
      <c r="K314" s="47" t="s">
        <v>39</v>
      </c>
      <c r="L314" s="47" t="s">
        <v>30</v>
      </c>
      <c r="M314" s="47"/>
      <c r="N314" s="47"/>
      <c r="O314" s="47"/>
      <c r="P314" s="47" t="s">
        <v>31</v>
      </c>
      <c r="Q314" s="9" t="s">
        <v>32</v>
      </c>
      <c r="R314" s="18" t="s">
        <v>33</v>
      </c>
      <c r="S314" s="25" t="s">
        <v>2641</v>
      </c>
      <c r="T314" s="27">
        <v>37659</v>
      </c>
      <c r="U314" s="25" t="s">
        <v>2643</v>
      </c>
      <c r="V314" s="25" t="s">
        <v>80</v>
      </c>
      <c r="W314" s="25"/>
    </row>
    <row r="315" spans="1:23" ht="22.5" customHeight="1">
      <c r="A315" s="28">
        <v>46081.1641087963</v>
      </c>
      <c r="B315" s="29" t="s">
        <v>2644</v>
      </c>
      <c r="C315" s="45"/>
      <c r="D315" s="29" t="s">
        <v>45</v>
      </c>
      <c r="E315" s="30">
        <v>36941</v>
      </c>
      <c r="F315" s="21" t="s">
        <v>208</v>
      </c>
      <c r="G315" s="29" t="s">
        <v>2645</v>
      </c>
      <c r="H315" s="29" t="s">
        <v>2646</v>
      </c>
      <c r="I315" s="6" t="str">
        <f>VLOOKUP(CLEAN(F315),'World Bank Categories'!$B$4:$C$220,2,FALSE)</f>
        <v>Low income</v>
      </c>
      <c r="J315" s="29" t="s">
        <v>2647</v>
      </c>
      <c r="K315" s="29" t="s">
        <v>39</v>
      </c>
      <c r="L315" s="29" t="s">
        <v>30</v>
      </c>
      <c r="M315" s="29"/>
      <c r="N315" s="29"/>
      <c r="O315" s="29"/>
      <c r="P315" s="29" t="s">
        <v>31</v>
      </c>
      <c r="Q315" s="9" t="s">
        <v>32</v>
      </c>
      <c r="R315" s="10" t="s">
        <v>2648</v>
      </c>
      <c r="S315" s="25" t="s">
        <v>2644</v>
      </c>
      <c r="T315" s="27">
        <v>36941</v>
      </c>
      <c r="U315" s="25" t="s">
        <v>2649</v>
      </c>
      <c r="V315" s="25" t="s">
        <v>101</v>
      </c>
      <c r="W315" s="25"/>
    </row>
    <row r="316" spans="1:23" ht="22.5" customHeight="1">
      <c r="A316" s="35">
        <v>46081.198796296296</v>
      </c>
      <c r="B316" s="36" t="s">
        <v>2653</v>
      </c>
      <c r="C316" s="55"/>
      <c r="D316" s="36" t="s">
        <v>24</v>
      </c>
      <c r="E316" s="37">
        <v>33190</v>
      </c>
      <c r="F316" s="36" t="s">
        <v>623</v>
      </c>
      <c r="G316" s="36" t="s">
        <v>2654</v>
      </c>
      <c r="H316" s="36" t="s">
        <v>2655</v>
      </c>
      <c r="I316" s="6" t="str">
        <f>VLOOKUP(CLEAN(F316),'World Bank Categories'!$B$4:$C$220,2,FALSE)</f>
        <v>Middle income</v>
      </c>
      <c r="J316" s="36" t="s">
        <v>2656</v>
      </c>
      <c r="K316" s="36" t="s">
        <v>29</v>
      </c>
      <c r="L316" s="36" t="s">
        <v>30</v>
      </c>
      <c r="M316" s="36"/>
      <c r="N316" s="36"/>
      <c r="O316" s="36"/>
      <c r="P316" s="36" t="s">
        <v>31</v>
      </c>
      <c r="Q316" s="9" t="s">
        <v>32</v>
      </c>
      <c r="R316" s="10" t="s">
        <v>33</v>
      </c>
      <c r="S316" s="25" t="s">
        <v>2653</v>
      </c>
      <c r="T316" s="27">
        <v>33190</v>
      </c>
      <c r="U316" s="25" t="s">
        <v>2656</v>
      </c>
      <c r="V316" s="25" t="s">
        <v>80</v>
      </c>
      <c r="W316" s="25"/>
    </row>
    <row r="317" spans="1:23" ht="22.5" customHeight="1">
      <c r="A317" s="20">
        <v>46081.22179398148</v>
      </c>
      <c r="B317" s="21" t="s">
        <v>2657</v>
      </c>
      <c r="C317" s="38"/>
      <c r="D317" s="21" t="s">
        <v>24</v>
      </c>
      <c r="E317" s="22">
        <v>30314</v>
      </c>
      <c r="F317" s="21" t="s">
        <v>198</v>
      </c>
      <c r="G317" s="21" t="s">
        <v>586</v>
      </c>
      <c r="H317" s="21" t="s">
        <v>882</v>
      </c>
      <c r="I317" s="6" t="str">
        <f>VLOOKUP(CLEAN(F317),'World Bank Categories'!$B$4:$C$220,2,FALSE)</f>
        <v>Middle income</v>
      </c>
      <c r="J317" s="21" t="s">
        <v>2658</v>
      </c>
      <c r="K317" s="21" t="s">
        <v>29</v>
      </c>
      <c r="L317" s="21" t="s">
        <v>30</v>
      </c>
      <c r="M317" s="21" t="s">
        <v>2659</v>
      </c>
      <c r="N317" s="21"/>
      <c r="O317" s="21"/>
      <c r="P317" s="21" t="s">
        <v>31</v>
      </c>
      <c r="Q317" s="9" t="s">
        <v>32</v>
      </c>
      <c r="R317" s="18" t="s">
        <v>43</v>
      </c>
      <c r="S317" s="25" t="s">
        <v>2657</v>
      </c>
      <c r="T317" s="27">
        <v>30314</v>
      </c>
      <c r="U317" s="25" t="s">
        <v>2658</v>
      </c>
      <c r="V317" s="25" t="s">
        <v>80</v>
      </c>
      <c r="W317" s="25"/>
    </row>
    <row r="318" spans="1:23" ht="22.5" customHeight="1">
      <c r="A318" s="46">
        <v>46081.269328703704</v>
      </c>
      <c r="B318" s="47" t="s">
        <v>2663</v>
      </c>
      <c r="C318" s="48"/>
      <c r="D318" s="47" t="s">
        <v>24</v>
      </c>
      <c r="E318" s="49">
        <v>36397</v>
      </c>
      <c r="F318" s="21" t="s">
        <v>208</v>
      </c>
      <c r="G318" s="47" t="s">
        <v>2664</v>
      </c>
      <c r="H318" s="47" t="s">
        <v>2665</v>
      </c>
      <c r="I318" s="6" t="str">
        <f>VLOOKUP(CLEAN(F318),'World Bank Categories'!$B$4:$C$220,2,FALSE)</f>
        <v>Low income</v>
      </c>
      <c r="J318" s="47" t="s">
        <v>2666</v>
      </c>
      <c r="K318" s="47" t="s">
        <v>29</v>
      </c>
      <c r="L318" s="47" t="s">
        <v>30</v>
      </c>
      <c r="M318" s="47"/>
      <c r="N318" s="47"/>
      <c r="O318" s="47"/>
      <c r="P318" s="47" t="s">
        <v>31</v>
      </c>
      <c r="Q318" s="9" t="s">
        <v>32</v>
      </c>
      <c r="R318" s="18" t="s">
        <v>33</v>
      </c>
      <c r="S318" s="25" t="s">
        <v>2663</v>
      </c>
      <c r="T318" s="27">
        <v>36397</v>
      </c>
      <c r="U318" s="25" t="s">
        <v>2666</v>
      </c>
      <c r="V318" s="25" t="s">
        <v>80</v>
      </c>
      <c r="W318" s="25"/>
    </row>
    <row r="319" spans="1:23" ht="22.5" customHeight="1">
      <c r="A319" s="28">
        <v>46081.352256944447</v>
      </c>
      <c r="B319" s="29" t="s">
        <v>2667</v>
      </c>
      <c r="C319" s="45"/>
      <c r="D319" s="29" t="s">
        <v>45</v>
      </c>
      <c r="E319" s="30">
        <v>19426</v>
      </c>
      <c r="F319" s="29" t="s">
        <v>203</v>
      </c>
      <c r="G319" s="29" t="s">
        <v>2668</v>
      </c>
      <c r="H319" s="29" t="s">
        <v>1891</v>
      </c>
      <c r="I319" s="6" t="str">
        <f>VLOOKUP(CLEAN(F319),'World Bank Categories'!$B$4:$C$220,2,FALSE)</f>
        <v>Middle income</v>
      </c>
      <c r="J319" s="29" t="s">
        <v>2669</v>
      </c>
      <c r="K319" s="29" t="s">
        <v>39</v>
      </c>
      <c r="L319" s="29" t="s">
        <v>162</v>
      </c>
      <c r="M319" s="29"/>
      <c r="N319" s="29"/>
      <c r="O319" s="29"/>
      <c r="P319" s="29" t="s">
        <v>31</v>
      </c>
      <c r="Q319" s="9" t="s">
        <v>32</v>
      </c>
      <c r="R319" s="10" t="s">
        <v>33</v>
      </c>
      <c r="S319" s="25" t="s">
        <v>2667</v>
      </c>
      <c r="T319" s="27">
        <v>19426</v>
      </c>
      <c r="U319" s="25" t="s">
        <v>2669</v>
      </c>
      <c r="V319" s="25" t="s">
        <v>80</v>
      </c>
      <c r="W319" s="25"/>
    </row>
    <row r="320" spans="1:23" ht="22.5" customHeight="1">
      <c r="A320" s="20">
        <v>46081.476782407408</v>
      </c>
      <c r="B320" s="21" t="s">
        <v>2670</v>
      </c>
      <c r="C320" s="21" t="s">
        <v>2671</v>
      </c>
      <c r="D320" s="21" t="s">
        <v>24</v>
      </c>
      <c r="E320" s="22">
        <v>27686</v>
      </c>
      <c r="F320" s="21" t="s">
        <v>1063</v>
      </c>
      <c r="G320" s="21" t="s">
        <v>2672</v>
      </c>
      <c r="H320" s="21" t="s">
        <v>2673</v>
      </c>
      <c r="I320" s="6" t="str">
        <f>VLOOKUP(CLEAN(F320),'World Bank Categories'!$B$4:$C$220,2,FALSE)</f>
        <v>Middle income</v>
      </c>
      <c r="J320" s="21" t="s">
        <v>2674</v>
      </c>
      <c r="K320" s="21" t="s">
        <v>29</v>
      </c>
      <c r="L320" s="21" t="s">
        <v>30</v>
      </c>
      <c r="M320" s="21" t="s">
        <v>2675</v>
      </c>
      <c r="N320" s="21"/>
      <c r="O320" s="21"/>
      <c r="P320" s="21" t="s">
        <v>31</v>
      </c>
      <c r="Q320" s="9" t="s">
        <v>32</v>
      </c>
      <c r="R320" s="18" t="s">
        <v>33</v>
      </c>
      <c r="S320" s="25" t="s">
        <v>2676</v>
      </c>
      <c r="T320" s="27">
        <v>27686</v>
      </c>
      <c r="U320" s="25" t="s">
        <v>2674</v>
      </c>
      <c r="V320" s="25" t="s">
        <v>1159</v>
      </c>
      <c r="W320" s="25"/>
    </row>
    <row r="321" spans="1:23" ht="22.5" customHeight="1">
      <c r="A321" s="50">
        <v>46081.571921296294</v>
      </c>
      <c r="B321" s="51" t="s">
        <v>2677</v>
      </c>
      <c r="C321" s="52"/>
      <c r="D321" s="51" t="s">
        <v>24</v>
      </c>
      <c r="E321" s="53">
        <v>25411</v>
      </c>
      <c r="F321" s="51" t="s">
        <v>416</v>
      </c>
      <c r="G321" s="51" t="s">
        <v>209</v>
      </c>
      <c r="H321" s="51" t="s">
        <v>2678</v>
      </c>
      <c r="I321" s="6" t="str">
        <f>VLOOKUP(CLEAN(F321),'World Bank Categories'!$B$4:$C$220,2,FALSE)</f>
        <v>Middle income</v>
      </c>
      <c r="J321" s="51" t="s">
        <v>2679</v>
      </c>
      <c r="K321" s="51" t="s">
        <v>29</v>
      </c>
      <c r="L321" s="51" t="s">
        <v>30</v>
      </c>
      <c r="M321" s="63"/>
      <c r="N321" s="51"/>
      <c r="O321" s="51"/>
      <c r="P321" s="51" t="s">
        <v>31</v>
      </c>
      <c r="Q321" s="9" t="s">
        <v>32</v>
      </c>
      <c r="R321" s="10" t="s">
        <v>33</v>
      </c>
      <c r="S321" s="25" t="s">
        <v>2677</v>
      </c>
      <c r="T321" s="27">
        <v>25411</v>
      </c>
      <c r="U321" s="25" t="s">
        <v>2679</v>
      </c>
      <c r="V321" s="25" t="s">
        <v>80</v>
      </c>
      <c r="W321" s="25"/>
    </row>
    <row r="322" spans="1:23" ht="22.5" customHeight="1">
      <c r="A322" s="46">
        <v>46081.582303240742</v>
      </c>
      <c r="B322" s="47" t="s">
        <v>2680</v>
      </c>
      <c r="C322" s="48"/>
      <c r="D322" s="47" t="s">
        <v>45</v>
      </c>
      <c r="E322" s="49">
        <v>33509</v>
      </c>
      <c r="F322" s="47" t="s">
        <v>475</v>
      </c>
      <c r="G322" s="47" t="s">
        <v>2681</v>
      </c>
      <c r="H322" s="47" t="s">
        <v>2682</v>
      </c>
      <c r="I322" s="6" t="str">
        <f>VLOOKUP(CLEAN(F322),'World Bank Categories'!$B$4:$C$220,2,FALSE)</f>
        <v>Middle income</v>
      </c>
      <c r="J322" s="47" t="s">
        <v>2683</v>
      </c>
      <c r="K322" s="47" t="s">
        <v>29</v>
      </c>
      <c r="L322" s="47" t="s">
        <v>30</v>
      </c>
      <c r="M322" s="47"/>
      <c r="N322" s="47"/>
      <c r="O322" s="47"/>
      <c r="P322" s="47" t="s">
        <v>31</v>
      </c>
      <c r="Q322" s="9" t="s">
        <v>32</v>
      </c>
      <c r="R322" s="18" t="s">
        <v>33</v>
      </c>
      <c r="S322" s="25" t="s">
        <v>2684</v>
      </c>
      <c r="T322" s="27">
        <v>33509</v>
      </c>
      <c r="U322" s="25" t="s">
        <v>2683</v>
      </c>
      <c r="V322" s="25" t="s">
        <v>154</v>
      </c>
      <c r="W322" s="25"/>
    </row>
    <row r="323" spans="1:23" ht="22.5" customHeight="1">
      <c r="A323" s="28">
        <v>46081.624062499999</v>
      </c>
      <c r="B323" s="29" t="s">
        <v>2685</v>
      </c>
      <c r="C323" s="29" t="s">
        <v>941</v>
      </c>
      <c r="D323" s="29" t="s">
        <v>45</v>
      </c>
      <c r="E323" s="30">
        <v>34242</v>
      </c>
      <c r="F323" s="29" t="s">
        <v>2378</v>
      </c>
      <c r="G323" s="29" t="s">
        <v>2686</v>
      </c>
      <c r="H323" s="29" t="s">
        <v>418</v>
      </c>
      <c r="I323" s="6" t="str">
        <f>VLOOKUP(CLEAN(F323),'World Bank Categories'!$B$4:$C$220,2,FALSE)</f>
        <v>Middle income</v>
      </c>
      <c r="J323" s="29" t="s">
        <v>2687</v>
      </c>
      <c r="K323" s="29" t="s">
        <v>39</v>
      </c>
      <c r="L323" s="29" t="s">
        <v>30</v>
      </c>
      <c r="M323" s="29"/>
      <c r="N323" s="29"/>
      <c r="O323" s="29"/>
      <c r="P323" s="29" t="s">
        <v>31</v>
      </c>
      <c r="Q323" s="9" t="s">
        <v>32</v>
      </c>
      <c r="R323" s="10" t="s">
        <v>33</v>
      </c>
      <c r="S323" s="25" t="s">
        <v>2685</v>
      </c>
      <c r="T323" s="27">
        <v>34242</v>
      </c>
      <c r="U323" s="25" t="s">
        <v>2688</v>
      </c>
      <c r="V323" s="25" t="s">
        <v>80</v>
      </c>
      <c r="W323" s="25"/>
    </row>
    <row r="324" spans="1:23" ht="22.5" customHeight="1">
      <c r="A324" s="20">
        <v>46081.648831018516</v>
      </c>
      <c r="B324" s="21" t="s">
        <v>2689</v>
      </c>
      <c r="C324" s="38"/>
      <c r="D324" s="21" t="s">
        <v>45</v>
      </c>
      <c r="E324" s="22">
        <v>28388</v>
      </c>
      <c r="F324" s="21" t="s">
        <v>732</v>
      </c>
      <c r="G324" s="21" t="s">
        <v>2690</v>
      </c>
      <c r="H324" s="21" t="s">
        <v>2691</v>
      </c>
      <c r="I324" s="6" t="str">
        <f>VLOOKUP(CLEAN(F324),'World Bank Categories'!$B$4:$C$220,2,FALSE)</f>
        <v>Middle income</v>
      </c>
      <c r="J324" s="21" t="s">
        <v>2692</v>
      </c>
      <c r="K324" s="21" t="s">
        <v>29</v>
      </c>
      <c r="L324" s="32">
        <v>46202</v>
      </c>
      <c r="M324" s="21"/>
      <c r="N324" s="21"/>
      <c r="O324" s="21"/>
      <c r="P324" s="21" t="s">
        <v>31</v>
      </c>
      <c r="Q324" s="9" t="s">
        <v>32</v>
      </c>
      <c r="R324" s="18" t="s">
        <v>33</v>
      </c>
      <c r="S324" s="25" t="s">
        <v>2693</v>
      </c>
      <c r="T324" s="27">
        <v>28388</v>
      </c>
      <c r="U324" s="25" t="s">
        <v>2692</v>
      </c>
      <c r="V324" s="25" t="s">
        <v>1670</v>
      </c>
      <c r="W324" s="25"/>
    </row>
    <row r="325" spans="1:23" ht="22.5" customHeight="1">
      <c r="A325" s="28">
        <v>46081.65861111111</v>
      </c>
      <c r="B325" s="29" t="s">
        <v>2694</v>
      </c>
      <c r="C325" s="45"/>
      <c r="D325" s="29" t="s">
        <v>45</v>
      </c>
      <c r="E325" s="30">
        <v>34879</v>
      </c>
      <c r="F325" s="29" t="s">
        <v>416</v>
      </c>
      <c r="G325" s="29" t="s">
        <v>2695</v>
      </c>
      <c r="H325" s="29" t="s">
        <v>1049</v>
      </c>
      <c r="I325" s="6" t="str">
        <f>VLOOKUP(CLEAN(F325),'World Bank Categories'!$B$4:$C$220,2,FALSE)</f>
        <v>Middle income</v>
      </c>
      <c r="J325" s="29" t="s">
        <v>2696</v>
      </c>
      <c r="K325" s="29" t="s">
        <v>29</v>
      </c>
      <c r="L325" s="29" t="s">
        <v>30</v>
      </c>
      <c r="M325" s="62"/>
      <c r="N325" s="29"/>
      <c r="O325" s="29"/>
      <c r="P325" s="29" t="s">
        <v>31</v>
      </c>
      <c r="Q325" s="9" t="s">
        <v>32</v>
      </c>
      <c r="R325" s="10" t="s">
        <v>33</v>
      </c>
      <c r="S325" s="25" t="s">
        <v>2694</v>
      </c>
      <c r="T325" s="27">
        <v>34879</v>
      </c>
      <c r="U325" s="25" t="s">
        <v>2696</v>
      </c>
      <c r="V325" s="25" t="s">
        <v>80</v>
      </c>
      <c r="W325" s="25"/>
    </row>
    <row r="326" spans="1:23" ht="22.5" customHeight="1">
      <c r="A326" s="28">
        <v>46081.65861111111</v>
      </c>
      <c r="B326" s="29" t="s">
        <v>2697</v>
      </c>
      <c r="C326" s="29" t="s">
        <v>2698</v>
      </c>
      <c r="D326" s="29" t="s">
        <v>45</v>
      </c>
      <c r="E326" s="30">
        <v>35854</v>
      </c>
      <c r="F326" s="29" t="s">
        <v>416</v>
      </c>
      <c r="G326" s="29" t="s">
        <v>2699</v>
      </c>
      <c r="H326" s="29" t="s">
        <v>418</v>
      </c>
      <c r="I326" s="6" t="str">
        <f>VLOOKUP(CLEAN(F326),'World Bank Categories'!$B$4:$C$220,2,FALSE)</f>
        <v>Middle income</v>
      </c>
      <c r="J326" s="29" t="s">
        <v>2700</v>
      </c>
      <c r="K326" s="29" t="s">
        <v>29</v>
      </c>
      <c r="L326" s="29" t="s">
        <v>30</v>
      </c>
      <c r="M326" s="62"/>
      <c r="N326" s="29"/>
      <c r="O326" s="29"/>
      <c r="P326" s="29" t="s">
        <v>31</v>
      </c>
      <c r="Q326" s="9" t="s">
        <v>32</v>
      </c>
      <c r="R326" s="18" t="s">
        <v>33</v>
      </c>
      <c r="S326" s="25" t="s">
        <v>2697</v>
      </c>
      <c r="T326" s="27">
        <v>35854</v>
      </c>
      <c r="U326" s="25" t="s">
        <v>2701</v>
      </c>
      <c r="V326" s="25" t="s">
        <v>101</v>
      </c>
      <c r="W326" s="25"/>
    </row>
    <row r="327" spans="1:23" ht="22.5" customHeight="1">
      <c r="A327" s="50">
        <v>46081.71802083333</v>
      </c>
      <c r="B327" s="51" t="s">
        <v>2702</v>
      </c>
      <c r="C327" s="52"/>
      <c r="D327" s="51" t="s">
        <v>24</v>
      </c>
      <c r="E327" s="53">
        <v>28127</v>
      </c>
      <c r="F327" s="51" t="s">
        <v>2703</v>
      </c>
      <c r="G327" s="51" t="s">
        <v>2704</v>
      </c>
      <c r="H327" s="51" t="s">
        <v>2705</v>
      </c>
      <c r="I327" s="6" t="str">
        <f>VLOOKUP(CLEAN(F327),'World Bank Categories'!$B$4:$C$220,2,FALSE)</f>
        <v>High income</v>
      </c>
      <c r="J327" s="51" t="s">
        <v>2706</v>
      </c>
      <c r="K327" s="51" t="s">
        <v>29</v>
      </c>
      <c r="L327" s="51" t="s">
        <v>30</v>
      </c>
      <c r="M327" s="51" t="s">
        <v>2707</v>
      </c>
      <c r="N327" s="51"/>
      <c r="O327" s="51"/>
      <c r="P327" s="51" t="s">
        <v>31</v>
      </c>
      <c r="Q327" s="9" t="s">
        <v>32</v>
      </c>
      <c r="R327" s="10" t="s">
        <v>33</v>
      </c>
      <c r="S327" s="25" t="s">
        <v>2708</v>
      </c>
      <c r="T327" s="27">
        <v>28127</v>
      </c>
      <c r="U327" s="25" t="s">
        <v>2706</v>
      </c>
      <c r="V327" s="25" t="s">
        <v>154</v>
      </c>
      <c r="W327" s="25"/>
    </row>
    <row r="328" spans="1:23" ht="22.5" customHeight="1">
      <c r="A328" s="20">
        <v>46081.857997685183</v>
      </c>
      <c r="B328" s="21" t="s">
        <v>2709</v>
      </c>
      <c r="C328" s="21" t="s">
        <v>2709</v>
      </c>
      <c r="D328" s="21" t="s">
        <v>24</v>
      </c>
      <c r="E328" s="22">
        <v>37748</v>
      </c>
      <c r="F328" s="21" t="s">
        <v>1053</v>
      </c>
      <c r="G328" s="21" t="s">
        <v>2710</v>
      </c>
      <c r="H328" s="21" t="s">
        <v>1995</v>
      </c>
      <c r="I328" s="6" t="str">
        <f>VLOOKUP(CLEAN(F328),'World Bank Categories'!$B$4:$C$220,2,FALSE)</f>
        <v>High income</v>
      </c>
      <c r="J328" s="21" t="s">
        <v>2711</v>
      </c>
      <c r="K328" s="21" t="s">
        <v>29</v>
      </c>
      <c r="L328" s="21" t="s">
        <v>30</v>
      </c>
      <c r="M328" s="21"/>
      <c r="N328" s="21"/>
      <c r="O328" s="21"/>
      <c r="P328" s="21" t="s">
        <v>31</v>
      </c>
      <c r="Q328" s="9" t="s">
        <v>32</v>
      </c>
      <c r="R328" s="18" t="s">
        <v>43</v>
      </c>
      <c r="S328" s="25" t="s">
        <v>2709</v>
      </c>
      <c r="T328" s="27">
        <v>37748</v>
      </c>
      <c r="U328" s="25" t="s">
        <v>2711</v>
      </c>
      <c r="V328" s="25" t="s">
        <v>80</v>
      </c>
      <c r="W328" s="25"/>
    </row>
    <row r="329" spans="1:23" ht="22.5" customHeight="1">
      <c r="A329" s="20">
        <v>46082.065625000003</v>
      </c>
      <c r="B329" s="21" t="s">
        <v>2717</v>
      </c>
      <c r="C329" s="21" t="s">
        <v>2717</v>
      </c>
      <c r="D329" s="21" t="s">
        <v>24</v>
      </c>
      <c r="E329" s="22">
        <v>34422</v>
      </c>
      <c r="F329" s="21" t="s">
        <v>416</v>
      </c>
      <c r="G329" s="21" t="s">
        <v>417</v>
      </c>
      <c r="H329" s="21" t="s">
        <v>111</v>
      </c>
      <c r="I329" s="6" t="str">
        <f>VLOOKUP(CLEAN(F329),'World Bank Categories'!$B$4:$C$220,2,FALSE)</f>
        <v>Middle income</v>
      </c>
      <c r="J329" s="21" t="s">
        <v>2718</v>
      </c>
      <c r="K329" s="21" t="s">
        <v>29</v>
      </c>
      <c r="L329" s="21" t="s">
        <v>30</v>
      </c>
      <c r="M329" s="21"/>
      <c r="N329" s="21"/>
      <c r="O329" s="21"/>
      <c r="P329" s="21" t="s">
        <v>31</v>
      </c>
      <c r="Q329" s="9" t="s">
        <v>32</v>
      </c>
      <c r="R329" s="18" t="s">
        <v>33</v>
      </c>
      <c r="S329" s="25" t="s">
        <v>2717</v>
      </c>
      <c r="T329" s="27">
        <v>34422</v>
      </c>
      <c r="U329" s="25" t="s">
        <v>2718</v>
      </c>
      <c r="V329" s="25" t="s">
        <v>80</v>
      </c>
      <c r="W329" s="25"/>
    </row>
    <row r="330" spans="1:23" ht="22.5" customHeight="1">
      <c r="A330" s="46">
        <v>46082.537951388891</v>
      </c>
      <c r="B330" s="47" t="s">
        <v>2719</v>
      </c>
      <c r="C330" s="48"/>
      <c r="D330" s="47" t="s">
        <v>24</v>
      </c>
      <c r="E330" s="49">
        <v>29158</v>
      </c>
      <c r="F330" s="47" t="s">
        <v>2720</v>
      </c>
      <c r="G330" s="47" t="s">
        <v>2721</v>
      </c>
      <c r="H330" s="47" t="s">
        <v>2722</v>
      </c>
      <c r="I330" s="6" t="str">
        <f>VLOOKUP(CLEAN(F330),'World Bank Categories'!$B$4:$C$220,2,FALSE)</f>
        <v>Middle income</v>
      </c>
      <c r="J330" s="47" t="s">
        <v>2723</v>
      </c>
      <c r="K330" s="47" t="s">
        <v>39</v>
      </c>
      <c r="L330" s="47" t="s">
        <v>1991</v>
      </c>
      <c r="M330" s="47"/>
      <c r="N330" s="47"/>
      <c r="O330" s="47"/>
      <c r="P330" s="47" t="s">
        <v>31</v>
      </c>
      <c r="Q330" s="9" t="s">
        <v>32</v>
      </c>
      <c r="R330" s="10" t="s">
        <v>33</v>
      </c>
      <c r="S330" s="25" t="s">
        <v>2724</v>
      </c>
      <c r="T330" s="27">
        <v>29158</v>
      </c>
      <c r="U330" s="25" t="s">
        <v>2725</v>
      </c>
      <c r="V330" s="25" t="s">
        <v>154</v>
      </c>
      <c r="W330" s="25"/>
    </row>
    <row r="331" spans="1:23" ht="22.5" customHeight="1">
      <c r="A331" s="20">
        <v>46082.558865740742</v>
      </c>
      <c r="B331" s="21" t="s">
        <v>2726</v>
      </c>
      <c r="C331" s="21" t="s">
        <v>2727</v>
      </c>
      <c r="D331" s="21" t="s">
        <v>24</v>
      </c>
      <c r="E331" s="22">
        <v>38621</v>
      </c>
      <c r="F331" s="21" t="s">
        <v>1053</v>
      </c>
      <c r="G331" s="21" t="s">
        <v>2728</v>
      </c>
      <c r="H331" s="21" t="s">
        <v>66</v>
      </c>
      <c r="I331" s="6" t="str">
        <f>VLOOKUP(CLEAN(F331),'World Bank Categories'!$B$4:$C$220,2,FALSE)</f>
        <v>High income</v>
      </c>
      <c r="J331" s="21" t="s">
        <v>2729</v>
      </c>
      <c r="K331" s="21" t="s">
        <v>39</v>
      </c>
      <c r="L331" s="21" t="s">
        <v>621</v>
      </c>
      <c r="M331" s="21"/>
      <c r="N331" s="21"/>
      <c r="O331" s="21"/>
      <c r="P331" s="21" t="s">
        <v>31</v>
      </c>
      <c r="Q331" s="9" t="s">
        <v>32</v>
      </c>
      <c r="R331" s="18" t="s">
        <v>43</v>
      </c>
      <c r="S331" s="25" t="s">
        <v>2730</v>
      </c>
      <c r="T331" s="27">
        <v>38621</v>
      </c>
      <c r="U331" s="25" t="s">
        <v>2731</v>
      </c>
      <c r="V331" s="25" t="s">
        <v>101</v>
      </c>
      <c r="W331" s="25"/>
    </row>
    <row r="332" spans="1:23" ht="22.5" customHeight="1">
      <c r="A332" s="50">
        <v>46082.645868055559</v>
      </c>
      <c r="B332" s="51" t="s">
        <v>2732</v>
      </c>
      <c r="C332" s="52"/>
      <c r="D332" s="51" t="s">
        <v>24</v>
      </c>
      <c r="E332" s="53">
        <v>29018</v>
      </c>
      <c r="F332" s="51" t="s">
        <v>380</v>
      </c>
      <c r="G332" s="51" t="s">
        <v>2733</v>
      </c>
      <c r="H332" s="51" t="s">
        <v>2734</v>
      </c>
      <c r="I332" s="6" t="str">
        <f>VLOOKUP(CLEAN(F332),'World Bank Categories'!$B$4:$C$220,2,FALSE)</f>
        <v>Low income</v>
      </c>
      <c r="J332" s="51" t="s">
        <v>2735</v>
      </c>
      <c r="K332" s="51" t="s">
        <v>29</v>
      </c>
      <c r="L332" s="51" t="s">
        <v>30</v>
      </c>
      <c r="M332" s="51"/>
      <c r="N332" s="51"/>
      <c r="O332" s="51"/>
      <c r="P332" s="51" t="s">
        <v>31</v>
      </c>
      <c r="Q332" s="9" t="s">
        <v>32</v>
      </c>
      <c r="R332" s="10" t="s">
        <v>33</v>
      </c>
      <c r="S332" s="25" t="s">
        <v>2736</v>
      </c>
      <c r="T332" s="27">
        <v>29018</v>
      </c>
      <c r="U332" s="25" t="s">
        <v>2735</v>
      </c>
      <c r="V332" s="25" t="s">
        <v>154</v>
      </c>
      <c r="W332" s="25"/>
    </row>
    <row r="333" spans="1:23" ht="22.5" customHeight="1">
      <c r="A333" s="20">
        <v>46082.772592592592</v>
      </c>
      <c r="B333" s="21" t="s">
        <v>2737</v>
      </c>
      <c r="C333" s="38"/>
      <c r="D333" s="21" t="s">
        <v>45</v>
      </c>
      <c r="E333" s="22">
        <v>37058</v>
      </c>
      <c r="F333" s="21" t="s">
        <v>2738</v>
      </c>
      <c r="G333" s="21" t="s">
        <v>2739</v>
      </c>
      <c r="H333" s="21" t="s">
        <v>2740</v>
      </c>
      <c r="I333" s="6" t="str">
        <f>VLOOKUP(CLEAN(F333),'World Bank Categories'!$B$4:$C$220,2,FALSE)</f>
        <v>High income</v>
      </c>
      <c r="J333" s="21" t="s">
        <v>2741</v>
      </c>
      <c r="K333" s="21" t="s">
        <v>29</v>
      </c>
      <c r="L333" s="21" t="s">
        <v>30</v>
      </c>
      <c r="M333" s="21"/>
      <c r="N333" s="21"/>
      <c r="O333" s="21"/>
      <c r="P333" s="21" t="s">
        <v>31</v>
      </c>
      <c r="Q333" s="9" t="s">
        <v>32</v>
      </c>
      <c r="R333" s="18" t="s">
        <v>33</v>
      </c>
      <c r="S333" s="25" t="s">
        <v>2737</v>
      </c>
      <c r="T333" s="27">
        <v>37058</v>
      </c>
      <c r="U333" s="25" t="s">
        <v>2741</v>
      </c>
      <c r="V333" s="25" t="s">
        <v>80</v>
      </c>
      <c r="W333" s="25"/>
    </row>
    <row r="334" spans="1:23" ht="22.5" customHeight="1">
      <c r="A334" s="28">
        <v>46082.823206018518</v>
      </c>
      <c r="B334" s="29" t="s">
        <v>2742</v>
      </c>
      <c r="C334" s="45"/>
      <c r="D334" s="29" t="s">
        <v>24</v>
      </c>
      <c r="E334" s="30">
        <v>31078</v>
      </c>
      <c r="F334" s="29" t="s">
        <v>380</v>
      </c>
      <c r="G334" s="29" t="s">
        <v>2743</v>
      </c>
      <c r="H334" s="29" t="s">
        <v>72</v>
      </c>
      <c r="I334" s="6" t="str">
        <f>VLOOKUP(CLEAN(F334),'World Bank Categories'!$B$4:$C$220,2,FALSE)</f>
        <v>Low income</v>
      </c>
      <c r="J334" s="29" t="s">
        <v>2744</v>
      </c>
      <c r="K334" s="29" t="s">
        <v>29</v>
      </c>
      <c r="L334" s="29" t="s">
        <v>30</v>
      </c>
      <c r="M334" s="29"/>
      <c r="N334" s="29"/>
      <c r="O334" s="29"/>
      <c r="P334" s="29" t="s">
        <v>31</v>
      </c>
      <c r="Q334" s="9" t="s">
        <v>32</v>
      </c>
      <c r="R334" s="10" t="s">
        <v>33</v>
      </c>
      <c r="S334" s="25" t="s">
        <v>2745</v>
      </c>
      <c r="T334" s="27">
        <v>31078</v>
      </c>
      <c r="U334" s="25" t="s">
        <v>2744</v>
      </c>
      <c r="V334" s="25" t="s">
        <v>80</v>
      </c>
      <c r="W334" s="25"/>
    </row>
    <row r="335" spans="1:23" ht="22.5" customHeight="1">
      <c r="A335" s="20">
        <v>46082.846666666665</v>
      </c>
      <c r="B335" s="21" t="s">
        <v>2746</v>
      </c>
      <c r="C335" s="38"/>
      <c r="D335" s="21" t="s">
        <v>24</v>
      </c>
      <c r="E335" s="57">
        <v>32331</v>
      </c>
      <c r="F335" s="21" t="s">
        <v>1277</v>
      </c>
      <c r="G335" s="21" t="s">
        <v>1278</v>
      </c>
      <c r="H335" s="21" t="s">
        <v>98</v>
      </c>
      <c r="I335" s="6" t="str">
        <f>VLOOKUP(CLEAN(F335),'World Bank Categories'!$B$4:$C$220,2,FALSE)</f>
        <v>Middle income</v>
      </c>
      <c r="J335" s="21" t="s">
        <v>2747</v>
      </c>
      <c r="K335" s="21" t="s">
        <v>39</v>
      </c>
      <c r="L335" s="21" t="s">
        <v>30</v>
      </c>
      <c r="M335" s="21"/>
      <c r="N335" s="21"/>
      <c r="O335" s="21"/>
      <c r="P335" s="21" t="s">
        <v>31</v>
      </c>
      <c r="Q335" s="9" t="s">
        <v>32</v>
      </c>
      <c r="R335" s="18" t="s">
        <v>33</v>
      </c>
      <c r="S335" s="25" t="s">
        <v>2746</v>
      </c>
      <c r="T335" s="27">
        <v>32331</v>
      </c>
      <c r="U335" s="25" t="s">
        <v>2747</v>
      </c>
      <c r="V335" s="25" t="s">
        <v>80</v>
      </c>
      <c r="W335" s="25"/>
    </row>
    <row r="336" spans="1:23" ht="22.5" customHeight="1">
      <c r="A336" s="20">
        <v>46082.891967592594</v>
      </c>
      <c r="B336" s="21" t="s">
        <v>2748</v>
      </c>
      <c r="C336" s="21" t="s">
        <v>2749</v>
      </c>
      <c r="D336" s="21" t="s">
        <v>24</v>
      </c>
      <c r="E336" s="22">
        <v>37373</v>
      </c>
      <c r="F336" s="21" t="s">
        <v>332</v>
      </c>
      <c r="G336" s="21" t="s">
        <v>2750</v>
      </c>
      <c r="H336" s="21" t="s">
        <v>66</v>
      </c>
      <c r="I336" s="6" t="str">
        <f>VLOOKUP(CLEAN(F336),'World Bank Categories'!$B$4:$C$220,2,FALSE)</f>
        <v>High income</v>
      </c>
      <c r="J336" s="21" t="s">
        <v>2751</v>
      </c>
      <c r="K336" s="21" t="s">
        <v>39</v>
      </c>
      <c r="L336" s="21" t="s">
        <v>162</v>
      </c>
      <c r="M336" s="21"/>
      <c r="N336" s="21"/>
      <c r="O336" s="21"/>
      <c r="P336" s="21" t="s">
        <v>31</v>
      </c>
      <c r="Q336" s="9" t="s">
        <v>32</v>
      </c>
      <c r="R336" s="10" t="s">
        <v>43</v>
      </c>
      <c r="S336" s="25" t="s">
        <v>2748</v>
      </c>
      <c r="T336" s="27">
        <v>37373</v>
      </c>
      <c r="U336" s="25" t="s">
        <v>2751</v>
      </c>
      <c r="V336" s="25" t="s">
        <v>80</v>
      </c>
      <c r="W336" s="25"/>
    </row>
    <row r="337" spans="1:23" ht="22.5" customHeight="1">
      <c r="A337" s="20">
        <v>46082.918946759259</v>
      </c>
      <c r="B337" s="21" t="s">
        <v>2752</v>
      </c>
      <c r="C337" s="21" t="s">
        <v>2753</v>
      </c>
      <c r="D337" s="21" t="s">
        <v>24</v>
      </c>
      <c r="E337" s="22">
        <v>38572</v>
      </c>
      <c r="F337" s="21" t="s">
        <v>1053</v>
      </c>
      <c r="G337" s="21" t="s">
        <v>2754</v>
      </c>
      <c r="H337" s="21" t="s">
        <v>66</v>
      </c>
      <c r="I337" s="6" t="str">
        <f>VLOOKUP(CLEAN(F337),'World Bank Categories'!$B$4:$C$220,2,FALSE)</f>
        <v>High income</v>
      </c>
      <c r="J337" s="21" t="s">
        <v>2755</v>
      </c>
      <c r="K337" s="21" t="s">
        <v>29</v>
      </c>
      <c r="L337" s="21" t="s">
        <v>30</v>
      </c>
      <c r="M337" s="41"/>
      <c r="N337" s="21"/>
      <c r="O337" s="21"/>
      <c r="P337" s="21" t="s">
        <v>31</v>
      </c>
      <c r="Q337" s="9" t="s">
        <v>32</v>
      </c>
      <c r="R337" s="18" t="s">
        <v>43</v>
      </c>
      <c r="S337" s="25" t="s">
        <v>2756</v>
      </c>
      <c r="T337" s="27">
        <v>38572</v>
      </c>
      <c r="U337" s="25" t="s">
        <v>2755</v>
      </c>
      <c r="V337" s="25" t="s">
        <v>463</v>
      </c>
      <c r="W337" s="25"/>
    </row>
    <row r="338" spans="1:23" ht="22.5" customHeight="1">
      <c r="A338" s="20">
        <v>46082.927511574075</v>
      </c>
      <c r="B338" s="21" t="s">
        <v>2757</v>
      </c>
      <c r="C338" s="38"/>
      <c r="D338" s="21" t="s">
        <v>24</v>
      </c>
      <c r="E338" s="22">
        <v>34892</v>
      </c>
      <c r="F338" s="21" t="s">
        <v>2378</v>
      </c>
      <c r="G338" s="21" t="s">
        <v>2758</v>
      </c>
      <c r="H338" s="21" t="s">
        <v>2759</v>
      </c>
      <c r="I338" s="6" t="str">
        <f>VLOOKUP(CLEAN(F338),'World Bank Categories'!$B$4:$C$220,2,FALSE)</f>
        <v>Middle income</v>
      </c>
      <c r="J338" s="21" t="s">
        <v>2760</v>
      </c>
      <c r="K338" s="21" t="s">
        <v>39</v>
      </c>
      <c r="L338" s="21" t="s">
        <v>621</v>
      </c>
      <c r="M338" s="21" t="s">
        <v>2761</v>
      </c>
      <c r="N338" s="21"/>
      <c r="O338" s="21"/>
      <c r="P338" s="21" t="s">
        <v>31</v>
      </c>
      <c r="Q338" s="9" t="s">
        <v>32</v>
      </c>
      <c r="R338" s="10" t="s">
        <v>33</v>
      </c>
      <c r="S338" s="25" t="s">
        <v>2762</v>
      </c>
      <c r="T338" s="27">
        <v>34892</v>
      </c>
      <c r="U338" s="25" t="s">
        <v>2763</v>
      </c>
      <c r="V338" s="25" t="s">
        <v>80</v>
      </c>
      <c r="W338" s="25"/>
    </row>
    <row r="339" spans="1:23" ht="22.5" customHeight="1">
      <c r="A339" s="20">
        <v>46082.942025462966</v>
      </c>
      <c r="B339" s="21" t="s">
        <v>2764</v>
      </c>
      <c r="C339" s="38"/>
      <c r="D339" s="21" t="s">
        <v>45</v>
      </c>
      <c r="E339" s="22">
        <v>34188</v>
      </c>
      <c r="F339" s="21" t="s">
        <v>52</v>
      </c>
      <c r="G339" s="21" t="s">
        <v>209</v>
      </c>
      <c r="H339" s="21" t="s">
        <v>2765</v>
      </c>
      <c r="I339" s="6" t="str">
        <f>VLOOKUP(CLEAN(F339),'World Bank Categories'!$B$4:$C$220,2,FALSE)</f>
        <v>Middle income</v>
      </c>
      <c r="J339" s="21" t="s">
        <v>2766</v>
      </c>
      <c r="K339" s="21" t="s">
        <v>29</v>
      </c>
      <c r="L339" s="21" t="s">
        <v>30</v>
      </c>
      <c r="M339" s="21"/>
      <c r="N339" s="21"/>
      <c r="O339" s="21"/>
      <c r="P339" s="21" t="s">
        <v>31</v>
      </c>
      <c r="Q339" s="9" t="s">
        <v>32</v>
      </c>
      <c r="R339" s="18" t="s">
        <v>33</v>
      </c>
      <c r="S339" s="25" t="s">
        <v>2767</v>
      </c>
      <c r="T339" s="27">
        <v>34188</v>
      </c>
      <c r="U339" s="25" t="s">
        <v>2766</v>
      </c>
      <c r="V339" s="25" t="s">
        <v>154</v>
      </c>
      <c r="W339" s="25"/>
    </row>
    <row r="340" spans="1:23" ht="22.5" customHeight="1">
      <c r="A340" s="20">
        <v>46082.943784722222</v>
      </c>
      <c r="B340" s="21" t="s">
        <v>2768</v>
      </c>
      <c r="C340" s="21" t="s">
        <v>2769</v>
      </c>
      <c r="D340" s="21" t="s">
        <v>45</v>
      </c>
      <c r="E340" s="22">
        <v>20073</v>
      </c>
      <c r="F340" s="21" t="s">
        <v>1745</v>
      </c>
      <c r="G340" s="21" t="s">
        <v>2770</v>
      </c>
      <c r="H340" s="21" t="s">
        <v>1655</v>
      </c>
      <c r="I340" s="6" t="str">
        <f>VLOOKUP(CLEAN(F340),'World Bank Categories'!$B$4:$C$220,2,FALSE)</f>
        <v>High income</v>
      </c>
      <c r="J340" s="21" t="s">
        <v>2771</v>
      </c>
      <c r="K340" s="21" t="s">
        <v>39</v>
      </c>
      <c r="L340" s="21" t="s">
        <v>621</v>
      </c>
      <c r="M340" s="21" t="s">
        <v>2772</v>
      </c>
      <c r="N340" s="21"/>
      <c r="O340" s="21"/>
      <c r="P340" s="21" t="s">
        <v>31</v>
      </c>
      <c r="Q340" s="9" t="s">
        <v>32</v>
      </c>
      <c r="R340" s="10" t="s">
        <v>43</v>
      </c>
      <c r="S340" s="25" t="s">
        <v>2773</v>
      </c>
      <c r="T340" s="27">
        <v>20073</v>
      </c>
      <c r="U340" s="25" t="s">
        <v>2774</v>
      </c>
      <c r="V340" s="25" t="s">
        <v>129</v>
      </c>
      <c r="W340" s="25"/>
    </row>
    <row r="341" spans="1:23" ht="22.5" customHeight="1">
      <c r="A341" s="20">
        <v>46083.003923611112</v>
      </c>
      <c r="B341" s="21" t="s">
        <v>2775</v>
      </c>
      <c r="C341" s="21" t="s">
        <v>2776</v>
      </c>
      <c r="D341" s="21" t="s">
        <v>24</v>
      </c>
      <c r="E341" s="22">
        <v>21255</v>
      </c>
      <c r="F341" s="21" t="s">
        <v>2777</v>
      </c>
      <c r="G341" s="21" t="s">
        <v>2770</v>
      </c>
      <c r="H341" s="21" t="s">
        <v>2778</v>
      </c>
      <c r="I341" s="6" t="str">
        <f>VLOOKUP(CLEAN(F341),'World Bank Categories'!$B$4:$C$220,2,FALSE)</f>
        <v>High income</v>
      </c>
      <c r="J341" s="21" t="s">
        <v>2779</v>
      </c>
      <c r="K341" s="21" t="s">
        <v>39</v>
      </c>
      <c r="L341" s="21" t="s">
        <v>621</v>
      </c>
      <c r="M341" s="21" t="s">
        <v>2780</v>
      </c>
      <c r="N341" s="21"/>
      <c r="O341" s="21"/>
      <c r="P341" s="21" t="s">
        <v>31</v>
      </c>
      <c r="Q341" s="9" t="s">
        <v>32</v>
      </c>
      <c r="R341" s="18" t="s">
        <v>43</v>
      </c>
      <c r="S341" s="25" t="s">
        <v>2781</v>
      </c>
      <c r="T341" s="27">
        <v>21255</v>
      </c>
      <c r="U341" s="25" t="s">
        <v>2774</v>
      </c>
      <c r="V341" s="25" t="s">
        <v>129</v>
      </c>
      <c r="W341" s="25"/>
    </row>
    <row r="342" spans="1:23" ht="22.5" customHeight="1">
      <c r="A342" s="20">
        <v>46083.169641203705</v>
      </c>
      <c r="B342" s="21" t="s">
        <v>2782</v>
      </c>
      <c r="C342" s="38"/>
      <c r="D342" s="21" t="s">
        <v>24</v>
      </c>
      <c r="E342" s="22">
        <v>27382</v>
      </c>
      <c r="F342" s="21" t="s">
        <v>416</v>
      </c>
      <c r="G342" s="21" t="s">
        <v>2783</v>
      </c>
      <c r="H342" s="21" t="s">
        <v>2784</v>
      </c>
      <c r="I342" s="6" t="str">
        <f>VLOOKUP(CLEAN(F342),'World Bank Categories'!$B$4:$C$220,2,FALSE)</f>
        <v>Middle income</v>
      </c>
      <c r="J342" s="21" t="s">
        <v>2785</v>
      </c>
      <c r="K342" s="21" t="s">
        <v>39</v>
      </c>
      <c r="L342" s="21" t="s">
        <v>30</v>
      </c>
      <c r="M342" s="21"/>
      <c r="N342" s="21"/>
      <c r="O342" s="21"/>
      <c r="P342" s="21" t="s">
        <v>31</v>
      </c>
      <c r="Q342" s="9" t="s">
        <v>32</v>
      </c>
      <c r="R342" s="10" t="s">
        <v>43</v>
      </c>
      <c r="S342" s="25" t="s">
        <v>2786</v>
      </c>
      <c r="T342" s="27">
        <v>27382</v>
      </c>
      <c r="U342" s="25" t="s">
        <v>2785</v>
      </c>
      <c r="V342" s="25" t="s">
        <v>154</v>
      </c>
      <c r="W342" s="25"/>
    </row>
    <row r="343" spans="1:23" ht="22.5" customHeight="1">
      <c r="A343" s="46">
        <v>46083.199374999997</v>
      </c>
      <c r="B343" s="47" t="s">
        <v>2787</v>
      </c>
      <c r="C343" s="47" t="s">
        <v>2788</v>
      </c>
      <c r="D343" s="47" t="s">
        <v>45</v>
      </c>
      <c r="E343" s="49">
        <v>28232</v>
      </c>
      <c r="F343" s="47" t="s">
        <v>380</v>
      </c>
      <c r="G343" s="47" t="s">
        <v>2789</v>
      </c>
      <c r="H343" s="47" t="s">
        <v>2790</v>
      </c>
      <c r="I343" s="6" t="str">
        <f>VLOOKUP(CLEAN(F343),'World Bank Categories'!$B$4:$C$220,2,FALSE)</f>
        <v>Low income</v>
      </c>
      <c r="J343" s="47" t="s">
        <v>2791</v>
      </c>
      <c r="K343" s="47" t="s">
        <v>29</v>
      </c>
      <c r="L343" s="47" t="s">
        <v>241</v>
      </c>
      <c r="M343" s="47"/>
      <c r="N343" s="47"/>
      <c r="O343" s="47"/>
      <c r="P343" s="47" t="s">
        <v>31</v>
      </c>
      <c r="Q343" s="9" t="s">
        <v>32</v>
      </c>
      <c r="R343" s="18" t="s">
        <v>33</v>
      </c>
      <c r="S343" s="25" t="s">
        <v>2792</v>
      </c>
      <c r="T343" s="27">
        <v>28232</v>
      </c>
      <c r="U343" s="25" t="s">
        <v>2791</v>
      </c>
      <c r="V343" s="25" t="s">
        <v>316</v>
      </c>
      <c r="W343" s="25"/>
    </row>
    <row r="344" spans="1:23" ht="22.5" customHeight="1">
      <c r="A344" s="20">
        <v>46083.303900462961</v>
      </c>
      <c r="B344" s="21" t="s">
        <v>2793</v>
      </c>
      <c r="C344" s="38"/>
      <c r="D344" s="21" t="s">
        <v>45</v>
      </c>
      <c r="E344" s="22">
        <v>28061</v>
      </c>
      <c r="F344" s="21" t="s">
        <v>35</v>
      </c>
      <c r="G344" s="21" t="s">
        <v>2794</v>
      </c>
      <c r="H344" s="21" t="s">
        <v>2795</v>
      </c>
      <c r="I344" s="6" t="str">
        <f>VLOOKUP(CLEAN(F344),'World Bank Categories'!$B$4:$C$220,2,FALSE)</f>
        <v>Middle income</v>
      </c>
      <c r="J344" s="21" t="s">
        <v>2796</v>
      </c>
      <c r="K344" s="21" t="s">
        <v>39</v>
      </c>
      <c r="L344" s="21" t="s">
        <v>30</v>
      </c>
      <c r="M344" s="21"/>
      <c r="N344" s="21"/>
      <c r="O344" s="21"/>
      <c r="P344" s="21" t="s">
        <v>31</v>
      </c>
      <c r="Q344" s="9" t="s">
        <v>32</v>
      </c>
      <c r="R344" s="18" t="s">
        <v>33</v>
      </c>
      <c r="S344" s="25" t="s">
        <v>2793</v>
      </c>
      <c r="T344" s="27">
        <v>28061</v>
      </c>
      <c r="U344" s="25" t="s">
        <v>2796</v>
      </c>
      <c r="V344" s="25" t="s">
        <v>80</v>
      </c>
      <c r="W344" s="25"/>
    </row>
    <row r="345" spans="1:23" ht="22.5" customHeight="1">
      <c r="A345" s="28">
        <v>46083.525185185186</v>
      </c>
      <c r="B345" s="29" t="s">
        <v>2797</v>
      </c>
      <c r="C345" s="29" t="s">
        <v>2798</v>
      </c>
      <c r="D345" s="29" t="s">
        <v>45</v>
      </c>
      <c r="E345" s="30">
        <v>24860</v>
      </c>
      <c r="F345" s="29" t="s">
        <v>1932</v>
      </c>
      <c r="G345" s="29" t="s">
        <v>2799</v>
      </c>
      <c r="H345" s="29" t="s">
        <v>276</v>
      </c>
      <c r="I345" s="6" t="str">
        <f>VLOOKUP(CLEAN(F345),'World Bank Categories'!$B$4:$C$220,2,FALSE)</f>
        <v>Middle income</v>
      </c>
      <c r="J345" s="29" t="s">
        <v>2800</v>
      </c>
      <c r="K345" s="29" t="s">
        <v>29</v>
      </c>
      <c r="L345" s="29" t="s">
        <v>30</v>
      </c>
      <c r="M345" s="62"/>
      <c r="N345" s="29"/>
      <c r="O345" s="29"/>
      <c r="P345" s="29" t="s">
        <v>31</v>
      </c>
      <c r="Q345" s="9" t="s">
        <v>32</v>
      </c>
      <c r="R345" s="10" t="s">
        <v>33</v>
      </c>
      <c r="S345" s="25" t="s">
        <v>2801</v>
      </c>
      <c r="T345" s="27">
        <v>24860</v>
      </c>
      <c r="U345" s="25" t="s">
        <v>2802</v>
      </c>
      <c r="V345" s="25" t="s">
        <v>154</v>
      </c>
      <c r="W345" s="25"/>
    </row>
    <row r="346" spans="1:23" ht="22.5" customHeight="1">
      <c r="A346" s="64">
        <v>46083.629594907405</v>
      </c>
      <c r="B346" s="65" t="s">
        <v>2803</v>
      </c>
      <c r="C346" s="66"/>
      <c r="D346" s="65" t="s">
        <v>24</v>
      </c>
      <c r="E346" s="67">
        <v>29258</v>
      </c>
      <c r="F346" s="65" t="s">
        <v>245</v>
      </c>
      <c r="G346" s="65" t="s">
        <v>2804</v>
      </c>
      <c r="H346" s="65" t="s">
        <v>933</v>
      </c>
      <c r="I346" s="6" t="str">
        <f>VLOOKUP(CLEAN(F346),'World Bank Categories'!$B$4:$C$220,2,FALSE)</f>
        <v>Middle income</v>
      </c>
      <c r="J346" s="65" t="s">
        <v>2805</v>
      </c>
      <c r="K346" s="65" t="s">
        <v>29</v>
      </c>
      <c r="L346" s="65" t="s">
        <v>162</v>
      </c>
      <c r="M346" s="65"/>
      <c r="N346" s="65"/>
      <c r="O346" s="65"/>
      <c r="P346" s="65" t="s">
        <v>31</v>
      </c>
      <c r="Q346" s="68" t="s">
        <v>32</v>
      </c>
      <c r="R346" s="18" t="s">
        <v>33</v>
      </c>
      <c r="S346" s="69" t="s">
        <v>2806</v>
      </c>
      <c r="T346" s="27">
        <v>29258</v>
      </c>
      <c r="U346" s="25" t="s">
        <v>2807</v>
      </c>
      <c r="V346" s="25" t="s">
        <v>80</v>
      </c>
      <c r="W346" s="25"/>
    </row>
    <row r="347" spans="1:23" ht="22.5" customHeight="1">
      <c r="A347" s="70">
        <v>46083.690393518518</v>
      </c>
      <c r="B347" s="71" t="s">
        <v>2808</v>
      </c>
      <c r="C347" s="72"/>
      <c r="D347" s="71" t="s">
        <v>45</v>
      </c>
      <c r="E347" s="73">
        <v>36377</v>
      </c>
      <c r="F347" s="71" t="s">
        <v>2529</v>
      </c>
      <c r="G347" s="71" t="s">
        <v>2809</v>
      </c>
      <c r="H347" s="71" t="s">
        <v>2810</v>
      </c>
      <c r="I347" s="6" t="str">
        <f>VLOOKUP(CLEAN(F347),'World Bank Categories'!$B$4:$C$220,2,FALSE)</f>
        <v>Middle income</v>
      </c>
      <c r="J347" s="71" t="s">
        <v>2811</v>
      </c>
      <c r="K347" s="71" t="s">
        <v>29</v>
      </c>
      <c r="L347" s="71" t="s">
        <v>30</v>
      </c>
      <c r="M347" s="71"/>
      <c r="N347" s="71"/>
      <c r="O347" s="71"/>
      <c r="P347" s="71" t="s">
        <v>31</v>
      </c>
      <c r="Q347" s="68" t="s">
        <v>32</v>
      </c>
      <c r="R347" s="10" t="s">
        <v>33</v>
      </c>
      <c r="S347" s="74" t="s">
        <v>2808</v>
      </c>
      <c r="T347" s="27">
        <v>36377</v>
      </c>
      <c r="U347" s="25" t="s">
        <v>2811</v>
      </c>
      <c r="V347" s="25" t="s">
        <v>80</v>
      </c>
      <c r="W347" s="25"/>
    </row>
    <row r="348" spans="1:23" ht="22.5" customHeight="1">
      <c r="A348" s="75">
        <v>46083.699548611112</v>
      </c>
      <c r="B348" s="76" t="s">
        <v>2812</v>
      </c>
      <c r="C348" s="77"/>
      <c r="D348" s="76" t="s">
        <v>24</v>
      </c>
      <c r="E348" s="78">
        <v>20765</v>
      </c>
      <c r="F348" s="76" t="s">
        <v>2556</v>
      </c>
      <c r="G348" s="76" t="s">
        <v>2813</v>
      </c>
      <c r="H348" s="76" t="s">
        <v>2558</v>
      </c>
      <c r="I348" s="6" t="str">
        <f>VLOOKUP(CLEAN(F348),'World Bank Categories'!$B$4:$C$220,2,FALSE)</f>
        <v>Middle income</v>
      </c>
      <c r="J348" s="76" t="s">
        <v>2814</v>
      </c>
      <c r="K348" s="76" t="s">
        <v>39</v>
      </c>
      <c r="L348" s="76" t="s">
        <v>30</v>
      </c>
      <c r="M348" s="76"/>
      <c r="N348" s="76"/>
      <c r="O348" s="76"/>
      <c r="P348" s="76" t="s">
        <v>31</v>
      </c>
      <c r="Q348" s="68" t="s">
        <v>32</v>
      </c>
      <c r="R348" s="18" t="s">
        <v>33</v>
      </c>
      <c r="S348" s="69" t="s">
        <v>2812</v>
      </c>
      <c r="T348" s="27">
        <v>20765</v>
      </c>
      <c r="U348" s="25" t="s">
        <v>2815</v>
      </c>
      <c r="V348" s="25" t="s">
        <v>80</v>
      </c>
      <c r="W348" s="25"/>
    </row>
    <row r="349" spans="1:23" ht="22.5" customHeight="1">
      <c r="A349" s="70">
        <v>46084.088391203702</v>
      </c>
      <c r="B349" s="71" t="s">
        <v>2822</v>
      </c>
      <c r="C349" s="71" t="s">
        <v>2822</v>
      </c>
      <c r="D349" s="71" t="s">
        <v>24</v>
      </c>
      <c r="E349" s="73">
        <v>37798</v>
      </c>
      <c r="F349" s="71" t="s">
        <v>83</v>
      </c>
      <c r="G349" s="71" t="s">
        <v>2823</v>
      </c>
      <c r="H349" s="71" t="s">
        <v>66</v>
      </c>
      <c r="I349" s="6" t="str">
        <f>VLOOKUP(CLEAN(F349),'World Bank Categories'!$B$4:$C$220,2,FALSE)</f>
        <v>Low income</v>
      </c>
      <c r="J349" s="71" t="s">
        <v>2824</v>
      </c>
      <c r="K349" s="71" t="s">
        <v>29</v>
      </c>
      <c r="L349" s="71" t="s">
        <v>30</v>
      </c>
      <c r="M349" s="71"/>
      <c r="N349" s="71"/>
      <c r="O349" s="71"/>
      <c r="P349" s="71" t="s">
        <v>31</v>
      </c>
      <c r="Q349" s="68" t="s">
        <v>32</v>
      </c>
      <c r="R349" s="18" t="s">
        <v>33</v>
      </c>
      <c r="S349" s="74" t="s">
        <v>2822</v>
      </c>
      <c r="T349" s="27">
        <v>37798</v>
      </c>
      <c r="U349" s="25" t="s">
        <v>2824</v>
      </c>
      <c r="V349" s="25" t="s">
        <v>80</v>
      </c>
      <c r="W349" s="25"/>
    </row>
    <row r="350" spans="1:23" ht="22.5" customHeight="1">
      <c r="A350" s="64">
        <v>46084.189768518518</v>
      </c>
      <c r="B350" s="65" t="s">
        <v>2825</v>
      </c>
      <c r="C350" s="66"/>
      <c r="D350" s="65" t="s">
        <v>45</v>
      </c>
      <c r="E350" s="67">
        <v>31765</v>
      </c>
      <c r="F350" s="65" t="s">
        <v>2596</v>
      </c>
      <c r="G350" s="65" t="s">
        <v>2826</v>
      </c>
      <c r="H350" s="65" t="s">
        <v>2827</v>
      </c>
      <c r="I350" s="6" t="str">
        <f>VLOOKUP(CLEAN(F350),'World Bank Categories'!$B$4:$C$220,2,FALSE)</f>
        <v>Middle income</v>
      </c>
      <c r="J350" s="65" t="s">
        <v>2828</v>
      </c>
      <c r="K350" s="65" t="s">
        <v>39</v>
      </c>
      <c r="L350" s="65" t="s">
        <v>152</v>
      </c>
      <c r="M350" s="65"/>
      <c r="N350" s="65"/>
      <c r="O350" s="65"/>
      <c r="P350" s="65" t="s">
        <v>31</v>
      </c>
      <c r="Q350" s="68" t="s">
        <v>32</v>
      </c>
      <c r="R350" s="10" t="s">
        <v>33</v>
      </c>
      <c r="S350" s="69" t="s">
        <v>2825</v>
      </c>
      <c r="T350" s="27">
        <v>31765</v>
      </c>
      <c r="U350" s="25" t="s">
        <v>2828</v>
      </c>
      <c r="V350" s="25" t="s">
        <v>80</v>
      </c>
      <c r="W350" s="25"/>
    </row>
    <row r="351" spans="1:23" ht="22.5" customHeight="1">
      <c r="A351" s="64">
        <v>46084.255891203706</v>
      </c>
      <c r="B351" s="65" t="s">
        <v>2829</v>
      </c>
      <c r="C351" s="65" t="s">
        <v>1238</v>
      </c>
      <c r="D351" s="65" t="s">
        <v>24</v>
      </c>
      <c r="E351" s="67">
        <v>22439</v>
      </c>
      <c r="F351" s="65" t="s">
        <v>623</v>
      </c>
      <c r="G351" s="65" t="s">
        <v>2830</v>
      </c>
      <c r="H351" s="65" t="s">
        <v>111</v>
      </c>
      <c r="I351" s="6" t="str">
        <f>VLOOKUP(CLEAN(F351),'World Bank Categories'!$B$4:$C$220,2,FALSE)</f>
        <v>Middle income</v>
      </c>
      <c r="J351" s="65" t="s">
        <v>2831</v>
      </c>
      <c r="K351" s="65" t="s">
        <v>29</v>
      </c>
      <c r="L351" s="65" t="s">
        <v>30</v>
      </c>
      <c r="M351" s="65"/>
      <c r="N351" s="65"/>
      <c r="O351" s="65"/>
      <c r="P351" s="65" t="s">
        <v>31</v>
      </c>
      <c r="Q351" s="68" t="s">
        <v>32</v>
      </c>
      <c r="R351" s="10" t="s">
        <v>33</v>
      </c>
      <c r="S351" s="69" t="s">
        <v>2829</v>
      </c>
      <c r="T351" s="27">
        <v>22439</v>
      </c>
      <c r="U351" s="25" t="s">
        <v>2831</v>
      </c>
      <c r="V351" s="25" t="s">
        <v>80</v>
      </c>
      <c r="W351" s="25"/>
    </row>
    <row r="352" spans="1:23" ht="22.5" customHeight="1">
      <c r="A352" s="70">
        <v>46084.361712962964</v>
      </c>
      <c r="B352" s="71" t="s">
        <v>2832</v>
      </c>
      <c r="C352" s="72"/>
      <c r="D352" s="71" t="s">
        <v>24</v>
      </c>
      <c r="E352" s="73">
        <v>36059</v>
      </c>
      <c r="F352" s="71" t="s">
        <v>310</v>
      </c>
      <c r="G352" s="71" t="s">
        <v>2833</v>
      </c>
      <c r="H352" s="71" t="s">
        <v>2834</v>
      </c>
      <c r="I352" s="6" t="str">
        <f>VLOOKUP(CLEAN(F352),'World Bank Categories'!$B$4:$C$220,2,FALSE)</f>
        <v>High income</v>
      </c>
      <c r="J352" s="71" t="s">
        <v>2835</v>
      </c>
      <c r="K352" s="71" t="s">
        <v>39</v>
      </c>
      <c r="L352" s="71" t="s">
        <v>621</v>
      </c>
      <c r="M352" s="71"/>
      <c r="N352" s="71"/>
      <c r="O352" s="71"/>
      <c r="P352" s="71" t="s">
        <v>31</v>
      </c>
      <c r="Q352" s="68" t="s">
        <v>32</v>
      </c>
      <c r="R352" s="18" t="s">
        <v>33</v>
      </c>
      <c r="S352" s="74" t="s">
        <v>2836</v>
      </c>
      <c r="T352" s="27">
        <v>36059</v>
      </c>
      <c r="U352" s="25" t="s">
        <v>2837</v>
      </c>
      <c r="V352" s="25" t="s">
        <v>463</v>
      </c>
      <c r="W352" s="25"/>
    </row>
    <row r="353" spans="1:23" ht="22.5" customHeight="1">
      <c r="A353" s="75">
        <v>46084.374386574076</v>
      </c>
      <c r="B353" s="76" t="s">
        <v>2838</v>
      </c>
      <c r="C353" s="77"/>
      <c r="D353" s="76" t="s">
        <v>24</v>
      </c>
      <c r="E353" s="78">
        <v>30208</v>
      </c>
      <c r="F353" s="76" t="s">
        <v>245</v>
      </c>
      <c r="G353" s="76" t="s">
        <v>2839</v>
      </c>
      <c r="H353" s="76" t="s">
        <v>2840</v>
      </c>
      <c r="I353" s="6" t="str">
        <f>VLOOKUP(CLEAN(F353),'World Bank Categories'!$B$4:$C$220,2,FALSE)</f>
        <v>Middle income</v>
      </c>
      <c r="J353" s="76" t="s">
        <v>2841</v>
      </c>
      <c r="K353" s="76" t="s">
        <v>29</v>
      </c>
      <c r="L353" s="76" t="s">
        <v>30</v>
      </c>
      <c r="M353" s="76" t="s">
        <v>2842</v>
      </c>
      <c r="N353" s="76"/>
      <c r="O353" s="76"/>
      <c r="P353" s="76" t="s">
        <v>31</v>
      </c>
      <c r="Q353" s="68" t="s">
        <v>32</v>
      </c>
      <c r="R353" s="10" t="s">
        <v>43</v>
      </c>
      <c r="S353" s="69" t="s">
        <v>2838</v>
      </c>
      <c r="T353" s="27">
        <v>30208</v>
      </c>
      <c r="U353" s="25" t="s">
        <v>2841</v>
      </c>
      <c r="V353" s="25" t="s">
        <v>80</v>
      </c>
      <c r="W353" s="25"/>
    </row>
    <row r="354" spans="1:23" ht="22.5" customHeight="1">
      <c r="A354" s="87">
        <v>46084.641041666669</v>
      </c>
      <c r="B354" s="88" t="s">
        <v>2843</v>
      </c>
      <c r="C354" s="89"/>
      <c r="D354" s="88" t="s">
        <v>24</v>
      </c>
      <c r="E354" s="90">
        <v>27375</v>
      </c>
      <c r="F354" s="88" t="s">
        <v>416</v>
      </c>
      <c r="G354" s="88" t="s">
        <v>2844</v>
      </c>
      <c r="H354" s="88" t="s">
        <v>2845</v>
      </c>
      <c r="I354" s="6" t="str">
        <f>VLOOKUP(CLEAN(F354),'World Bank Categories'!$B$4:$C$220,2,FALSE)</f>
        <v>Middle income</v>
      </c>
      <c r="J354" s="88" t="s">
        <v>2846</v>
      </c>
      <c r="K354" s="88" t="s">
        <v>39</v>
      </c>
      <c r="L354" s="88" t="s">
        <v>30</v>
      </c>
      <c r="M354" s="88"/>
      <c r="N354" s="88"/>
      <c r="O354" s="88"/>
      <c r="P354" s="88" t="s">
        <v>31</v>
      </c>
      <c r="Q354" s="91" t="s">
        <v>32</v>
      </c>
      <c r="R354" s="18" t="s">
        <v>33</v>
      </c>
      <c r="S354" s="74" t="s">
        <v>2843</v>
      </c>
      <c r="T354" s="27">
        <v>27375</v>
      </c>
      <c r="U354" s="25" t="s">
        <v>2846</v>
      </c>
      <c r="V354" s="25" t="s">
        <v>80</v>
      </c>
      <c r="W354" s="25"/>
    </row>
    <row r="355" spans="1:23" ht="22.5" customHeight="1">
      <c r="A355" s="93">
        <v>46084.711944444447</v>
      </c>
      <c r="B355" s="94" t="s">
        <v>2856</v>
      </c>
      <c r="C355" s="95"/>
      <c r="D355" s="94" t="s">
        <v>45</v>
      </c>
      <c r="E355" s="96">
        <v>36406</v>
      </c>
      <c r="F355" s="94" t="s">
        <v>475</v>
      </c>
      <c r="G355" s="94" t="s">
        <v>2857</v>
      </c>
      <c r="H355" s="94" t="s">
        <v>90</v>
      </c>
      <c r="I355" s="6" t="str">
        <f>VLOOKUP(CLEAN(F355),'World Bank Categories'!$B$4:$C$220,2,FALSE)</f>
        <v>Middle income</v>
      </c>
      <c r="J355" s="94" t="s">
        <v>2858</v>
      </c>
      <c r="K355" s="94" t="s">
        <v>39</v>
      </c>
      <c r="L355" s="94" t="s">
        <v>30</v>
      </c>
      <c r="M355" s="94"/>
      <c r="N355" s="94"/>
      <c r="O355" s="94"/>
      <c r="P355" s="94" t="s">
        <v>31</v>
      </c>
      <c r="Q355" s="68" t="s">
        <v>32</v>
      </c>
      <c r="R355" s="10" t="s">
        <v>43</v>
      </c>
      <c r="S355" s="69" t="s">
        <v>2856</v>
      </c>
      <c r="T355" s="27">
        <v>36406</v>
      </c>
      <c r="U355" s="25" t="s">
        <v>2858</v>
      </c>
      <c r="V355" s="25" t="s">
        <v>80</v>
      </c>
      <c r="W355" s="25"/>
    </row>
    <row r="356" spans="1:23" ht="22.5" customHeight="1">
      <c r="A356" s="70">
        <v>46084.7733912037</v>
      </c>
      <c r="B356" s="71" t="s">
        <v>2865</v>
      </c>
      <c r="C356" s="72"/>
      <c r="D356" s="71" t="s">
        <v>45</v>
      </c>
      <c r="E356" s="73">
        <v>30301</v>
      </c>
      <c r="F356" s="71" t="s">
        <v>612</v>
      </c>
      <c r="G356" s="71" t="s">
        <v>2866</v>
      </c>
      <c r="H356" s="71" t="s">
        <v>2867</v>
      </c>
      <c r="I356" s="6" t="str">
        <f>VLOOKUP(CLEAN(F356),'World Bank Categories'!$B$4:$C$220,2,FALSE)</f>
        <v>Low income</v>
      </c>
      <c r="J356" s="71" t="s">
        <v>2868</v>
      </c>
      <c r="K356" s="71" t="s">
        <v>29</v>
      </c>
      <c r="L356" s="71" t="s">
        <v>30</v>
      </c>
      <c r="M356" s="71"/>
      <c r="N356" s="71"/>
      <c r="O356" s="71"/>
      <c r="P356" s="71" t="s">
        <v>31</v>
      </c>
      <c r="Q356" s="68" t="s">
        <v>32</v>
      </c>
      <c r="R356" s="18" t="s">
        <v>33</v>
      </c>
      <c r="S356" s="74" t="s">
        <v>2869</v>
      </c>
      <c r="T356" s="27">
        <v>30301</v>
      </c>
      <c r="U356" s="25" t="s">
        <v>2868</v>
      </c>
      <c r="V356" s="25" t="s">
        <v>2870</v>
      </c>
      <c r="W356" s="25"/>
    </row>
    <row r="357" spans="1:23" ht="22.5" customHeight="1">
      <c r="A357" s="97">
        <v>46084.932546296295</v>
      </c>
      <c r="B357" s="98" t="s">
        <v>2877</v>
      </c>
      <c r="C357" s="99"/>
      <c r="D357" s="98" t="s">
        <v>24</v>
      </c>
      <c r="E357" s="100">
        <v>35658</v>
      </c>
      <c r="F357" s="98" t="s">
        <v>438</v>
      </c>
      <c r="G357" s="98" t="s">
        <v>2878</v>
      </c>
      <c r="H357" s="98" t="s">
        <v>2879</v>
      </c>
      <c r="I357" s="6" t="str">
        <f>VLOOKUP(CLEAN(F357),'World Bank Categories'!$B$4:$C$220,2,FALSE)</f>
        <v>Middle income</v>
      </c>
      <c r="J357" s="98" t="s">
        <v>2880</v>
      </c>
      <c r="K357" s="98" t="s">
        <v>39</v>
      </c>
      <c r="L357" s="98" t="s">
        <v>30</v>
      </c>
      <c r="M357" s="98"/>
      <c r="N357" s="98"/>
      <c r="O357" s="98"/>
      <c r="P357" s="98" t="s">
        <v>31</v>
      </c>
      <c r="Q357" s="68" t="s">
        <v>32</v>
      </c>
      <c r="R357" s="10" t="s">
        <v>33</v>
      </c>
      <c r="S357" s="69" t="s">
        <v>2877</v>
      </c>
      <c r="T357" s="27">
        <v>35658</v>
      </c>
      <c r="U357" s="25" t="s">
        <v>2881</v>
      </c>
      <c r="V357" s="25" t="s">
        <v>80</v>
      </c>
      <c r="W357" s="25"/>
    </row>
    <row r="358" spans="1:23" ht="22.5" customHeight="1">
      <c r="A358" s="70">
        <v>46084.940023148149</v>
      </c>
      <c r="B358" s="71" t="s">
        <v>2882</v>
      </c>
      <c r="C358" s="71" t="s">
        <v>2883</v>
      </c>
      <c r="D358" s="71" t="s">
        <v>24</v>
      </c>
      <c r="E358" s="73">
        <v>38781</v>
      </c>
      <c r="F358" s="71" t="s">
        <v>1053</v>
      </c>
      <c r="G358" s="71" t="s">
        <v>2884</v>
      </c>
      <c r="H358" s="71" t="s">
        <v>2885</v>
      </c>
      <c r="I358" s="6" t="str">
        <f>VLOOKUP(CLEAN(F358),'World Bank Categories'!$B$4:$C$220,2,FALSE)</f>
        <v>High income</v>
      </c>
      <c r="J358" s="71" t="s">
        <v>2886</v>
      </c>
      <c r="K358" s="71" t="s">
        <v>39</v>
      </c>
      <c r="L358" s="71" t="s">
        <v>152</v>
      </c>
      <c r="M358" s="71"/>
      <c r="N358" s="71"/>
      <c r="O358" s="71"/>
      <c r="P358" s="71" t="s">
        <v>31</v>
      </c>
      <c r="Q358" s="68" t="s">
        <v>32</v>
      </c>
      <c r="R358" s="18" t="s">
        <v>43</v>
      </c>
      <c r="S358" s="74" t="s">
        <v>2887</v>
      </c>
      <c r="T358" s="27">
        <v>38781</v>
      </c>
      <c r="U358" s="25" t="s">
        <v>2886</v>
      </c>
      <c r="V358" s="25" t="s">
        <v>80</v>
      </c>
      <c r="W358" s="25"/>
    </row>
    <row r="359" spans="1:23" ht="22.5" customHeight="1">
      <c r="A359" s="70">
        <v>46084.998831018522</v>
      </c>
      <c r="B359" s="71" t="s">
        <v>2888</v>
      </c>
      <c r="C359" s="72"/>
      <c r="D359" s="71" t="s">
        <v>24</v>
      </c>
      <c r="E359" s="73">
        <v>37032</v>
      </c>
      <c r="F359" s="71" t="s">
        <v>2713</v>
      </c>
      <c r="G359" s="71" t="s">
        <v>2714</v>
      </c>
      <c r="H359" s="71" t="s">
        <v>368</v>
      </c>
      <c r="I359" s="6" t="str">
        <f>VLOOKUP(CLEAN(F359),'World Bank Categories'!$B$4:$C$220,2,FALSE)</f>
        <v>High income</v>
      </c>
      <c r="J359" s="71" t="s">
        <v>2889</v>
      </c>
      <c r="K359" s="71" t="s">
        <v>29</v>
      </c>
      <c r="L359" s="71" t="s">
        <v>30</v>
      </c>
      <c r="M359" s="71"/>
      <c r="N359" s="71"/>
      <c r="O359" s="71"/>
      <c r="P359" s="71" t="s">
        <v>31</v>
      </c>
      <c r="Q359" s="91" t="s">
        <v>32</v>
      </c>
      <c r="R359" s="18" t="s">
        <v>43</v>
      </c>
      <c r="S359" s="74" t="s">
        <v>2888</v>
      </c>
      <c r="T359" s="27">
        <v>37032</v>
      </c>
      <c r="U359" s="25" t="s">
        <v>2889</v>
      </c>
      <c r="V359" s="25" t="s">
        <v>80</v>
      </c>
      <c r="W359" s="25"/>
    </row>
    <row r="360" spans="1:23" ht="22.5" customHeight="1">
      <c r="A360" s="97">
        <v>46085.003020833334</v>
      </c>
      <c r="B360" s="98" t="s">
        <v>2890</v>
      </c>
      <c r="C360" s="99"/>
      <c r="D360" s="98" t="s">
        <v>24</v>
      </c>
      <c r="E360" s="100">
        <v>38631</v>
      </c>
      <c r="F360" s="76" t="s">
        <v>70</v>
      </c>
      <c r="G360" s="98" t="s">
        <v>77</v>
      </c>
      <c r="H360" s="98" t="s">
        <v>2891</v>
      </c>
      <c r="I360" s="6" t="str">
        <f>VLOOKUP(CLEAN(F360),'World Bank Categories'!$B$4:$C$220,2,FALSE)</f>
        <v>Middle income</v>
      </c>
      <c r="J360" s="98" t="s">
        <v>2892</v>
      </c>
      <c r="K360" s="98" t="s">
        <v>29</v>
      </c>
      <c r="L360" s="98" t="s">
        <v>30</v>
      </c>
      <c r="M360" s="98"/>
      <c r="N360" s="98"/>
      <c r="O360" s="98"/>
      <c r="P360" s="98" t="s">
        <v>31</v>
      </c>
      <c r="Q360" s="68" t="s">
        <v>32</v>
      </c>
      <c r="R360" s="10" t="s">
        <v>33</v>
      </c>
      <c r="S360" s="69" t="s">
        <v>2890</v>
      </c>
      <c r="T360" s="27">
        <v>38631</v>
      </c>
      <c r="U360" s="25" t="s">
        <v>2892</v>
      </c>
      <c r="V360" s="25" t="s">
        <v>80</v>
      </c>
      <c r="W360" s="25"/>
    </row>
    <row r="361" spans="1:23" ht="22.5" customHeight="1">
      <c r="A361" s="87">
        <v>46085.092615740738</v>
      </c>
      <c r="B361" s="88" t="s">
        <v>2893</v>
      </c>
      <c r="C361" s="89"/>
      <c r="D361" s="88" t="s">
        <v>24</v>
      </c>
      <c r="E361" s="90">
        <v>38881</v>
      </c>
      <c r="F361" s="88" t="s">
        <v>416</v>
      </c>
      <c r="G361" s="88" t="s">
        <v>2894</v>
      </c>
      <c r="H361" s="88" t="s">
        <v>66</v>
      </c>
      <c r="I361" s="6" t="str">
        <f>VLOOKUP(CLEAN(F361),'World Bank Categories'!$B$4:$C$220,2,FALSE)</f>
        <v>Middle income</v>
      </c>
      <c r="J361" s="88" t="s">
        <v>2895</v>
      </c>
      <c r="K361" s="88" t="s">
        <v>29</v>
      </c>
      <c r="L361" s="88" t="s">
        <v>30</v>
      </c>
      <c r="M361" s="88"/>
      <c r="N361" s="88"/>
      <c r="O361" s="88"/>
      <c r="P361" s="88" t="s">
        <v>31</v>
      </c>
      <c r="Q361" s="68" t="s">
        <v>32</v>
      </c>
      <c r="R361" s="18" t="s">
        <v>33</v>
      </c>
      <c r="S361" s="74" t="s">
        <v>2896</v>
      </c>
      <c r="T361" s="27">
        <v>38881</v>
      </c>
      <c r="U361" s="25" t="s">
        <v>2895</v>
      </c>
      <c r="V361" s="25" t="s">
        <v>2897</v>
      </c>
      <c r="W361" s="25"/>
    </row>
    <row r="362" spans="1:23" ht="22.5" customHeight="1">
      <c r="A362" s="64">
        <v>46085.165127314816</v>
      </c>
      <c r="B362" s="65" t="s">
        <v>2898</v>
      </c>
      <c r="C362" s="66"/>
      <c r="D362" s="65" t="s">
        <v>24</v>
      </c>
      <c r="E362" s="67">
        <v>26230</v>
      </c>
      <c r="F362" s="65" t="s">
        <v>2556</v>
      </c>
      <c r="G362" s="65" t="s">
        <v>2899</v>
      </c>
      <c r="H362" s="65" t="s">
        <v>2900</v>
      </c>
      <c r="I362" s="6" t="str">
        <f>VLOOKUP(CLEAN(F362),'World Bank Categories'!$B$4:$C$220,2,FALSE)</f>
        <v>Middle income</v>
      </c>
      <c r="J362" s="65" t="s">
        <v>2901</v>
      </c>
      <c r="K362" s="65" t="s">
        <v>39</v>
      </c>
      <c r="L362" s="65" t="s">
        <v>30</v>
      </c>
      <c r="M362" s="65"/>
      <c r="N362" s="65"/>
      <c r="O362" s="65"/>
      <c r="P362" s="65" t="s">
        <v>31</v>
      </c>
      <c r="Q362" s="91" t="s">
        <v>32</v>
      </c>
      <c r="R362" s="10" t="s">
        <v>33</v>
      </c>
      <c r="S362" s="69" t="s">
        <v>2898</v>
      </c>
      <c r="T362" s="27">
        <v>26230</v>
      </c>
      <c r="U362" s="25" t="s">
        <v>2901</v>
      </c>
      <c r="V362" s="25" t="s">
        <v>80</v>
      </c>
      <c r="W362" s="25"/>
    </row>
    <row r="363" spans="1:23" ht="22.5" customHeight="1">
      <c r="A363" s="70">
        <v>46085.349826388891</v>
      </c>
      <c r="B363" s="71" t="s">
        <v>2902</v>
      </c>
      <c r="C363" s="72"/>
      <c r="D363" s="71" t="s">
        <v>24</v>
      </c>
      <c r="E363" s="73">
        <v>27926</v>
      </c>
      <c r="F363" s="71" t="s">
        <v>623</v>
      </c>
      <c r="G363" s="71" t="s">
        <v>2903</v>
      </c>
      <c r="H363" s="71" t="s">
        <v>90</v>
      </c>
      <c r="I363" s="6" t="str">
        <f>VLOOKUP(CLEAN(F363),'World Bank Categories'!$B$4:$C$220,2,FALSE)</f>
        <v>Middle income</v>
      </c>
      <c r="J363" s="71" t="s">
        <v>2904</v>
      </c>
      <c r="K363" s="71" t="s">
        <v>39</v>
      </c>
      <c r="L363" s="71" t="s">
        <v>30</v>
      </c>
      <c r="M363" s="71"/>
      <c r="N363" s="71"/>
      <c r="O363" s="71"/>
      <c r="P363" s="71" t="s">
        <v>31</v>
      </c>
      <c r="Q363" s="68" t="s">
        <v>32</v>
      </c>
      <c r="R363" s="18" t="s">
        <v>33</v>
      </c>
      <c r="S363" s="74" t="s">
        <v>2905</v>
      </c>
      <c r="T363" s="27">
        <v>27926</v>
      </c>
      <c r="U363" s="25" t="s">
        <v>2904</v>
      </c>
      <c r="V363" s="25" t="s">
        <v>1670</v>
      </c>
      <c r="W363" s="25"/>
    </row>
    <row r="364" spans="1:23" ht="22.5" customHeight="1">
      <c r="A364" s="64">
        <v>46085.642418981479</v>
      </c>
      <c r="B364" s="65" t="s">
        <v>2906</v>
      </c>
      <c r="C364" s="65" t="s">
        <v>2907</v>
      </c>
      <c r="D364" s="65" t="s">
        <v>24</v>
      </c>
      <c r="E364" s="67">
        <v>38814</v>
      </c>
      <c r="F364" s="65" t="s">
        <v>1053</v>
      </c>
      <c r="G364" s="65" t="s">
        <v>2908</v>
      </c>
      <c r="H364" s="65" t="s">
        <v>66</v>
      </c>
      <c r="I364" s="6" t="str">
        <f>VLOOKUP(CLEAN(F364),'World Bank Categories'!$B$4:$C$220,2,FALSE)</f>
        <v>High income</v>
      </c>
      <c r="J364" s="65" t="s">
        <v>2909</v>
      </c>
      <c r="K364" s="65" t="s">
        <v>29</v>
      </c>
      <c r="L364" s="65" t="s">
        <v>30</v>
      </c>
      <c r="M364" s="65"/>
      <c r="N364" s="65"/>
      <c r="O364" s="65"/>
      <c r="P364" s="65" t="s">
        <v>31</v>
      </c>
      <c r="Q364" s="68" t="s">
        <v>32</v>
      </c>
      <c r="R364" s="10" t="s">
        <v>43</v>
      </c>
      <c r="S364" s="69" t="s">
        <v>2906</v>
      </c>
      <c r="T364" s="27">
        <v>38814</v>
      </c>
      <c r="U364" s="25" t="s">
        <v>2910</v>
      </c>
      <c r="V364" s="25" t="s">
        <v>80</v>
      </c>
      <c r="W364" s="25"/>
    </row>
    <row r="365" spans="1:23" ht="22.5" customHeight="1">
      <c r="A365" s="70">
        <v>46085.825254629628</v>
      </c>
      <c r="B365" s="71" t="s">
        <v>2914</v>
      </c>
      <c r="C365" s="71" t="s">
        <v>2914</v>
      </c>
      <c r="D365" s="71" t="s">
        <v>45</v>
      </c>
      <c r="E365" s="73">
        <v>21478</v>
      </c>
      <c r="F365" s="71" t="s">
        <v>64</v>
      </c>
      <c r="G365" s="71" t="s">
        <v>2915</v>
      </c>
      <c r="H365" s="71" t="s">
        <v>2916</v>
      </c>
      <c r="I365" s="6" t="str">
        <f>VLOOKUP(CLEAN(F365),'World Bank Categories'!$B$4:$C$220,2,FALSE)</f>
        <v>Middle income</v>
      </c>
      <c r="J365" s="71" t="s">
        <v>2917</v>
      </c>
      <c r="K365" s="71" t="s">
        <v>29</v>
      </c>
      <c r="L365" s="71" t="s">
        <v>30</v>
      </c>
      <c r="M365" s="71"/>
      <c r="N365" s="71"/>
      <c r="O365" s="71"/>
      <c r="P365" s="71" t="s">
        <v>31</v>
      </c>
      <c r="Q365" s="68" t="s">
        <v>32</v>
      </c>
      <c r="R365" s="18" t="s">
        <v>33</v>
      </c>
      <c r="S365" s="74" t="s">
        <v>2914</v>
      </c>
      <c r="T365" s="27">
        <v>21478</v>
      </c>
      <c r="U365" s="25" t="s">
        <v>2918</v>
      </c>
      <c r="V365" s="25" t="s">
        <v>101</v>
      </c>
      <c r="W365" s="25"/>
    </row>
    <row r="366" spans="1:23" ht="22.5" customHeight="1">
      <c r="A366" s="97">
        <v>46086.617395833331</v>
      </c>
      <c r="B366" s="98" t="s">
        <v>2925</v>
      </c>
      <c r="C366" s="99"/>
      <c r="D366" s="98" t="s">
        <v>24</v>
      </c>
      <c r="E366" s="100">
        <v>38570</v>
      </c>
      <c r="F366" s="98" t="s">
        <v>297</v>
      </c>
      <c r="G366" s="98" t="s">
        <v>2926</v>
      </c>
      <c r="H366" s="98" t="s">
        <v>66</v>
      </c>
      <c r="I366" s="6" t="str">
        <f>VLOOKUP(CLEAN(F366),'World Bank Categories'!$B$4:$C$220,2,FALSE)</f>
        <v>Middle income</v>
      </c>
      <c r="J366" s="98" t="s">
        <v>2927</v>
      </c>
      <c r="K366" s="98" t="s">
        <v>29</v>
      </c>
      <c r="L366" s="98" t="s">
        <v>30</v>
      </c>
      <c r="M366" s="98"/>
      <c r="N366" s="98"/>
      <c r="O366" s="98"/>
      <c r="P366" s="98" t="s">
        <v>31</v>
      </c>
      <c r="Q366" s="68" t="s">
        <v>32</v>
      </c>
      <c r="R366" s="10" t="s">
        <v>33</v>
      </c>
      <c r="S366" s="69" t="s">
        <v>2925</v>
      </c>
      <c r="T366" s="27">
        <v>38570</v>
      </c>
      <c r="U366" s="25" t="s">
        <v>2927</v>
      </c>
      <c r="V366" s="25" t="s">
        <v>80</v>
      </c>
      <c r="W366" s="25"/>
    </row>
    <row r="367" spans="1:23" ht="22.5" customHeight="1">
      <c r="A367" s="70">
        <v>46086.709016203706</v>
      </c>
      <c r="B367" s="71" t="s">
        <v>2928</v>
      </c>
      <c r="C367" s="71" t="s">
        <v>2929</v>
      </c>
      <c r="D367" s="71" t="s">
        <v>45</v>
      </c>
      <c r="E367" s="73">
        <v>37047</v>
      </c>
      <c r="F367" s="71" t="s">
        <v>1053</v>
      </c>
      <c r="G367" s="71" t="s">
        <v>2930</v>
      </c>
      <c r="H367" s="71" t="s">
        <v>66</v>
      </c>
      <c r="I367" s="6" t="str">
        <f>VLOOKUP(CLEAN(F367),'World Bank Categories'!$B$4:$C$220,2,FALSE)</f>
        <v>High income</v>
      </c>
      <c r="J367" s="71" t="s">
        <v>2931</v>
      </c>
      <c r="K367" s="71" t="s">
        <v>39</v>
      </c>
      <c r="L367" s="71" t="s">
        <v>152</v>
      </c>
      <c r="M367" s="71"/>
      <c r="N367" s="71"/>
      <c r="O367" s="71"/>
      <c r="P367" s="71" t="s">
        <v>31</v>
      </c>
      <c r="Q367" s="68" t="s">
        <v>32</v>
      </c>
      <c r="R367" s="18" t="s">
        <v>43</v>
      </c>
      <c r="S367" s="74" t="s">
        <v>2932</v>
      </c>
      <c r="T367" s="27">
        <v>37047</v>
      </c>
      <c r="U367" s="25" t="s">
        <v>2931</v>
      </c>
      <c r="V367" s="25" t="s">
        <v>80</v>
      </c>
      <c r="W367" s="25"/>
    </row>
    <row r="368" spans="1:23" ht="22.5" customHeight="1">
      <c r="A368" s="97">
        <v>46086.891643518517</v>
      </c>
      <c r="B368" s="98" t="s">
        <v>2933</v>
      </c>
      <c r="C368" s="98" t="s">
        <v>2934</v>
      </c>
      <c r="D368" s="98" t="s">
        <v>45</v>
      </c>
      <c r="E368" s="100">
        <v>39093</v>
      </c>
      <c r="F368" s="98" t="s">
        <v>1053</v>
      </c>
      <c r="G368" s="98" t="s">
        <v>2935</v>
      </c>
      <c r="H368" s="98" t="s">
        <v>66</v>
      </c>
      <c r="I368" s="6" t="str">
        <f>VLOOKUP(CLEAN(F368),'World Bank Categories'!$B$4:$C$220,2,FALSE)</f>
        <v>High income</v>
      </c>
      <c r="J368" s="98" t="s">
        <v>2936</v>
      </c>
      <c r="K368" s="98" t="s">
        <v>29</v>
      </c>
      <c r="L368" s="98" t="s">
        <v>30</v>
      </c>
      <c r="M368" s="98"/>
      <c r="N368" s="98"/>
      <c r="O368" s="98"/>
      <c r="P368" s="98" t="s">
        <v>31</v>
      </c>
      <c r="Q368" s="68" t="s">
        <v>32</v>
      </c>
      <c r="R368" s="10" t="s">
        <v>43</v>
      </c>
      <c r="S368" s="69" t="s">
        <v>2937</v>
      </c>
      <c r="T368" s="27">
        <v>39093</v>
      </c>
      <c r="U368" s="25" t="s">
        <v>2936</v>
      </c>
      <c r="V368" s="25" t="s">
        <v>154</v>
      </c>
      <c r="W368" s="25"/>
    </row>
    <row r="369" spans="1:23" ht="22.5" customHeight="1">
      <c r="A369" s="87">
        <v>46086.901967592596</v>
      </c>
      <c r="B369" s="88" t="s">
        <v>2938</v>
      </c>
      <c r="C369" s="89"/>
      <c r="D369" s="88" t="s">
        <v>45</v>
      </c>
      <c r="E369" s="90">
        <v>34979</v>
      </c>
      <c r="F369" s="88" t="s">
        <v>612</v>
      </c>
      <c r="G369" s="88" t="s">
        <v>2939</v>
      </c>
      <c r="H369" s="88" t="s">
        <v>186</v>
      </c>
      <c r="I369" s="6" t="str">
        <f>VLOOKUP(CLEAN(F369),'World Bank Categories'!$B$4:$C$220,2,FALSE)</f>
        <v>Low income</v>
      </c>
      <c r="J369" s="88" t="s">
        <v>2940</v>
      </c>
      <c r="K369" s="88" t="s">
        <v>29</v>
      </c>
      <c r="L369" s="88" t="s">
        <v>30</v>
      </c>
      <c r="M369" s="88"/>
      <c r="N369" s="88"/>
      <c r="O369" s="88"/>
      <c r="P369" s="88" t="s">
        <v>31</v>
      </c>
      <c r="Q369" s="68" t="s">
        <v>32</v>
      </c>
      <c r="R369" s="18" t="s">
        <v>33</v>
      </c>
      <c r="S369" s="74" t="s">
        <v>2941</v>
      </c>
      <c r="T369" s="27">
        <v>34979</v>
      </c>
      <c r="U369" s="25" t="s">
        <v>2940</v>
      </c>
      <c r="V369" s="25" t="s">
        <v>154</v>
      </c>
      <c r="W369" s="25"/>
    </row>
    <row r="370" spans="1:23" ht="22.5" customHeight="1">
      <c r="A370" s="97">
        <v>46086.937673611108</v>
      </c>
      <c r="B370" s="98" t="s">
        <v>2942</v>
      </c>
      <c r="C370" s="99"/>
      <c r="D370" s="98" t="s">
        <v>45</v>
      </c>
      <c r="E370" s="100">
        <v>36450</v>
      </c>
      <c r="F370" s="76" t="s">
        <v>227</v>
      </c>
      <c r="G370" s="98" t="s">
        <v>2943</v>
      </c>
      <c r="H370" s="98" t="s">
        <v>2944</v>
      </c>
      <c r="I370" s="6" t="str">
        <f>VLOOKUP(CLEAN(F370),'World Bank Categories'!$B$4:$C$220,2,FALSE)</f>
        <v>Middle income</v>
      </c>
      <c r="J370" s="98" t="s">
        <v>2945</v>
      </c>
      <c r="K370" s="98" t="s">
        <v>29</v>
      </c>
      <c r="L370" s="98" t="s">
        <v>30</v>
      </c>
      <c r="M370" s="98"/>
      <c r="N370" s="98"/>
      <c r="O370" s="98"/>
      <c r="P370" s="98" t="s">
        <v>31</v>
      </c>
      <c r="Q370" s="68" t="s">
        <v>32</v>
      </c>
      <c r="R370" s="10" t="s">
        <v>33</v>
      </c>
      <c r="S370" s="69" t="s">
        <v>2942</v>
      </c>
      <c r="T370" s="27">
        <v>36450</v>
      </c>
      <c r="U370" s="25" t="s">
        <v>2945</v>
      </c>
      <c r="V370" s="25" t="s">
        <v>80</v>
      </c>
      <c r="W370" s="25"/>
    </row>
    <row r="371" spans="1:23" ht="22.5" customHeight="1">
      <c r="A371" s="102">
        <v>46087.654456018521</v>
      </c>
      <c r="B371" s="103" t="s">
        <v>2949</v>
      </c>
      <c r="C371" s="104"/>
      <c r="D371" s="103" t="s">
        <v>24</v>
      </c>
      <c r="E371" s="105">
        <v>35746</v>
      </c>
      <c r="F371" s="103" t="s">
        <v>297</v>
      </c>
      <c r="G371" s="103" t="s">
        <v>2950</v>
      </c>
      <c r="H371" s="103" t="s">
        <v>1069</v>
      </c>
      <c r="I371" s="6" t="str">
        <f>VLOOKUP(CLEAN(F371),'World Bank Categories'!$B$4:$C$220,2,FALSE)</f>
        <v>Middle income</v>
      </c>
      <c r="J371" s="103" t="s">
        <v>2951</v>
      </c>
      <c r="K371" s="103" t="s">
        <v>39</v>
      </c>
      <c r="L371" s="103" t="s">
        <v>162</v>
      </c>
      <c r="M371" s="103"/>
      <c r="N371" s="103"/>
      <c r="O371" s="103"/>
      <c r="P371" s="103" t="s">
        <v>31</v>
      </c>
      <c r="Q371" s="68" t="s">
        <v>32</v>
      </c>
      <c r="R371" s="10" t="s">
        <v>33</v>
      </c>
      <c r="S371" s="69" t="s">
        <v>2952</v>
      </c>
      <c r="T371" s="27">
        <v>35746</v>
      </c>
      <c r="U371" s="25" t="s">
        <v>2951</v>
      </c>
      <c r="V371" s="25" t="s">
        <v>154</v>
      </c>
      <c r="W371" s="25"/>
    </row>
    <row r="372" spans="1:23" ht="22.5" customHeight="1">
      <c r="A372" s="102">
        <v>46088.135439814818</v>
      </c>
      <c r="B372" s="103" t="s">
        <v>2963</v>
      </c>
      <c r="C372" s="104"/>
      <c r="D372" s="103" t="s">
        <v>24</v>
      </c>
      <c r="E372" s="105">
        <v>36163</v>
      </c>
      <c r="F372" s="103" t="s">
        <v>58</v>
      </c>
      <c r="G372" s="103" t="s">
        <v>2872</v>
      </c>
      <c r="H372" s="103" t="s">
        <v>2964</v>
      </c>
      <c r="I372" s="6" t="str">
        <f>VLOOKUP(CLEAN(F372),'World Bank Categories'!$B$4:$C$220,2,FALSE)</f>
        <v>Middle income</v>
      </c>
      <c r="J372" s="103" t="s">
        <v>2965</v>
      </c>
      <c r="K372" s="103" t="s">
        <v>29</v>
      </c>
      <c r="L372" s="103" t="s">
        <v>30</v>
      </c>
      <c r="M372" s="103"/>
      <c r="N372" s="103"/>
      <c r="O372" s="103"/>
      <c r="P372" s="103" t="s">
        <v>31</v>
      </c>
      <c r="Q372" s="68" t="s">
        <v>32</v>
      </c>
      <c r="R372" s="18" t="s">
        <v>33</v>
      </c>
      <c r="S372" s="69" t="s">
        <v>2963</v>
      </c>
      <c r="T372" s="27">
        <v>36163</v>
      </c>
      <c r="U372" s="25" t="s">
        <v>2965</v>
      </c>
      <c r="V372" s="25" t="s">
        <v>80</v>
      </c>
      <c r="W372" s="25"/>
    </row>
    <row r="373" spans="1:23" ht="22.5" customHeight="1">
      <c r="A373" s="106">
        <v>46090.053472222222</v>
      </c>
      <c r="B373" s="107" t="s">
        <v>2973</v>
      </c>
      <c r="C373" s="108"/>
      <c r="D373" s="107" t="s">
        <v>24</v>
      </c>
      <c r="E373" s="109">
        <v>38330</v>
      </c>
      <c r="F373" s="71" t="s">
        <v>227</v>
      </c>
      <c r="G373" s="107" t="s">
        <v>2974</v>
      </c>
      <c r="H373" s="107" t="s">
        <v>1407</v>
      </c>
      <c r="I373" s="6" t="str">
        <f>VLOOKUP(CLEAN(F373),'World Bank Categories'!$B$4:$C$220,2,FALSE)</f>
        <v>Middle income</v>
      </c>
      <c r="J373" s="107" t="s">
        <v>2975</v>
      </c>
      <c r="K373" s="107" t="s">
        <v>29</v>
      </c>
      <c r="L373" s="107" t="s">
        <v>30</v>
      </c>
      <c r="M373" s="107"/>
      <c r="N373" s="107"/>
      <c r="O373" s="107"/>
      <c r="P373" s="107" t="s">
        <v>31</v>
      </c>
      <c r="Q373" s="68" t="s">
        <v>32</v>
      </c>
      <c r="R373" s="18" t="s">
        <v>33</v>
      </c>
      <c r="S373" s="74" t="s">
        <v>2973</v>
      </c>
      <c r="T373" s="27">
        <v>38330</v>
      </c>
      <c r="U373" s="25" t="s">
        <v>2975</v>
      </c>
      <c r="V373" s="25" t="s">
        <v>80</v>
      </c>
      <c r="W373" s="25"/>
    </row>
    <row r="374" spans="1:23" ht="22.5" customHeight="1">
      <c r="A374" s="102">
        <v>46090.304791666669</v>
      </c>
      <c r="B374" s="103" t="s">
        <v>2976</v>
      </c>
      <c r="C374" s="104"/>
      <c r="D374" s="103" t="s">
        <v>24</v>
      </c>
      <c r="E374" s="105">
        <v>29089</v>
      </c>
      <c r="F374" s="103" t="s">
        <v>1958</v>
      </c>
      <c r="G374" s="103" t="s">
        <v>2977</v>
      </c>
      <c r="H374" s="103" t="s">
        <v>2978</v>
      </c>
      <c r="I374" s="6" t="str">
        <f>VLOOKUP(CLEAN(F374),'World Bank Categories'!$B$4:$C$220,2,FALSE)</f>
        <v>Middle income</v>
      </c>
      <c r="J374" s="103" t="s">
        <v>2979</v>
      </c>
      <c r="K374" s="103" t="s">
        <v>39</v>
      </c>
      <c r="L374" s="103" t="s">
        <v>30</v>
      </c>
      <c r="M374" s="103" t="s">
        <v>2980</v>
      </c>
      <c r="N374" s="103"/>
      <c r="O374" s="103"/>
      <c r="P374" s="103" t="s">
        <v>31</v>
      </c>
      <c r="Q374" s="68" t="s">
        <v>32</v>
      </c>
      <c r="R374" s="10" t="s">
        <v>33</v>
      </c>
      <c r="S374" s="69" t="s">
        <v>2981</v>
      </c>
      <c r="T374" s="27">
        <v>29089</v>
      </c>
      <c r="U374" s="25" t="s">
        <v>2979</v>
      </c>
      <c r="V374" s="25" t="s">
        <v>154</v>
      </c>
      <c r="W374" s="25"/>
    </row>
    <row r="375" spans="1:23" ht="22.5" customHeight="1">
      <c r="A375" s="110">
        <v>46090.384432870371</v>
      </c>
      <c r="B375" s="111" t="s">
        <v>2982</v>
      </c>
      <c r="C375" s="111" t="s">
        <v>2983</v>
      </c>
      <c r="D375" s="111" t="s">
        <v>45</v>
      </c>
      <c r="E375" s="112">
        <v>32873</v>
      </c>
      <c r="F375" s="111" t="s">
        <v>799</v>
      </c>
      <c r="G375" s="111" t="s">
        <v>209</v>
      </c>
      <c r="H375" s="111" t="s">
        <v>2984</v>
      </c>
      <c r="I375" s="6" t="str">
        <f>VLOOKUP(CLEAN(F375),'World Bank Categories'!$B$4:$C$220,2,FALSE)</f>
        <v>Low income</v>
      </c>
      <c r="J375" s="111" t="s">
        <v>2985</v>
      </c>
      <c r="K375" s="111" t="s">
        <v>29</v>
      </c>
      <c r="L375" s="111" t="s">
        <v>30</v>
      </c>
      <c r="M375" s="111" t="s">
        <v>2986</v>
      </c>
      <c r="N375" s="107" t="s">
        <v>2987</v>
      </c>
      <c r="O375" s="6" t="s">
        <v>444</v>
      </c>
      <c r="P375" s="111" t="s">
        <v>31</v>
      </c>
      <c r="Q375" s="68" t="s">
        <v>32</v>
      </c>
      <c r="R375" s="18" t="s">
        <v>33</v>
      </c>
      <c r="S375" s="74" t="s">
        <v>2988</v>
      </c>
      <c r="T375" s="27">
        <v>32873</v>
      </c>
      <c r="U375" s="25" t="s">
        <v>2985</v>
      </c>
      <c r="V375" s="25" t="s">
        <v>316</v>
      </c>
      <c r="W375" s="25"/>
    </row>
    <row r="376" spans="1:23" ht="22.5" customHeight="1">
      <c r="A376" s="113">
        <v>46090.973138078705</v>
      </c>
      <c r="B376" s="114" t="s">
        <v>2989</v>
      </c>
      <c r="C376" s="114"/>
      <c r="D376" s="114" t="s">
        <v>24</v>
      </c>
      <c r="E376" s="115">
        <v>32164</v>
      </c>
      <c r="F376" s="114" t="s">
        <v>322</v>
      </c>
      <c r="G376" s="114" t="s">
        <v>2990</v>
      </c>
      <c r="H376" s="114" t="s">
        <v>1595</v>
      </c>
      <c r="I376" s="6" t="str">
        <f>VLOOKUP(CLEAN(F376),'World Bank Categories'!$B$4:$C$220,2,FALSE)</f>
        <v>Middle income</v>
      </c>
      <c r="J376" s="114" t="s">
        <v>2991</v>
      </c>
      <c r="K376" s="114" t="s">
        <v>29</v>
      </c>
      <c r="L376" s="114" t="s">
        <v>30</v>
      </c>
      <c r="M376" s="114"/>
      <c r="N376" s="114"/>
      <c r="O376" s="114"/>
      <c r="P376" s="114" t="s">
        <v>31</v>
      </c>
      <c r="Q376" s="91" t="s">
        <v>32</v>
      </c>
      <c r="R376" s="18" t="s">
        <v>33</v>
      </c>
      <c r="S376" s="74" t="s">
        <v>2992</v>
      </c>
      <c r="T376" s="27">
        <v>32164</v>
      </c>
      <c r="U376" s="25" t="s">
        <v>2993</v>
      </c>
      <c r="V376" s="25" t="s">
        <v>154</v>
      </c>
      <c r="W376" s="25"/>
    </row>
    <row r="377" spans="1:23" ht="22.5" customHeight="1">
      <c r="A377" s="80">
        <v>46091.535045034718</v>
      </c>
      <c r="B377" s="81" t="s">
        <v>2999</v>
      </c>
      <c r="C377" s="82"/>
      <c r="D377" s="81" t="s">
        <v>45</v>
      </c>
      <c r="E377" s="83">
        <v>32078</v>
      </c>
      <c r="F377" s="81" t="s">
        <v>208</v>
      </c>
      <c r="G377" s="81" t="s">
        <v>3000</v>
      </c>
      <c r="H377" s="120" t="s">
        <v>3001</v>
      </c>
      <c r="I377" s="6" t="str">
        <f>VLOOKUP(CLEAN(F377),'World Bank Categories'!$B$4:$C$220,2,FALSE)</f>
        <v>Low income</v>
      </c>
      <c r="J377" s="120" t="s">
        <v>3002</v>
      </c>
      <c r="K377" s="120" t="s">
        <v>29</v>
      </c>
      <c r="L377" s="120" t="s">
        <v>1168</v>
      </c>
      <c r="M377" s="121"/>
      <c r="N377" s="120"/>
      <c r="O377" s="120"/>
      <c r="P377" s="120" t="s">
        <v>31</v>
      </c>
      <c r="Q377" s="9" t="s">
        <v>32</v>
      </c>
      <c r="R377" s="10" t="s">
        <v>33</v>
      </c>
      <c r="S377" s="122" t="s">
        <v>3003</v>
      </c>
      <c r="T377" s="12"/>
      <c r="U377" s="12"/>
      <c r="V377" s="12"/>
      <c r="W377" s="12"/>
    </row>
    <row r="378" spans="1:23" ht="22.5" customHeight="1">
      <c r="A378" s="123">
        <v>46091.944881631949</v>
      </c>
      <c r="B378" s="124" t="s">
        <v>3004</v>
      </c>
      <c r="C378" s="124"/>
      <c r="D378" s="124" t="s">
        <v>24</v>
      </c>
      <c r="E378" s="125">
        <v>35775</v>
      </c>
      <c r="F378" s="124" t="s">
        <v>245</v>
      </c>
      <c r="G378" s="124" t="s">
        <v>3005</v>
      </c>
      <c r="H378" s="124" t="s">
        <v>3006</v>
      </c>
      <c r="I378" s="6" t="str">
        <f>VLOOKUP(CLEAN(F378),'World Bank Categories'!$B$4:$C$220,2,FALSE)</f>
        <v>Middle income</v>
      </c>
      <c r="J378" s="124" t="s">
        <v>3007</v>
      </c>
      <c r="K378" s="124" t="s">
        <v>39</v>
      </c>
      <c r="L378" s="124" t="s">
        <v>621</v>
      </c>
      <c r="M378" s="124" t="s">
        <v>3008</v>
      </c>
      <c r="N378" s="124"/>
      <c r="O378" s="124"/>
      <c r="P378" s="124" t="s">
        <v>31</v>
      </c>
      <c r="Q378" s="91" t="s">
        <v>32</v>
      </c>
      <c r="R378" s="18" t="s">
        <v>33</v>
      </c>
      <c r="S378" s="74" t="s">
        <v>3009</v>
      </c>
      <c r="T378" s="27">
        <v>35775</v>
      </c>
      <c r="U378" s="25" t="s">
        <v>3007</v>
      </c>
      <c r="V378" s="25" t="s">
        <v>154</v>
      </c>
      <c r="W378" s="25"/>
    </row>
    <row r="379" spans="1:23" ht="22.5" customHeight="1">
      <c r="A379" s="123">
        <v>46092.231993333335</v>
      </c>
      <c r="B379" s="124" t="s">
        <v>3015</v>
      </c>
      <c r="C379" s="124" t="s">
        <v>3015</v>
      </c>
      <c r="D379" s="124" t="s">
        <v>24</v>
      </c>
      <c r="E379" s="125">
        <v>36988</v>
      </c>
      <c r="F379" s="124" t="s">
        <v>1362</v>
      </c>
      <c r="G379" s="124" t="s">
        <v>1363</v>
      </c>
      <c r="H379" s="124" t="s">
        <v>3016</v>
      </c>
      <c r="I379" s="6" t="str">
        <f>VLOOKUP(CLEAN(F379),'World Bank Categories'!$B$4:$C$220,2,FALSE)</f>
        <v>Middle income</v>
      </c>
      <c r="J379" s="124" t="s">
        <v>3017</v>
      </c>
      <c r="K379" s="124" t="s">
        <v>29</v>
      </c>
      <c r="L379" s="124" t="s">
        <v>30</v>
      </c>
      <c r="M379" s="124"/>
      <c r="N379" s="124"/>
      <c r="O379" s="124"/>
      <c r="P379" s="124" t="s">
        <v>31</v>
      </c>
      <c r="Q379" s="68" t="s">
        <v>32</v>
      </c>
      <c r="R379" s="18" t="s">
        <v>33</v>
      </c>
      <c r="S379" s="74" t="s">
        <v>3015</v>
      </c>
      <c r="T379" s="27">
        <v>36988</v>
      </c>
      <c r="U379" s="25" t="s">
        <v>3017</v>
      </c>
      <c r="V379" s="25" t="s">
        <v>80</v>
      </c>
      <c r="W379" s="25"/>
    </row>
    <row r="380" spans="1:23" ht="22.5" customHeight="1">
      <c r="A380" s="126">
        <v>46092.232045069446</v>
      </c>
      <c r="B380" s="127" t="s">
        <v>3018</v>
      </c>
      <c r="C380" s="127" t="s">
        <v>3018</v>
      </c>
      <c r="D380" s="127" t="s">
        <v>45</v>
      </c>
      <c r="E380" s="128">
        <v>37138</v>
      </c>
      <c r="F380" s="127" t="s">
        <v>1362</v>
      </c>
      <c r="G380" s="127" t="s">
        <v>1363</v>
      </c>
      <c r="H380" s="127" t="s">
        <v>48</v>
      </c>
      <c r="I380" s="6" t="str">
        <f>VLOOKUP(CLEAN(F380),'World Bank Categories'!$B$4:$C$220,2,FALSE)</f>
        <v>Middle income</v>
      </c>
      <c r="J380" s="127" t="s">
        <v>3019</v>
      </c>
      <c r="K380" s="127" t="s">
        <v>29</v>
      </c>
      <c r="L380" s="127" t="s">
        <v>30</v>
      </c>
      <c r="M380" s="127"/>
      <c r="N380" s="127"/>
      <c r="O380" s="127"/>
      <c r="P380" s="127" t="s">
        <v>31</v>
      </c>
      <c r="Q380" s="68" t="s">
        <v>32</v>
      </c>
      <c r="R380" s="119" t="s">
        <v>33</v>
      </c>
      <c r="S380" s="69" t="s">
        <v>3020</v>
      </c>
      <c r="T380" s="27">
        <v>37138</v>
      </c>
      <c r="U380" s="25" t="s">
        <v>3019</v>
      </c>
      <c r="V380" s="25" t="s">
        <v>154</v>
      </c>
      <c r="W380" s="25"/>
    </row>
    <row r="381" spans="1:23" ht="22.5" customHeight="1">
      <c r="A381" s="116">
        <v>46093.087686423612</v>
      </c>
      <c r="B381" s="117" t="s">
        <v>3021</v>
      </c>
      <c r="C381" s="117"/>
      <c r="D381" s="117" t="s">
        <v>45</v>
      </c>
      <c r="E381" s="118">
        <v>27592</v>
      </c>
      <c r="F381" s="117" t="s">
        <v>3022</v>
      </c>
      <c r="G381" s="117" t="s">
        <v>3023</v>
      </c>
      <c r="H381" s="117" t="s">
        <v>186</v>
      </c>
      <c r="I381" s="6" t="str">
        <f>VLOOKUP(CLEAN(F381),'World Bank Categories'!$B$4:$C$220,2,FALSE)</f>
        <v>Middle income</v>
      </c>
      <c r="J381" s="117" t="s">
        <v>3024</v>
      </c>
      <c r="K381" s="117" t="s">
        <v>29</v>
      </c>
      <c r="L381" s="117" t="s">
        <v>30</v>
      </c>
      <c r="M381" s="117"/>
      <c r="N381" s="117"/>
      <c r="O381" s="117"/>
      <c r="P381" s="117" t="s">
        <v>31</v>
      </c>
      <c r="Q381" s="9" t="s">
        <v>32</v>
      </c>
      <c r="R381" s="119" t="s">
        <v>43</v>
      </c>
      <c r="S381" s="103" t="s">
        <v>3025</v>
      </c>
      <c r="T381" s="129">
        <v>27592</v>
      </c>
      <c r="U381" s="33" t="s">
        <v>3024</v>
      </c>
      <c r="V381" s="33" t="s">
        <v>80</v>
      </c>
      <c r="W381" s="33"/>
    </row>
    <row r="382" spans="1:23" ht="22.5" customHeight="1">
      <c r="A382" s="126">
        <v>46093.9166965162</v>
      </c>
      <c r="B382" s="127" t="s">
        <v>3026</v>
      </c>
      <c r="C382" s="127"/>
      <c r="D382" s="127" t="s">
        <v>24</v>
      </c>
      <c r="E382" s="128">
        <v>23417</v>
      </c>
      <c r="F382" s="127" t="s">
        <v>623</v>
      </c>
      <c r="G382" s="127" t="s">
        <v>3027</v>
      </c>
      <c r="H382" s="127" t="s">
        <v>3028</v>
      </c>
      <c r="I382" s="6" t="str">
        <f>VLOOKUP(CLEAN(F382),'World Bank Categories'!$B$4:$C$220,2,FALSE)</f>
        <v>Middle income</v>
      </c>
      <c r="J382" s="127" t="s">
        <v>3029</v>
      </c>
      <c r="K382" s="127" t="s">
        <v>29</v>
      </c>
      <c r="L382" s="127" t="s">
        <v>241</v>
      </c>
      <c r="M382" s="127" t="s">
        <v>3030</v>
      </c>
      <c r="N382" s="127"/>
      <c r="O382" s="127"/>
      <c r="P382" s="127" t="s">
        <v>31</v>
      </c>
      <c r="Q382" s="130" t="s">
        <v>32</v>
      </c>
      <c r="R382" s="18" t="s">
        <v>33</v>
      </c>
      <c r="S382" s="127"/>
      <c r="W382" s="12"/>
    </row>
    <row r="383" spans="1:23" ht="22.5" customHeight="1">
      <c r="A383" s="123">
        <v>46094.758651180557</v>
      </c>
      <c r="B383" s="124" t="s">
        <v>3035</v>
      </c>
      <c r="C383" s="124" t="s">
        <v>871</v>
      </c>
      <c r="D383" s="124" t="s">
        <v>24</v>
      </c>
      <c r="E383" s="125">
        <v>27229</v>
      </c>
      <c r="F383" s="124" t="s">
        <v>227</v>
      </c>
      <c r="G383" s="124" t="s">
        <v>3036</v>
      </c>
      <c r="H383" s="124" t="s">
        <v>3037</v>
      </c>
      <c r="I383" s="6" t="str">
        <f>VLOOKUP(CLEAN(F383),'World Bank Categories'!$B$4:$C$220,2,FALSE)</f>
        <v>Middle income</v>
      </c>
      <c r="J383" s="124" t="s">
        <v>3038</v>
      </c>
      <c r="K383" s="124" t="s">
        <v>29</v>
      </c>
      <c r="L383" s="124" t="s">
        <v>30</v>
      </c>
      <c r="M383" s="124"/>
      <c r="N383" s="124"/>
      <c r="O383" s="124"/>
      <c r="P383" s="124" t="s">
        <v>31</v>
      </c>
      <c r="Q383" s="130" t="s">
        <v>32</v>
      </c>
      <c r="R383" s="10" t="s">
        <v>33</v>
      </c>
      <c r="S383" s="124"/>
      <c r="W383" s="12"/>
    </row>
    <row r="384" spans="1:23" ht="22.5" customHeight="1">
      <c r="A384" s="123">
        <v>46095.11671037037</v>
      </c>
      <c r="B384" s="124" t="s">
        <v>3039</v>
      </c>
      <c r="C384" s="124"/>
      <c r="D384" s="124" t="s">
        <v>24</v>
      </c>
      <c r="E384" s="125">
        <v>37191</v>
      </c>
      <c r="F384" s="124" t="s">
        <v>3040</v>
      </c>
      <c r="G384" s="124" t="s">
        <v>3041</v>
      </c>
      <c r="H384" s="124" t="s">
        <v>3042</v>
      </c>
      <c r="I384" s="6" t="str">
        <f>VLOOKUP(CLEAN(F384),'World Bank Categories'!$B$4:$C$220,2,FALSE)</f>
        <v>High income</v>
      </c>
      <c r="J384" s="124" t="s">
        <v>3043</v>
      </c>
      <c r="K384" s="124" t="s">
        <v>29</v>
      </c>
      <c r="L384" s="124" t="s">
        <v>30</v>
      </c>
      <c r="M384" s="124"/>
      <c r="N384" s="124"/>
      <c r="O384" s="124"/>
      <c r="P384" s="124" t="s">
        <v>31</v>
      </c>
      <c r="Q384" s="130" t="s">
        <v>32</v>
      </c>
      <c r="R384" s="10" t="s">
        <v>43</v>
      </c>
      <c r="S384" s="124"/>
      <c r="W384" s="12"/>
    </row>
    <row r="385" spans="1:23" ht="22.5" customHeight="1">
      <c r="A385" s="131">
        <v>46096.718495266206</v>
      </c>
      <c r="B385" s="132" t="s">
        <v>3044</v>
      </c>
      <c r="C385" s="132"/>
      <c r="D385" s="132" t="s">
        <v>45</v>
      </c>
      <c r="E385" s="133">
        <v>33666</v>
      </c>
      <c r="F385" s="132" t="s">
        <v>3045</v>
      </c>
      <c r="G385" s="132" t="s">
        <v>3046</v>
      </c>
      <c r="H385" s="132" t="s">
        <v>1595</v>
      </c>
      <c r="I385" s="6" t="str">
        <f>VLOOKUP(CLEAN(F385),'World Bank Categories'!$B$4:$C$220,2,FALSE)</f>
        <v>Middle income</v>
      </c>
      <c r="J385" s="132" t="s">
        <v>3047</v>
      </c>
      <c r="K385" s="132" t="s">
        <v>29</v>
      </c>
      <c r="L385" s="132" t="s">
        <v>30</v>
      </c>
      <c r="M385" s="132"/>
      <c r="N385" s="132"/>
      <c r="O385" s="132"/>
      <c r="P385" s="132" t="s">
        <v>31</v>
      </c>
      <c r="Q385" s="130" t="s">
        <v>32</v>
      </c>
      <c r="R385" s="18" t="s">
        <v>33</v>
      </c>
      <c r="S385" s="127"/>
      <c r="W385" s="12"/>
    </row>
    <row r="386" spans="1:23" ht="22.5" customHeight="1">
      <c r="A386" s="134">
        <v>46096.756837523149</v>
      </c>
      <c r="B386" s="135" t="s">
        <v>3048</v>
      </c>
      <c r="C386" s="135" t="s">
        <v>3049</v>
      </c>
      <c r="D386" s="135" t="s">
        <v>24</v>
      </c>
      <c r="E386" s="136">
        <v>29214</v>
      </c>
      <c r="F386" s="135" t="s">
        <v>732</v>
      </c>
      <c r="G386" s="135" t="s">
        <v>3050</v>
      </c>
      <c r="H386" s="135" t="s">
        <v>3051</v>
      </c>
      <c r="I386" s="6" t="str">
        <f>VLOOKUP(CLEAN(F386),'World Bank Categories'!$B$4:$C$220,2,FALSE)</f>
        <v>Middle income</v>
      </c>
      <c r="J386" s="135" t="s">
        <v>3052</v>
      </c>
      <c r="K386" s="135" t="s">
        <v>39</v>
      </c>
      <c r="L386" s="135" t="s">
        <v>152</v>
      </c>
      <c r="M386" s="135"/>
      <c r="N386" s="135"/>
      <c r="O386" s="135"/>
      <c r="P386" s="135" t="s">
        <v>31</v>
      </c>
      <c r="Q386" s="130" t="s">
        <v>32</v>
      </c>
      <c r="R386" s="10" t="s">
        <v>33</v>
      </c>
      <c r="S386" s="135"/>
      <c r="T386" s="40"/>
      <c r="U386" s="40"/>
      <c r="V386" s="40"/>
      <c r="W386" s="40"/>
    </row>
    <row r="387" spans="1:23" ht="22.5" customHeight="1">
      <c r="A387" s="137">
        <v>46098.971370509258</v>
      </c>
      <c r="B387" s="12" t="s">
        <v>3053</v>
      </c>
      <c r="D387" s="12" t="s">
        <v>45</v>
      </c>
      <c r="E387" s="138">
        <v>37300</v>
      </c>
      <c r="F387" s="139" t="s">
        <v>2713</v>
      </c>
      <c r="G387" s="12" t="s">
        <v>3054</v>
      </c>
      <c r="H387" s="12" t="s">
        <v>66</v>
      </c>
      <c r="I387" s="6" t="str">
        <f>VLOOKUP(CLEAN(F387),'World Bank Categories'!$B$4:$C$220,2,FALSE)</f>
        <v>High income</v>
      </c>
      <c r="J387" s="12" t="s">
        <v>3055</v>
      </c>
      <c r="K387" s="12" t="s">
        <v>29</v>
      </c>
      <c r="L387" s="12" t="s">
        <v>162</v>
      </c>
      <c r="P387" s="12" t="s">
        <v>31</v>
      </c>
      <c r="Q387" s="130" t="s">
        <v>32</v>
      </c>
      <c r="R387" s="18" t="s">
        <v>43</v>
      </c>
      <c r="S387" s="140" t="s">
        <v>3056</v>
      </c>
      <c r="W387" s="12"/>
    </row>
    <row r="388" spans="1:23" ht="22.5" customHeight="1">
      <c r="A388" s="137">
        <v>46099.043631666667</v>
      </c>
      <c r="B388" s="12" t="s">
        <v>3057</v>
      </c>
      <c r="D388" s="12" t="s">
        <v>24</v>
      </c>
      <c r="E388" s="138">
        <v>32021</v>
      </c>
      <c r="F388" s="141" t="s">
        <v>438</v>
      </c>
      <c r="G388" s="12" t="s">
        <v>3058</v>
      </c>
      <c r="H388" s="12" t="s">
        <v>2691</v>
      </c>
      <c r="I388" s="6" t="str">
        <f>VLOOKUP(CLEAN(F388),'World Bank Categories'!$B$4:$C$220,2,FALSE)</f>
        <v>Middle income</v>
      </c>
      <c r="J388" s="12" t="s">
        <v>3059</v>
      </c>
      <c r="K388" s="12" t="s">
        <v>39</v>
      </c>
      <c r="L388" s="12" t="s">
        <v>30</v>
      </c>
      <c r="P388" s="12" t="s">
        <v>31</v>
      </c>
      <c r="Q388" s="130" t="s">
        <v>32</v>
      </c>
      <c r="R388" s="10" t="s">
        <v>33</v>
      </c>
      <c r="S388" s="142" t="s">
        <v>3060</v>
      </c>
      <c r="W388" s="12"/>
    </row>
    <row r="389" spans="1:23" ht="22.5" customHeight="1">
      <c r="A389" s="137">
        <v>46099.052083877315</v>
      </c>
      <c r="B389" s="12" t="s">
        <v>3061</v>
      </c>
      <c r="C389" s="12" t="s">
        <v>3061</v>
      </c>
      <c r="D389" s="12" t="s">
        <v>24</v>
      </c>
      <c r="E389" s="138">
        <v>36587</v>
      </c>
      <c r="F389" s="139" t="s">
        <v>1179</v>
      </c>
      <c r="G389" s="12" t="s">
        <v>3062</v>
      </c>
      <c r="H389" s="12" t="s">
        <v>66</v>
      </c>
      <c r="I389" s="6" t="str">
        <f>VLOOKUP(CLEAN(F389),'World Bank Categories'!$B$4:$C$220,2,FALSE)</f>
        <v>High income</v>
      </c>
      <c r="J389" s="12" t="s">
        <v>3063</v>
      </c>
      <c r="K389" s="12" t="s">
        <v>29</v>
      </c>
      <c r="L389" s="12" t="s">
        <v>30</v>
      </c>
      <c r="P389" s="12" t="s">
        <v>31</v>
      </c>
      <c r="Q389" s="130" t="s">
        <v>32</v>
      </c>
      <c r="R389" s="18" t="s">
        <v>43</v>
      </c>
      <c r="S389" s="140" t="s">
        <v>3061</v>
      </c>
      <c r="W389" s="12"/>
    </row>
    <row r="390" spans="1:23" ht="22.5" customHeight="1">
      <c r="A390" s="137">
        <v>46099.073697627318</v>
      </c>
      <c r="B390" s="12" t="s">
        <v>3064</v>
      </c>
      <c r="D390" s="12" t="s">
        <v>45</v>
      </c>
      <c r="E390" s="138">
        <v>34032</v>
      </c>
      <c r="F390" s="141" t="s">
        <v>3065</v>
      </c>
      <c r="G390" s="12" t="s">
        <v>3066</v>
      </c>
      <c r="H390" s="12" t="s">
        <v>3067</v>
      </c>
      <c r="I390" s="6" t="str">
        <f>VLOOKUP(CLEAN(F390),'World Bank Categories'!$B$4:$C$220,2,FALSE)</f>
        <v>Middle income</v>
      </c>
      <c r="J390" s="12" t="s">
        <v>3068</v>
      </c>
      <c r="K390" s="12" t="s">
        <v>29</v>
      </c>
      <c r="L390" s="12" t="s">
        <v>30</v>
      </c>
      <c r="P390" s="12" t="s">
        <v>31</v>
      </c>
      <c r="Q390" s="130" t="s">
        <v>32</v>
      </c>
      <c r="R390" s="10" t="s">
        <v>33</v>
      </c>
      <c r="S390" s="142"/>
      <c r="W390" s="12"/>
    </row>
    <row r="391" spans="1:23" ht="22.5" customHeight="1">
      <c r="A391" s="137">
        <v>46099.165703587962</v>
      </c>
      <c r="B391" s="12" t="s">
        <v>3069</v>
      </c>
      <c r="D391" s="12" t="s">
        <v>45</v>
      </c>
      <c r="E391" s="138">
        <v>29346</v>
      </c>
      <c r="F391" s="141" t="s">
        <v>1932</v>
      </c>
      <c r="G391" s="12" t="s">
        <v>3070</v>
      </c>
      <c r="H391" s="12" t="s">
        <v>111</v>
      </c>
      <c r="I391" s="6" t="str">
        <f>VLOOKUP(CLEAN(F391),'World Bank Categories'!$B$4:$C$220,2,FALSE)</f>
        <v>Middle income</v>
      </c>
      <c r="J391" s="12" t="s">
        <v>3071</v>
      </c>
      <c r="K391" s="12" t="s">
        <v>29</v>
      </c>
      <c r="L391" s="12" t="s">
        <v>30</v>
      </c>
      <c r="P391" s="12" t="s">
        <v>31</v>
      </c>
      <c r="Q391" s="130" t="s">
        <v>32</v>
      </c>
      <c r="R391" s="10" t="s">
        <v>33</v>
      </c>
      <c r="S391" s="142" t="s">
        <v>3072</v>
      </c>
      <c r="W391" s="12"/>
    </row>
    <row r="392" spans="1:23" ht="22.5" customHeight="1">
      <c r="A392" s="137">
        <v>46099.350211296296</v>
      </c>
      <c r="B392" s="12" t="s">
        <v>3078</v>
      </c>
      <c r="D392" s="12" t="s">
        <v>45</v>
      </c>
      <c r="E392" s="138">
        <v>25525</v>
      </c>
      <c r="F392" s="141" t="s">
        <v>346</v>
      </c>
      <c r="G392" s="12" t="s">
        <v>209</v>
      </c>
      <c r="H392" s="12" t="s">
        <v>3079</v>
      </c>
      <c r="I392" s="6" t="str">
        <f>VLOOKUP(CLEAN(F392),'World Bank Categories'!$B$4:$C$220,2,FALSE)</f>
        <v>Middle income</v>
      </c>
      <c r="J392" s="12" t="s">
        <v>3080</v>
      </c>
      <c r="K392" s="12" t="s">
        <v>29</v>
      </c>
      <c r="L392" s="12" t="s">
        <v>30</v>
      </c>
      <c r="M392" s="12" t="s">
        <v>3081</v>
      </c>
      <c r="P392" s="12" t="s">
        <v>31</v>
      </c>
      <c r="Q392" s="130" t="s">
        <v>32</v>
      </c>
      <c r="R392" s="10" t="s">
        <v>33</v>
      </c>
      <c r="S392" s="142" t="s">
        <v>3082</v>
      </c>
      <c r="W392" s="12"/>
    </row>
    <row r="393" spans="1:23" ht="22.5" customHeight="1">
      <c r="A393" s="137">
        <v>46099.75315960648</v>
      </c>
      <c r="B393" s="12" t="s">
        <v>3083</v>
      </c>
      <c r="D393" s="12" t="s">
        <v>45</v>
      </c>
      <c r="E393" s="138">
        <v>30619</v>
      </c>
      <c r="F393" s="141" t="s">
        <v>380</v>
      </c>
      <c r="G393" s="12" t="s">
        <v>3084</v>
      </c>
      <c r="H393" s="12" t="s">
        <v>3085</v>
      </c>
      <c r="I393" s="6" t="str">
        <f>VLOOKUP(CLEAN(F393),'World Bank Categories'!$B$4:$C$220,2,FALSE)</f>
        <v>Low income</v>
      </c>
      <c r="J393" s="12" t="s">
        <v>3086</v>
      </c>
      <c r="K393" s="12" t="s">
        <v>29</v>
      </c>
      <c r="L393" s="12" t="s">
        <v>30</v>
      </c>
      <c r="P393" s="12" t="s">
        <v>31</v>
      </c>
      <c r="Q393" s="130" t="s">
        <v>32</v>
      </c>
      <c r="R393" s="10" t="s">
        <v>33</v>
      </c>
      <c r="S393" s="142" t="s">
        <v>3087</v>
      </c>
      <c r="W393" s="12"/>
    </row>
    <row r="394" spans="1:23" ht="22.5" customHeight="1">
      <c r="A394" s="137">
        <v>46099.905534398145</v>
      </c>
      <c r="B394" s="12" t="s">
        <v>3088</v>
      </c>
      <c r="D394" s="12" t="s">
        <v>45</v>
      </c>
      <c r="E394" s="138">
        <v>33660</v>
      </c>
      <c r="F394" s="139" t="s">
        <v>2720</v>
      </c>
      <c r="G394" s="12" t="s">
        <v>3089</v>
      </c>
      <c r="H394" s="12" t="s">
        <v>3090</v>
      </c>
      <c r="I394" s="6" t="str">
        <f>VLOOKUP(CLEAN(F394),'World Bank Categories'!$B$4:$C$220,2,FALSE)</f>
        <v>Middle income</v>
      </c>
      <c r="J394" s="12" t="s">
        <v>3091</v>
      </c>
      <c r="K394" s="12" t="s">
        <v>29</v>
      </c>
      <c r="L394" s="12" t="s">
        <v>30</v>
      </c>
      <c r="P394" s="12" t="s">
        <v>31</v>
      </c>
      <c r="Q394" s="130" t="s">
        <v>32</v>
      </c>
      <c r="R394" s="18" t="s">
        <v>33</v>
      </c>
      <c r="S394" s="140" t="s">
        <v>3092</v>
      </c>
      <c r="W394" s="12"/>
    </row>
    <row r="395" spans="1:23" ht="22.5" customHeight="1">
      <c r="A395" s="137">
        <v>46100.677165335648</v>
      </c>
      <c r="B395" s="12" t="s">
        <v>3093</v>
      </c>
      <c r="C395" s="12" t="s">
        <v>3094</v>
      </c>
      <c r="D395" s="12" t="s">
        <v>45</v>
      </c>
      <c r="E395" s="138">
        <v>37910</v>
      </c>
      <c r="F395" s="141" t="s">
        <v>1053</v>
      </c>
      <c r="G395" s="12" t="s">
        <v>3095</v>
      </c>
      <c r="H395" s="12" t="s">
        <v>160</v>
      </c>
      <c r="I395" s="6" t="str">
        <f>VLOOKUP(CLEAN(F395),'World Bank Categories'!$B$4:$C$220,2,FALSE)</f>
        <v>High income</v>
      </c>
      <c r="J395" s="12" t="s">
        <v>3096</v>
      </c>
      <c r="K395" s="12" t="s">
        <v>29</v>
      </c>
      <c r="L395" s="12" t="s">
        <v>30</v>
      </c>
      <c r="P395" s="12" t="s">
        <v>31</v>
      </c>
      <c r="Q395" s="130" t="s">
        <v>32</v>
      </c>
      <c r="R395" s="10" t="s">
        <v>43</v>
      </c>
      <c r="S395" s="142" t="s">
        <v>3097</v>
      </c>
      <c r="W395" s="12"/>
    </row>
    <row r="396" spans="1:23" ht="22.5" customHeight="1">
      <c r="A396" s="137">
        <v>46100.89842143518</v>
      </c>
      <c r="B396" s="12" t="s">
        <v>3098</v>
      </c>
      <c r="D396" s="12" t="s">
        <v>45</v>
      </c>
      <c r="E396" s="138">
        <v>36768</v>
      </c>
      <c r="F396" s="141" t="s">
        <v>838</v>
      </c>
      <c r="G396" s="12" t="s">
        <v>3099</v>
      </c>
      <c r="H396" s="12" t="s">
        <v>66</v>
      </c>
      <c r="I396" s="6" t="str">
        <f>VLOOKUP(CLEAN(F396),'World Bank Categories'!$B$4:$C$220,2,FALSE)</f>
        <v>Middle income</v>
      </c>
      <c r="J396" s="12" t="s">
        <v>3100</v>
      </c>
      <c r="K396" s="12" t="s">
        <v>29</v>
      </c>
      <c r="L396" s="12" t="s">
        <v>30</v>
      </c>
      <c r="P396" s="12" t="s">
        <v>31</v>
      </c>
      <c r="Q396" s="130" t="s">
        <v>32</v>
      </c>
      <c r="R396" s="18" t="s">
        <v>33</v>
      </c>
      <c r="S396" s="142" t="s">
        <v>3098</v>
      </c>
      <c r="W396" s="12"/>
    </row>
    <row r="397" spans="1:23" ht="22.5" customHeight="1">
      <c r="A397" s="137">
        <v>46101.032405983795</v>
      </c>
      <c r="B397" s="12" t="s">
        <v>3101</v>
      </c>
      <c r="D397" s="12" t="s">
        <v>45</v>
      </c>
      <c r="E397" s="138">
        <v>27175</v>
      </c>
      <c r="F397" s="139" t="s">
        <v>232</v>
      </c>
      <c r="G397" s="12" t="s">
        <v>209</v>
      </c>
      <c r="H397" s="12" t="s">
        <v>3102</v>
      </c>
      <c r="I397" s="6" t="str">
        <f>VLOOKUP(CLEAN(F397),'World Bank Categories'!$B$4:$C$220,2,FALSE)</f>
        <v>Middle income</v>
      </c>
      <c r="J397" s="12" t="s">
        <v>3103</v>
      </c>
      <c r="K397" s="12" t="s">
        <v>29</v>
      </c>
      <c r="L397" s="12" t="s">
        <v>30</v>
      </c>
      <c r="P397" s="12" t="s">
        <v>31</v>
      </c>
      <c r="Q397" s="130" t="s">
        <v>32</v>
      </c>
      <c r="R397" s="10" t="s">
        <v>33</v>
      </c>
      <c r="S397" s="140" t="s">
        <v>3101</v>
      </c>
      <c r="W397" s="12"/>
    </row>
    <row r="398" spans="1:23" ht="22.5" customHeight="1">
      <c r="A398" s="137">
        <v>46101.508015451385</v>
      </c>
      <c r="B398" s="12" t="s">
        <v>3104</v>
      </c>
      <c r="C398" s="12" t="s">
        <v>3105</v>
      </c>
      <c r="D398" s="12" t="s">
        <v>24</v>
      </c>
      <c r="E398" s="138">
        <v>36544</v>
      </c>
      <c r="F398" s="141" t="s">
        <v>1053</v>
      </c>
      <c r="G398" s="12" t="s">
        <v>3106</v>
      </c>
      <c r="H398" s="12" t="s">
        <v>66</v>
      </c>
      <c r="I398" s="6" t="str">
        <f>VLOOKUP(CLEAN(F398),'World Bank Categories'!$B$4:$C$220,2,FALSE)</f>
        <v>High income</v>
      </c>
      <c r="J398" s="12" t="s">
        <v>3107</v>
      </c>
      <c r="K398" s="12" t="s">
        <v>39</v>
      </c>
      <c r="L398" s="12" t="s">
        <v>3108</v>
      </c>
      <c r="P398" s="12" t="s">
        <v>31</v>
      </c>
      <c r="Q398" s="130" t="s">
        <v>32</v>
      </c>
      <c r="R398" s="18" t="s">
        <v>43</v>
      </c>
      <c r="S398" s="142" t="s">
        <v>3109</v>
      </c>
      <c r="W398" s="12"/>
    </row>
    <row r="399" spans="1:23" ht="22.5" customHeight="1">
      <c r="A399" s="137">
        <v>46101.684119259255</v>
      </c>
      <c r="B399" s="12" t="s">
        <v>3110</v>
      </c>
      <c r="C399" s="12" t="s">
        <v>3111</v>
      </c>
      <c r="D399" s="12" t="s">
        <v>45</v>
      </c>
      <c r="E399" s="138">
        <v>33970</v>
      </c>
      <c r="F399" s="139" t="s">
        <v>83</v>
      </c>
      <c r="G399" s="12" t="s">
        <v>3112</v>
      </c>
      <c r="H399" s="12" t="s">
        <v>3113</v>
      </c>
      <c r="I399" s="6" t="str">
        <f>VLOOKUP(CLEAN(F399),'World Bank Categories'!$B$4:$C$220,2,FALSE)</f>
        <v>Low income</v>
      </c>
      <c r="J399" s="12" t="s">
        <v>3114</v>
      </c>
      <c r="K399" s="12" t="s">
        <v>29</v>
      </c>
      <c r="L399" s="12" t="s">
        <v>30</v>
      </c>
      <c r="P399" s="12" t="s">
        <v>31</v>
      </c>
      <c r="Q399" s="130" t="s">
        <v>32</v>
      </c>
      <c r="R399" s="119" t="s">
        <v>33</v>
      </c>
      <c r="S399" s="140" t="s">
        <v>3115</v>
      </c>
      <c r="W399" s="12"/>
    </row>
    <row r="400" spans="1:23" ht="22.5" customHeight="1">
      <c r="A400" s="144">
        <v>46101.865912997688</v>
      </c>
      <c r="B400" s="40" t="s">
        <v>3116</v>
      </c>
      <c r="C400" s="40" t="s">
        <v>3117</v>
      </c>
      <c r="D400" s="40" t="s">
        <v>45</v>
      </c>
      <c r="E400" s="145">
        <v>18055</v>
      </c>
      <c r="F400" s="146" t="s">
        <v>1745</v>
      </c>
      <c r="G400" s="40" t="s">
        <v>3118</v>
      </c>
      <c r="H400" s="40" t="s">
        <v>3119</v>
      </c>
      <c r="I400" s="6" t="str">
        <f>VLOOKUP(CLEAN(F400),'World Bank Categories'!$B$4:$C$220,2,FALSE)</f>
        <v>High income</v>
      </c>
      <c r="J400" s="40" t="s">
        <v>3120</v>
      </c>
      <c r="K400" s="40" t="s">
        <v>39</v>
      </c>
      <c r="L400" s="40" t="s">
        <v>152</v>
      </c>
      <c r="M400" s="40"/>
      <c r="N400" s="40"/>
      <c r="O400" s="40"/>
      <c r="P400" s="40" t="s">
        <v>31</v>
      </c>
      <c r="Q400" s="130" t="s">
        <v>32</v>
      </c>
      <c r="R400" s="119" t="s">
        <v>43</v>
      </c>
      <c r="S400" s="147" t="s">
        <v>3121</v>
      </c>
      <c r="T400" s="40"/>
      <c r="U400" s="40"/>
      <c r="V400" s="40"/>
      <c r="W400" s="40"/>
    </row>
    <row r="401" spans="1:23" ht="22.5" customHeight="1">
      <c r="A401" s="137">
        <v>46102.655898171295</v>
      </c>
      <c r="B401" s="12" t="s">
        <v>3122</v>
      </c>
      <c r="D401" s="12" t="s">
        <v>24</v>
      </c>
      <c r="E401" s="138">
        <v>36326</v>
      </c>
      <c r="F401" s="12" t="s">
        <v>58</v>
      </c>
      <c r="G401" s="12" t="s">
        <v>3123</v>
      </c>
      <c r="H401" s="12" t="s">
        <v>3124</v>
      </c>
      <c r="I401" s="6" t="str">
        <f>VLOOKUP(CLEAN(F401),'World Bank Categories'!$B$4:$C$220,2,FALSE)</f>
        <v>Middle income</v>
      </c>
      <c r="J401" s="12" t="s">
        <v>3125</v>
      </c>
      <c r="K401" s="12" t="s">
        <v>29</v>
      </c>
      <c r="L401" s="12" t="s">
        <v>30</v>
      </c>
      <c r="P401" s="12" t="s">
        <v>31</v>
      </c>
      <c r="Q401" s="130" t="s">
        <v>32</v>
      </c>
      <c r="R401" s="148" t="s">
        <v>43</v>
      </c>
      <c r="S401" s="149" t="s">
        <v>3126</v>
      </c>
      <c r="T401" s="150">
        <v>36326</v>
      </c>
      <c r="U401" s="149" t="s">
        <v>3125</v>
      </c>
      <c r="V401" s="151" t="s">
        <v>3127</v>
      </c>
      <c r="W401" s="151"/>
    </row>
    <row r="402" spans="1:23" ht="22.5" customHeight="1">
      <c r="A402" s="137">
        <v>46104.807750555556</v>
      </c>
      <c r="B402" s="12" t="s">
        <v>3128</v>
      </c>
      <c r="D402" s="12" t="s">
        <v>45</v>
      </c>
      <c r="E402" s="138">
        <v>27929</v>
      </c>
      <c r="F402" s="12" t="s">
        <v>1179</v>
      </c>
      <c r="G402" s="12" t="s">
        <v>3129</v>
      </c>
      <c r="H402" s="12" t="s">
        <v>3130</v>
      </c>
      <c r="I402" s="6" t="str">
        <f>VLOOKUP(CLEAN(F402),'World Bank Categories'!$B$4:$C$220,2,FALSE)</f>
        <v>High income</v>
      </c>
      <c r="J402" s="12" t="s">
        <v>3131</v>
      </c>
      <c r="K402" s="12" t="s">
        <v>29</v>
      </c>
      <c r="L402" s="12" t="s">
        <v>30</v>
      </c>
      <c r="P402" s="12" t="s">
        <v>31</v>
      </c>
      <c r="Q402" s="130" t="s">
        <v>32</v>
      </c>
      <c r="R402" s="152" t="s">
        <v>33</v>
      </c>
      <c r="S402" s="149" t="s">
        <v>3132</v>
      </c>
      <c r="T402" s="150">
        <v>27929</v>
      </c>
      <c r="U402" s="149" t="s">
        <v>3131</v>
      </c>
      <c r="V402" s="151" t="s">
        <v>3127</v>
      </c>
      <c r="W402" s="151"/>
    </row>
    <row r="403" spans="1:23" ht="22.5" customHeight="1">
      <c r="A403" s="137">
        <v>46104.846566180553</v>
      </c>
      <c r="B403" s="12" t="s">
        <v>3133</v>
      </c>
      <c r="C403" s="12" t="s">
        <v>3134</v>
      </c>
      <c r="D403" s="12" t="s">
        <v>24</v>
      </c>
      <c r="E403" s="138">
        <v>37708</v>
      </c>
      <c r="F403" s="141" t="s">
        <v>1053</v>
      </c>
      <c r="G403" s="12" t="s">
        <v>3135</v>
      </c>
      <c r="H403" s="12" t="s">
        <v>3136</v>
      </c>
      <c r="I403" s="6" t="str">
        <f>VLOOKUP(CLEAN(F403),'World Bank Categories'!$B$4:$C$220,2,FALSE)</f>
        <v>High income</v>
      </c>
      <c r="J403" s="12" t="s">
        <v>3137</v>
      </c>
      <c r="K403" s="12" t="s">
        <v>29</v>
      </c>
      <c r="L403" s="12" t="s">
        <v>30</v>
      </c>
      <c r="P403" s="12" t="s">
        <v>31</v>
      </c>
      <c r="Q403" s="130" t="s">
        <v>32</v>
      </c>
      <c r="R403" s="148" t="s">
        <v>43</v>
      </c>
      <c r="S403" s="149" t="s">
        <v>3138</v>
      </c>
      <c r="T403" s="150">
        <v>37708</v>
      </c>
      <c r="U403" s="149" t="s">
        <v>3137</v>
      </c>
      <c r="V403" s="151" t="s">
        <v>3127</v>
      </c>
      <c r="W403" s="151"/>
    </row>
    <row r="404" spans="1:23" ht="22.5" customHeight="1">
      <c r="A404" s="137">
        <v>46106.800996782404</v>
      </c>
      <c r="B404" s="12" t="s">
        <v>3148</v>
      </c>
      <c r="D404" s="12" t="s">
        <v>24</v>
      </c>
      <c r="E404" s="138">
        <v>33452</v>
      </c>
      <c r="F404" s="12" t="s">
        <v>732</v>
      </c>
      <c r="G404" s="12" t="s">
        <v>3149</v>
      </c>
      <c r="H404" s="12" t="s">
        <v>3150</v>
      </c>
      <c r="I404" s="6" t="str">
        <f>VLOOKUP(CLEAN(F404),'World Bank Categories'!$B$4:$C$220,2,FALSE)</f>
        <v>Middle income</v>
      </c>
      <c r="J404" s="12" t="s">
        <v>3151</v>
      </c>
      <c r="K404" s="12" t="s">
        <v>29</v>
      </c>
      <c r="L404" s="12" t="s">
        <v>30</v>
      </c>
      <c r="P404" s="12" t="s">
        <v>31</v>
      </c>
      <c r="Q404" s="130" t="s">
        <v>32</v>
      </c>
      <c r="R404" s="152" t="s">
        <v>33</v>
      </c>
      <c r="S404" s="149" t="s">
        <v>3148</v>
      </c>
      <c r="T404" s="150">
        <v>33452</v>
      </c>
      <c r="U404" s="149" t="s">
        <v>3151</v>
      </c>
      <c r="V404" s="151" t="s">
        <v>3127</v>
      </c>
      <c r="W404" s="151"/>
    </row>
    <row r="405" spans="1:23" ht="22.5" customHeight="1">
      <c r="A405" s="137">
        <v>46107.035129432872</v>
      </c>
      <c r="B405" s="12" t="s">
        <v>3157</v>
      </c>
      <c r="D405" s="12" t="s">
        <v>45</v>
      </c>
      <c r="E405" s="138">
        <v>32319</v>
      </c>
      <c r="F405" s="141" t="s">
        <v>838</v>
      </c>
      <c r="G405" s="12" t="s">
        <v>3158</v>
      </c>
      <c r="H405" s="12" t="s">
        <v>186</v>
      </c>
      <c r="I405" s="6" t="str">
        <f>VLOOKUP(CLEAN(F405),'World Bank Categories'!$B$4:$C$220,2,FALSE)</f>
        <v>Middle income</v>
      </c>
      <c r="J405" s="12" t="s">
        <v>3159</v>
      </c>
      <c r="K405" s="12" t="s">
        <v>29</v>
      </c>
      <c r="L405" s="12" t="s">
        <v>30</v>
      </c>
      <c r="P405" s="12" t="s">
        <v>31</v>
      </c>
      <c r="Q405" s="130" t="s">
        <v>32</v>
      </c>
      <c r="R405" s="152" t="s">
        <v>33</v>
      </c>
      <c r="S405" s="149" t="s">
        <v>3160</v>
      </c>
      <c r="T405" s="150">
        <v>32319</v>
      </c>
      <c r="U405" s="149" t="s">
        <v>3161</v>
      </c>
      <c r="V405" s="151" t="s">
        <v>3127</v>
      </c>
      <c r="W405" s="151"/>
    </row>
    <row r="406" spans="1:23" ht="22.5" customHeight="1">
      <c r="A406" s="137">
        <v>46107.043179270833</v>
      </c>
      <c r="B406" s="12" t="s">
        <v>3162</v>
      </c>
      <c r="D406" s="12" t="s">
        <v>45</v>
      </c>
      <c r="E406" s="138">
        <v>28885</v>
      </c>
      <c r="F406" s="141" t="s">
        <v>838</v>
      </c>
      <c r="G406" s="12" t="s">
        <v>3163</v>
      </c>
      <c r="H406" s="12" t="s">
        <v>111</v>
      </c>
      <c r="I406" s="6" t="str">
        <f>VLOOKUP(CLEAN(F406),'World Bank Categories'!$B$4:$C$220,2,FALSE)</f>
        <v>Middle income</v>
      </c>
      <c r="J406" s="12" t="s">
        <v>3164</v>
      </c>
      <c r="K406" s="12" t="s">
        <v>29</v>
      </c>
      <c r="L406" s="143" t="s">
        <v>1168</v>
      </c>
      <c r="P406" s="12" t="s">
        <v>31</v>
      </c>
      <c r="Q406" s="130" t="s">
        <v>32</v>
      </c>
      <c r="R406" s="148" t="s">
        <v>33</v>
      </c>
      <c r="S406" s="149" t="s">
        <v>3165</v>
      </c>
      <c r="T406" s="150">
        <v>28885</v>
      </c>
      <c r="U406" s="149" t="s">
        <v>3166</v>
      </c>
      <c r="V406" s="151" t="s">
        <v>3127</v>
      </c>
      <c r="W406" s="151"/>
    </row>
    <row r="407" spans="1:23" ht="22.5" customHeight="1">
      <c r="A407" s="137">
        <v>46107.133913229161</v>
      </c>
      <c r="B407" s="12" t="s">
        <v>3167</v>
      </c>
      <c r="D407" s="12" t="s">
        <v>24</v>
      </c>
      <c r="E407" s="138">
        <v>29327</v>
      </c>
      <c r="F407" s="12" t="s">
        <v>232</v>
      </c>
      <c r="G407" s="12" t="s">
        <v>3168</v>
      </c>
      <c r="H407" s="12" t="s">
        <v>186</v>
      </c>
      <c r="I407" s="6" t="str">
        <f>VLOOKUP(CLEAN(F407),'World Bank Categories'!$B$4:$C$220,2,FALSE)</f>
        <v>Middle income</v>
      </c>
      <c r="J407" s="12" t="s">
        <v>3169</v>
      </c>
      <c r="K407" s="12" t="s">
        <v>39</v>
      </c>
      <c r="L407" s="12" t="s">
        <v>621</v>
      </c>
      <c r="M407" s="12" t="s">
        <v>3170</v>
      </c>
      <c r="N407" s="12" t="s">
        <v>3171</v>
      </c>
      <c r="O407" s="12" t="s">
        <v>214</v>
      </c>
      <c r="P407" s="12" t="s">
        <v>31</v>
      </c>
      <c r="Q407" s="130" t="s">
        <v>32</v>
      </c>
      <c r="R407" s="153" t="s">
        <v>43</v>
      </c>
      <c r="S407" s="149" t="s">
        <v>1921</v>
      </c>
      <c r="T407" s="150">
        <v>29327</v>
      </c>
      <c r="U407" s="154" t="s">
        <v>1924</v>
      </c>
      <c r="V407" s="151" t="s">
        <v>3172</v>
      </c>
      <c r="W407" s="151"/>
    </row>
    <row r="408" spans="1:23" ht="22.5" customHeight="1">
      <c r="A408" s="137">
        <v>46107.149783993053</v>
      </c>
      <c r="B408" s="12" t="s">
        <v>3173</v>
      </c>
      <c r="D408" s="12" t="s">
        <v>45</v>
      </c>
      <c r="E408" s="138">
        <v>27674</v>
      </c>
      <c r="F408" s="12" t="s">
        <v>232</v>
      </c>
      <c r="G408" s="12" t="s">
        <v>2671</v>
      </c>
      <c r="H408" s="12" t="s">
        <v>54</v>
      </c>
      <c r="I408" s="6" t="str">
        <f>VLOOKUP(CLEAN(F408),'World Bank Categories'!$B$4:$C$220,2,FALSE)</f>
        <v>Middle income</v>
      </c>
      <c r="J408" s="12" t="s">
        <v>3169</v>
      </c>
      <c r="K408" s="12" t="s">
        <v>39</v>
      </c>
      <c r="L408" s="12" t="s">
        <v>621</v>
      </c>
      <c r="M408" s="12" t="s">
        <v>3174</v>
      </c>
      <c r="P408" s="12" t="s">
        <v>31</v>
      </c>
      <c r="Q408" s="130" t="s">
        <v>32</v>
      </c>
      <c r="R408" s="155" t="s">
        <v>43</v>
      </c>
      <c r="S408" s="149" t="s">
        <v>3175</v>
      </c>
      <c r="T408" s="150">
        <v>27674</v>
      </c>
      <c r="U408" s="154" t="s">
        <v>3176</v>
      </c>
      <c r="V408" s="151" t="s">
        <v>3172</v>
      </c>
      <c r="W408" s="151"/>
    </row>
    <row r="409" spans="1:23" ht="22.5" customHeight="1">
      <c r="A409" s="137">
        <v>46107.673210289351</v>
      </c>
      <c r="B409" s="12" t="s">
        <v>3177</v>
      </c>
      <c r="D409" s="12" t="s">
        <v>45</v>
      </c>
      <c r="E409" s="138">
        <v>35766</v>
      </c>
      <c r="F409" s="12" t="s">
        <v>486</v>
      </c>
      <c r="G409" s="12" t="s">
        <v>209</v>
      </c>
      <c r="H409" s="12" t="s">
        <v>3178</v>
      </c>
      <c r="I409" s="6" t="str">
        <f>VLOOKUP(CLEAN(F409),'World Bank Categories'!$B$4:$C$220,2,FALSE)</f>
        <v>High income</v>
      </c>
      <c r="J409" s="12" t="s">
        <v>3179</v>
      </c>
      <c r="K409" s="12" t="s">
        <v>29</v>
      </c>
      <c r="L409" s="12" t="s">
        <v>30</v>
      </c>
      <c r="P409" s="12" t="s">
        <v>31</v>
      </c>
      <c r="Q409" s="130" t="s">
        <v>32</v>
      </c>
      <c r="R409" s="152" t="s">
        <v>33</v>
      </c>
      <c r="S409" s="149" t="s">
        <v>3180</v>
      </c>
      <c r="T409" s="150">
        <v>35766</v>
      </c>
      <c r="U409" s="149" t="s">
        <v>3179</v>
      </c>
      <c r="V409" s="151" t="s">
        <v>3127</v>
      </c>
      <c r="W409" s="151"/>
    </row>
    <row r="410" spans="1:23" ht="22.5" customHeight="1">
      <c r="A410" s="137">
        <v>46107.910014629626</v>
      </c>
      <c r="B410" s="12" t="s">
        <v>3181</v>
      </c>
      <c r="D410" s="12" t="s">
        <v>24</v>
      </c>
      <c r="E410" s="138">
        <v>26825</v>
      </c>
      <c r="F410" s="12" t="s">
        <v>2777</v>
      </c>
      <c r="G410" s="12" t="s">
        <v>3182</v>
      </c>
      <c r="H410" s="12" t="s">
        <v>1756</v>
      </c>
      <c r="I410" s="6" t="str">
        <f>VLOOKUP(CLEAN(F410),'World Bank Categories'!$B$4:$C$220,2,FALSE)</f>
        <v>High income</v>
      </c>
      <c r="J410" s="12" t="s">
        <v>3183</v>
      </c>
      <c r="K410" s="12" t="s">
        <v>29</v>
      </c>
      <c r="L410" s="12" t="s">
        <v>30</v>
      </c>
      <c r="P410" s="12" t="s">
        <v>31</v>
      </c>
      <c r="Q410" s="130" t="s">
        <v>32</v>
      </c>
      <c r="R410" s="148" t="s">
        <v>43</v>
      </c>
      <c r="S410" s="156" t="s">
        <v>3181</v>
      </c>
      <c r="T410" s="150">
        <v>26825</v>
      </c>
      <c r="U410" s="149" t="s">
        <v>3183</v>
      </c>
      <c r="V410" s="151" t="s">
        <v>3127</v>
      </c>
      <c r="W410" s="151"/>
    </row>
    <row r="411" spans="1:23" ht="22.5" customHeight="1">
      <c r="A411" s="137">
        <v>46109.011199224537</v>
      </c>
      <c r="B411" s="12" t="s">
        <v>3184</v>
      </c>
      <c r="D411" s="12" t="s">
        <v>24</v>
      </c>
      <c r="E411" s="138">
        <v>37755</v>
      </c>
      <c r="F411" s="12" t="s">
        <v>3185</v>
      </c>
      <c r="G411" s="12" t="s">
        <v>3186</v>
      </c>
      <c r="H411" s="12" t="s">
        <v>3187</v>
      </c>
      <c r="I411" s="6" t="str">
        <f>VLOOKUP(CLEAN(F411),'World Bank Categories'!$B$4:$C$220,2,FALSE)</f>
        <v>Middle income</v>
      </c>
      <c r="J411" s="12" t="s">
        <v>3188</v>
      </c>
      <c r="K411" s="12" t="s">
        <v>29</v>
      </c>
      <c r="L411" s="12" t="s">
        <v>30</v>
      </c>
      <c r="P411" s="12" t="s">
        <v>31</v>
      </c>
      <c r="Q411" s="130" t="s">
        <v>32</v>
      </c>
      <c r="R411" s="148" t="s">
        <v>33</v>
      </c>
      <c r="S411" s="149" t="s">
        <v>3189</v>
      </c>
      <c r="T411" s="150">
        <v>37755</v>
      </c>
      <c r="U411" s="149" t="s">
        <v>3188</v>
      </c>
      <c r="V411" s="151" t="s">
        <v>3127</v>
      </c>
      <c r="W411" s="151"/>
    </row>
    <row r="412" spans="1:23" ht="22.5" customHeight="1">
      <c r="A412" s="137">
        <v>46109.104472592589</v>
      </c>
      <c r="B412" s="12" t="s">
        <v>3190</v>
      </c>
      <c r="C412" s="12" t="s">
        <v>3191</v>
      </c>
      <c r="D412" s="12" t="s">
        <v>24</v>
      </c>
      <c r="E412" s="138">
        <v>36097</v>
      </c>
      <c r="F412" s="12" t="s">
        <v>3192</v>
      </c>
      <c r="G412" s="12" t="s">
        <v>209</v>
      </c>
      <c r="H412" s="12" t="s">
        <v>3193</v>
      </c>
      <c r="I412" s="6" t="str">
        <f>VLOOKUP(CLEAN(F412),'World Bank Categories'!$B$4:$C$220,2,FALSE)</f>
        <v>Middle income</v>
      </c>
      <c r="J412" s="12" t="s">
        <v>3194</v>
      </c>
      <c r="K412" s="12" t="s">
        <v>29</v>
      </c>
      <c r="L412" s="12" t="s">
        <v>30</v>
      </c>
      <c r="P412" s="12" t="s">
        <v>31</v>
      </c>
      <c r="Q412" s="130" t="s">
        <v>32</v>
      </c>
      <c r="R412" s="152" t="s">
        <v>33</v>
      </c>
      <c r="S412" s="149" t="s">
        <v>3190</v>
      </c>
      <c r="T412" s="150">
        <v>36097</v>
      </c>
      <c r="U412" s="149" t="s">
        <v>3194</v>
      </c>
      <c r="V412" s="151" t="s">
        <v>3127</v>
      </c>
      <c r="W412" s="151"/>
    </row>
    <row r="413" spans="1:23" ht="22.5" customHeight="1">
      <c r="A413" s="137">
        <v>46109.253704988427</v>
      </c>
      <c r="B413" s="12" t="s">
        <v>3195</v>
      </c>
      <c r="C413" s="12" t="s">
        <v>3196</v>
      </c>
      <c r="D413" s="12" t="s">
        <v>24</v>
      </c>
      <c r="E413" s="138">
        <v>37565</v>
      </c>
      <c r="F413" s="12" t="s">
        <v>612</v>
      </c>
      <c r="G413" s="12" t="s">
        <v>3197</v>
      </c>
      <c r="H413" s="12" t="s">
        <v>3198</v>
      </c>
      <c r="I413" s="6" t="str">
        <f>VLOOKUP(CLEAN(F413),'World Bank Categories'!$B$4:$C$220,2,FALSE)</f>
        <v>Low income</v>
      </c>
      <c r="J413" s="12" t="s">
        <v>3199</v>
      </c>
      <c r="K413" s="12" t="s">
        <v>29</v>
      </c>
      <c r="L413" s="12" t="s">
        <v>30</v>
      </c>
      <c r="P413" s="12" t="s">
        <v>31</v>
      </c>
      <c r="Q413" s="130" t="s">
        <v>32</v>
      </c>
      <c r="R413" s="148" t="s">
        <v>33</v>
      </c>
      <c r="S413" s="149" t="s">
        <v>3200</v>
      </c>
      <c r="T413" s="150">
        <v>37565</v>
      </c>
      <c r="U413" s="149" t="s">
        <v>3199</v>
      </c>
      <c r="V413" s="151" t="s">
        <v>3127</v>
      </c>
      <c r="W413" s="151"/>
    </row>
    <row r="414" spans="1:23" ht="22.5" customHeight="1">
      <c r="A414" s="137">
        <v>46110.544456307871</v>
      </c>
      <c r="B414" s="12" t="s">
        <v>3201</v>
      </c>
      <c r="C414" s="12" t="s">
        <v>3202</v>
      </c>
      <c r="D414" s="12" t="s">
        <v>45</v>
      </c>
      <c r="E414" s="138">
        <v>38426</v>
      </c>
      <c r="F414" s="12" t="s">
        <v>1053</v>
      </c>
      <c r="G414" s="12" t="s">
        <v>3203</v>
      </c>
      <c r="H414" s="12" t="s">
        <v>66</v>
      </c>
      <c r="I414" s="6" t="str">
        <f>VLOOKUP(CLEAN(F414),'World Bank Categories'!$B$4:$C$220,2,FALSE)</f>
        <v>High income</v>
      </c>
      <c r="J414" s="12" t="s">
        <v>3204</v>
      </c>
      <c r="K414" s="12" t="s">
        <v>29</v>
      </c>
      <c r="L414" s="12" t="s">
        <v>30</v>
      </c>
      <c r="P414" s="12" t="s">
        <v>31</v>
      </c>
      <c r="Q414" s="130" t="s">
        <v>32</v>
      </c>
      <c r="R414" s="148" t="s">
        <v>43</v>
      </c>
      <c r="S414" s="149" t="s">
        <v>3205</v>
      </c>
      <c r="T414" s="150">
        <v>38426</v>
      </c>
      <c r="U414" s="149" t="s">
        <v>3204</v>
      </c>
      <c r="V414" s="151" t="s">
        <v>3127</v>
      </c>
      <c r="W414" s="151"/>
    </row>
    <row r="415" spans="1:23" ht="22.5" customHeight="1">
      <c r="A415" s="137">
        <v>46110.979662141202</v>
      </c>
      <c r="B415" s="12" t="s">
        <v>3206</v>
      </c>
      <c r="C415" s="12" t="s">
        <v>3207</v>
      </c>
      <c r="D415" s="12" t="s">
        <v>24</v>
      </c>
      <c r="E415" s="138">
        <v>37949</v>
      </c>
      <c r="F415" s="12" t="s">
        <v>1053</v>
      </c>
      <c r="G415" s="12" t="s">
        <v>3208</v>
      </c>
      <c r="H415" s="12" t="s">
        <v>160</v>
      </c>
      <c r="I415" s="6" t="str">
        <f>VLOOKUP(CLEAN(F415),'World Bank Categories'!$B$4:$C$220,2,FALSE)</f>
        <v>High income</v>
      </c>
      <c r="J415" s="12" t="s">
        <v>3209</v>
      </c>
      <c r="K415" s="12" t="s">
        <v>29</v>
      </c>
      <c r="L415" s="12" t="s">
        <v>30</v>
      </c>
      <c r="P415" s="12" t="s">
        <v>31</v>
      </c>
      <c r="Q415" s="130" t="s">
        <v>32</v>
      </c>
      <c r="R415" s="152" t="s">
        <v>43</v>
      </c>
      <c r="S415" s="149" t="s">
        <v>3210</v>
      </c>
      <c r="T415" s="150">
        <v>37949</v>
      </c>
      <c r="U415" s="149" t="s">
        <v>3209</v>
      </c>
      <c r="V415" s="151" t="s">
        <v>3127</v>
      </c>
      <c r="W415" s="151"/>
    </row>
    <row r="416" spans="1:23" ht="22.5" customHeight="1">
      <c r="A416" s="137">
        <v>46110.985707106476</v>
      </c>
      <c r="B416" s="12" t="s">
        <v>3211</v>
      </c>
      <c r="C416" s="12" t="s">
        <v>3212</v>
      </c>
      <c r="D416" s="12" t="s">
        <v>24</v>
      </c>
      <c r="E416" s="138">
        <v>38765</v>
      </c>
      <c r="F416" s="12" t="s">
        <v>1053</v>
      </c>
      <c r="G416" s="12" t="s">
        <v>3213</v>
      </c>
      <c r="H416" s="12" t="s">
        <v>66</v>
      </c>
      <c r="I416" s="6" t="str">
        <f>VLOOKUP(CLEAN(F416),'World Bank Categories'!$B$4:$C$220,2,FALSE)</f>
        <v>High income</v>
      </c>
      <c r="J416" s="12" t="s">
        <v>3214</v>
      </c>
      <c r="K416" s="12" t="s">
        <v>29</v>
      </c>
      <c r="L416" s="12" t="s">
        <v>30</v>
      </c>
      <c r="P416" s="12" t="s">
        <v>31</v>
      </c>
      <c r="Q416" s="130" t="s">
        <v>32</v>
      </c>
      <c r="R416" s="148" t="s">
        <v>43</v>
      </c>
      <c r="S416" s="149" t="s">
        <v>3215</v>
      </c>
      <c r="T416" s="150">
        <v>38765</v>
      </c>
      <c r="U416" s="149" t="s">
        <v>3214</v>
      </c>
      <c r="V416" s="151" t="s">
        <v>3127</v>
      </c>
      <c r="W416" s="151"/>
    </row>
    <row r="417" spans="1:23" ht="22.5" customHeight="1">
      <c r="A417" s="137">
        <v>46111.383069097225</v>
      </c>
      <c r="B417" s="12" t="s">
        <v>3217</v>
      </c>
      <c r="D417" s="12" t="s">
        <v>24</v>
      </c>
      <c r="E417" s="138">
        <v>25751</v>
      </c>
      <c r="F417" s="12" t="s">
        <v>1387</v>
      </c>
      <c r="G417" s="12" t="s">
        <v>3218</v>
      </c>
      <c r="H417" s="12" t="s">
        <v>3219</v>
      </c>
      <c r="I417" s="6" t="str">
        <f>VLOOKUP(CLEAN(F417),'World Bank Categories'!$B$4:$C$220,2,FALSE)</f>
        <v>Middle income</v>
      </c>
      <c r="J417" s="12" t="s">
        <v>3220</v>
      </c>
      <c r="K417" s="12" t="s">
        <v>39</v>
      </c>
      <c r="L417" s="12" t="s">
        <v>30</v>
      </c>
      <c r="P417" s="12" t="s">
        <v>31</v>
      </c>
      <c r="Q417" s="130" t="s">
        <v>32</v>
      </c>
      <c r="R417" s="148" t="s">
        <v>33</v>
      </c>
      <c r="S417" s="149" t="s">
        <v>3221</v>
      </c>
      <c r="T417" s="150">
        <v>25751</v>
      </c>
      <c r="U417" s="149" t="s">
        <v>3220</v>
      </c>
      <c r="V417" s="151" t="s">
        <v>3127</v>
      </c>
      <c r="W417" s="151"/>
    </row>
    <row r="418" spans="1:23" ht="22.5" customHeight="1">
      <c r="A418" s="137">
        <v>46111.54476167824</v>
      </c>
      <c r="B418" s="12" t="s">
        <v>3222</v>
      </c>
      <c r="D418" s="12" t="s">
        <v>24</v>
      </c>
      <c r="E418" s="138">
        <v>37401</v>
      </c>
      <c r="F418" s="12" t="s">
        <v>1179</v>
      </c>
      <c r="G418" s="12" t="s">
        <v>3223</v>
      </c>
      <c r="H418" s="12" t="s">
        <v>368</v>
      </c>
      <c r="I418" s="6" t="str">
        <f>VLOOKUP(CLEAN(F418),'World Bank Categories'!$B$4:$C$220,2,FALSE)</f>
        <v>High income</v>
      </c>
      <c r="J418" s="12" t="s">
        <v>3224</v>
      </c>
      <c r="K418" s="12" t="s">
        <v>29</v>
      </c>
      <c r="L418" s="12" t="s">
        <v>30</v>
      </c>
      <c r="P418" s="12" t="s">
        <v>31</v>
      </c>
      <c r="Q418" s="130" t="s">
        <v>32</v>
      </c>
      <c r="R418" s="152" t="s">
        <v>43</v>
      </c>
      <c r="S418" s="149" t="s">
        <v>3225</v>
      </c>
      <c r="T418" s="150">
        <v>37401</v>
      </c>
      <c r="U418" s="149" t="s">
        <v>3224</v>
      </c>
      <c r="V418" s="151" t="s">
        <v>3127</v>
      </c>
      <c r="W418" s="151"/>
    </row>
    <row r="419" spans="1:23" ht="22.5" customHeight="1">
      <c r="A419" s="137">
        <v>46111.701133159717</v>
      </c>
      <c r="B419" s="12" t="s">
        <v>3233</v>
      </c>
      <c r="C419" s="12" t="s">
        <v>3234</v>
      </c>
      <c r="D419" s="12" t="s">
        <v>24</v>
      </c>
      <c r="E419" s="138">
        <v>38465</v>
      </c>
      <c r="F419" s="12" t="s">
        <v>1053</v>
      </c>
      <c r="G419" s="12" t="s">
        <v>3235</v>
      </c>
      <c r="H419" s="12" t="s">
        <v>160</v>
      </c>
      <c r="I419" s="6" t="str">
        <f>VLOOKUP(CLEAN(F419),'World Bank Categories'!$B$4:$C$220,2,FALSE)</f>
        <v>High income</v>
      </c>
      <c r="J419" s="12" t="s">
        <v>3236</v>
      </c>
      <c r="K419" s="12" t="s">
        <v>39</v>
      </c>
      <c r="L419" s="12" t="s">
        <v>621</v>
      </c>
      <c r="P419" s="12" t="s">
        <v>31</v>
      </c>
      <c r="Q419" s="130" t="s">
        <v>32</v>
      </c>
      <c r="R419" s="152" t="s">
        <v>43</v>
      </c>
      <c r="S419" s="149" t="s">
        <v>3233</v>
      </c>
      <c r="T419" s="150">
        <v>38465</v>
      </c>
      <c r="U419" s="149" t="s">
        <v>3236</v>
      </c>
      <c r="V419" s="151" t="s">
        <v>3127</v>
      </c>
      <c r="W419" s="151"/>
    </row>
    <row r="420" spans="1:23" ht="22.5" customHeight="1">
      <c r="A420" s="137">
        <v>46112.435909965279</v>
      </c>
      <c r="B420" s="12" t="s">
        <v>3248</v>
      </c>
      <c r="D420" s="12" t="s">
        <v>24</v>
      </c>
      <c r="E420" s="138">
        <v>20122</v>
      </c>
      <c r="F420" s="12" t="s">
        <v>198</v>
      </c>
      <c r="G420" s="12" t="s">
        <v>3249</v>
      </c>
      <c r="H420" s="12" t="s">
        <v>3250</v>
      </c>
      <c r="I420" s="6" t="str">
        <f>VLOOKUP(CLEAN(F420),'World Bank Categories'!$B$4:$C$220,2,FALSE)</f>
        <v>Middle income</v>
      </c>
      <c r="J420" s="12" t="s">
        <v>3251</v>
      </c>
      <c r="K420" s="12" t="s">
        <v>29</v>
      </c>
      <c r="L420" s="12" t="s">
        <v>30</v>
      </c>
      <c r="P420" s="12" t="s">
        <v>31</v>
      </c>
      <c r="Q420" s="130" t="s">
        <v>32</v>
      </c>
      <c r="R420" s="148" t="s">
        <v>43</v>
      </c>
      <c r="S420" s="149" t="s">
        <v>3252</v>
      </c>
      <c r="T420" s="150">
        <v>20122</v>
      </c>
      <c r="U420" s="149" t="s">
        <v>3251</v>
      </c>
      <c r="V420" s="151" t="s">
        <v>3127</v>
      </c>
      <c r="W420" s="151"/>
    </row>
    <row r="421" spans="1:23" ht="22.5" customHeight="1">
      <c r="A421" s="137">
        <v>46112.435999317131</v>
      </c>
      <c r="B421" s="12" t="s">
        <v>3253</v>
      </c>
      <c r="D421" s="12" t="s">
        <v>24</v>
      </c>
      <c r="E421" s="138">
        <v>28244</v>
      </c>
      <c r="F421" s="12" t="s">
        <v>198</v>
      </c>
      <c r="G421" s="12" t="s">
        <v>3254</v>
      </c>
      <c r="H421" s="12" t="s">
        <v>3255</v>
      </c>
      <c r="I421" s="6" t="str">
        <f>VLOOKUP(CLEAN(F421),'World Bank Categories'!$B$4:$C$220,2,FALSE)</f>
        <v>Middle income</v>
      </c>
      <c r="J421" s="12" t="s">
        <v>3256</v>
      </c>
      <c r="K421" s="12" t="s">
        <v>29</v>
      </c>
      <c r="L421" s="12" t="s">
        <v>30</v>
      </c>
      <c r="P421" s="12" t="s">
        <v>31</v>
      </c>
      <c r="Q421" s="130" t="s">
        <v>32</v>
      </c>
      <c r="R421" s="152" t="s">
        <v>43</v>
      </c>
      <c r="S421" s="149" t="s">
        <v>3257</v>
      </c>
      <c r="T421" s="150">
        <v>28244</v>
      </c>
      <c r="U421" s="149" t="s">
        <v>3256</v>
      </c>
      <c r="V421" s="151" t="s">
        <v>3127</v>
      </c>
      <c r="W421" s="151"/>
    </row>
    <row r="422" spans="1:23" ht="22.5" customHeight="1">
      <c r="A422" s="137">
        <v>46112.615925509264</v>
      </c>
      <c r="B422" s="12" t="s">
        <v>3258</v>
      </c>
      <c r="C422" s="12" t="s">
        <v>3259</v>
      </c>
      <c r="D422" s="12" t="s">
        <v>45</v>
      </c>
      <c r="E422" s="138">
        <v>38342</v>
      </c>
      <c r="F422" s="12" t="s">
        <v>1053</v>
      </c>
      <c r="G422" s="12" t="s">
        <v>3260</v>
      </c>
      <c r="H422" s="12" t="s">
        <v>66</v>
      </c>
      <c r="I422" s="6" t="str">
        <f>VLOOKUP(CLEAN(F422),'World Bank Categories'!$B$4:$C$220,2,FALSE)</f>
        <v>High income</v>
      </c>
      <c r="J422" s="12" t="s">
        <v>3261</v>
      </c>
      <c r="K422" s="12" t="s">
        <v>29</v>
      </c>
      <c r="L422" s="12" t="s">
        <v>30</v>
      </c>
      <c r="P422" s="12" t="s">
        <v>31</v>
      </c>
      <c r="Q422" s="130" t="s">
        <v>32</v>
      </c>
      <c r="R422" s="148" t="s">
        <v>43</v>
      </c>
      <c r="S422" s="149" t="s">
        <v>3258</v>
      </c>
      <c r="T422" s="150">
        <v>38342</v>
      </c>
      <c r="U422" s="149" t="s">
        <v>3262</v>
      </c>
      <c r="V422" s="151" t="s">
        <v>3127</v>
      </c>
      <c r="W422" s="151"/>
    </row>
    <row r="423" spans="1:23" ht="22.5" customHeight="1">
      <c r="A423" s="137">
        <v>46113.165243506941</v>
      </c>
      <c r="B423" s="12" t="s">
        <v>3272</v>
      </c>
      <c r="D423" s="12" t="s">
        <v>45</v>
      </c>
      <c r="E423" s="138">
        <v>34856</v>
      </c>
      <c r="F423" s="12" t="s">
        <v>3273</v>
      </c>
      <c r="G423" s="12" t="s">
        <v>3274</v>
      </c>
      <c r="H423" s="12" t="s">
        <v>1513</v>
      </c>
      <c r="I423" s="6" t="str">
        <f>VLOOKUP(CLEAN(F423),'World Bank Categories'!$B$4:$C$220,2,FALSE)</f>
        <v>Low income</v>
      </c>
      <c r="J423" s="12" t="s">
        <v>3275</v>
      </c>
      <c r="K423" s="12" t="s">
        <v>29</v>
      </c>
      <c r="L423" s="12" t="s">
        <v>30</v>
      </c>
      <c r="P423" s="12" t="s">
        <v>31</v>
      </c>
      <c r="Q423" s="130" t="s">
        <v>32</v>
      </c>
      <c r="R423" s="152" t="s">
        <v>33</v>
      </c>
      <c r="S423" s="149" t="s">
        <v>3276</v>
      </c>
      <c r="T423" s="150">
        <v>34856</v>
      </c>
      <c r="U423" s="149" t="s">
        <v>3277</v>
      </c>
      <c r="V423" s="151" t="s">
        <v>3127</v>
      </c>
      <c r="W423" s="151"/>
    </row>
    <row r="424" spans="1:23" ht="22.5" customHeight="1">
      <c r="A424" s="137">
        <v>46114.724901319445</v>
      </c>
      <c r="B424" s="12" t="s">
        <v>3278</v>
      </c>
      <c r="D424" s="12" t="s">
        <v>24</v>
      </c>
      <c r="E424" s="138">
        <v>36674</v>
      </c>
      <c r="F424" s="12" t="s">
        <v>433</v>
      </c>
      <c r="G424" s="12" t="s">
        <v>3279</v>
      </c>
      <c r="H424" s="12" t="s">
        <v>191</v>
      </c>
      <c r="I424" s="6" t="str">
        <f>VLOOKUP(CLEAN(F424),'World Bank Categories'!$B$4:$C$220,2,FALSE)</f>
        <v>Low income</v>
      </c>
      <c r="J424" s="12" t="s">
        <v>3280</v>
      </c>
      <c r="K424" s="12" t="s">
        <v>39</v>
      </c>
      <c r="L424" s="12" t="s">
        <v>30</v>
      </c>
      <c r="P424" s="12" t="s">
        <v>31</v>
      </c>
      <c r="Q424" s="130" t="s">
        <v>32</v>
      </c>
      <c r="R424" s="148" t="s">
        <v>33</v>
      </c>
      <c r="S424" s="149" t="s">
        <v>3281</v>
      </c>
      <c r="T424" s="150">
        <v>36674</v>
      </c>
      <c r="U424" s="149" t="s">
        <v>3280</v>
      </c>
      <c r="V424" s="151" t="s">
        <v>3127</v>
      </c>
      <c r="W424" s="151"/>
    </row>
    <row r="425" spans="1:23" ht="22.5" customHeight="1">
      <c r="A425" s="137">
        <v>46115.465900729163</v>
      </c>
      <c r="B425" s="12" t="s">
        <v>3286</v>
      </c>
      <c r="D425" s="12" t="s">
        <v>24</v>
      </c>
      <c r="E425" s="138">
        <v>30324</v>
      </c>
      <c r="F425" s="12" t="s">
        <v>1958</v>
      </c>
      <c r="G425" s="12" t="s">
        <v>3287</v>
      </c>
      <c r="H425" s="12" t="s">
        <v>1069</v>
      </c>
      <c r="I425" s="6" t="str">
        <f>VLOOKUP(CLEAN(F425),'World Bank Categories'!$B$4:$C$220,2,FALSE)</f>
        <v>Middle income</v>
      </c>
      <c r="J425" s="12" t="s">
        <v>3288</v>
      </c>
      <c r="K425" s="12" t="s">
        <v>29</v>
      </c>
      <c r="L425" s="12" t="s">
        <v>30</v>
      </c>
      <c r="P425" s="12" t="s">
        <v>31</v>
      </c>
      <c r="Q425" s="130" t="s">
        <v>32</v>
      </c>
      <c r="R425" s="148" t="s">
        <v>43</v>
      </c>
      <c r="S425" s="149" t="s">
        <v>3286</v>
      </c>
      <c r="T425" s="150">
        <v>30324</v>
      </c>
      <c r="U425" s="149" t="s">
        <v>3288</v>
      </c>
      <c r="V425" s="151" t="s">
        <v>3127</v>
      </c>
      <c r="W425" s="151"/>
    </row>
    <row r="426" spans="1:23" ht="22.5" customHeight="1">
      <c r="A426" s="166">
        <v>46118.092334965273</v>
      </c>
      <c r="B426" s="167" t="s">
        <v>3289</v>
      </c>
      <c r="C426" s="168"/>
      <c r="D426" s="167" t="s">
        <v>24</v>
      </c>
      <c r="E426" s="169">
        <v>35624</v>
      </c>
      <c r="F426" s="167" t="s">
        <v>3040</v>
      </c>
      <c r="G426" s="167" t="s">
        <v>209</v>
      </c>
      <c r="H426" s="167" t="s">
        <v>90</v>
      </c>
      <c r="I426" s="6" t="str">
        <f>VLOOKUP(CLEAN(F426),'World Bank Categories'!$B$4:$C$220,2,FALSE)</f>
        <v>High income</v>
      </c>
      <c r="J426" s="167" t="s">
        <v>3290</v>
      </c>
      <c r="K426" s="167" t="s">
        <v>29</v>
      </c>
      <c r="L426" s="167" t="s">
        <v>30</v>
      </c>
      <c r="M426" s="167"/>
      <c r="N426" s="167"/>
      <c r="O426" s="168"/>
      <c r="P426" s="167" t="s">
        <v>2293</v>
      </c>
      <c r="Q426" s="130" t="s">
        <v>32</v>
      </c>
      <c r="R426" s="162" t="s">
        <v>43</v>
      </c>
      <c r="S426" s="163"/>
      <c r="T426" s="164"/>
      <c r="U426" s="163"/>
      <c r="V426" s="165"/>
      <c r="W426" s="165"/>
    </row>
    <row r="427" spans="1:23" ht="22.5" customHeight="1">
      <c r="A427" s="137">
        <v>46118.985081180552</v>
      </c>
      <c r="B427" s="12" t="s">
        <v>3291</v>
      </c>
      <c r="C427" s="12" t="s">
        <v>3292</v>
      </c>
      <c r="D427" s="12" t="s">
        <v>45</v>
      </c>
      <c r="E427" s="138">
        <v>35339</v>
      </c>
      <c r="F427" s="12" t="s">
        <v>3293</v>
      </c>
      <c r="G427" s="12" t="s">
        <v>3294</v>
      </c>
      <c r="H427" s="12" t="s">
        <v>3295</v>
      </c>
      <c r="I427" s="6" t="str">
        <f>VLOOKUP(CLEAN(F427),'World Bank Categories'!$B$4:$C$220,2,FALSE)</f>
        <v>Middle income</v>
      </c>
      <c r="J427" s="12" t="s">
        <v>3296</v>
      </c>
      <c r="K427" s="12" t="s">
        <v>29</v>
      </c>
      <c r="L427" s="12" t="s">
        <v>30</v>
      </c>
      <c r="P427" s="12" t="s">
        <v>31</v>
      </c>
      <c r="Q427" s="130" t="s">
        <v>32</v>
      </c>
      <c r="R427" s="148" t="s">
        <v>33</v>
      </c>
      <c r="S427" s="149" t="s">
        <v>3297</v>
      </c>
      <c r="T427" s="150">
        <v>35339</v>
      </c>
      <c r="U427" s="149" t="s">
        <v>3296</v>
      </c>
      <c r="V427" s="170" t="s">
        <v>3127</v>
      </c>
      <c r="W427" s="170"/>
    </row>
    <row r="428" spans="1:23" ht="22.5" customHeight="1">
      <c r="A428" s="158">
        <v>46121.787122002315</v>
      </c>
      <c r="B428" s="159" t="s">
        <v>3298</v>
      </c>
      <c r="C428" s="161"/>
      <c r="D428" s="159" t="s">
        <v>45</v>
      </c>
      <c r="E428" s="160">
        <v>32515</v>
      </c>
      <c r="F428" s="159" t="s">
        <v>3040</v>
      </c>
      <c r="G428" s="159" t="s">
        <v>3299</v>
      </c>
      <c r="H428" s="159" t="s">
        <v>2162</v>
      </c>
      <c r="I428" s="6" t="str">
        <f>VLOOKUP(CLEAN(F428),'World Bank Categories'!$B$4:$C$220,2,FALSE)</f>
        <v>High income</v>
      </c>
      <c r="J428" s="159" t="s">
        <v>3300</v>
      </c>
      <c r="K428" s="159" t="s">
        <v>29</v>
      </c>
      <c r="L428" s="159" t="s">
        <v>30</v>
      </c>
      <c r="M428" s="159"/>
      <c r="N428" s="159"/>
      <c r="O428" s="171"/>
      <c r="P428" s="159" t="s">
        <v>31</v>
      </c>
      <c r="Q428" s="130" t="s">
        <v>32</v>
      </c>
      <c r="R428" s="162" t="s">
        <v>43</v>
      </c>
      <c r="S428" s="172"/>
      <c r="T428" s="173"/>
      <c r="U428" s="172"/>
      <c r="V428" s="151"/>
      <c r="W428" s="151"/>
    </row>
    <row r="429" spans="1:23" ht="22.5" customHeight="1">
      <c r="A429" s="137">
        <v>46121.994184513889</v>
      </c>
      <c r="B429" s="12" t="s">
        <v>3301</v>
      </c>
      <c r="D429" s="12" t="s">
        <v>45</v>
      </c>
      <c r="E429" s="138">
        <v>31016</v>
      </c>
      <c r="F429" s="12" t="s">
        <v>232</v>
      </c>
      <c r="G429" s="12" t="s">
        <v>3302</v>
      </c>
      <c r="H429" s="12" t="s">
        <v>3303</v>
      </c>
      <c r="I429" s="6" t="str">
        <f>VLOOKUP(CLEAN(F429),'World Bank Categories'!$B$4:$C$220,2,FALSE)</f>
        <v>Middle income</v>
      </c>
      <c r="J429" s="12" t="s">
        <v>3304</v>
      </c>
      <c r="K429" s="12" t="s">
        <v>29</v>
      </c>
      <c r="L429" s="12" t="s">
        <v>30</v>
      </c>
      <c r="P429" s="12" t="s">
        <v>31</v>
      </c>
      <c r="Q429" s="130" t="s">
        <v>32</v>
      </c>
      <c r="R429" s="174" t="s">
        <v>33</v>
      </c>
      <c r="S429" s="172" t="s">
        <v>3305</v>
      </c>
      <c r="T429" s="173">
        <v>31016</v>
      </c>
      <c r="U429" s="172" t="s">
        <v>3304</v>
      </c>
      <c r="V429" s="151" t="s">
        <v>3127</v>
      </c>
      <c r="W429" s="151"/>
    </row>
    <row r="430" spans="1:23" ht="22.5" customHeight="1">
      <c r="A430" s="175">
        <v>46122.730261215278</v>
      </c>
      <c r="B430" s="176" t="s">
        <v>3306</v>
      </c>
      <c r="C430" s="176" t="s">
        <v>3307</v>
      </c>
      <c r="D430" s="176" t="s">
        <v>45</v>
      </c>
      <c r="E430" s="177">
        <v>31381</v>
      </c>
      <c r="F430" s="176" t="s">
        <v>1053</v>
      </c>
      <c r="G430" s="176" t="s">
        <v>3308</v>
      </c>
      <c r="H430" s="176" t="s">
        <v>3309</v>
      </c>
      <c r="I430" s="6" t="str">
        <f>VLOOKUP(CLEAN(F430),'World Bank Categories'!$B$4:$C$220,2,FALSE)</f>
        <v>High income</v>
      </c>
      <c r="J430" s="176" t="s">
        <v>3310</v>
      </c>
      <c r="K430" s="176" t="s">
        <v>39</v>
      </c>
      <c r="L430" s="176" t="s">
        <v>152</v>
      </c>
      <c r="M430" s="176" t="s">
        <v>3311</v>
      </c>
      <c r="N430" s="176" t="s">
        <v>3312</v>
      </c>
      <c r="O430" s="176" t="s">
        <v>3313</v>
      </c>
      <c r="P430" s="176" t="s">
        <v>31</v>
      </c>
      <c r="Q430" s="130" t="s">
        <v>32</v>
      </c>
      <c r="R430" s="178" t="s">
        <v>43</v>
      </c>
      <c r="S430" s="172" t="s">
        <v>3306</v>
      </c>
      <c r="T430" s="179">
        <v>31117</v>
      </c>
      <c r="U430" s="172" t="s">
        <v>3310</v>
      </c>
      <c r="V430" s="180" t="s">
        <v>3314</v>
      </c>
      <c r="W430" s="180"/>
    </row>
    <row r="431" spans="1:23" ht="22.5" customHeight="1">
      <c r="A431" s="175">
        <v>46122.988996585649</v>
      </c>
      <c r="B431" s="176" t="s">
        <v>3315</v>
      </c>
      <c r="C431" s="176" t="s">
        <v>3316</v>
      </c>
      <c r="D431" s="176" t="s">
        <v>24</v>
      </c>
      <c r="E431" s="177">
        <v>35442</v>
      </c>
      <c r="F431" s="176" t="s">
        <v>3317</v>
      </c>
      <c r="G431" s="176" t="s">
        <v>209</v>
      </c>
      <c r="H431" s="176" t="s">
        <v>418</v>
      </c>
      <c r="I431" s="6" t="str">
        <f>VLOOKUP(CLEAN(F431),'World Bank Categories'!$B$4:$C$220,2,FALSE)</f>
        <v>Low income</v>
      </c>
      <c r="J431" s="176" t="s">
        <v>3318</v>
      </c>
      <c r="K431" s="176" t="s">
        <v>29</v>
      </c>
      <c r="L431" s="176" t="s">
        <v>30</v>
      </c>
      <c r="M431" s="176" t="s">
        <v>3319</v>
      </c>
      <c r="N431" s="176"/>
      <c r="O431" s="176"/>
      <c r="P431" s="176" t="s">
        <v>31</v>
      </c>
      <c r="Q431" s="130" t="s">
        <v>32</v>
      </c>
      <c r="R431" s="174" t="s">
        <v>33</v>
      </c>
      <c r="S431" s="172" t="s">
        <v>3315</v>
      </c>
      <c r="T431" s="173">
        <v>35442</v>
      </c>
      <c r="U431" s="172" t="s">
        <v>3318</v>
      </c>
      <c r="V431" s="180" t="s">
        <v>3320</v>
      </c>
      <c r="W431" s="180"/>
    </row>
    <row r="432" spans="1:23" ht="22.5" customHeight="1">
      <c r="A432" s="137">
        <v>46123.005461597219</v>
      </c>
      <c r="B432" s="12" t="s">
        <v>3321</v>
      </c>
      <c r="D432" s="12" t="s">
        <v>24</v>
      </c>
      <c r="E432" s="138">
        <v>35666</v>
      </c>
      <c r="F432" s="12" t="s">
        <v>346</v>
      </c>
      <c r="G432" s="12" t="s">
        <v>353</v>
      </c>
      <c r="H432" s="12" t="s">
        <v>3322</v>
      </c>
      <c r="I432" s="6" t="str">
        <f>VLOOKUP(CLEAN(F432),'World Bank Categories'!$B$4:$C$220,2,FALSE)</f>
        <v>Middle income</v>
      </c>
      <c r="J432" s="12" t="s">
        <v>3323</v>
      </c>
      <c r="K432" s="12" t="s">
        <v>29</v>
      </c>
      <c r="L432" s="12" t="s">
        <v>30</v>
      </c>
      <c r="P432" s="12" t="s">
        <v>31</v>
      </c>
      <c r="Q432" s="130" t="s">
        <v>32</v>
      </c>
      <c r="R432" s="178" t="s">
        <v>33</v>
      </c>
      <c r="S432" s="172" t="s">
        <v>3324</v>
      </c>
      <c r="T432" s="173">
        <v>35666</v>
      </c>
      <c r="U432" s="172" t="s">
        <v>3323</v>
      </c>
      <c r="V432" s="151" t="s">
        <v>3325</v>
      </c>
      <c r="W432" s="151"/>
    </row>
    <row r="433" spans="1:23" ht="22.5" customHeight="1">
      <c r="A433" s="137">
        <v>46123.025678645834</v>
      </c>
      <c r="B433" s="12" t="s">
        <v>3326</v>
      </c>
      <c r="D433" s="12" t="s">
        <v>24</v>
      </c>
      <c r="E433" s="138">
        <v>35424</v>
      </c>
      <c r="F433" s="12" t="s">
        <v>623</v>
      </c>
      <c r="G433" s="12" t="s">
        <v>3327</v>
      </c>
      <c r="H433" s="12" t="s">
        <v>1031</v>
      </c>
      <c r="I433" s="6" t="str">
        <f>VLOOKUP(CLEAN(F433),'World Bank Categories'!$B$4:$C$220,2,FALSE)</f>
        <v>Middle income</v>
      </c>
      <c r="J433" s="12" t="s">
        <v>3328</v>
      </c>
      <c r="K433" s="12" t="s">
        <v>39</v>
      </c>
      <c r="L433" s="12" t="s">
        <v>30</v>
      </c>
      <c r="M433" s="12" t="s">
        <v>3329</v>
      </c>
      <c r="P433" s="12" t="s">
        <v>31</v>
      </c>
      <c r="Q433" s="130" t="s">
        <v>32</v>
      </c>
      <c r="R433" s="178" t="s">
        <v>33</v>
      </c>
      <c r="S433" s="172" t="s">
        <v>3326</v>
      </c>
      <c r="T433" s="173">
        <v>35424</v>
      </c>
      <c r="U433" s="172" t="s">
        <v>3328</v>
      </c>
      <c r="V433" s="151" t="s">
        <v>3127</v>
      </c>
      <c r="W433" s="151"/>
    </row>
    <row r="434" spans="1:23" ht="22.5" customHeight="1">
      <c r="A434" s="137">
        <v>46123.239067650458</v>
      </c>
      <c r="B434" s="12" t="s">
        <v>3330</v>
      </c>
      <c r="D434" s="12" t="s">
        <v>24</v>
      </c>
      <c r="E434" s="138">
        <v>37872</v>
      </c>
      <c r="F434" s="12" t="s">
        <v>475</v>
      </c>
      <c r="G434" s="12" t="s">
        <v>1779</v>
      </c>
      <c r="H434" s="12" t="s">
        <v>138</v>
      </c>
      <c r="I434" s="6" t="str">
        <f>VLOOKUP(CLEAN(F434),'World Bank Categories'!$B$4:$C$220,2,FALSE)</f>
        <v>Middle income</v>
      </c>
      <c r="J434" s="12" t="s">
        <v>3331</v>
      </c>
      <c r="K434" s="12" t="s">
        <v>29</v>
      </c>
      <c r="L434" s="12" t="s">
        <v>30</v>
      </c>
      <c r="P434" s="12" t="s">
        <v>31</v>
      </c>
      <c r="Q434" s="130" t="s">
        <v>32</v>
      </c>
      <c r="R434" s="174" t="s">
        <v>33</v>
      </c>
      <c r="S434" s="172" t="s">
        <v>3332</v>
      </c>
      <c r="T434" s="173">
        <v>37872</v>
      </c>
      <c r="U434" s="172" t="s">
        <v>3331</v>
      </c>
      <c r="V434" s="151" t="s">
        <v>3127</v>
      </c>
      <c r="W434" s="151"/>
    </row>
    <row r="435" spans="1:23" ht="22.5" customHeight="1">
      <c r="A435" s="137">
        <v>46123.275552453706</v>
      </c>
      <c r="B435" s="12" t="s">
        <v>3333</v>
      </c>
      <c r="D435" s="12" t="s">
        <v>45</v>
      </c>
      <c r="E435" s="138">
        <v>20255</v>
      </c>
      <c r="F435" s="12" t="s">
        <v>623</v>
      </c>
      <c r="G435" s="12" t="s">
        <v>3334</v>
      </c>
      <c r="H435" s="12" t="s">
        <v>3335</v>
      </c>
      <c r="I435" s="6" t="str">
        <f>VLOOKUP(CLEAN(F435),'World Bank Categories'!$B$4:$C$220,2,FALSE)</f>
        <v>Middle income</v>
      </c>
      <c r="J435" s="12" t="s">
        <v>3336</v>
      </c>
      <c r="K435" s="12" t="s">
        <v>39</v>
      </c>
      <c r="L435" s="12" t="s">
        <v>152</v>
      </c>
      <c r="M435" s="12" t="s">
        <v>3337</v>
      </c>
      <c r="P435" s="12" t="s">
        <v>31</v>
      </c>
      <c r="Q435" s="130" t="s">
        <v>32</v>
      </c>
      <c r="R435" s="178" t="s">
        <v>33</v>
      </c>
      <c r="S435" s="172" t="s">
        <v>3333</v>
      </c>
      <c r="T435" s="173">
        <v>20255</v>
      </c>
      <c r="U435" s="172" t="s">
        <v>3336</v>
      </c>
      <c r="V435" s="151" t="s">
        <v>3127</v>
      </c>
      <c r="W435" s="151"/>
    </row>
    <row r="436" spans="1:23" ht="22.5" customHeight="1">
      <c r="A436" s="137">
        <v>46123.328289791665</v>
      </c>
      <c r="B436" s="12" t="s">
        <v>3338</v>
      </c>
      <c r="D436" s="12" t="s">
        <v>24</v>
      </c>
      <c r="E436" s="138">
        <v>27492</v>
      </c>
      <c r="F436" s="12" t="s">
        <v>2066</v>
      </c>
      <c r="G436" s="12" t="s">
        <v>3339</v>
      </c>
      <c r="H436" s="12" t="s">
        <v>2219</v>
      </c>
      <c r="I436" s="6" t="str">
        <f>VLOOKUP(CLEAN(F436),'World Bank Categories'!$B$4:$C$220,2,FALSE)</f>
        <v>High income</v>
      </c>
      <c r="J436" s="12" t="s">
        <v>3340</v>
      </c>
      <c r="K436" s="12" t="s">
        <v>29</v>
      </c>
      <c r="L436" s="12" t="s">
        <v>30</v>
      </c>
      <c r="P436" s="12" t="s">
        <v>31</v>
      </c>
      <c r="Q436" s="130" t="s">
        <v>32</v>
      </c>
      <c r="R436" s="174" t="s">
        <v>33</v>
      </c>
      <c r="S436" s="172" t="s">
        <v>3341</v>
      </c>
      <c r="T436" s="173">
        <v>27492</v>
      </c>
      <c r="U436" s="172" t="s">
        <v>3342</v>
      </c>
      <c r="V436" s="151" t="s">
        <v>3127</v>
      </c>
      <c r="W436" s="151"/>
    </row>
    <row r="437" spans="1:23" ht="22.5" customHeight="1">
      <c r="A437" s="137">
        <v>46123.476636111111</v>
      </c>
      <c r="B437" s="12" t="s">
        <v>3349</v>
      </c>
      <c r="D437" s="12" t="s">
        <v>24</v>
      </c>
      <c r="E437" s="138">
        <v>32314</v>
      </c>
      <c r="F437" s="12" t="s">
        <v>623</v>
      </c>
      <c r="G437" s="12" t="s">
        <v>3350</v>
      </c>
      <c r="H437" s="12" t="s">
        <v>3351</v>
      </c>
      <c r="I437" s="6" t="str">
        <f>VLOOKUP(CLEAN(F437),'World Bank Categories'!$B$4:$C$220,2,FALSE)</f>
        <v>Middle income</v>
      </c>
      <c r="J437" s="12" t="s">
        <v>3352</v>
      </c>
      <c r="K437" s="12" t="s">
        <v>29</v>
      </c>
      <c r="L437" s="12" t="s">
        <v>30</v>
      </c>
      <c r="P437" s="12" t="s">
        <v>31</v>
      </c>
      <c r="Q437" s="130" t="s">
        <v>32</v>
      </c>
      <c r="R437" s="174" t="s">
        <v>33</v>
      </c>
      <c r="S437" s="172" t="s">
        <v>3353</v>
      </c>
      <c r="T437" s="173">
        <v>32314</v>
      </c>
      <c r="U437" s="172" t="s">
        <v>3352</v>
      </c>
      <c r="V437" s="151" t="s">
        <v>3127</v>
      </c>
      <c r="W437" s="151"/>
    </row>
    <row r="438" spans="1:23" ht="22.5" customHeight="1">
      <c r="A438" s="175">
        <v>46123.607287696759</v>
      </c>
      <c r="B438" s="176" t="s">
        <v>3354</v>
      </c>
      <c r="C438" s="176"/>
      <c r="D438" s="176" t="s">
        <v>24</v>
      </c>
      <c r="E438" s="177">
        <v>20428</v>
      </c>
      <c r="F438" s="176" t="s">
        <v>623</v>
      </c>
      <c r="G438" s="176" t="s">
        <v>3355</v>
      </c>
      <c r="H438" s="176" t="s">
        <v>3335</v>
      </c>
      <c r="I438" s="6" t="str">
        <f>VLOOKUP(CLEAN(F438),'World Bank Categories'!$B$4:$C$220,2,FALSE)</f>
        <v>Middle income</v>
      </c>
      <c r="J438" s="176" t="s">
        <v>3356</v>
      </c>
      <c r="K438" s="176" t="s">
        <v>39</v>
      </c>
      <c r="L438" s="176" t="s">
        <v>3108</v>
      </c>
      <c r="M438" s="176" t="s">
        <v>3357</v>
      </c>
      <c r="N438" s="176"/>
      <c r="O438" s="176"/>
      <c r="P438" s="176" t="s">
        <v>31</v>
      </c>
      <c r="Q438" s="130" t="s">
        <v>32</v>
      </c>
      <c r="R438" s="181" t="s">
        <v>33</v>
      </c>
      <c r="S438" s="180" t="s">
        <v>3358</v>
      </c>
      <c r="T438" s="182"/>
      <c r="U438" s="182"/>
      <c r="V438" s="182" t="s">
        <v>3359</v>
      </c>
      <c r="W438" s="182"/>
    </row>
    <row r="439" spans="1:23" ht="22.5" customHeight="1">
      <c r="A439" s="137">
        <v>46123.730228981483</v>
      </c>
      <c r="B439" s="12" t="s">
        <v>3360</v>
      </c>
      <c r="C439" s="12" t="s">
        <v>3360</v>
      </c>
      <c r="D439" s="12" t="s">
        <v>24</v>
      </c>
      <c r="E439" s="138">
        <v>37472</v>
      </c>
      <c r="F439" s="12" t="s">
        <v>732</v>
      </c>
      <c r="G439" s="12" t="s">
        <v>3361</v>
      </c>
      <c r="H439" s="12" t="s">
        <v>3362</v>
      </c>
      <c r="I439" s="6" t="str">
        <f>VLOOKUP(CLEAN(F439),'World Bank Categories'!$B$4:$C$220,2,FALSE)</f>
        <v>Middle income</v>
      </c>
      <c r="J439" s="12" t="s">
        <v>3363</v>
      </c>
      <c r="K439" s="12" t="s">
        <v>39</v>
      </c>
      <c r="L439" s="12" t="s">
        <v>30</v>
      </c>
      <c r="P439" s="12" t="s">
        <v>31</v>
      </c>
      <c r="Q439" s="130" t="s">
        <v>32</v>
      </c>
      <c r="R439" s="178" t="s">
        <v>33</v>
      </c>
      <c r="S439" s="172" t="s">
        <v>3364</v>
      </c>
      <c r="T439" s="183">
        <v>37472</v>
      </c>
      <c r="U439" s="172" t="s">
        <v>3363</v>
      </c>
      <c r="V439" s="151" t="s">
        <v>3127</v>
      </c>
      <c r="W439" s="151"/>
    </row>
    <row r="440" spans="1:23" ht="22.5" customHeight="1">
      <c r="A440" s="137">
        <v>46125.072359456019</v>
      </c>
      <c r="B440" s="12" t="s">
        <v>3365</v>
      </c>
      <c r="D440" s="12" t="s">
        <v>24</v>
      </c>
      <c r="E440" s="138">
        <v>35839</v>
      </c>
      <c r="F440" s="12" t="s">
        <v>1112</v>
      </c>
      <c r="G440" s="12" t="s">
        <v>3366</v>
      </c>
      <c r="H440" s="12" t="s">
        <v>66</v>
      </c>
      <c r="I440" s="6" t="str">
        <f>VLOOKUP(CLEAN(F440),'World Bank Categories'!$B$4:$C$220,2,FALSE)</f>
        <v>Low income</v>
      </c>
      <c r="J440" s="12" t="s">
        <v>1964</v>
      </c>
      <c r="K440" s="12" t="s">
        <v>29</v>
      </c>
      <c r="L440" s="143" t="s">
        <v>1168</v>
      </c>
      <c r="P440" s="12" t="s">
        <v>31</v>
      </c>
      <c r="Q440" s="130" t="s">
        <v>32</v>
      </c>
      <c r="R440" s="178" t="s">
        <v>33</v>
      </c>
      <c r="S440" s="172" t="s">
        <v>1965</v>
      </c>
      <c r="T440" s="173">
        <v>35839</v>
      </c>
      <c r="U440" s="172" t="s">
        <v>1966</v>
      </c>
      <c r="V440" s="151" t="s">
        <v>3367</v>
      </c>
      <c r="W440" s="151"/>
    </row>
    <row r="441" spans="1:23" ht="22.5" customHeight="1">
      <c r="A441" s="137">
        <v>46125.077286608794</v>
      </c>
      <c r="B441" s="12" t="s">
        <v>3368</v>
      </c>
      <c r="D441" s="12" t="s">
        <v>45</v>
      </c>
      <c r="E441" s="138">
        <v>25709</v>
      </c>
      <c r="F441" s="12" t="s">
        <v>3369</v>
      </c>
      <c r="G441" s="12" t="s">
        <v>3370</v>
      </c>
      <c r="H441" s="12" t="s">
        <v>90</v>
      </c>
      <c r="I441" s="6" t="str">
        <f>VLOOKUP(CLEAN(F441),'World Bank Categories'!$B$4:$C$220,2,FALSE)</f>
        <v>Low income</v>
      </c>
      <c r="J441" s="12" t="s">
        <v>3371</v>
      </c>
      <c r="K441" s="12" t="s">
        <v>29</v>
      </c>
      <c r="L441" s="12" t="s">
        <v>30</v>
      </c>
      <c r="M441" s="12" t="s">
        <v>3372</v>
      </c>
      <c r="P441" s="12" t="s">
        <v>31</v>
      </c>
      <c r="Q441" s="130" t="s">
        <v>32</v>
      </c>
      <c r="R441" s="174" t="s">
        <v>33</v>
      </c>
      <c r="S441" s="172" t="s">
        <v>3368</v>
      </c>
      <c r="T441" s="173">
        <v>25709</v>
      </c>
      <c r="U441" s="172" t="s">
        <v>3371</v>
      </c>
      <c r="V441" s="151" t="s">
        <v>3367</v>
      </c>
      <c r="W441" s="151"/>
    </row>
    <row r="442" spans="1:23" ht="22.5" customHeight="1">
      <c r="A442" s="137">
        <v>46125.094078831018</v>
      </c>
      <c r="B442" s="12" t="s">
        <v>3373</v>
      </c>
      <c r="D442" s="12" t="s">
        <v>24</v>
      </c>
      <c r="E442" s="138">
        <v>26434</v>
      </c>
      <c r="F442" s="12" t="s">
        <v>3369</v>
      </c>
      <c r="G442" s="12" t="s">
        <v>3370</v>
      </c>
      <c r="H442" s="12" t="s">
        <v>1643</v>
      </c>
      <c r="I442" s="6" t="str">
        <f>VLOOKUP(CLEAN(F442),'World Bank Categories'!$B$4:$C$220,2,FALSE)</f>
        <v>Low income</v>
      </c>
      <c r="J442" s="12" t="s">
        <v>3374</v>
      </c>
      <c r="K442" s="12" t="s">
        <v>29</v>
      </c>
      <c r="L442" s="12" t="s">
        <v>30</v>
      </c>
      <c r="M442" s="12" t="s">
        <v>3375</v>
      </c>
      <c r="P442" s="12" t="s">
        <v>31</v>
      </c>
      <c r="Q442" s="130" t="s">
        <v>32</v>
      </c>
      <c r="R442" s="178" t="s">
        <v>33</v>
      </c>
      <c r="S442" s="172" t="s">
        <v>3376</v>
      </c>
      <c r="T442" s="173">
        <v>26434</v>
      </c>
      <c r="U442" s="172" t="s">
        <v>3374</v>
      </c>
      <c r="V442" s="151" t="s">
        <v>3367</v>
      </c>
      <c r="W442" s="151"/>
    </row>
    <row r="443" spans="1:23" ht="22.5" customHeight="1">
      <c r="A443" s="137">
        <v>46125.74948982639</v>
      </c>
      <c r="B443" s="12" t="s">
        <v>3377</v>
      </c>
      <c r="C443" s="12" t="s">
        <v>3378</v>
      </c>
      <c r="D443" s="12" t="s">
        <v>45</v>
      </c>
      <c r="E443" s="138">
        <v>35849</v>
      </c>
      <c r="F443" s="12" t="s">
        <v>1053</v>
      </c>
      <c r="G443" s="12" t="s">
        <v>3379</v>
      </c>
      <c r="H443" s="12" t="s">
        <v>2024</v>
      </c>
      <c r="I443" s="6" t="str">
        <f>VLOOKUP(CLEAN(F443),'World Bank Categories'!$B$4:$C$220,2,FALSE)</f>
        <v>High income</v>
      </c>
      <c r="J443" s="12" t="s">
        <v>3380</v>
      </c>
      <c r="K443" s="12" t="s">
        <v>39</v>
      </c>
      <c r="L443" s="12" t="s">
        <v>3381</v>
      </c>
      <c r="P443" s="12" t="s">
        <v>31</v>
      </c>
      <c r="Q443" s="130" t="s">
        <v>32</v>
      </c>
      <c r="R443" s="10" t="s">
        <v>43</v>
      </c>
      <c r="S443" s="184" t="s">
        <v>3377</v>
      </c>
      <c r="T443" s="185">
        <v>35849</v>
      </c>
      <c r="V443" s="184"/>
      <c r="W443" s="184"/>
    </row>
    <row r="444" spans="1:23" ht="22.5" customHeight="1">
      <c r="A444" s="137">
        <v>46125.89843789352</v>
      </c>
      <c r="B444" s="12" t="s">
        <v>3382</v>
      </c>
      <c r="C444" s="12" t="s">
        <v>3383</v>
      </c>
      <c r="D444" s="12" t="s">
        <v>45</v>
      </c>
      <c r="E444" s="138">
        <v>38579</v>
      </c>
      <c r="F444" s="12" t="s">
        <v>1063</v>
      </c>
      <c r="G444" s="12" t="s">
        <v>1093</v>
      </c>
      <c r="H444" s="12" t="s">
        <v>66</v>
      </c>
      <c r="I444" s="6" t="str">
        <f>VLOOKUP(CLEAN(F444),'World Bank Categories'!$B$4:$C$220,2,FALSE)</f>
        <v>Middle income</v>
      </c>
      <c r="J444" s="12" t="s">
        <v>3384</v>
      </c>
      <c r="K444" s="12" t="s">
        <v>29</v>
      </c>
      <c r="L444" s="12" t="s">
        <v>3385</v>
      </c>
      <c r="P444" s="12" t="s">
        <v>31</v>
      </c>
      <c r="Q444" s="130" t="s">
        <v>32</v>
      </c>
      <c r="R444" s="18" t="s">
        <v>33</v>
      </c>
      <c r="S444" s="184" t="s">
        <v>3382</v>
      </c>
      <c r="T444" s="185">
        <v>38579</v>
      </c>
      <c r="V444" s="184"/>
      <c r="W444" s="184"/>
    </row>
    <row r="445" spans="1:23" ht="22.5" customHeight="1">
      <c r="A445" s="137">
        <v>46126.698397025466</v>
      </c>
      <c r="B445" s="12" t="s">
        <v>3386</v>
      </c>
      <c r="C445" s="12" t="s">
        <v>3386</v>
      </c>
      <c r="D445" s="12" t="s">
        <v>24</v>
      </c>
      <c r="E445" s="138">
        <v>31542</v>
      </c>
      <c r="F445" s="12" t="s">
        <v>406</v>
      </c>
      <c r="G445" s="12" t="s">
        <v>3387</v>
      </c>
      <c r="H445" s="12" t="s">
        <v>98</v>
      </c>
      <c r="I445" s="6" t="str">
        <f>VLOOKUP(CLEAN(F445),'World Bank Categories'!$B$4:$C$220,2,FALSE)</f>
        <v>Low income</v>
      </c>
      <c r="J445" s="12" t="s">
        <v>3388</v>
      </c>
      <c r="K445" s="12" t="s">
        <v>29</v>
      </c>
      <c r="L445" s="12" t="s">
        <v>30</v>
      </c>
      <c r="P445" s="12" t="s">
        <v>31</v>
      </c>
      <c r="Q445" s="130" t="s">
        <v>32</v>
      </c>
      <c r="R445" s="18" t="s">
        <v>33</v>
      </c>
      <c r="S445" s="184" t="s">
        <v>3386</v>
      </c>
      <c r="T445" s="185">
        <v>31542</v>
      </c>
      <c r="V445" s="184"/>
      <c r="W445" s="184"/>
    </row>
    <row r="446" spans="1:23" ht="22.5" customHeight="1">
      <c r="A446" s="137">
        <v>46127.69368866898</v>
      </c>
      <c r="B446" s="12" t="s">
        <v>3389</v>
      </c>
      <c r="D446" s="12" t="s">
        <v>24</v>
      </c>
      <c r="E446" s="138">
        <v>28965</v>
      </c>
      <c r="F446" s="12" t="s">
        <v>2556</v>
      </c>
      <c r="G446" s="12" t="s">
        <v>3390</v>
      </c>
      <c r="H446" s="12" t="s">
        <v>3391</v>
      </c>
      <c r="I446" s="6" t="str">
        <f>VLOOKUP(CLEAN(F446),'World Bank Categories'!$B$4:$C$220,2,FALSE)</f>
        <v>Middle income</v>
      </c>
      <c r="J446" s="12" t="s">
        <v>3392</v>
      </c>
      <c r="K446" s="12" t="s">
        <v>39</v>
      </c>
      <c r="L446" s="12" t="s">
        <v>152</v>
      </c>
      <c r="P446" s="12" t="s">
        <v>31</v>
      </c>
      <c r="Q446" s="130" t="s">
        <v>32</v>
      </c>
      <c r="R446" s="10" t="s">
        <v>33</v>
      </c>
      <c r="S446" s="184" t="s">
        <v>3389</v>
      </c>
      <c r="T446" s="185">
        <v>28965</v>
      </c>
      <c r="V446" s="184"/>
      <c r="W446" s="184"/>
    </row>
    <row r="447" spans="1:23" ht="22.5" customHeight="1">
      <c r="A447" s="137">
        <v>46128.350536006939</v>
      </c>
      <c r="B447" s="12" t="s">
        <v>3397</v>
      </c>
      <c r="D447" s="12" t="s">
        <v>45</v>
      </c>
      <c r="E447" s="138">
        <v>27853</v>
      </c>
      <c r="F447" s="12" t="s">
        <v>227</v>
      </c>
      <c r="G447" s="12" t="s">
        <v>360</v>
      </c>
      <c r="H447" s="12" t="s">
        <v>3398</v>
      </c>
      <c r="I447" s="6" t="str">
        <f>VLOOKUP(CLEAN(F447),'World Bank Categories'!$B$4:$C$220,2,FALSE)</f>
        <v>Middle income</v>
      </c>
      <c r="J447" s="12" t="s">
        <v>3399</v>
      </c>
      <c r="K447" s="12" t="s">
        <v>29</v>
      </c>
      <c r="L447" s="12" t="s">
        <v>162</v>
      </c>
      <c r="P447" s="12" t="s">
        <v>31</v>
      </c>
      <c r="Q447" s="130" t="s">
        <v>32</v>
      </c>
      <c r="R447" s="18" t="s">
        <v>33</v>
      </c>
      <c r="S447" s="184" t="s">
        <v>3397</v>
      </c>
      <c r="T447" s="185">
        <v>27853</v>
      </c>
      <c r="V447" s="184"/>
      <c r="W447" s="184"/>
    </row>
    <row r="448" spans="1:23" ht="22.5" customHeight="1">
      <c r="A448" s="166">
        <v>46128.909374930554</v>
      </c>
      <c r="B448" s="167" t="s">
        <v>3400</v>
      </c>
      <c r="C448" s="167" t="s">
        <v>3401</v>
      </c>
      <c r="D448" s="167" t="s">
        <v>24</v>
      </c>
      <c r="E448" s="169">
        <v>36243</v>
      </c>
      <c r="F448" s="167" t="s">
        <v>1063</v>
      </c>
      <c r="G448" s="167" t="s">
        <v>3402</v>
      </c>
      <c r="H448" s="167" t="s">
        <v>305</v>
      </c>
      <c r="I448" s="6" t="str">
        <f>VLOOKUP(CLEAN(F448),'World Bank Categories'!$B$4:$C$220,2,FALSE)</f>
        <v>Middle income</v>
      </c>
      <c r="J448" s="167" t="s">
        <v>3403</v>
      </c>
      <c r="K448" s="167" t="s">
        <v>39</v>
      </c>
      <c r="L448" s="167" t="s">
        <v>30</v>
      </c>
      <c r="M448" s="167"/>
      <c r="N448" s="167"/>
      <c r="P448" s="167" t="s">
        <v>31</v>
      </c>
      <c r="Q448" s="130" t="s">
        <v>32</v>
      </c>
      <c r="R448" s="162" t="s">
        <v>43</v>
      </c>
      <c r="S448" s="184" t="s">
        <v>3400</v>
      </c>
      <c r="T448" s="185"/>
      <c r="V448" s="184"/>
      <c r="W448" s="184"/>
    </row>
    <row r="449" spans="1:23" ht="22.5" customHeight="1">
      <c r="A449" s="137">
        <v>46129.013164988428</v>
      </c>
      <c r="B449" s="12" t="s">
        <v>3404</v>
      </c>
      <c r="D449" s="12" t="s">
        <v>24</v>
      </c>
      <c r="E449" s="138">
        <v>32759</v>
      </c>
      <c r="F449" s="12" t="s">
        <v>1983</v>
      </c>
      <c r="G449" s="12" t="s">
        <v>209</v>
      </c>
      <c r="H449" s="12" t="s">
        <v>3405</v>
      </c>
      <c r="I449" s="6" t="str">
        <f>VLOOKUP(CLEAN(F449),'World Bank Categories'!$B$4:$C$220,2,FALSE)</f>
        <v>High income</v>
      </c>
      <c r="J449" s="12" t="s">
        <v>3406</v>
      </c>
      <c r="K449" s="12" t="s">
        <v>29</v>
      </c>
      <c r="L449" s="12" t="s">
        <v>162</v>
      </c>
      <c r="P449" s="12" t="s">
        <v>31</v>
      </c>
      <c r="Q449" s="130" t="s">
        <v>32</v>
      </c>
      <c r="R449" s="10" t="s">
        <v>43</v>
      </c>
      <c r="S449" s="184" t="s">
        <v>3404</v>
      </c>
      <c r="T449" s="185">
        <v>32759</v>
      </c>
      <c r="V449" s="184"/>
      <c r="W449" s="184"/>
    </row>
    <row r="450" spans="1:23" ht="22.5" customHeight="1">
      <c r="A450" s="137">
        <v>46130.361662696756</v>
      </c>
      <c r="B450" s="12" t="s">
        <v>3412</v>
      </c>
      <c r="D450" s="12" t="s">
        <v>45</v>
      </c>
      <c r="E450" s="138">
        <v>30778</v>
      </c>
      <c r="F450" s="12" t="s">
        <v>1179</v>
      </c>
      <c r="G450" s="12" t="s">
        <v>3413</v>
      </c>
      <c r="H450" s="12" t="s">
        <v>3414</v>
      </c>
      <c r="I450" s="6" t="str">
        <f>VLOOKUP(CLEAN(F450),'World Bank Categories'!$B$4:$C$220,2,FALSE)</f>
        <v>High income</v>
      </c>
      <c r="J450" s="12" t="s">
        <v>3415</v>
      </c>
      <c r="K450" s="12" t="s">
        <v>29</v>
      </c>
      <c r="L450" s="12" t="s">
        <v>30</v>
      </c>
      <c r="M450" s="12"/>
      <c r="P450" s="12" t="s">
        <v>31</v>
      </c>
      <c r="Q450" s="130" t="s">
        <v>32</v>
      </c>
      <c r="R450" s="186" t="s">
        <v>33</v>
      </c>
      <c r="S450" s="184" t="s">
        <v>3416</v>
      </c>
      <c r="T450" s="187" t="s">
        <v>3417</v>
      </c>
      <c r="U450" s="12" t="s">
        <v>3415</v>
      </c>
      <c r="V450" s="184"/>
      <c r="W450" s="184"/>
    </row>
    <row r="451" spans="1:23" ht="22.5" customHeight="1">
      <c r="A451" s="137">
        <v>46130.380655185189</v>
      </c>
      <c r="B451" s="12" t="s">
        <v>3418</v>
      </c>
      <c r="D451" s="12" t="s">
        <v>24</v>
      </c>
      <c r="E451" s="138">
        <v>32320</v>
      </c>
      <c r="F451" s="12" t="s">
        <v>3419</v>
      </c>
      <c r="G451" s="12" t="s">
        <v>3420</v>
      </c>
      <c r="H451" s="12" t="s">
        <v>3421</v>
      </c>
      <c r="I451" s="6" t="str">
        <f>VLOOKUP(CLEAN(F451),'World Bank Categories'!$B$4:$C$220,2,FALSE)</f>
        <v>Middle income</v>
      </c>
      <c r="J451" s="12" t="s">
        <v>3422</v>
      </c>
      <c r="K451" s="12" t="s">
        <v>29</v>
      </c>
      <c r="L451" s="12" t="s">
        <v>30</v>
      </c>
      <c r="P451" s="12" t="s">
        <v>31</v>
      </c>
      <c r="Q451" s="130" t="s">
        <v>32</v>
      </c>
      <c r="R451" s="18" t="s">
        <v>33</v>
      </c>
      <c r="S451" s="184" t="s">
        <v>3418</v>
      </c>
      <c r="T451" s="185">
        <v>32320</v>
      </c>
      <c r="V451" s="184"/>
      <c r="W451" s="184"/>
    </row>
    <row r="452" spans="1:23" ht="22.5" customHeight="1">
      <c r="A452" s="158">
        <v>46130.729927523149</v>
      </c>
      <c r="B452" s="159" t="s">
        <v>3423</v>
      </c>
      <c r="C452" s="161"/>
      <c r="D452" s="159" t="s">
        <v>45</v>
      </c>
      <c r="E452" s="160">
        <v>34905</v>
      </c>
      <c r="F452" s="159" t="s">
        <v>3040</v>
      </c>
      <c r="G452" s="159" t="s">
        <v>3424</v>
      </c>
      <c r="H452" s="159" t="s">
        <v>1595</v>
      </c>
      <c r="I452" s="6" t="str">
        <f>VLOOKUP(CLEAN(F452),'World Bank Categories'!$B$4:$C$220,2,FALSE)</f>
        <v>High income</v>
      </c>
      <c r="J452" s="159" t="s">
        <v>3425</v>
      </c>
      <c r="K452" s="159" t="s">
        <v>29</v>
      </c>
      <c r="L452" s="159" t="s">
        <v>30</v>
      </c>
      <c r="M452" s="159"/>
      <c r="N452" s="159"/>
      <c r="O452" s="171"/>
      <c r="P452" s="159" t="s">
        <v>31</v>
      </c>
      <c r="Q452" s="130" t="s">
        <v>32</v>
      </c>
      <c r="R452" s="162" t="s">
        <v>43</v>
      </c>
      <c r="S452" s="184" t="s">
        <v>3426</v>
      </c>
      <c r="T452" s="185"/>
      <c r="V452" s="184"/>
      <c r="W452" s="184"/>
    </row>
    <row r="453" spans="1:23" ht="22.5" customHeight="1">
      <c r="A453" s="188">
        <v>46131.128789826384</v>
      </c>
      <c r="B453" s="189" t="s">
        <v>62</v>
      </c>
      <c r="C453" s="190"/>
      <c r="D453" s="189" t="s">
        <v>24</v>
      </c>
      <c r="E453" s="191">
        <v>36458</v>
      </c>
      <c r="F453" s="189" t="s">
        <v>58</v>
      </c>
      <c r="G453" s="189" t="s">
        <v>3427</v>
      </c>
      <c r="H453" s="189" t="s">
        <v>3124</v>
      </c>
      <c r="I453" s="6" t="str">
        <f>VLOOKUP(CLEAN(F453),'World Bank Categories'!$B$4:$C$220,2,FALSE)</f>
        <v>Middle income</v>
      </c>
      <c r="J453" s="189" t="s">
        <v>61</v>
      </c>
      <c r="K453" s="189" t="s">
        <v>29</v>
      </c>
      <c r="L453" s="189" t="s">
        <v>30</v>
      </c>
      <c r="M453" s="189"/>
      <c r="N453" s="189"/>
      <c r="O453" s="190"/>
      <c r="P453" s="189" t="s">
        <v>31</v>
      </c>
      <c r="Q453" s="130" t="s">
        <v>32</v>
      </c>
      <c r="R453" s="162" t="s">
        <v>33</v>
      </c>
      <c r="S453" s="192" t="s">
        <v>62</v>
      </c>
      <c r="T453" s="193"/>
      <c r="U453" s="194"/>
      <c r="V453" s="192"/>
      <c r="W453" s="192"/>
    </row>
    <row r="454" spans="1:23" ht="22.5" customHeight="1">
      <c r="A454" s="137">
        <v>46131.262189039349</v>
      </c>
      <c r="B454" s="12" t="s">
        <v>3428</v>
      </c>
      <c r="D454" s="12" t="s">
        <v>45</v>
      </c>
      <c r="E454" s="138">
        <v>27983</v>
      </c>
      <c r="F454" s="12" t="s">
        <v>46</v>
      </c>
      <c r="G454" s="12" t="s">
        <v>3429</v>
      </c>
      <c r="H454" s="12" t="s">
        <v>933</v>
      </c>
      <c r="I454" s="6" t="str">
        <f>VLOOKUP(CLEAN(F454),'World Bank Categories'!$B$4:$C$220,2,FALSE)</f>
        <v>Low income</v>
      </c>
      <c r="J454" s="12" t="s">
        <v>3430</v>
      </c>
      <c r="K454" s="12" t="s">
        <v>29</v>
      </c>
      <c r="L454" s="12" t="s">
        <v>162</v>
      </c>
      <c r="P454" s="12" t="s">
        <v>31</v>
      </c>
      <c r="Q454" s="130" t="s">
        <v>32</v>
      </c>
      <c r="R454" s="18" t="s">
        <v>43</v>
      </c>
      <c r="S454" s="184" t="s">
        <v>3428</v>
      </c>
      <c r="T454" s="185">
        <v>28072</v>
      </c>
      <c r="V454" s="184"/>
      <c r="W454" s="184"/>
    </row>
    <row r="455" spans="1:23" ht="22.5" customHeight="1">
      <c r="A455" s="137">
        <v>46131.57173758102</v>
      </c>
      <c r="B455" s="12" t="s">
        <v>3435</v>
      </c>
      <c r="C455" s="12" t="s">
        <v>3435</v>
      </c>
      <c r="D455" s="12" t="s">
        <v>45</v>
      </c>
      <c r="E455" s="138">
        <v>20526</v>
      </c>
      <c r="F455" s="12" t="s">
        <v>332</v>
      </c>
      <c r="G455" s="12" t="s">
        <v>3436</v>
      </c>
      <c r="H455" s="12" t="s">
        <v>3437</v>
      </c>
      <c r="I455" s="6" t="str">
        <f>VLOOKUP(CLEAN(F455),'World Bank Categories'!$B$4:$C$220,2,FALSE)</f>
        <v>High income</v>
      </c>
      <c r="J455" s="12" t="s">
        <v>3438</v>
      </c>
      <c r="K455" s="12" t="s">
        <v>29</v>
      </c>
      <c r="L455" s="12" t="s">
        <v>30</v>
      </c>
      <c r="M455" s="12" t="s">
        <v>3439</v>
      </c>
      <c r="P455" s="12" t="s">
        <v>31</v>
      </c>
      <c r="Q455" s="130" t="s">
        <v>32</v>
      </c>
      <c r="R455" s="195" t="s">
        <v>43</v>
      </c>
      <c r="S455" s="184" t="s">
        <v>3440</v>
      </c>
      <c r="T455" s="187" t="s">
        <v>3441</v>
      </c>
      <c r="U455" s="184" t="s">
        <v>3442</v>
      </c>
      <c r="W455" s="12"/>
    </row>
    <row r="456" spans="1:23" ht="22.5" customHeight="1">
      <c r="A456" s="144">
        <v>46131.573180173611</v>
      </c>
      <c r="B456" s="40" t="s">
        <v>3443</v>
      </c>
      <c r="C456" s="40"/>
      <c r="D456" s="40" t="s">
        <v>24</v>
      </c>
      <c r="E456" s="145">
        <v>19760</v>
      </c>
      <c r="F456" s="40" t="s">
        <v>332</v>
      </c>
      <c r="G456" s="40" t="s">
        <v>3436</v>
      </c>
      <c r="H456" s="40" t="s">
        <v>3437</v>
      </c>
      <c r="I456" s="6" t="str">
        <f>VLOOKUP(CLEAN(F456),'World Bank Categories'!$B$4:$C$220,2,FALSE)</f>
        <v>High income</v>
      </c>
      <c r="J456" s="40" t="s">
        <v>3438</v>
      </c>
      <c r="K456" s="40" t="s">
        <v>29</v>
      </c>
      <c r="L456" s="40" t="s">
        <v>30</v>
      </c>
      <c r="M456" s="40" t="s">
        <v>3444</v>
      </c>
      <c r="N456" s="40"/>
      <c r="O456" s="40"/>
      <c r="P456" s="40" t="s">
        <v>31</v>
      </c>
      <c r="Q456" s="130" t="s">
        <v>32</v>
      </c>
      <c r="R456" s="196" t="s">
        <v>43</v>
      </c>
      <c r="S456" s="142" t="s">
        <v>3445</v>
      </c>
      <c r="T456" s="197" t="s">
        <v>3446</v>
      </c>
      <c r="U456" s="142" t="s">
        <v>3447</v>
      </c>
      <c r="V456" s="40"/>
      <c r="W456" s="40"/>
    </row>
    <row r="457" spans="1:23" ht="22.5" customHeight="1">
      <c r="A457" s="137">
        <v>46136.529390960648</v>
      </c>
      <c r="B457" s="12" t="s">
        <v>3468</v>
      </c>
      <c r="C457" s="12" t="s">
        <v>871</v>
      </c>
      <c r="D457" s="12" t="s">
        <v>24</v>
      </c>
      <c r="E457" s="138">
        <v>31597</v>
      </c>
      <c r="F457" s="12" t="s">
        <v>3469</v>
      </c>
      <c r="G457" s="12" t="s">
        <v>3470</v>
      </c>
      <c r="H457" s="12" t="s">
        <v>111</v>
      </c>
      <c r="I457" s="6" t="str">
        <f>VLOOKUP(CLEAN(F457),'World Bank Categories'!$B$4:$C$220,2,FALSE)</f>
        <v>Middle income</v>
      </c>
      <c r="J457" s="12" t="s">
        <v>3471</v>
      </c>
      <c r="K457" s="12" t="s">
        <v>29</v>
      </c>
      <c r="L457" s="12" t="s">
        <v>30</v>
      </c>
      <c r="M457" s="12" t="s">
        <v>3472</v>
      </c>
      <c r="N457" s="12" t="s">
        <v>3473</v>
      </c>
      <c r="O457" s="12" t="s">
        <v>3474</v>
      </c>
      <c r="P457" s="12" t="s">
        <v>31</v>
      </c>
      <c r="Q457" s="130" t="s">
        <v>32</v>
      </c>
      <c r="R457" s="141" t="s">
        <v>43</v>
      </c>
      <c r="W457" s="12"/>
    </row>
    <row r="458" spans="1:23" ht="22.5" customHeight="1">
      <c r="A458" s="137">
        <v>46136.645846608793</v>
      </c>
      <c r="B458" s="12" t="s">
        <v>3475</v>
      </c>
      <c r="C458" s="12" t="s">
        <v>3476</v>
      </c>
      <c r="D458" s="12" t="s">
        <v>24</v>
      </c>
      <c r="E458" s="138">
        <v>36719</v>
      </c>
      <c r="F458" s="12" t="s">
        <v>1053</v>
      </c>
      <c r="G458" s="12" t="s">
        <v>3477</v>
      </c>
      <c r="H458" s="12" t="s">
        <v>2606</v>
      </c>
      <c r="I458" s="6" t="str">
        <f>VLOOKUP(CLEAN(F458),'World Bank Categories'!$B$4:$C$220,2,FALSE)</f>
        <v>High income</v>
      </c>
      <c r="J458" s="12" t="s">
        <v>3478</v>
      </c>
      <c r="K458" s="12" t="s">
        <v>39</v>
      </c>
      <c r="L458" s="12" t="s">
        <v>621</v>
      </c>
      <c r="P458" s="12" t="s">
        <v>31</v>
      </c>
      <c r="Q458" s="130" t="s">
        <v>32</v>
      </c>
      <c r="R458" s="141" t="s">
        <v>43</v>
      </c>
      <c r="S458" s="12" t="s">
        <v>3475</v>
      </c>
      <c r="U458" s="12" t="s">
        <v>3478</v>
      </c>
      <c r="W458" s="12"/>
    </row>
    <row r="459" spans="1:23" ht="22.5" customHeight="1">
      <c r="A459" s="137">
        <v>46137.665369606482</v>
      </c>
      <c r="B459" s="12" t="s">
        <v>3482</v>
      </c>
      <c r="C459" s="12" t="s">
        <v>3483</v>
      </c>
      <c r="D459" s="12" t="s">
        <v>24</v>
      </c>
      <c r="E459" s="138">
        <v>36420</v>
      </c>
      <c r="F459" s="12" t="s">
        <v>1053</v>
      </c>
      <c r="G459" s="12" t="s">
        <v>3484</v>
      </c>
      <c r="H459" s="12" t="s">
        <v>1031</v>
      </c>
      <c r="I459" s="6" t="str">
        <f>VLOOKUP(CLEAN(F459),'World Bank Categories'!$B$4:$C$220,2,FALSE)</f>
        <v>High income</v>
      </c>
      <c r="J459" s="12" t="s">
        <v>3485</v>
      </c>
      <c r="K459" s="12" t="s">
        <v>39</v>
      </c>
      <c r="L459" s="12" t="s">
        <v>621</v>
      </c>
      <c r="P459" s="12" t="s">
        <v>31</v>
      </c>
      <c r="Q459" s="130" t="s">
        <v>32</v>
      </c>
      <c r="R459" s="33" t="s">
        <v>43</v>
      </c>
      <c r="S459" s="12" t="s">
        <v>3486</v>
      </c>
      <c r="U459" s="12" t="s">
        <v>3487</v>
      </c>
      <c r="W459" s="12"/>
    </row>
    <row r="460" spans="1:23" ht="22.5" customHeight="1">
      <c r="A460" s="137">
        <v>46138.807009201388</v>
      </c>
      <c r="B460" s="12" t="s">
        <v>3488</v>
      </c>
      <c r="D460" s="12" t="s">
        <v>45</v>
      </c>
      <c r="E460" s="138">
        <v>26141</v>
      </c>
      <c r="F460" s="12" t="s">
        <v>799</v>
      </c>
      <c r="G460" s="12" t="s">
        <v>3489</v>
      </c>
      <c r="H460" s="12" t="s">
        <v>3490</v>
      </c>
      <c r="I460" s="6" t="str">
        <f>VLOOKUP(CLEAN(F460),'World Bank Categories'!$B$4:$C$220,2,FALSE)</f>
        <v>Low income</v>
      </c>
      <c r="J460" s="12" t="s">
        <v>3491</v>
      </c>
      <c r="K460" s="12" t="s">
        <v>29</v>
      </c>
      <c r="L460" s="12" t="s">
        <v>162</v>
      </c>
      <c r="M460" s="12" t="s">
        <v>3492</v>
      </c>
      <c r="P460" s="12" t="s">
        <v>31</v>
      </c>
      <c r="Q460" s="130" t="s">
        <v>32</v>
      </c>
      <c r="R460" s="141" t="s">
        <v>33</v>
      </c>
      <c r="W460" s="12"/>
    </row>
    <row r="461" spans="1:23" ht="22.5" customHeight="1">
      <c r="A461" s="137">
        <v>46139.094726655094</v>
      </c>
      <c r="B461" s="12" t="s">
        <v>3493</v>
      </c>
      <c r="D461" s="12" t="s">
        <v>45</v>
      </c>
      <c r="E461" s="138">
        <v>37516</v>
      </c>
      <c r="F461" s="12" t="s">
        <v>52</v>
      </c>
      <c r="G461" s="12" t="s">
        <v>3494</v>
      </c>
      <c r="H461" s="12" t="s">
        <v>3495</v>
      </c>
      <c r="I461" s="6" t="str">
        <f>VLOOKUP(CLEAN(F461),'World Bank Categories'!$B$4:$C$220,2,FALSE)</f>
        <v>Middle income</v>
      </c>
      <c r="J461" s="12" t="s">
        <v>3496</v>
      </c>
      <c r="K461" s="12" t="s">
        <v>29</v>
      </c>
      <c r="L461" s="12" t="s">
        <v>30</v>
      </c>
      <c r="P461" s="12" t="s">
        <v>31</v>
      </c>
      <c r="Q461" s="130" t="s">
        <v>32</v>
      </c>
      <c r="R461" s="141" t="s">
        <v>33</v>
      </c>
      <c r="W461" s="12"/>
    </row>
    <row r="462" spans="1:23" ht="22.5" customHeight="1">
      <c r="A462" s="137">
        <v>46139.101186979169</v>
      </c>
      <c r="B462" s="12" t="s">
        <v>3497</v>
      </c>
      <c r="D462" s="12" t="s">
        <v>24</v>
      </c>
      <c r="E462" s="138">
        <v>35581</v>
      </c>
      <c r="F462" s="12" t="s">
        <v>799</v>
      </c>
      <c r="G462" s="12" t="s">
        <v>3498</v>
      </c>
      <c r="H462" s="12" t="s">
        <v>3499</v>
      </c>
      <c r="I462" s="6" t="str">
        <f>VLOOKUP(CLEAN(F462),'World Bank Categories'!$B$4:$C$220,2,FALSE)</f>
        <v>Low income</v>
      </c>
      <c r="J462" s="12" t="s">
        <v>3500</v>
      </c>
      <c r="K462" s="12" t="s">
        <v>29</v>
      </c>
      <c r="L462" s="143" t="s">
        <v>1168</v>
      </c>
      <c r="P462" s="12" t="s">
        <v>31</v>
      </c>
      <c r="Q462" s="130" t="s">
        <v>32</v>
      </c>
      <c r="R462" s="141" t="s">
        <v>33</v>
      </c>
      <c r="W462" s="12"/>
    </row>
    <row r="463" spans="1:23" ht="22.5" customHeight="1">
      <c r="A463" s="137">
        <v>46139.667937453705</v>
      </c>
      <c r="B463" s="12" t="s">
        <v>3506</v>
      </c>
      <c r="D463" s="12" t="s">
        <v>45</v>
      </c>
      <c r="E463" s="138">
        <v>34576</v>
      </c>
      <c r="F463" s="12" t="s">
        <v>83</v>
      </c>
      <c r="G463" s="12" t="s">
        <v>3507</v>
      </c>
      <c r="H463" s="12" t="s">
        <v>111</v>
      </c>
      <c r="I463" s="6" t="str">
        <f>VLOOKUP(CLEAN(F463),'World Bank Categories'!$B$4:$C$220,2,FALSE)</f>
        <v>Low income</v>
      </c>
      <c r="J463" s="12" t="s">
        <v>3508</v>
      </c>
      <c r="K463" s="12" t="s">
        <v>29</v>
      </c>
      <c r="L463" s="12" t="s">
        <v>30</v>
      </c>
      <c r="P463" s="12" t="s">
        <v>31</v>
      </c>
      <c r="Q463" s="130" t="s">
        <v>32</v>
      </c>
      <c r="R463" s="141" t="s">
        <v>33</v>
      </c>
      <c r="S463" s="12" t="s">
        <v>3509</v>
      </c>
      <c r="U463" s="12" t="s">
        <v>3508</v>
      </c>
      <c r="W463" s="12"/>
    </row>
    <row r="464" spans="1:23" ht="22.5" customHeight="1">
      <c r="A464" s="137">
        <v>46139.771058101847</v>
      </c>
      <c r="B464" s="12" t="s">
        <v>3510</v>
      </c>
      <c r="D464" s="12" t="s">
        <v>24</v>
      </c>
      <c r="E464" s="138">
        <v>36355</v>
      </c>
      <c r="F464" s="12" t="s">
        <v>433</v>
      </c>
      <c r="G464" s="12" t="s">
        <v>3511</v>
      </c>
      <c r="H464" s="12" t="s">
        <v>3512</v>
      </c>
      <c r="I464" s="6" t="str">
        <f>VLOOKUP(CLEAN(F464),'World Bank Categories'!$B$4:$C$220,2,FALSE)</f>
        <v>Low income</v>
      </c>
      <c r="J464" s="12" t="s">
        <v>3513</v>
      </c>
      <c r="K464" s="12" t="s">
        <v>29</v>
      </c>
      <c r="L464" s="12" t="s">
        <v>30</v>
      </c>
      <c r="P464" s="12" t="s">
        <v>31</v>
      </c>
      <c r="Q464" s="130" t="s">
        <v>32</v>
      </c>
      <c r="R464" s="141" t="s">
        <v>43</v>
      </c>
      <c r="W464" s="12"/>
    </row>
    <row r="465" spans="1:23" ht="22.5" customHeight="1">
      <c r="A465" s="137">
        <v>46140.894833877319</v>
      </c>
      <c r="B465" s="12" t="s">
        <v>3514</v>
      </c>
      <c r="D465" s="12" t="s">
        <v>24</v>
      </c>
      <c r="E465" s="138">
        <v>35193</v>
      </c>
      <c r="F465" s="12" t="s">
        <v>3040</v>
      </c>
      <c r="G465" s="12" t="s">
        <v>3515</v>
      </c>
      <c r="H465" s="12" t="s">
        <v>156</v>
      </c>
      <c r="I465" s="6" t="str">
        <f>VLOOKUP(CLEAN(F465),'World Bank Categories'!$B$4:$C$220,2,FALSE)</f>
        <v>High income</v>
      </c>
      <c r="J465" s="12" t="s">
        <v>3516</v>
      </c>
      <c r="K465" s="12" t="s">
        <v>39</v>
      </c>
      <c r="L465" s="12" t="s">
        <v>152</v>
      </c>
      <c r="P465" s="12" t="s">
        <v>31</v>
      </c>
      <c r="Q465" s="130" t="s">
        <v>32</v>
      </c>
      <c r="R465" s="141" t="s">
        <v>43</v>
      </c>
      <c r="S465" s="12" t="s">
        <v>3517</v>
      </c>
      <c r="U465" s="12" t="s">
        <v>3516</v>
      </c>
      <c r="W465" s="12"/>
    </row>
    <row r="466" spans="1:23" ht="22.5" customHeight="1">
      <c r="A466" s="137">
        <v>46140.942007962964</v>
      </c>
      <c r="B466" s="12" t="s">
        <v>3518</v>
      </c>
      <c r="D466" s="12" t="s">
        <v>24</v>
      </c>
      <c r="E466" s="138">
        <v>27327</v>
      </c>
      <c r="F466" s="12" t="s">
        <v>52</v>
      </c>
      <c r="G466" s="12" t="s">
        <v>3519</v>
      </c>
      <c r="H466" s="12" t="s">
        <v>1310</v>
      </c>
      <c r="I466" s="6" t="str">
        <f>VLOOKUP(CLEAN(F466),'World Bank Categories'!$B$4:$C$220,2,FALSE)</f>
        <v>Middle income</v>
      </c>
      <c r="J466" s="12" t="s">
        <v>3520</v>
      </c>
      <c r="K466" s="12" t="s">
        <v>39</v>
      </c>
      <c r="L466" s="12" t="s">
        <v>152</v>
      </c>
      <c r="P466" s="12" t="s">
        <v>31</v>
      </c>
      <c r="Q466" s="130" t="s">
        <v>32</v>
      </c>
      <c r="R466" s="141" t="s">
        <v>43</v>
      </c>
      <c r="S466" s="12" t="s">
        <v>3521</v>
      </c>
      <c r="U466" s="12" t="s">
        <v>3520</v>
      </c>
      <c r="W466" s="12"/>
    </row>
    <row r="467" spans="1:23" ht="22.5" customHeight="1">
      <c r="A467" s="137">
        <v>46141.701681261577</v>
      </c>
      <c r="B467" s="12" t="s">
        <v>3525</v>
      </c>
      <c r="D467" s="12" t="s">
        <v>45</v>
      </c>
      <c r="E467" s="138">
        <v>37262</v>
      </c>
      <c r="F467" s="12" t="s">
        <v>1983</v>
      </c>
      <c r="G467" s="12" t="s">
        <v>3526</v>
      </c>
      <c r="H467" s="12" t="s">
        <v>66</v>
      </c>
      <c r="I467" s="6" t="str">
        <f>VLOOKUP(CLEAN(F467),'World Bank Categories'!$B$4:$C$220,2,FALSE)</f>
        <v>High income</v>
      </c>
      <c r="J467" s="12" t="s">
        <v>3527</v>
      </c>
      <c r="K467" s="12" t="s">
        <v>29</v>
      </c>
      <c r="L467" s="12" t="s">
        <v>162</v>
      </c>
      <c r="P467" s="12" t="s">
        <v>31</v>
      </c>
      <c r="Q467" s="130" t="s">
        <v>32</v>
      </c>
      <c r="R467" s="141" t="s">
        <v>43</v>
      </c>
      <c r="S467" s="12" t="s">
        <v>3528</v>
      </c>
      <c r="U467" s="12" t="s">
        <v>3527</v>
      </c>
      <c r="W467" s="12"/>
    </row>
    <row r="468" spans="1:23" ht="22.5" customHeight="1">
      <c r="A468" s="199">
        <v>46142.194461307867</v>
      </c>
      <c r="B468" s="200" t="s">
        <v>3529</v>
      </c>
      <c r="C468" s="201"/>
      <c r="D468" s="200" t="s">
        <v>45</v>
      </c>
      <c r="E468" s="202">
        <v>21014</v>
      </c>
      <c r="F468" s="200" t="s">
        <v>2246</v>
      </c>
      <c r="G468" s="200" t="s">
        <v>3530</v>
      </c>
      <c r="H468" s="200" t="s">
        <v>3531</v>
      </c>
      <c r="I468" s="6" t="str">
        <f>VLOOKUP(CLEAN(F468),'World Bank Categories'!$B$4:$C$220,2,FALSE)</f>
        <v>High income</v>
      </c>
      <c r="J468" s="200" t="s">
        <v>3532</v>
      </c>
      <c r="K468" s="200" t="s">
        <v>29</v>
      </c>
      <c r="L468" s="200" t="s">
        <v>30</v>
      </c>
      <c r="M468" s="200" t="s">
        <v>3533</v>
      </c>
      <c r="N468" s="200"/>
      <c r="O468" s="201"/>
      <c r="P468" s="200" t="s">
        <v>31</v>
      </c>
      <c r="Q468" s="130" t="s">
        <v>32</v>
      </c>
      <c r="R468" s="141" t="s">
        <v>43</v>
      </c>
      <c r="S468" s="203" t="s">
        <v>3534</v>
      </c>
      <c r="T468" s="203"/>
      <c r="U468" s="12" t="s">
        <v>3532</v>
      </c>
      <c r="W468" s="12"/>
    </row>
    <row r="469" spans="1:23" ht="22.5" customHeight="1">
      <c r="A469" s="137">
        <v>46142.604672326386</v>
      </c>
      <c r="B469" s="12" t="s">
        <v>3535</v>
      </c>
      <c r="D469" s="12" t="s">
        <v>24</v>
      </c>
      <c r="E469" s="138">
        <v>26478</v>
      </c>
      <c r="F469" s="12" t="s">
        <v>2738</v>
      </c>
      <c r="G469" s="12" t="s">
        <v>3536</v>
      </c>
      <c r="H469" s="12" t="s">
        <v>3537</v>
      </c>
      <c r="I469" s="6" t="str">
        <f>VLOOKUP(CLEAN(F469),'World Bank Categories'!$B$4:$C$220,2,FALSE)</f>
        <v>High income</v>
      </c>
      <c r="J469" s="12" t="s">
        <v>3538</v>
      </c>
      <c r="K469" s="12" t="s">
        <v>29</v>
      </c>
      <c r="L469" s="12" t="s">
        <v>30</v>
      </c>
      <c r="P469" s="12" t="s">
        <v>31</v>
      </c>
      <c r="Q469" s="130" t="s">
        <v>32</v>
      </c>
      <c r="R469" s="141" t="s">
        <v>43</v>
      </c>
      <c r="S469" s="12" t="s">
        <v>3535</v>
      </c>
      <c r="U469" s="12" t="s">
        <v>3538</v>
      </c>
      <c r="W469" s="12"/>
    </row>
    <row r="470" spans="1:23" ht="22.5" customHeight="1">
      <c r="A470" s="137">
        <v>46143.972787222221</v>
      </c>
      <c r="B470" s="12" t="s">
        <v>3543</v>
      </c>
      <c r="D470" s="12" t="s">
        <v>24</v>
      </c>
      <c r="E470" s="138">
        <v>37775</v>
      </c>
      <c r="F470" s="12" t="s">
        <v>3544</v>
      </c>
      <c r="G470" s="12" t="s">
        <v>3545</v>
      </c>
      <c r="H470" s="12" t="s">
        <v>1451</v>
      </c>
      <c r="I470" s="6" t="str">
        <f>VLOOKUP(CLEAN(F470),'World Bank Categories'!$B$4:$C$220,2,FALSE)</f>
        <v>Middle income</v>
      </c>
      <c r="J470" s="12" t="s">
        <v>3546</v>
      </c>
      <c r="K470" s="12" t="s">
        <v>29</v>
      </c>
      <c r="L470" s="12" t="s">
        <v>30</v>
      </c>
      <c r="P470" s="12" t="s">
        <v>31</v>
      </c>
      <c r="Q470" s="130" t="s">
        <v>32</v>
      </c>
      <c r="R470" s="141" t="s">
        <v>33</v>
      </c>
      <c r="W470" s="12"/>
    </row>
    <row r="471" spans="1:23" ht="22.5" customHeight="1">
      <c r="A471" s="137">
        <v>46144.0858921412</v>
      </c>
      <c r="B471" s="12" t="s">
        <v>3554</v>
      </c>
      <c r="D471" s="12" t="s">
        <v>45</v>
      </c>
      <c r="E471" s="138">
        <v>29317</v>
      </c>
      <c r="F471" s="12" t="s">
        <v>380</v>
      </c>
      <c r="G471" s="12" t="s">
        <v>3555</v>
      </c>
      <c r="H471" s="12" t="s">
        <v>3556</v>
      </c>
      <c r="I471" s="6" t="str">
        <f>VLOOKUP(CLEAN(F471),'World Bank Categories'!$B$4:$C$220,2,FALSE)</f>
        <v>Low income</v>
      </c>
      <c r="J471" s="12" t="s">
        <v>3557</v>
      </c>
      <c r="K471" s="12" t="s">
        <v>29</v>
      </c>
      <c r="L471" s="12" t="s">
        <v>30</v>
      </c>
      <c r="P471" s="12" t="s">
        <v>31</v>
      </c>
      <c r="Q471" s="130" t="s">
        <v>32</v>
      </c>
      <c r="R471" s="141" t="s">
        <v>33</v>
      </c>
      <c r="W471" s="12"/>
    </row>
    <row r="472" spans="1:23" ht="22.5" customHeight="1">
      <c r="A472" s="137">
        <v>46144.607838159718</v>
      </c>
      <c r="B472" s="12" t="s">
        <v>3558</v>
      </c>
      <c r="D472" s="12" t="s">
        <v>45</v>
      </c>
      <c r="E472" s="138">
        <v>22228</v>
      </c>
      <c r="F472" s="12" t="s">
        <v>3559</v>
      </c>
      <c r="G472" s="12" t="s">
        <v>3560</v>
      </c>
      <c r="H472" s="12" t="s">
        <v>3561</v>
      </c>
      <c r="I472" s="6" t="str">
        <f>VLOOKUP(CLEAN(F472),'World Bank Categories'!$B$4:$C$220,2,FALSE)</f>
        <v>Middle income</v>
      </c>
      <c r="J472" s="12" t="s">
        <v>3562</v>
      </c>
      <c r="K472" s="12" t="s">
        <v>29</v>
      </c>
      <c r="L472" s="143" t="s">
        <v>1168</v>
      </c>
      <c r="P472" s="12" t="s">
        <v>31</v>
      </c>
      <c r="Q472" s="130" t="s">
        <v>32</v>
      </c>
      <c r="R472" s="141" t="s">
        <v>33</v>
      </c>
      <c r="S472" s="12" t="s">
        <v>3563</v>
      </c>
      <c r="U472" s="12" t="s">
        <v>3564</v>
      </c>
      <c r="W472" s="12"/>
    </row>
    <row r="473" spans="1:23" ht="22.5" customHeight="1">
      <c r="A473" s="137">
        <v>46146.840584305552</v>
      </c>
      <c r="B473" s="12" t="s">
        <v>3569</v>
      </c>
      <c r="D473" s="12" t="s">
        <v>45</v>
      </c>
      <c r="E473" s="138">
        <v>30379</v>
      </c>
      <c r="F473" s="12" t="s">
        <v>475</v>
      </c>
      <c r="G473" s="12" t="s">
        <v>3570</v>
      </c>
      <c r="H473" s="12" t="s">
        <v>3537</v>
      </c>
      <c r="I473" s="6" t="str">
        <f>VLOOKUP(CLEAN(F473),'World Bank Categories'!$B$4:$C$220,2,FALSE)</f>
        <v>Middle income</v>
      </c>
      <c r="J473" s="12" t="s">
        <v>3571</v>
      </c>
      <c r="K473" s="12" t="s">
        <v>39</v>
      </c>
      <c r="L473" s="12" t="s">
        <v>30</v>
      </c>
      <c r="M473" s="12" t="s">
        <v>3572</v>
      </c>
      <c r="P473" s="12" t="s">
        <v>31</v>
      </c>
      <c r="Q473" s="205" t="s">
        <v>32</v>
      </c>
      <c r="R473" s="141" t="s">
        <v>43</v>
      </c>
      <c r="S473" s="206" t="s">
        <v>3573</v>
      </c>
      <c r="T473" s="207">
        <v>30394</v>
      </c>
      <c r="U473" s="206" t="s">
        <v>3574</v>
      </c>
      <c r="V473" s="208" t="s">
        <v>3575</v>
      </c>
      <c r="W473" s="209">
        <v>718594</v>
      </c>
    </row>
    <row r="474" spans="1:23" ht="22.5" customHeight="1">
      <c r="A474" s="137">
        <v>46146.857284606478</v>
      </c>
      <c r="B474" s="12" t="s">
        <v>3576</v>
      </c>
      <c r="D474" s="12" t="s">
        <v>24</v>
      </c>
      <c r="E474" s="138">
        <v>31148</v>
      </c>
      <c r="F474" s="12" t="s">
        <v>475</v>
      </c>
      <c r="G474" s="12" t="s">
        <v>3577</v>
      </c>
      <c r="H474" s="12" t="s">
        <v>3578</v>
      </c>
      <c r="I474" s="6" t="str">
        <f>VLOOKUP(CLEAN(F474),'World Bank Categories'!$B$4:$C$220,2,FALSE)</f>
        <v>Middle income</v>
      </c>
      <c r="J474" s="12" t="s">
        <v>3579</v>
      </c>
      <c r="K474" s="12" t="s">
        <v>39</v>
      </c>
      <c r="L474" s="12" t="s">
        <v>30</v>
      </c>
      <c r="M474" s="12" t="s">
        <v>3580</v>
      </c>
      <c r="P474" s="12" t="s">
        <v>31</v>
      </c>
      <c r="Q474" s="205" t="s">
        <v>32</v>
      </c>
      <c r="R474" s="141" t="s">
        <v>43</v>
      </c>
      <c r="S474" s="206" t="s">
        <v>3576</v>
      </c>
      <c r="T474" s="207">
        <v>31148</v>
      </c>
      <c r="U474" s="206" t="s">
        <v>3579</v>
      </c>
      <c r="V474" s="208" t="s">
        <v>3581</v>
      </c>
      <c r="W474" s="209">
        <v>718595</v>
      </c>
    </row>
    <row r="475" spans="1:23" ht="22.5" customHeight="1">
      <c r="A475" s="210">
        <v>46146.865314050927</v>
      </c>
      <c r="B475" s="211" t="s">
        <v>3582</v>
      </c>
      <c r="C475" s="211"/>
      <c r="D475" s="211" t="s">
        <v>24</v>
      </c>
      <c r="E475" s="212">
        <v>36614</v>
      </c>
      <c r="F475" s="211" t="s">
        <v>470</v>
      </c>
      <c r="G475" s="211" t="s">
        <v>3583</v>
      </c>
      <c r="H475" s="211" t="s">
        <v>3584</v>
      </c>
      <c r="I475" s="6" t="str">
        <f>VLOOKUP(CLEAN(F475),'World Bank Categories'!$B$4:$C$220,2,FALSE)</f>
        <v>Middle income</v>
      </c>
      <c r="J475" s="211" t="s">
        <v>3585</v>
      </c>
      <c r="K475" s="211" t="s">
        <v>29</v>
      </c>
      <c r="L475" s="211" t="s">
        <v>30</v>
      </c>
      <c r="M475" s="211"/>
      <c r="N475" s="211"/>
      <c r="O475" s="211"/>
      <c r="P475" s="211" t="s">
        <v>31</v>
      </c>
      <c r="Q475" s="213" t="s">
        <v>32</v>
      </c>
      <c r="R475" s="33" t="s">
        <v>33</v>
      </c>
      <c r="S475" s="214" t="s">
        <v>3586</v>
      </c>
      <c r="T475" s="215">
        <v>36614</v>
      </c>
      <c r="U475" s="214" t="s">
        <v>3587</v>
      </c>
      <c r="V475" s="216" t="s">
        <v>3588</v>
      </c>
      <c r="W475" s="217">
        <v>720300</v>
      </c>
    </row>
    <row r="476" spans="1:23" ht="22.5" customHeight="1">
      <c r="A476" s="137">
        <v>46146.897362453703</v>
      </c>
      <c r="B476" s="12" t="s">
        <v>762</v>
      </c>
      <c r="D476" s="12" t="s">
        <v>45</v>
      </c>
      <c r="E476" s="138">
        <v>34722</v>
      </c>
      <c r="F476" s="12" t="s">
        <v>751</v>
      </c>
      <c r="G476" s="12" t="s">
        <v>763</v>
      </c>
      <c r="H476" s="12" t="s">
        <v>943</v>
      </c>
      <c r="I476" s="6" t="str">
        <f>VLOOKUP(CLEAN(F476),'World Bank Categories'!$B$4:$C$220,2,FALSE)</f>
        <v>Low income</v>
      </c>
      <c r="J476" s="12" t="s">
        <v>764</v>
      </c>
      <c r="K476" s="12" t="s">
        <v>29</v>
      </c>
      <c r="L476" s="12" t="s">
        <v>30</v>
      </c>
      <c r="P476" s="12" t="s">
        <v>31</v>
      </c>
      <c r="Q476" s="205" t="s">
        <v>32</v>
      </c>
      <c r="R476" s="141" t="s">
        <v>33</v>
      </c>
      <c r="S476" s="206" t="s">
        <v>762</v>
      </c>
      <c r="T476" s="207">
        <v>34722</v>
      </c>
      <c r="U476" s="206" t="s">
        <v>764</v>
      </c>
      <c r="V476" s="208" t="s">
        <v>3589</v>
      </c>
      <c r="W476" s="209">
        <v>719403</v>
      </c>
    </row>
    <row r="477" spans="1:23" ht="22.5" customHeight="1">
      <c r="A477" s="80">
        <v>46146.833143043987</v>
      </c>
      <c r="B477" s="81" t="s">
        <v>2685</v>
      </c>
      <c r="C477" s="82"/>
      <c r="D477" s="81" t="s">
        <v>45</v>
      </c>
      <c r="E477" s="83">
        <v>34242</v>
      </c>
      <c r="F477" s="81" t="s">
        <v>3596</v>
      </c>
      <c r="G477" s="81" t="s">
        <v>3597</v>
      </c>
      <c r="H477" s="81" t="s">
        <v>418</v>
      </c>
      <c r="I477" s="81" t="s">
        <v>3598</v>
      </c>
      <c r="J477" s="81" t="s">
        <v>2688</v>
      </c>
      <c r="K477" s="81" t="s">
        <v>39</v>
      </c>
      <c r="L477" s="81" t="s">
        <v>30</v>
      </c>
      <c r="M477" s="81" t="s">
        <v>941</v>
      </c>
      <c r="N477" s="81"/>
      <c r="O477" s="82"/>
      <c r="P477" s="82"/>
      <c r="Q477" s="213" t="s">
        <v>32</v>
      </c>
      <c r="R477" s="141" t="s">
        <v>33</v>
      </c>
      <c r="S477" s="206" t="s">
        <v>2685</v>
      </c>
      <c r="T477" s="207">
        <v>34242</v>
      </c>
      <c r="U477" s="223" t="s">
        <v>2688</v>
      </c>
      <c r="V477" s="224" t="s">
        <v>3599</v>
      </c>
      <c r="W477" s="209">
        <v>721996</v>
      </c>
    </row>
    <row r="478" spans="1:23" ht="22.5" customHeight="1">
      <c r="A478" s="137">
        <v>46147.117677430557</v>
      </c>
      <c r="B478" s="12" t="s">
        <v>3600</v>
      </c>
      <c r="D478" s="12" t="s">
        <v>24</v>
      </c>
      <c r="E478" s="138">
        <v>30038</v>
      </c>
      <c r="F478" s="12" t="s">
        <v>52</v>
      </c>
      <c r="G478" s="12" t="s">
        <v>664</v>
      </c>
      <c r="H478" s="12" t="s">
        <v>186</v>
      </c>
      <c r="I478" s="6" t="str">
        <f>VLOOKUP(CLEAN(F478),'World Bank Categories'!$B$4:$C$220,2,FALSE)</f>
        <v>Middle income</v>
      </c>
      <c r="J478" s="12" t="s">
        <v>3601</v>
      </c>
      <c r="K478" s="12" t="s">
        <v>39</v>
      </c>
      <c r="L478" s="12" t="s">
        <v>30</v>
      </c>
      <c r="P478" s="12" t="s">
        <v>31</v>
      </c>
      <c r="Q478" s="205" t="s">
        <v>32</v>
      </c>
      <c r="R478" s="141" t="s">
        <v>33</v>
      </c>
      <c r="S478" s="206" t="s">
        <v>3602</v>
      </c>
      <c r="T478" s="207">
        <v>30038</v>
      </c>
      <c r="U478" s="206" t="s">
        <v>3601</v>
      </c>
      <c r="V478" s="208" t="s">
        <v>3603</v>
      </c>
      <c r="W478" s="209">
        <v>722094</v>
      </c>
    </row>
    <row r="479" spans="1:23" ht="22.5" customHeight="1">
      <c r="A479" s="137">
        <v>46147.17849583333</v>
      </c>
      <c r="B479" s="12" t="s">
        <v>3604</v>
      </c>
      <c r="D479" s="12" t="s">
        <v>24</v>
      </c>
      <c r="E479" s="138">
        <v>16387</v>
      </c>
      <c r="F479" s="12" t="s">
        <v>198</v>
      </c>
      <c r="G479" s="12" t="s">
        <v>3605</v>
      </c>
      <c r="H479" s="12" t="s">
        <v>3606</v>
      </c>
      <c r="I479" s="6" t="str">
        <f>VLOOKUP(CLEAN(F479),'World Bank Categories'!$B$4:$C$220,2,FALSE)</f>
        <v>Middle income</v>
      </c>
      <c r="J479" s="12" t="s">
        <v>2658</v>
      </c>
      <c r="K479" s="12" t="s">
        <v>29</v>
      </c>
      <c r="L479" s="12" t="s">
        <v>30</v>
      </c>
      <c r="M479" s="12" t="s">
        <v>3607</v>
      </c>
      <c r="N479" s="12" t="s">
        <v>3608</v>
      </c>
      <c r="O479" s="12" t="s">
        <v>3609</v>
      </c>
      <c r="P479" s="12" t="s">
        <v>31</v>
      </c>
      <c r="Q479" s="205" t="s">
        <v>32</v>
      </c>
      <c r="R479" s="141" t="s">
        <v>43</v>
      </c>
      <c r="S479" s="206" t="s">
        <v>3610</v>
      </c>
      <c r="T479" s="207">
        <v>16387</v>
      </c>
      <c r="U479" s="206" t="s">
        <v>2658</v>
      </c>
      <c r="V479" s="208" t="s">
        <v>3611</v>
      </c>
      <c r="W479" s="209">
        <v>720843</v>
      </c>
    </row>
    <row r="480" spans="1:23" ht="22.5" customHeight="1">
      <c r="A480" s="137">
        <v>46147.24168155092</v>
      </c>
      <c r="B480" s="12" t="s">
        <v>3612</v>
      </c>
      <c r="D480" s="12" t="s">
        <v>45</v>
      </c>
      <c r="E480" s="138">
        <v>25840</v>
      </c>
      <c r="F480" s="12" t="s">
        <v>3613</v>
      </c>
      <c r="G480" s="12" t="s">
        <v>3614</v>
      </c>
      <c r="H480" s="12" t="s">
        <v>3614</v>
      </c>
      <c r="I480" s="6" t="str">
        <f>VLOOKUP(CLEAN(F480),'World Bank Categories'!$B$4:$C$220,2,FALSE)</f>
        <v>Middle income</v>
      </c>
      <c r="J480" s="12" t="s">
        <v>3615</v>
      </c>
      <c r="K480" s="12" t="s">
        <v>29</v>
      </c>
      <c r="L480" s="12" t="s">
        <v>162</v>
      </c>
      <c r="M480" s="12" t="s">
        <v>3616</v>
      </c>
      <c r="P480" s="12" t="s">
        <v>31</v>
      </c>
      <c r="Q480" s="205" t="s">
        <v>32</v>
      </c>
      <c r="R480" s="141" t="s">
        <v>33</v>
      </c>
      <c r="S480" s="206" t="s">
        <v>3612</v>
      </c>
      <c r="T480" s="207">
        <v>25840</v>
      </c>
      <c r="U480" s="206" t="s">
        <v>3615</v>
      </c>
      <c r="V480" s="208" t="s">
        <v>3617</v>
      </c>
      <c r="W480" s="209">
        <v>718539</v>
      </c>
    </row>
    <row r="481" spans="1:23" ht="22.5" customHeight="1">
      <c r="A481" s="137">
        <v>46147.243353738428</v>
      </c>
      <c r="B481" s="12" t="s">
        <v>3618</v>
      </c>
      <c r="D481" s="12" t="s">
        <v>24</v>
      </c>
      <c r="E481" s="138">
        <v>32847</v>
      </c>
      <c r="F481" s="12" t="s">
        <v>198</v>
      </c>
      <c r="G481" s="12" t="s">
        <v>3619</v>
      </c>
      <c r="H481" s="12" t="s">
        <v>3620</v>
      </c>
      <c r="I481" s="6" t="str">
        <f>VLOOKUP(CLEAN(F481),'World Bank Categories'!$B$4:$C$220,2,FALSE)</f>
        <v>Middle income</v>
      </c>
      <c r="J481" s="12" t="s">
        <v>201</v>
      </c>
      <c r="K481" s="12" t="s">
        <v>29</v>
      </c>
      <c r="L481" s="12" t="s">
        <v>30</v>
      </c>
      <c r="P481" s="12" t="s">
        <v>31</v>
      </c>
      <c r="Q481" s="205" t="s">
        <v>32</v>
      </c>
      <c r="R481" s="141" t="s">
        <v>43</v>
      </c>
      <c r="S481" s="206" t="s">
        <v>197</v>
      </c>
      <c r="T481" s="207">
        <v>32847</v>
      </c>
      <c r="U481" s="206" t="s">
        <v>201</v>
      </c>
      <c r="V481" s="208" t="s">
        <v>3621</v>
      </c>
      <c r="W481" s="209">
        <v>717398</v>
      </c>
    </row>
    <row r="482" spans="1:23" ht="22.5" customHeight="1">
      <c r="A482" s="137">
        <v>46147.300774629628</v>
      </c>
      <c r="B482" s="12" t="s">
        <v>2667</v>
      </c>
      <c r="D482" s="12" t="s">
        <v>45</v>
      </c>
      <c r="E482" s="138">
        <v>19426</v>
      </c>
      <c r="F482" s="12" t="s">
        <v>203</v>
      </c>
      <c r="G482" s="12" t="s">
        <v>1890</v>
      </c>
      <c r="H482" s="12" t="s">
        <v>3622</v>
      </c>
      <c r="I482" s="6" t="str">
        <f>VLOOKUP(CLEAN(F482),'World Bank Categories'!$B$4:$C$220,2,FALSE)</f>
        <v>Middle income</v>
      </c>
      <c r="J482" s="12" t="s">
        <v>2669</v>
      </c>
      <c r="K482" s="12" t="s">
        <v>39</v>
      </c>
      <c r="L482" s="12" t="s">
        <v>162</v>
      </c>
      <c r="M482" s="12" t="s">
        <v>3623</v>
      </c>
      <c r="P482" s="12" t="s">
        <v>31</v>
      </c>
      <c r="Q482" s="205" t="s">
        <v>32</v>
      </c>
      <c r="R482" s="141" t="s">
        <v>33</v>
      </c>
      <c r="S482" s="206" t="s">
        <v>2667</v>
      </c>
      <c r="T482" s="207">
        <v>19426</v>
      </c>
      <c r="U482" s="206" t="s">
        <v>2669</v>
      </c>
      <c r="V482" s="208" t="s">
        <v>3624</v>
      </c>
      <c r="W482" s="209">
        <v>720070</v>
      </c>
    </row>
    <row r="483" spans="1:23" ht="22.5" customHeight="1">
      <c r="A483" s="137">
        <v>46147.674046400462</v>
      </c>
      <c r="B483" s="12" t="s">
        <v>3628</v>
      </c>
      <c r="C483" s="12" t="s">
        <v>3629</v>
      </c>
      <c r="D483" s="12" t="s">
        <v>45</v>
      </c>
      <c r="E483" s="138">
        <v>38579</v>
      </c>
      <c r="F483" s="12" t="s">
        <v>64</v>
      </c>
      <c r="G483" s="12" t="s">
        <v>3630</v>
      </c>
      <c r="H483" s="12" t="s">
        <v>66</v>
      </c>
      <c r="I483" s="6" t="str">
        <f>VLOOKUP(CLEAN(F483),'World Bank Categories'!$B$4:$C$220,2,FALSE)</f>
        <v>Middle income</v>
      </c>
      <c r="J483" s="12" t="s">
        <v>571</v>
      </c>
      <c r="K483" s="12" t="s">
        <v>29</v>
      </c>
      <c r="L483" s="12" t="s">
        <v>30</v>
      </c>
      <c r="P483" s="12" t="s">
        <v>31</v>
      </c>
      <c r="Q483" s="205" t="s">
        <v>32</v>
      </c>
      <c r="R483" s="141" t="s">
        <v>33</v>
      </c>
      <c r="S483" s="206" t="s">
        <v>568</v>
      </c>
      <c r="T483" s="207">
        <v>38579</v>
      </c>
      <c r="U483" s="206" t="s">
        <v>571</v>
      </c>
      <c r="V483" s="208" t="s">
        <v>3631</v>
      </c>
      <c r="W483" s="209">
        <v>719187</v>
      </c>
    </row>
    <row r="484" spans="1:23" ht="22.5" customHeight="1">
      <c r="A484" s="137">
        <v>46147.884502592591</v>
      </c>
      <c r="B484" s="12" t="s">
        <v>3632</v>
      </c>
      <c r="D484" s="12" t="s">
        <v>24</v>
      </c>
      <c r="E484" s="138">
        <v>26129</v>
      </c>
      <c r="F484" s="12" t="s">
        <v>475</v>
      </c>
      <c r="G484" s="12" t="s">
        <v>3633</v>
      </c>
      <c r="H484" s="12" t="s">
        <v>3634</v>
      </c>
      <c r="I484" s="6" t="str">
        <f>VLOOKUP(CLEAN(F484),'World Bank Categories'!$B$4:$C$220,2,FALSE)</f>
        <v>Middle income</v>
      </c>
      <c r="J484" s="12" t="s">
        <v>3635</v>
      </c>
      <c r="K484" s="12" t="s">
        <v>29</v>
      </c>
      <c r="L484" s="12" t="s">
        <v>30</v>
      </c>
      <c r="M484" s="12" t="s">
        <v>3636</v>
      </c>
      <c r="P484" s="12" t="s">
        <v>31</v>
      </c>
      <c r="Q484" s="205" t="s">
        <v>32</v>
      </c>
      <c r="R484" s="141" t="s">
        <v>43</v>
      </c>
      <c r="S484" s="206" t="s">
        <v>3637</v>
      </c>
      <c r="T484" s="207">
        <v>26129</v>
      </c>
      <c r="U484" s="206" t="s">
        <v>3635</v>
      </c>
      <c r="V484" s="208" t="s">
        <v>3638</v>
      </c>
      <c r="W484" s="209">
        <v>720053</v>
      </c>
    </row>
    <row r="485" spans="1:23" ht="22.5" customHeight="1">
      <c r="A485" s="137">
        <v>46148.012019363421</v>
      </c>
      <c r="B485" s="12" t="s">
        <v>3639</v>
      </c>
      <c r="C485" s="12" t="s">
        <v>3640</v>
      </c>
      <c r="D485" s="12" t="s">
        <v>45</v>
      </c>
      <c r="E485" s="138">
        <v>46147</v>
      </c>
      <c r="F485" s="12" t="s">
        <v>198</v>
      </c>
      <c r="G485" s="12" t="s">
        <v>3641</v>
      </c>
      <c r="H485" s="12" t="s">
        <v>3642</v>
      </c>
      <c r="I485" s="6" t="str">
        <f>VLOOKUP(CLEAN(F485),'World Bank Categories'!$B$4:$C$220,2,FALSE)</f>
        <v>Middle income</v>
      </c>
      <c r="J485" s="12" t="s">
        <v>3643</v>
      </c>
      <c r="K485" s="12" t="s">
        <v>29</v>
      </c>
      <c r="L485" s="12" t="s">
        <v>30</v>
      </c>
      <c r="P485" s="12" t="s">
        <v>31</v>
      </c>
      <c r="Q485" s="205" t="s">
        <v>32</v>
      </c>
      <c r="R485" s="141" t="s">
        <v>33</v>
      </c>
      <c r="S485" s="206" t="s">
        <v>3644</v>
      </c>
      <c r="T485" s="207">
        <v>36457</v>
      </c>
      <c r="U485" s="206" t="s">
        <v>3643</v>
      </c>
      <c r="V485" s="208" t="s">
        <v>3645</v>
      </c>
      <c r="W485" s="209">
        <v>717288</v>
      </c>
    </row>
    <row r="486" spans="1:23" ht="22.5" customHeight="1">
      <c r="A486" s="137">
        <v>46148.346571273149</v>
      </c>
      <c r="B486" s="12" t="s">
        <v>3646</v>
      </c>
      <c r="D486" s="12" t="s">
        <v>45</v>
      </c>
      <c r="E486" s="138">
        <v>28186</v>
      </c>
      <c r="F486" s="12" t="s">
        <v>475</v>
      </c>
      <c r="G486" s="12" t="s">
        <v>3647</v>
      </c>
      <c r="H486" s="12" t="s">
        <v>3648</v>
      </c>
      <c r="I486" s="6" t="str">
        <f>VLOOKUP(CLEAN(F486),'World Bank Categories'!$B$4:$C$220,2,FALSE)</f>
        <v>Middle income</v>
      </c>
      <c r="J486" s="12" t="s">
        <v>3649</v>
      </c>
      <c r="K486" s="12" t="s">
        <v>39</v>
      </c>
      <c r="L486" s="12" t="s">
        <v>30</v>
      </c>
      <c r="P486" s="12" t="s">
        <v>31</v>
      </c>
      <c r="Q486" s="205" t="s">
        <v>32</v>
      </c>
      <c r="R486" s="141" t="s">
        <v>43</v>
      </c>
      <c r="S486" s="206" t="s">
        <v>3650</v>
      </c>
      <c r="T486" s="207">
        <v>28186</v>
      </c>
      <c r="U486" s="206" t="s">
        <v>3649</v>
      </c>
      <c r="V486" s="208" t="s">
        <v>3651</v>
      </c>
      <c r="W486" s="209">
        <v>719739</v>
      </c>
    </row>
    <row r="487" spans="1:23" ht="22.5" customHeight="1">
      <c r="A487" s="137">
        <v>46148.482345185184</v>
      </c>
      <c r="B487" s="12" t="s">
        <v>3652</v>
      </c>
      <c r="C487" s="12" t="s">
        <v>3653</v>
      </c>
      <c r="D487" s="12" t="s">
        <v>24</v>
      </c>
      <c r="E487" s="138">
        <v>28629</v>
      </c>
      <c r="F487" s="12" t="s">
        <v>1932</v>
      </c>
      <c r="G487" s="12" t="s">
        <v>3654</v>
      </c>
      <c r="H487" s="12" t="s">
        <v>3655</v>
      </c>
      <c r="I487" s="6" t="str">
        <f>VLOOKUP(CLEAN(F487),'World Bank Categories'!$B$4:$C$220,2,FALSE)</f>
        <v>Middle income</v>
      </c>
      <c r="J487" s="12" t="s">
        <v>3656</v>
      </c>
      <c r="K487" s="12" t="s">
        <v>29</v>
      </c>
      <c r="L487" s="12" t="s">
        <v>30</v>
      </c>
      <c r="M487" s="12" t="s">
        <v>3657</v>
      </c>
      <c r="P487" s="12" t="s">
        <v>31</v>
      </c>
      <c r="Q487" s="205" t="s">
        <v>32</v>
      </c>
      <c r="R487" s="141" t="s">
        <v>33</v>
      </c>
      <c r="S487" s="206" t="s">
        <v>2208</v>
      </c>
      <c r="T487" s="207">
        <v>28629</v>
      </c>
      <c r="U487" s="206" t="s">
        <v>2207</v>
      </c>
      <c r="V487" s="208" t="s">
        <v>3658</v>
      </c>
      <c r="W487" s="209">
        <v>722097</v>
      </c>
    </row>
    <row r="488" spans="1:23" ht="22.5" customHeight="1">
      <c r="A488" s="137">
        <v>46148.528981192125</v>
      </c>
      <c r="B488" s="12" t="s">
        <v>591</v>
      </c>
      <c r="D488" s="12" t="s">
        <v>45</v>
      </c>
      <c r="E488" s="138">
        <v>37547</v>
      </c>
      <c r="F488" s="12" t="s">
        <v>208</v>
      </c>
      <c r="G488" s="12" t="s">
        <v>3659</v>
      </c>
      <c r="H488" s="12" t="s">
        <v>3660</v>
      </c>
      <c r="I488" s="6" t="str">
        <f>VLOOKUP(CLEAN(F488),'World Bank Categories'!$B$4:$C$220,2,FALSE)</f>
        <v>Low income</v>
      </c>
      <c r="J488" s="12" t="s">
        <v>593</v>
      </c>
      <c r="K488" s="12" t="s">
        <v>29</v>
      </c>
      <c r="L488" s="12" t="s">
        <v>30</v>
      </c>
      <c r="P488" s="12" t="s">
        <v>31</v>
      </c>
      <c r="Q488" s="205" t="s">
        <v>32</v>
      </c>
      <c r="R488" s="141" t="s">
        <v>33</v>
      </c>
      <c r="S488" s="206" t="s">
        <v>591</v>
      </c>
      <c r="T488" s="207">
        <v>37182</v>
      </c>
      <c r="U488" s="206" t="s">
        <v>593</v>
      </c>
      <c r="V488" s="208" t="s">
        <v>3661</v>
      </c>
      <c r="W488" s="209">
        <v>717161</v>
      </c>
    </row>
    <row r="489" spans="1:23" ht="22.5" customHeight="1">
      <c r="A489" s="144">
        <v>46148.534261400462</v>
      </c>
      <c r="B489" s="40" t="s">
        <v>3662</v>
      </c>
      <c r="C489" s="40"/>
      <c r="D489" s="40" t="s">
        <v>24</v>
      </c>
      <c r="E489" s="145">
        <v>31038</v>
      </c>
      <c r="F489" s="40" t="s">
        <v>52</v>
      </c>
      <c r="G489" s="40" t="s">
        <v>3663</v>
      </c>
      <c r="H489" s="40" t="s">
        <v>3664</v>
      </c>
      <c r="I489" s="6" t="str">
        <f>VLOOKUP(CLEAN(F489),'World Bank Categories'!$B$4:$C$220,2,FALSE)</f>
        <v>Middle income</v>
      </c>
      <c r="J489" s="40" t="s">
        <v>1230</v>
      </c>
      <c r="K489" s="40" t="s">
        <v>39</v>
      </c>
      <c r="L489" s="40" t="s">
        <v>162</v>
      </c>
      <c r="M489" s="40"/>
      <c r="N489" s="40"/>
      <c r="O489" s="40"/>
      <c r="P489" s="40" t="s">
        <v>31</v>
      </c>
      <c r="Q489" s="213" t="s">
        <v>32</v>
      </c>
      <c r="R489" s="33" t="s">
        <v>33</v>
      </c>
      <c r="S489" s="33" t="s">
        <v>1231</v>
      </c>
      <c r="T489" s="226">
        <v>31038</v>
      </c>
      <c r="U489" s="33" t="s">
        <v>1230</v>
      </c>
      <c r="V489" s="227" t="s">
        <v>3665</v>
      </c>
      <c r="W489" s="228">
        <v>717435</v>
      </c>
    </row>
    <row r="490" spans="1:23" ht="22.5" customHeight="1">
      <c r="A490" s="137">
        <v>46148.63644761574</v>
      </c>
      <c r="B490" s="12" t="s">
        <v>3666</v>
      </c>
      <c r="D490" s="12" t="s">
        <v>45</v>
      </c>
      <c r="E490" s="138">
        <v>24412</v>
      </c>
      <c r="F490" s="12" t="s">
        <v>3667</v>
      </c>
      <c r="G490" s="12" t="s">
        <v>3668</v>
      </c>
      <c r="H490" s="12" t="s">
        <v>3669</v>
      </c>
      <c r="I490" s="6" t="str">
        <f>VLOOKUP(CLEAN(F490),'World Bank Categories'!$B$4:$C$220,2,FALSE)</f>
        <v>Middle income</v>
      </c>
      <c r="J490" s="12" t="s">
        <v>3670</v>
      </c>
      <c r="K490" s="12" t="s">
        <v>29</v>
      </c>
      <c r="L490" s="12" t="s">
        <v>30</v>
      </c>
      <c r="M490" s="12" t="s">
        <v>3671</v>
      </c>
      <c r="P490" s="12" t="s">
        <v>31</v>
      </c>
      <c r="Q490" s="205" t="s">
        <v>32</v>
      </c>
      <c r="R490" s="141" t="s">
        <v>33</v>
      </c>
      <c r="S490" s="206" t="s">
        <v>3672</v>
      </c>
      <c r="T490" s="207">
        <v>24412</v>
      </c>
      <c r="U490" s="206" t="s">
        <v>3670</v>
      </c>
      <c r="V490" s="208" t="s">
        <v>3673</v>
      </c>
      <c r="W490" s="209">
        <v>723769</v>
      </c>
    </row>
    <row r="491" spans="1:23" ht="22.5" customHeight="1">
      <c r="A491" s="137">
        <v>46148.641914236112</v>
      </c>
      <c r="B491" s="12" t="s">
        <v>3674</v>
      </c>
      <c r="D491" s="12" t="s">
        <v>24</v>
      </c>
      <c r="E491" s="138">
        <v>35565</v>
      </c>
      <c r="F491" s="12" t="s">
        <v>3544</v>
      </c>
      <c r="G491" s="12" t="s">
        <v>3675</v>
      </c>
      <c r="H491" s="12" t="s">
        <v>3676</v>
      </c>
      <c r="I491" s="6" t="str">
        <f>VLOOKUP(CLEAN(F491),'World Bank Categories'!$B$4:$C$220,2,FALSE)</f>
        <v>Middle income</v>
      </c>
      <c r="J491" s="12" t="s">
        <v>3677</v>
      </c>
      <c r="K491" s="12" t="s">
        <v>39</v>
      </c>
      <c r="L491" s="12" t="s">
        <v>30</v>
      </c>
      <c r="P491" s="12" t="s">
        <v>31</v>
      </c>
      <c r="Q491" s="205" t="s">
        <v>32</v>
      </c>
      <c r="R491" s="141" t="s">
        <v>33</v>
      </c>
      <c r="S491" s="206" t="s">
        <v>3678</v>
      </c>
      <c r="T491" s="207">
        <v>35565</v>
      </c>
      <c r="U491" s="206" t="s">
        <v>3677</v>
      </c>
      <c r="V491" s="208" t="s">
        <v>3679</v>
      </c>
      <c r="W491" s="209">
        <v>719722</v>
      </c>
    </row>
    <row r="492" spans="1:23" ht="22.5" customHeight="1">
      <c r="A492" s="137">
        <v>46148.684084062501</v>
      </c>
      <c r="B492" s="12" t="s">
        <v>3680</v>
      </c>
      <c r="D492" s="12" t="s">
        <v>24</v>
      </c>
      <c r="E492" s="138">
        <v>38887</v>
      </c>
      <c r="F492" s="12" t="s">
        <v>2332</v>
      </c>
      <c r="G492" s="12" t="s">
        <v>3681</v>
      </c>
      <c r="H492" s="12" t="s">
        <v>3682</v>
      </c>
      <c r="I492" s="6" t="str">
        <f>VLOOKUP(CLEAN(F492),'World Bank Categories'!$B$4:$C$220,2,FALSE)</f>
        <v>High income</v>
      </c>
      <c r="J492" s="12" t="s">
        <v>3683</v>
      </c>
      <c r="K492" s="12" t="s">
        <v>29</v>
      </c>
      <c r="L492" s="12" t="s">
        <v>30</v>
      </c>
      <c r="M492" s="12" t="s">
        <v>3684</v>
      </c>
      <c r="P492" s="12" t="s">
        <v>31</v>
      </c>
      <c r="Q492" s="205" t="s">
        <v>32</v>
      </c>
      <c r="R492" s="141" t="s">
        <v>43</v>
      </c>
      <c r="S492" s="206" t="s">
        <v>3680</v>
      </c>
      <c r="T492" s="207">
        <v>38887</v>
      </c>
      <c r="U492" s="206" t="s">
        <v>3685</v>
      </c>
      <c r="V492" s="208" t="s">
        <v>3686</v>
      </c>
      <c r="W492" s="209">
        <v>722162</v>
      </c>
    </row>
    <row r="493" spans="1:23" ht="22.5" customHeight="1">
      <c r="A493" s="137">
        <v>46148.724367905088</v>
      </c>
      <c r="B493" s="12" t="s">
        <v>3687</v>
      </c>
      <c r="C493" s="12" t="s">
        <v>3688</v>
      </c>
      <c r="D493" s="12" t="s">
        <v>45</v>
      </c>
      <c r="E493" s="138">
        <v>33504</v>
      </c>
      <c r="F493" s="12" t="s">
        <v>1905</v>
      </c>
      <c r="G493" s="12" t="s">
        <v>3689</v>
      </c>
      <c r="H493" s="12" t="s">
        <v>933</v>
      </c>
      <c r="I493" s="6" t="str">
        <f>VLOOKUP(CLEAN(F493),'World Bank Categories'!$B$4:$C$220,2,FALSE)</f>
        <v>Low income</v>
      </c>
      <c r="J493" s="12" t="s">
        <v>3690</v>
      </c>
      <c r="K493" s="12" t="s">
        <v>29</v>
      </c>
      <c r="L493" s="12" t="s">
        <v>30</v>
      </c>
      <c r="P493" s="12" t="s">
        <v>31</v>
      </c>
      <c r="Q493" s="205" t="s">
        <v>32</v>
      </c>
      <c r="R493" s="141" t="s">
        <v>33</v>
      </c>
      <c r="S493" s="206" t="s">
        <v>3691</v>
      </c>
      <c r="T493" s="207">
        <v>33504</v>
      </c>
      <c r="U493" s="206" t="s">
        <v>3690</v>
      </c>
      <c r="V493" s="208" t="s">
        <v>3692</v>
      </c>
      <c r="W493" s="209">
        <v>717234</v>
      </c>
    </row>
    <row r="494" spans="1:23" ht="22.5" customHeight="1">
      <c r="A494" s="137">
        <v>46148.790611446762</v>
      </c>
      <c r="B494" s="12" t="s">
        <v>576</v>
      </c>
      <c r="D494" s="12" t="s">
        <v>45</v>
      </c>
      <c r="E494" s="138">
        <v>35236</v>
      </c>
      <c r="F494" s="12" t="s">
        <v>208</v>
      </c>
      <c r="G494" s="12" t="s">
        <v>3693</v>
      </c>
      <c r="H494" s="12" t="s">
        <v>3694</v>
      </c>
      <c r="I494" s="6" t="str">
        <f>VLOOKUP(CLEAN(F494),'World Bank Categories'!$B$4:$C$220,2,FALSE)</f>
        <v>Low income</v>
      </c>
      <c r="J494" s="12" t="s">
        <v>579</v>
      </c>
      <c r="K494" s="12" t="s">
        <v>29</v>
      </c>
      <c r="L494" s="12" t="s">
        <v>30</v>
      </c>
      <c r="P494" s="12" t="s">
        <v>31</v>
      </c>
      <c r="Q494" s="205" t="s">
        <v>32</v>
      </c>
      <c r="R494" s="141" t="s">
        <v>33</v>
      </c>
      <c r="S494" s="206" t="s">
        <v>580</v>
      </c>
      <c r="T494" s="207">
        <v>35236</v>
      </c>
      <c r="U494" s="206" t="s">
        <v>579</v>
      </c>
      <c r="V494" s="208" t="s">
        <v>3695</v>
      </c>
      <c r="W494" s="209">
        <v>719217</v>
      </c>
    </row>
    <row r="495" spans="1:23" ht="22.5" customHeight="1">
      <c r="A495" s="137">
        <v>46148.822194004628</v>
      </c>
      <c r="B495" s="12" t="s">
        <v>3697</v>
      </c>
      <c r="C495" s="12" t="s">
        <v>3697</v>
      </c>
      <c r="D495" s="12" t="s">
        <v>24</v>
      </c>
      <c r="E495" s="138">
        <v>35691</v>
      </c>
      <c r="F495" s="12" t="s">
        <v>208</v>
      </c>
      <c r="G495" s="12" t="s">
        <v>3698</v>
      </c>
      <c r="H495" s="12" t="s">
        <v>2303</v>
      </c>
      <c r="I495" s="6" t="str">
        <f>VLOOKUP(CLEAN(F495),'World Bank Categories'!$B$4:$C$220,2,FALSE)</f>
        <v>Low income</v>
      </c>
      <c r="J495" s="12" t="s">
        <v>3699</v>
      </c>
      <c r="K495" s="12" t="s">
        <v>29</v>
      </c>
      <c r="L495" s="12" t="s">
        <v>30</v>
      </c>
      <c r="P495" s="12" t="s">
        <v>31</v>
      </c>
      <c r="Q495" s="205" t="s">
        <v>32</v>
      </c>
      <c r="R495" s="141" t="s">
        <v>33</v>
      </c>
      <c r="S495" s="206" t="s">
        <v>2301</v>
      </c>
      <c r="T495" s="207">
        <v>35691</v>
      </c>
      <c r="U495" s="206" t="s">
        <v>2304</v>
      </c>
      <c r="V495" s="208" t="s">
        <v>3700</v>
      </c>
      <c r="W495" s="209">
        <v>718993</v>
      </c>
    </row>
    <row r="496" spans="1:23" ht="22.5" customHeight="1">
      <c r="A496" s="137">
        <v>46148.861709571764</v>
      </c>
      <c r="B496" s="12" t="s">
        <v>3701</v>
      </c>
      <c r="C496" s="12" t="s">
        <v>3702</v>
      </c>
      <c r="D496" s="12" t="s">
        <v>45</v>
      </c>
      <c r="E496" s="138">
        <v>29338</v>
      </c>
      <c r="F496" s="12" t="s">
        <v>380</v>
      </c>
      <c r="G496" s="12" t="s">
        <v>209</v>
      </c>
      <c r="H496" s="12" t="s">
        <v>3703</v>
      </c>
      <c r="I496" s="6" t="str">
        <f>VLOOKUP(CLEAN(F496),'World Bank Categories'!$B$4:$C$220,2,FALSE)</f>
        <v>Low income</v>
      </c>
      <c r="J496" s="12" t="s">
        <v>3704</v>
      </c>
      <c r="K496" s="12" t="s">
        <v>39</v>
      </c>
      <c r="L496" s="143" t="s">
        <v>1168</v>
      </c>
      <c r="P496" s="12" t="s">
        <v>31</v>
      </c>
      <c r="Q496" s="205" t="s">
        <v>32</v>
      </c>
      <c r="R496" s="141" t="s">
        <v>33</v>
      </c>
      <c r="S496" s="206" t="s">
        <v>3705</v>
      </c>
      <c r="T496" s="207">
        <v>29338</v>
      </c>
      <c r="U496" s="206" t="s">
        <v>3704</v>
      </c>
      <c r="V496" s="208" t="s">
        <v>3706</v>
      </c>
      <c r="W496" s="209">
        <v>718592</v>
      </c>
    </row>
    <row r="497" spans="1:23" ht="22.5" customHeight="1">
      <c r="A497" s="137">
        <v>46148.882395879627</v>
      </c>
      <c r="B497" s="12" t="s">
        <v>3707</v>
      </c>
      <c r="C497" s="12" t="s">
        <v>3708</v>
      </c>
      <c r="D497" s="12" t="s">
        <v>24</v>
      </c>
      <c r="E497" s="138">
        <v>33868</v>
      </c>
      <c r="F497" s="12" t="s">
        <v>88</v>
      </c>
      <c r="G497" s="12" t="s">
        <v>3709</v>
      </c>
      <c r="H497" s="12" t="s">
        <v>3710</v>
      </c>
      <c r="I497" s="6" t="str">
        <f>VLOOKUP(CLEAN(F497),'World Bank Categories'!$B$4:$C$220,2,FALSE)</f>
        <v>Low income</v>
      </c>
      <c r="J497" s="12" t="s">
        <v>934</v>
      </c>
      <c r="K497" s="12" t="s">
        <v>29</v>
      </c>
      <c r="L497" s="12" t="s">
        <v>30</v>
      </c>
      <c r="P497" s="12" t="s">
        <v>31</v>
      </c>
      <c r="Q497" s="205" t="s">
        <v>32</v>
      </c>
      <c r="R497" s="141" t="s">
        <v>33</v>
      </c>
      <c r="S497" s="206" t="s">
        <v>931</v>
      </c>
      <c r="T497" s="207">
        <v>33868</v>
      </c>
      <c r="U497" s="206" t="s">
        <v>934</v>
      </c>
      <c r="V497" s="208" t="s">
        <v>3711</v>
      </c>
      <c r="W497" s="209">
        <v>719630</v>
      </c>
    </row>
    <row r="498" spans="1:23" ht="22.5" customHeight="1">
      <c r="A498" s="137">
        <v>46148.937861539351</v>
      </c>
      <c r="B498" s="12" t="s">
        <v>1079</v>
      </c>
      <c r="D498" s="12" t="s">
        <v>45</v>
      </c>
      <c r="E498" s="138">
        <v>32733</v>
      </c>
      <c r="F498" s="12" t="s">
        <v>980</v>
      </c>
      <c r="G498" s="12" t="s">
        <v>3712</v>
      </c>
      <c r="H498" s="12" t="s">
        <v>3713</v>
      </c>
      <c r="I498" s="6" t="str">
        <f>VLOOKUP(CLEAN(F498),'World Bank Categories'!$B$4:$C$220,2,FALSE)</f>
        <v>Middle income</v>
      </c>
      <c r="J498" s="12" t="s">
        <v>1081</v>
      </c>
      <c r="K498" s="12" t="s">
        <v>39</v>
      </c>
      <c r="L498" s="12" t="s">
        <v>621</v>
      </c>
      <c r="M498" s="12" t="s">
        <v>3714</v>
      </c>
      <c r="P498" s="12" t="s">
        <v>31</v>
      </c>
      <c r="Q498" s="205" t="s">
        <v>32</v>
      </c>
      <c r="R498" s="141" t="s">
        <v>33</v>
      </c>
      <c r="S498" s="206" t="s">
        <v>1079</v>
      </c>
      <c r="T498" s="207">
        <v>32733</v>
      </c>
      <c r="U498" s="206" t="s">
        <v>1081</v>
      </c>
      <c r="V498" s="208" t="s">
        <v>3715</v>
      </c>
      <c r="W498" s="209">
        <v>720891</v>
      </c>
    </row>
    <row r="499" spans="1:23" ht="22.5" customHeight="1">
      <c r="A499" s="137">
        <v>46149.058653101849</v>
      </c>
      <c r="B499" s="12" t="s">
        <v>728</v>
      </c>
      <c r="D499" s="12" t="s">
        <v>45</v>
      </c>
      <c r="E499" s="138">
        <v>36016</v>
      </c>
      <c r="F499" s="12" t="s">
        <v>70</v>
      </c>
      <c r="G499" s="12" t="s">
        <v>811</v>
      </c>
      <c r="H499" s="12" t="s">
        <v>2162</v>
      </c>
      <c r="I499" s="6" t="str">
        <f>VLOOKUP(CLEAN(F499),'World Bank Categories'!$B$4:$C$220,2,FALSE)</f>
        <v>Middle income</v>
      </c>
      <c r="J499" s="12" t="s">
        <v>730</v>
      </c>
      <c r="K499" s="12" t="s">
        <v>29</v>
      </c>
      <c r="L499" s="12" t="s">
        <v>30</v>
      </c>
      <c r="P499" s="12" t="s">
        <v>31</v>
      </c>
      <c r="Q499" s="205" t="s">
        <v>32</v>
      </c>
      <c r="R499" s="141" t="s">
        <v>33</v>
      </c>
      <c r="S499" s="206" t="s">
        <v>728</v>
      </c>
      <c r="T499" s="207">
        <v>36016</v>
      </c>
      <c r="U499" s="206" t="s">
        <v>730</v>
      </c>
      <c r="V499" s="208" t="s">
        <v>3716</v>
      </c>
      <c r="W499" s="209">
        <v>718656</v>
      </c>
    </row>
    <row r="500" spans="1:23" ht="22.5" customHeight="1">
      <c r="A500" s="137">
        <v>46149.154350162033</v>
      </c>
      <c r="B500" s="12" t="s">
        <v>3543</v>
      </c>
      <c r="D500" s="12" t="s">
        <v>24</v>
      </c>
      <c r="E500" s="138">
        <v>37775</v>
      </c>
      <c r="F500" s="12" t="s">
        <v>3544</v>
      </c>
      <c r="G500" s="12" t="s">
        <v>3717</v>
      </c>
      <c r="H500" s="12" t="s">
        <v>66</v>
      </c>
      <c r="I500" s="6" t="str">
        <f>VLOOKUP(CLEAN(F500),'World Bank Categories'!$B$4:$C$220,2,FALSE)</f>
        <v>Middle income</v>
      </c>
      <c r="J500" s="12" t="s">
        <v>3546</v>
      </c>
      <c r="K500" s="12" t="s">
        <v>29</v>
      </c>
      <c r="L500" s="12" t="s">
        <v>30</v>
      </c>
      <c r="P500" s="12" t="s">
        <v>31</v>
      </c>
      <c r="Q500" s="205" t="s">
        <v>32</v>
      </c>
      <c r="R500" s="141" t="s">
        <v>33</v>
      </c>
      <c r="S500" s="206" t="s">
        <v>3718</v>
      </c>
      <c r="T500" s="207">
        <v>37775</v>
      </c>
      <c r="U500" s="206" t="s">
        <v>3546</v>
      </c>
      <c r="V500" s="208" t="s">
        <v>3719</v>
      </c>
      <c r="W500" s="209">
        <v>723572</v>
      </c>
    </row>
    <row r="501" spans="1:23" ht="22.5" customHeight="1">
      <c r="A501" s="137">
        <v>46149.251951736107</v>
      </c>
      <c r="B501" s="12" t="s">
        <v>3725</v>
      </c>
      <c r="D501" s="12" t="s">
        <v>45</v>
      </c>
      <c r="E501" s="138">
        <v>35291</v>
      </c>
      <c r="F501" s="12" t="s">
        <v>35</v>
      </c>
      <c r="G501" s="12" t="s">
        <v>3726</v>
      </c>
      <c r="H501" s="12" t="s">
        <v>3727</v>
      </c>
      <c r="I501" s="6" t="str">
        <f>VLOOKUP(CLEAN(F501),'World Bank Categories'!$B$4:$C$220,2,FALSE)</f>
        <v>Middle income</v>
      </c>
      <c r="J501" s="12" t="s">
        <v>3728</v>
      </c>
      <c r="K501" s="12" t="s">
        <v>39</v>
      </c>
      <c r="L501" s="12" t="s">
        <v>30</v>
      </c>
      <c r="P501" s="12" t="s">
        <v>31</v>
      </c>
      <c r="Q501" s="213" t="s">
        <v>32</v>
      </c>
      <c r="R501" s="141" t="s">
        <v>33</v>
      </c>
      <c r="S501" s="206" t="s">
        <v>3729</v>
      </c>
      <c r="T501" s="207">
        <v>35291</v>
      </c>
      <c r="U501" s="206" t="s">
        <v>3728</v>
      </c>
      <c r="V501" s="208" t="s">
        <v>3730</v>
      </c>
      <c r="W501" s="209">
        <v>717412</v>
      </c>
    </row>
    <row r="502" spans="1:23" ht="22.5" customHeight="1">
      <c r="A502" s="137">
        <v>46149.567109571755</v>
      </c>
      <c r="B502" s="12" t="s">
        <v>3731</v>
      </c>
      <c r="D502" s="12" t="s">
        <v>45</v>
      </c>
      <c r="E502" s="138">
        <v>30098</v>
      </c>
      <c r="F502" s="12" t="s">
        <v>64</v>
      </c>
      <c r="G502" s="12" t="s">
        <v>3732</v>
      </c>
      <c r="H502" s="12" t="s">
        <v>3733</v>
      </c>
      <c r="I502" s="6" t="str">
        <f>VLOOKUP(CLEAN(F502),'World Bank Categories'!$B$4:$C$220,2,FALSE)</f>
        <v>Middle income</v>
      </c>
      <c r="J502" s="12" t="s">
        <v>695</v>
      </c>
      <c r="K502" s="12" t="s">
        <v>29</v>
      </c>
      <c r="L502" s="12" t="s">
        <v>30</v>
      </c>
      <c r="P502" s="12" t="s">
        <v>31</v>
      </c>
      <c r="Q502" s="205" t="s">
        <v>32</v>
      </c>
      <c r="R502" s="141" t="s">
        <v>33</v>
      </c>
      <c r="S502" s="206" t="s">
        <v>696</v>
      </c>
      <c r="T502" s="207">
        <v>30098</v>
      </c>
      <c r="U502" s="206" t="s">
        <v>695</v>
      </c>
      <c r="V502" s="208" t="s">
        <v>3734</v>
      </c>
      <c r="W502" s="209">
        <v>719331</v>
      </c>
    </row>
    <row r="503" spans="1:23" ht="22.5" customHeight="1">
      <c r="A503" s="137">
        <v>46149.632680752315</v>
      </c>
      <c r="B503" s="12" t="s">
        <v>3735</v>
      </c>
      <c r="D503" s="12" t="s">
        <v>24</v>
      </c>
      <c r="E503" s="138">
        <v>36380</v>
      </c>
      <c r="F503" s="12" t="s">
        <v>52</v>
      </c>
      <c r="G503" s="12" t="s">
        <v>3736</v>
      </c>
      <c r="H503" s="12" t="s">
        <v>1941</v>
      </c>
      <c r="I503" s="6" t="str">
        <f>VLOOKUP(CLEAN(F503),'World Bank Categories'!$B$4:$C$220,2,FALSE)</f>
        <v>Middle income</v>
      </c>
      <c r="J503" s="12" t="s">
        <v>665</v>
      </c>
      <c r="K503" s="12" t="s">
        <v>29</v>
      </c>
      <c r="L503" s="12" t="s">
        <v>30</v>
      </c>
      <c r="P503" s="12" t="s">
        <v>31</v>
      </c>
      <c r="Q503" s="205" t="s">
        <v>32</v>
      </c>
      <c r="R503" s="141" t="s">
        <v>33</v>
      </c>
      <c r="S503" s="206" t="s">
        <v>663</v>
      </c>
      <c r="T503" s="207">
        <v>36376</v>
      </c>
      <c r="U503" s="206" t="s">
        <v>666</v>
      </c>
      <c r="V503" s="208" t="s">
        <v>3737</v>
      </c>
      <c r="W503" s="209">
        <v>717417</v>
      </c>
    </row>
    <row r="504" spans="1:23" ht="22.5" customHeight="1">
      <c r="A504" s="137">
        <v>46149.74083224537</v>
      </c>
      <c r="B504" s="12" t="s">
        <v>3738</v>
      </c>
      <c r="C504" s="12" t="s">
        <v>3738</v>
      </c>
      <c r="D504" s="12" t="s">
        <v>24</v>
      </c>
      <c r="E504" s="138">
        <v>35102</v>
      </c>
      <c r="F504" s="12" t="s">
        <v>3739</v>
      </c>
      <c r="G504" s="12" t="s">
        <v>3740</v>
      </c>
      <c r="H504" s="12" t="s">
        <v>66</v>
      </c>
      <c r="I504" s="6" t="str">
        <f>VLOOKUP(CLEAN(F504),'World Bank Categories'!$B$4:$C$220,2,FALSE)</f>
        <v>Middle income</v>
      </c>
      <c r="J504" s="12" t="s">
        <v>3741</v>
      </c>
      <c r="K504" s="12" t="s">
        <v>29</v>
      </c>
      <c r="L504" s="12" t="s">
        <v>30</v>
      </c>
      <c r="P504" s="12" t="s">
        <v>31</v>
      </c>
      <c r="Q504" s="205" t="s">
        <v>32</v>
      </c>
      <c r="R504" s="141" t="s">
        <v>33</v>
      </c>
      <c r="S504" s="206" t="s">
        <v>3738</v>
      </c>
      <c r="T504" s="207">
        <v>35102</v>
      </c>
      <c r="U504" s="206" t="s">
        <v>3741</v>
      </c>
      <c r="V504" s="208" t="s">
        <v>3742</v>
      </c>
      <c r="W504" s="209">
        <v>722843</v>
      </c>
    </row>
    <row r="505" spans="1:23" ht="22.5" customHeight="1">
      <c r="A505" s="137">
        <v>46149.812119502312</v>
      </c>
      <c r="B505" s="12" t="s">
        <v>3743</v>
      </c>
      <c r="C505" s="12" t="s">
        <v>3744</v>
      </c>
      <c r="D505" s="12" t="s">
        <v>24</v>
      </c>
      <c r="E505" s="138">
        <v>34493</v>
      </c>
      <c r="F505" s="12" t="s">
        <v>198</v>
      </c>
      <c r="G505" s="12" t="s">
        <v>3745</v>
      </c>
      <c r="H505" s="12" t="s">
        <v>3746</v>
      </c>
      <c r="I505" s="6" t="str">
        <f>VLOOKUP(CLEAN(F505),'World Bank Categories'!$B$4:$C$220,2,FALSE)</f>
        <v>Middle income</v>
      </c>
      <c r="J505" s="12" t="s">
        <v>3747</v>
      </c>
      <c r="K505" s="12" t="s">
        <v>29</v>
      </c>
      <c r="L505" s="12" t="s">
        <v>30</v>
      </c>
      <c r="M505" s="12" t="s">
        <v>3748</v>
      </c>
      <c r="P505" s="12" t="s">
        <v>31</v>
      </c>
      <c r="Q505" s="205" t="s">
        <v>32</v>
      </c>
      <c r="R505" s="141" t="s">
        <v>43</v>
      </c>
      <c r="S505" s="206" t="s">
        <v>3749</v>
      </c>
      <c r="T505" s="207">
        <v>34493</v>
      </c>
      <c r="U505" s="206" t="s">
        <v>3750</v>
      </c>
      <c r="V505" s="208" t="s">
        <v>3751</v>
      </c>
      <c r="W505" s="209">
        <v>724804</v>
      </c>
    </row>
    <row r="506" spans="1:23" ht="22.5" customHeight="1">
      <c r="A506" s="137">
        <v>46149.850775335653</v>
      </c>
      <c r="B506" s="12" t="s">
        <v>2555</v>
      </c>
      <c r="D506" s="12" t="s">
        <v>24</v>
      </c>
      <c r="E506" s="138">
        <v>35342</v>
      </c>
      <c r="F506" s="12" t="s">
        <v>2556</v>
      </c>
      <c r="G506" s="12" t="s">
        <v>3752</v>
      </c>
      <c r="H506" s="12" t="s">
        <v>3753</v>
      </c>
      <c r="I506" s="6" t="str">
        <f>VLOOKUP(CLEAN(F506),'World Bank Categories'!$B$4:$C$220,2,FALSE)</f>
        <v>Middle income</v>
      </c>
      <c r="J506" s="12" t="s">
        <v>2559</v>
      </c>
      <c r="K506" s="12" t="s">
        <v>29</v>
      </c>
      <c r="L506" s="12" t="s">
        <v>30</v>
      </c>
      <c r="P506" s="12" t="s">
        <v>31</v>
      </c>
      <c r="Q506" s="205" t="s">
        <v>32</v>
      </c>
      <c r="R506" s="141" t="s">
        <v>33</v>
      </c>
      <c r="S506" s="206" t="s">
        <v>2555</v>
      </c>
      <c r="T506" s="207">
        <v>35342</v>
      </c>
      <c r="U506" s="206" t="s">
        <v>2559</v>
      </c>
      <c r="V506" s="208" t="s">
        <v>3754</v>
      </c>
      <c r="W506" s="209">
        <v>720759</v>
      </c>
    </row>
    <row r="507" spans="1:23" ht="22.5" customHeight="1">
      <c r="A507" s="137">
        <v>46149.90417332176</v>
      </c>
      <c r="B507" s="12" t="s">
        <v>3755</v>
      </c>
      <c r="D507" s="12" t="s">
        <v>45</v>
      </c>
      <c r="E507" s="138">
        <v>36907</v>
      </c>
      <c r="F507" s="12" t="s">
        <v>470</v>
      </c>
      <c r="G507" s="12" t="s">
        <v>3756</v>
      </c>
      <c r="H507" s="12" t="s">
        <v>66</v>
      </c>
      <c r="I507" s="6" t="str">
        <f>VLOOKUP(CLEAN(F507),'World Bank Categories'!$B$4:$C$220,2,FALSE)</f>
        <v>Middle income</v>
      </c>
      <c r="J507" s="12" t="s">
        <v>3757</v>
      </c>
      <c r="K507" s="12" t="s">
        <v>29</v>
      </c>
      <c r="L507" s="12" t="s">
        <v>30</v>
      </c>
      <c r="P507" s="12" t="s">
        <v>31</v>
      </c>
      <c r="Q507" s="205" t="s">
        <v>32</v>
      </c>
      <c r="R507" s="141" t="s">
        <v>33</v>
      </c>
      <c r="S507" s="206" t="s">
        <v>3758</v>
      </c>
      <c r="T507" s="207">
        <v>36907</v>
      </c>
      <c r="U507" s="206" t="s">
        <v>3757</v>
      </c>
      <c r="V507" s="208" t="s">
        <v>3759</v>
      </c>
      <c r="W507" s="209">
        <v>720597</v>
      </c>
    </row>
    <row r="508" spans="1:23" ht="22.5" customHeight="1">
      <c r="A508" s="137">
        <v>46149.907410844906</v>
      </c>
      <c r="B508" s="12" t="s">
        <v>2228</v>
      </c>
      <c r="C508" s="12" t="s">
        <v>3760</v>
      </c>
      <c r="D508" s="12" t="s">
        <v>45</v>
      </c>
      <c r="E508" s="138">
        <v>38427</v>
      </c>
      <c r="F508" s="12" t="s">
        <v>1932</v>
      </c>
      <c r="G508" s="12" t="s">
        <v>3761</v>
      </c>
      <c r="H508" s="12" t="s">
        <v>90</v>
      </c>
      <c r="I508" s="6" t="str">
        <f>VLOOKUP(CLEAN(F508),'World Bank Categories'!$B$4:$C$220,2,FALSE)</f>
        <v>Middle income</v>
      </c>
      <c r="J508" s="12" t="s">
        <v>2231</v>
      </c>
      <c r="K508" s="12" t="s">
        <v>29</v>
      </c>
      <c r="L508" s="12" t="s">
        <v>162</v>
      </c>
      <c r="P508" s="12" t="s">
        <v>31</v>
      </c>
      <c r="Q508" s="205" t="s">
        <v>32</v>
      </c>
      <c r="R508" s="141" t="s">
        <v>33</v>
      </c>
      <c r="S508" s="206" t="s">
        <v>2228</v>
      </c>
      <c r="T508" s="207">
        <v>38427</v>
      </c>
      <c r="U508" s="206" t="s">
        <v>2231</v>
      </c>
      <c r="V508" s="208" t="s">
        <v>3762</v>
      </c>
      <c r="W508" s="209">
        <v>722232</v>
      </c>
    </row>
    <row r="509" spans="1:23" ht="22.5" customHeight="1">
      <c r="A509" s="137">
        <v>46150.141418194442</v>
      </c>
      <c r="B509" s="12" t="s">
        <v>3763</v>
      </c>
      <c r="D509" s="12" t="s">
        <v>24</v>
      </c>
      <c r="E509" s="138">
        <v>37200</v>
      </c>
      <c r="F509" s="12" t="s">
        <v>3764</v>
      </c>
      <c r="G509" s="12" t="s">
        <v>3765</v>
      </c>
      <c r="H509" s="12" t="s">
        <v>66</v>
      </c>
      <c r="I509" s="6" t="str">
        <f>VLOOKUP(CLEAN(F509),'World Bank Categories'!$B$4:$C$220,2,FALSE)</f>
        <v>High income</v>
      </c>
      <c r="J509" s="12" t="s">
        <v>3766</v>
      </c>
      <c r="K509" s="12" t="s">
        <v>29</v>
      </c>
      <c r="L509" s="12" t="s">
        <v>30</v>
      </c>
      <c r="P509" s="12" t="s">
        <v>31</v>
      </c>
      <c r="Q509" s="205" t="s">
        <v>32</v>
      </c>
      <c r="R509" s="141" t="s">
        <v>43</v>
      </c>
      <c r="S509" s="206" t="s">
        <v>3767</v>
      </c>
      <c r="T509" s="207">
        <v>37200</v>
      </c>
      <c r="U509" s="206" t="s">
        <v>3766</v>
      </c>
      <c r="V509" s="208" t="s">
        <v>3768</v>
      </c>
      <c r="W509" s="209">
        <v>722393</v>
      </c>
    </row>
    <row r="510" spans="1:23" ht="22.5" customHeight="1">
      <c r="A510" s="137">
        <v>46150.222699675927</v>
      </c>
      <c r="B510" s="12" t="s">
        <v>3778</v>
      </c>
      <c r="D510" s="12" t="s">
        <v>24</v>
      </c>
      <c r="E510" s="138">
        <v>36954</v>
      </c>
      <c r="F510" s="12" t="s">
        <v>232</v>
      </c>
      <c r="G510" s="12" t="s">
        <v>1542</v>
      </c>
      <c r="H510" s="12" t="s">
        <v>3042</v>
      </c>
      <c r="I510" s="6" t="str">
        <f>VLOOKUP(CLEAN(F510),'World Bank Categories'!$B$4:$C$220,2,FALSE)</f>
        <v>Middle income</v>
      </c>
      <c r="J510" s="12" t="s">
        <v>3779</v>
      </c>
      <c r="K510" s="12" t="s">
        <v>29</v>
      </c>
      <c r="L510" s="12" t="s">
        <v>30</v>
      </c>
      <c r="P510" s="12" t="s">
        <v>31</v>
      </c>
      <c r="Q510" s="205" t="s">
        <v>32</v>
      </c>
      <c r="R510" s="141" t="s">
        <v>43</v>
      </c>
      <c r="S510" s="206" t="s">
        <v>1448</v>
      </c>
      <c r="T510" s="207">
        <v>36954</v>
      </c>
      <c r="U510" s="206" t="s">
        <v>3779</v>
      </c>
      <c r="V510" s="208" t="s">
        <v>3780</v>
      </c>
      <c r="W510" s="209">
        <v>723766</v>
      </c>
    </row>
    <row r="511" spans="1:23" ht="22.5" customHeight="1">
      <c r="A511" s="137">
        <v>46150.420071296292</v>
      </c>
      <c r="B511" s="12" t="s">
        <v>3786</v>
      </c>
      <c r="D511" s="12" t="s">
        <v>45</v>
      </c>
      <c r="E511" s="138">
        <v>37198</v>
      </c>
      <c r="F511" s="12" t="s">
        <v>416</v>
      </c>
      <c r="G511" s="12" t="s">
        <v>3787</v>
      </c>
      <c r="H511" s="12" t="s">
        <v>530</v>
      </c>
      <c r="I511" s="6" t="str">
        <f>VLOOKUP(CLEAN(F511),'World Bank Categories'!$B$4:$C$220,2,FALSE)</f>
        <v>Middle income</v>
      </c>
      <c r="J511" s="12" t="s">
        <v>3788</v>
      </c>
      <c r="K511" s="12" t="s">
        <v>39</v>
      </c>
      <c r="L511" s="12" t="s">
        <v>162</v>
      </c>
      <c r="P511" s="12" t="s">
        <v>31</v>
      </c>
      <c r="Q511" s="205" t="s">
        <v>32</v>
      </c>
      <c r="R511" s="141" t="s">
        <v>33</v>
      </c>
      <c r="S511" s="206" t="s">
        <v>3786</v>
      </c>
      <c r="T511" s="207">
        <v>37198</v>
      </c>
      <c r="U511" s="206" t="s">
        <v>3788</v>
      </c>
      <c r="V511" s="208" t="s">
        <v>3789</v>
      </c>
      <c r="W511" s="209">
        <v>723760</v>
      </c>
    </row>
    <row r="512" spans="1:23" ht="22.5" customHeight="1">
      <c r="A512" s="137">
        <v>46150.554551666668</v>
      </c>
      <c r="B512" s="12" t="s">
        <v>3796</v>
      </c>
      <c r="D512" s="12" t="s">
        <v>45</v>
      </c>
      <c r="E512" s="138">
        <v>26816</v>
      </c>
      <c r="F512" s="12" t="s">
        <v>433</v>
      </c>
      <c r="G512" s="12" t="s">
        <v>3797</v>
      </c>
      <c r="H512" s="12" t="s">
        <v>3798</v>
      </c>
      <c r="I512" s="6" t="str">
        <f>VLOOKUP(CLEAN(F512),'World Bank Categories'!$B$4:$C$220,2,FALSE)</f>
        <v>Low income</v>
      </c>
      <c r="J512" s="12" t="s">
        <v>3799</v>
      </c>
      <c r="K512" s="12" t="s">
        <v>29</v>
      </c>
      <c r="L512" s="12" t="s">
        <v>30</v>
      </c>
      <c r="P512" s="12" t="s">
        <v>31</v>
      </c>
      <c r="Q512" s="205" t="s">
        <v>32</v>
      </c>
      <c r="R512" s="141" t="s">
        <v>33</v>
      </c>
      <c r="S512" s="206" t="s">
        <v>832</v>
      </c>
      <c r="T512" s="207">
        <v>26816</v>
      </c>
      <c r="U512" s="206" t="s">
        <v>836</v>
      </c>
      <c r="V512" s="208" t="s">
        <v>3800</v>
      </c>
      <c r="W512" s="209">
        <v>719511</v>
      </c>
    </row>
    <row r="513" spans="1:23" ht="22.5" customHeight="1">
      <c r="A513" s="137">
        <v>46150.579388900464</v>
      </c>
      <c r="B513" s="12" t="s">
        <v>3801</v>
      </c>
      <c r="D513" s="12" t="s">
        <v>24</v>
      </c>
      <c r="E513" s="138">
        <v>35903</v>
      </c>
      <c r="F513" s="12" t="s">
        <v>232</v>
      </c>
      <c r="G513" s="12" t="s">
        <v>3802</v>
      </c>
      <c r="H513" s="12" t="s">
        <v>186</v>
      </c>
      <c r="I513" s="6" t="str">
        <f>VLOOKUP(CLEAN(F513),'World Bank Categories'!$B$4:$C$220,2,FALSE)</f>
        <v>Middle income</v>
      </c>
      <c r="J513" s="12" t="s">
        <v>3803</v>
      </c>
      <c r="K513" s="12" t="s">
        <v>29</v>
      </c>
      <c r="L513" s="12" t="s">
        <v>30</v>
      </c>
      <c r="P513" s="12" t="s">
        <v>31</v>
      </c>
      <c r="Q513" s="205" t="s">
        <v>32</v>
      </c>
      <c r="R513" s="141" t="s">
        <v>43</v>
      </c>
      <c r="S513" s="206" t="s">
        <v>3804</v>
      </c>
      <c r="T513" s="207">
        <v>36268</v>
      </c>
      <c r="U513" s="206" t="s">
        <v>3803</v>
      </c>
      <c r="V513" s="208" t="s">
        <v>3805</v>
      </c>
      <c r="W513" s="209">
        <v>720417</v>
      </c>
    </row>
    <row r="514" spans="1:23" ht="22.5" customHeight="1">
      <c r="A514" s="137">
        <v>46150.590377604167</v>
      </c>
      <c r="B514" s="12" t="s">
        <v>3806</v>
      </c>
      <c r="D514" s="12" t="s">
        <v>24</v>
      </c>
      <c r="E514" s="138">
        <v>36194</v>
      </c>
      <c r="F514" s="12" t="s">
        <v>1362</v>
      </c>
      <c r="G514" s="12" t="s">
        <v>3807</v>
      </c>
      <c r="H514" s="12" t="s">
        <v>3808</v>
      </c>
      <c r="I514" s="6" t="str">
        <f>VLOOKUP(CLEAN(F514),'World Bank Categories'!$B$4:$C$220,2,FALSE)</f>
        <v>Middle income</v>
      </c>
      <c r="J514" s="12" t="s">
        <v>3809</v>
      </c>
      <c r="K514" s="12" t="s">
        <v>39</v>
      </c>
      <c r="L514" s="12" t="s">
        <v>30</v>
      </c>
      <c r="P514" s="12" t="s">
        <v>31</v>
      </c>
      <c r="Q514" s="205" t="s">
        <v>32</v>
      </c>
      <c r="R514" s="141" t="s">
        <v>43</v>
      </c>
      <c r="S514" s="206" t="s">
        <v>3806</v>
      </c>
      <c r="T514" s="207">
        <v>36194</v>
      </c>
      <c r="U514" s="206" t="s">
        <v>3809</v>
      </c>
      <c r="V514" s="208" t="s">
        <v>3810</v>
      </c>
      <c r="W514" s="209">
        <v>722829</v>
      </c>
    </row>
    <row r="515" spans="1:23" ht="22.5" customHeight="1">
      <c r="A515" s="137">
        <v>46150.841148460648</v>
      </c>
      <c r="B515" s="12" t="s">
        <v>3811</v>
      </c>
      <c r="D515" s="12" t="s">
        <v>24</v>
      </c>
      <c r="E515" s="138">
        <v>37276</v>
      </c>
      <c r="F515" s="12" t="s">
        <v>88</v>
      </c>
      <c r="G515" s="12" t="s">
        <v>3812</v>
      </c>
      <c r="H515" s="12" t="s">
        <v>66</v>
      </c>
      <c r="I515" s="6" t="str">
        <f>VLOOKUP(CLEAN(F515),'World Bank Categories'!$B$4:$C$220,2,FALSE)</f>
        <v>Low income</v>
      </c>
      <c r="J515" s="12" t="s">
        <v>3813</v>
      </c>
      <c r="K515" s="12" t="s">
        <v>39</v>
      </c>
      <c r="L515" s="12" t="s">
        <v>524</v>
      </c>
      <c r="P515" s="12" t="s">
        <v>31</v>
      </c>
      <c r="Q515" s="205" t="s">
        <v>32</v>
      </c>
      <c r="R515" s="141" t="s">
        <v>43</v>
      </c>
      <c r="S515" s="206" t="s">
        <v>3814</v>
      </c>
      <c r="T515" s="207">
        <v>37276</v>
      </c>
      <c r="U515" s="206" t="s">
        <v>3813</v>
      </c>
      <c r="V515" s="208" t="s">
        <v>3815</v>
      </c>
      <c r="W515" s="209">
        <v>720301</v>
      </c>
    </row>
    <row r="516" spans="1:23" ht="22.5" customHeight="1">
      <c r="A516" s="137">
        <v>46151.207066770832</v>
      </c>
      <c r="B516" s="12" t="s">
        <v>535</v>
      </c>
      <c r="D516" s="12" t="s">
        <v>24</v>
      </c>
      <c r="E516" s="138">
        <v>34099</v>
      </c>
      <c r="F516" s="12" t="s">
        <v>346</v>
      </c>
      <c r="G516" s="12" t="s">
        <v>3816</v>
      </c>
      <c r="H516" s="12" t="s">
        <v>3817</v>
      </c>
      <c r="I516" s="6" t="str">
        <f>VLOOKUP(CLEAN(F516),'World Bank Categories'!$B$4:$C$220,2,FALSE)</f>
        <v>Middle income</v>
      </c>
      <c r="J516" s="12" t="s">
        <v>3818</v>
      </c>
      <c r="K516" s="12" t="s">
        <v>29</v>
      </c>
      <c r="L516" s="12" t="s">
        <v>30</v>
      </c>
      <c r="P516" s="12" t="s">
        <v>31</v>
      </c>
      <c r="Q516" s="205" t="s">
        <v>32</v>
      </c>
      <c r="R516" s="141" t="s">
        <v>33</v>
      </c>
      <c r="S516" s="206" t="s">
        <v>540</v>
      </c>
      <c r="T516" s="207">
        <v>34099</v>
      </c>
      <c r="U516" s="206" t="s">
        <v>539</v>
      </c>
      <c r="V516" s="208" t="s">
        <v>3819</v>
      </c>
      <c r="W516" s="209">
        <v>719154</v>
      </c>
    </row>
    <row r="517" spans="1:23" ht="22.5" customHeight="1">
      <c r="A517" s="137">
        <v>46151.228820127319</v>
      </c>
      <c r="B517" s="12" t="s">
        <v>3825</v>
      </c>
      <c r="D517" s="12" t="s">
        <v>45</v>
      </c>
      <c r="E517" s="138">
        <v>22228</v>
      </c>
      <c r="F517" s="12" t="s">
        <v>3559</v>
      </c>
      <c r="G517" s="12" t="s">
        <v>3560</v>
      </c>
      <c r="H517" s="12" t="s">
        <v>3826</v>
      </c>
      <c r="I517" s="6" t="str">
        <f>VLOOKUP(CLEAN(F517),'World Bank Categories'!$B$4:$C$220,2,FALSE)</f>
        <v>Middle income</v>
      </c>
      <c r="J517" s="12" t="s">
        <v>3562</v>
      </c>
      <c r="K517" s="12" t="s">
        <v>29</v>
      </c>
      <c r="L517" s="143" t="s">
        <v>1168</v>
      </c>
      <c r="P517" s="12" t="s">
        <v>31</v>
      </c>
      <c r="Q517" s="205" t="s">
        <v>32</v>
      </c>
      <c r="R517" s="141" t="s">
        <v>33</v>
      </c>
      <c r="S517" s="206" t="s">
        <v>3563</v>
      </c>
      <c r="T517" s="207">
        <v>22228</v>
      </c>
      <c r="U517" s="206" t="s">
        <v>3564</v>
      </c>
      <c r="V517" s="208" t="s">
        <v>3827</v>
      </c>
      <c r="W517" s="209">
        <v>720085</v>
      </c>
    </row>
    <row r="518" spans="1:23" ht="22.5" customHeight="1">
      <c r="A518" s="137">
        <v>46151.558258819445</v>
      </c>
      <c r="B518" s="12" t="s">
        <v>3832</v>
      </c>
      <c r="D518" s="12" t="s">
        <v>24</v>
      </c>
      <c r="E518" s="138">
        <v>36651</v>
      </c>
      <c r="F518" s="12" t="s">
        <v>980</v>
      </c>
      <c r="G518" s="12" t="s">
        <v>1462</v>
      </c>
      <c r="H518" s="12" t="s">
        <v>3124</v>
      </c>
      <c r="I518" s="6" t="str">
        <f>VLOOKUP(CLEAN(F518),'World Bank Categories'!$B$4:$C$220,2,FALSE)</f>
        <v>Middle income</v>
      </c>
      <c r="J518" s="12" t="s">
        <v>1505</v>
      </c>
      <c r="K518" s="12" t="s">
        <v>39</v>
      </c>
      <c r="L518" s="12" t="s">
        <v>621</v>
      </c>
      <c r="P518" s="12" t="s">
        <v>31</v>
      </c>
      <c r="Q518" s="205" t="s">
        <v>32</v>
      </c>
      <c r="R518" s="141" t="s">
        <v>33</v>
      </c>
      <c r="S518" s="206" t="s">
        <v>1503</v>
      </c>
      <c r="T518" s="207">
        <v>36651</v>
      </c>
      <c r="U518" s="206" t="s">
        <v>1506</v>
      </c>
      <c r="V518" s="208" t="s">
        <v>3833</v>
      </c>
      <c r="W518" s="209">
        <v>720745</v>
      </c>
    </row>
    <row r="519" spans="1:23" ht="22.5" customHeight="1">
      <c r="A519" s="137">
        <v>46151.622414745369</v>
      </c>
      <c r="B519" s="12" t="s">
        <v>3834</v>
      </c>
      <c r="D519" s="12" t="s">
        <v>24</v>
      </c>
      <c r="E519" s="138">
        <v>38508</v>
      </c>
      <c r="F519" s="12" t="s">
        <v>980</v>
      </c>
      <c r="G519" s="12" t="s">
        <v>3835</v>
      </c>
      <c r="H519" s="12" t="s">
        <v>3042</v>
      </c>
      <c r="I519" s="6" t="str">
        <f>VLOOKUP(CLEAN(F519),'World Bank Categories'!$B$4:$C$220,2,FALSE)</f>
        <v>Middle income</v>
      </c>
      <c r="J519" s="12" t="s">
        <v>1078</v>
      </c>
      <c r="K519" s="12" t="s">
        <v>39</v>
      </c>
      <c r="L519" s="12" t="s">
        <v>621</v>
      </c>
      <c r="P519" s="12" t="s">
        <v>31</v>
      </c>
      <c r="Q519" s="205" t="s">
        <v>32</v>
      </c>
      <c r="R519" s="141" t="s">
        <v>33</v>
      </c>
      <c r="S519" s="206" t="s">
        <v>1077</v>
      </c>
      <c r="T519" s="207">
        <v>38508</v>
      </c>
      <c r="U519" s="206" t="s">
        <v>1078</v>
      </c>
      <c r="V519" s="208" t="s">
        <v>3836</v>
      </c>
      <c r="W519" s="209">
        <v>720791</v>
      </c>
    </row>
    <row r="520" spans="1:23" ht="22.5" customHeight="1">
      <c r="A520" s="137">
        <v>46151.627967685185</v>
      </c>
      <c r="B520" s="12" t="s">
        <v>3837</v>
      </c>
      <c r="D520" s="12" t="s">
        <v>45</v>
      </c>
      <c r="E520" s="138">
        <v>38977</v>
      </c>
      <c r="F520" s="12" t="s">
        <v>980</v>
      </c>
      <c r="G520" s="12" t="s">
        <v>3838</v>
      </c>
      <c r="H520" s="12" t="s">
        <v>66</v>
      </c>
      <c r="I520" s="6" t="str">
        <f>VLOOKUP(CLEAN(F520),'World Bank Categories'!$B$4:$C$220,2,FALSE)</f>
        <v>Middle income</v>
      </c>
      <c r="J520" s="12" t="s">
        <v>1076</v>
      </c>
      <c r="K520" s="12" t="s">
        <v>39</v>
      </c>
      <c r="L520" s="12" t="s">
        <v>621</v>
      </c>
      <c r="P520" s="12" t="s">
        <v>31</v>
      </c>
      <c r="Q520" s="205" t="s">
        <v>32</v>
      </c>
      <c r="R520" s="141" t="s">
        <v>33</v>
      </c>
      <c r="S520" s="206" t="s">
        <v>1074</v>
      </c>
      <c r="T520" s="207">
        <v>38977</v>
      </c>
      <c r="U520" s="206" t="s">
        <v>3839</v>
      </c>
      <c r="V520" s="208" t="s">
        <v>3840</v>
      </c>
      <c r="W520" s="209">
        <v>720793</v>
      </c>
    </row>
    <row r="521" spans="1:23" ht="22.5" customHeight="1">
      <c r="A521" s="137">
        <v>46151.628285949075</v>
      </c>
      <c r="B521" s="12" t="s">
        <v>3841</v>
      </c>
      <c r="D521" s="12" t="s">
        <v>24</v>
      </c>
      <c r="E521" s="138">
        <v>38389</v>
      </c>
      <c r="F521" s="12" t="s">
        <v>980</v>
      </c>
      <c r="G521" s="12" t="s">
        <v>1072</v>
      </c>
      <c r="H521" s="12" t="s">
        <v>66</v>
      </c>
      <c r="I521" s="6" t="str">
        <f>VLOOKUP(CLEAN(F521),'World Bank Categories'!$B$4:$C$220,2,FALSE)</f>
        <v>Middle income</v>
      </c>
      <c r="J521" s="12" t="s">
        <v>1073</v>
      </c>
      <c r="K521" s="12" t="s">
        <v>39</v>
      </c>
      <c r="L521" s="12" t="s">
        <v>621</v>
      </c>
      <c r="P521" s="12" t="s">
        <v>31</v>
      </c>
      <c r="Q521" s="205" t="s">
        <v>32</v>
      </c>
      <c r="R521" s="141" t="s">
        <v>33</v>
      </c>
      <c r="S521" s="206" t="s">
        <v>1071</v>
      </c>
      <c r="T521" s="207">
        <v>38389</v>
      </c>
      <c r="U521" s="206" t="s">
        <v>1073</v>
      </c>
      <c r="V521" s="208" t="s">
        <v>3842</v>
      </c>
      <c r="W521" s="209">
        <v>720790</v>
      </c>
    </row>
    <row r="522" spans="1:23" ht="22.5" customHeight="1">
      <c r="A522" s="137">
        <v>46151.641354120366</v>
      </c>
      <c r="B522" s="12" t="s">
        <v>3843</v>
      </c>
      <c r="D522" s="12" t="s">
        <v>45</v>
      </c>
      <c r="E522" s="138">
        <v>37916</v>
      </c>
      <c r="F522" s="12" t="s">
        <v>980</v>
      </c>
      <c r="G522" s="12" t="s">
        <v>999</v>
      </c>
      <c r="H522" s="12" t="s">
        <v>3042</v>
      </c>
      <c r="I522" s="6" t="str">
        <f>VLOOKUP(CLEAN(F522),'World Bank Categories'!$B$4:$C$220,2,FALSE)</f>
        <v>Middle income</v>
      </c>
      <c r="J522" s="12" t="s">
        <v>3844</v>
      </c>
      <c r="K522" s="12" t="s">
        <v>39</v>
      </c>
      <c r="L522" s="12" t="s">
        <v>621</v>
      </c>
      <c r="M522" s="12" t="s">
        <v>3845</v>
      </c>
      <c r="P522" s="12" t="s">
        <v>31</v>
      </c>
      <c r="Q522" s="205" t="s">
        <v>32</v>
      </c>
      <c r="R522" s="141" t="s">
        <v>33</v>
      </c>
      <c r="S522" s="206" t="s">
        <v>3846</v>
      </c>
      <c r="T522" s="207">
        <v>37916</v>
      </c>
      <c r="U522" s="206" t="s">
        <v>3844</v>
      </c>
      <c r="V522" s="208" t="s">
        <v>3847</v>
      </c>
      <c r="W522" s="209">
        <v>720786</v>
      </c>
    </row>
    <row r="523" spans="1:23" ht="22.5" customHeight="1">
      <c r="A523" s="137">
        <v>46151.701618263891</v>
      </c>
      <c r="B523" s="12" t="s">
        <v>3848</v>
      </c>
      <c r="D523" s="12" t="s">
        <v>24</v>
      </c>
      <c r="E523" s="138">
        <v>32725</v>
      </c>
      <c r="F523" s="12" t="s">
        <v>232</v>
      </c>
      <c r="G523" s="12" t="s">
        <v>3849</v>
      </c>
      <c r="H523" s="12" t="s">
        <v>186</v>
      </c>
      <c r="I523" s="6" t="str">
        <f>VLOOKUP(CLEAN(F523),'World Bank Categories'!$B$4:$C$220,2,FALSE)</f>
        <v>Middle income</v>
      </c>
      <c r="J523" s="12" t="s">
        <v>3850</v>
      </c>
      <c r="K523" s="12" t="s">
        <v>29</v>
      </c>
      <c r="L523" s="12" t="s">
        <v>30</v>
      </c>
      <c r="P523" s="12" t="s">
        <v>31</v>
      </c>
      <c r="Q523" s="205" t="s">
        <v>32</v>
      </c>
      <c r="R523" s="141" t="s">
        <v>43</v>
      </c>
      <c r="S523" s="206" t="s">
        <v>3851</v>
      </c>
      <c r="T523" s="207">
        <v>32725</v>
      </c>
      <c r="U523" s="206" t="s">
        <v>3850</v>
      </c>
      <c r="V523" s="208" t="s">
        <v>3852</v>
      </c>
      <c r="W523" s="209">
        <v>722117</v>
      </c>
    </row>
    <row r="524" spans="1:23" ht="22.5" customHeight="1">
      <c r="A524" s="137">
        <v>46151.771242974537</v>
      </c>
      <c r="B524" s="12" t="s">
        <v>1012</v>
      </c>
      <c r="D524" s="12" t="s">
        <v>24</v>
      </c>
      <c r="E524" s="138">
        <v>38619</v>
      </c>
      <c r="F524" s="12" t="s">
        <v>980</v>
      </c>
      <c r="G524" s="12" t="s">
        <v>1504</v>
      </c>
      <c r="H524" s="12" t="s">
        <v>66</v>
      </c>
      <c r="I524" s="6" t="str">
        <f>VLOOKUP(CLEAN(F524),'World Bank Categories'!$B$4:$C$220,2,FALSE)</f>
        <v>Middle income</v>
      </c>
      <c r="J524" s="12" t="s">
        <v>1015</v>
      </c>
      <c r="K524" s="12" t="s">
        <v>39</v>
      </c>
      <c r="L524" s="12" t="s">
        <v>621</v>
      </c>
      <c r="M524" s="12" t="s">
        <v>3853</v>
      </c>
      <c r="P524" s="12" t="s">
        <v>31</v>
      </c>
      <c r="Q524" s="205" t="s">
        <v>32</v>
      </c>
      <c r="R524" s="141" t="s">
        <v>33</v>
      </c>
      <c r="S524" s="206" t="s">
        <v>1017</v>
      </c>
      <c r="T524" s="207">
        <v>38619</v>
      </c>
      <c r="U524" s="206" t="s">
        <v>1015</v>
      </c>
      <c r="V524" s="208" t="s">
        <v>3854</v>
      </c>
      <c r="W524" s="209">
        <v>720726</v>
      </c>
    </row>
    <row r="525" spans="1:23" ht="22.5" customHeight="1">
      <c r="A525" s="137">
        <v>46151.889645428237</v>
      </c>
      <c r="B525" s="12" t="s">
        <v>3855</v>
      </c>
      <c r="D525" s="12" t="s">
        <v>24</v>
      </c>
      <c r="E525" s="138">
        <v>37925</v>
      </c>
      <c r="F525" s="12" t="s">
        <v>980</v>
      </c>
      <c r="G525" s="12" t="s">
        <v>3856</v>
      </c>
      <c r="H525" s="12" t="s">
        <v>3042</v>
      </c>
      <c r="I525" s="6" t="str">
        <f>VLOOKUP(CLEAN(F525),'World Bank Categories'!$B$4:$C$220,2,FALSE)</f>
        <v>Middle income</v>
      </c>
      <c r="J525" s="12" t="s">
        <v>3857</v>
      </c>
      <c r="K525" s="12" t="s">
        <v>39</v>
      </c>
      <c r="L525" s="12" t="s">
        <v>621</v>
      </c>
      <c r="P525" s="12" t="s">
        <v>31</v>
      </c>
      <c r="Q525" s="205" t="s">
        <v>32</v>
      </c>
      <c r="R525" s="141" t="s">
        <v>33</v>
      </c>
      <c r="S525" s="206" t="s">
        <v>3855</v>
      </c>
      <c r="T525" s="207">
        <v>37925</v>
      </c>
      <c r="U525" s="206" t="s">
        <v>3857</v>
      </c>
      <c r="V525" s="208" t="s">
        <v>3858</v>
      </c>
      <c r="W525" s="209">
        <v>722013</v>
      </c>
    </row>
    <row r="526" spans="1:23" ht="22.5" customHeight="1">
      <c r="A526" s="137">
        <v>46152.146536099535</v>
      </c>
      <c r="B526" s="12" t="s">
        <v>3863</v>
      </c>
      <c r="D526" s="12" t="s">
        <v>24</v>
      </c>
      <c r="E526" s="138">
        <v>35790</v>
      </c>
      <c r="F526" s="12" t="s">
        <v>52</v>
      </c>
      <c r="G526" s="12" t="s">
        <v>3864</v>
      </c>
      <c r="H526" s="12" t="s">
        <v>3865</v>
      </c>
      <c r="I526" s="6" t="str">
        <f>VLOOKUP(CLEAN(F526),'World Bank Categories'!$B$4:$C$220,2,FALSE)</f>
        <v>Middle income</v>
      </c>
      <c r="J526" s="12" t="s">
        <v>1344</v>
      </c>
      <c r="K526" s="12" t="s">
        <v>39</v>
      </c>
      <c r="L526" s="12" t="s">
        <v>30</v>
      </c>
      <c r="P526" s="12" t="s">
        <v>31</v>
      </c>
      <c r="Q526" s="205" t="s">
        <v>32</v>
      </c>
      <c r="R526" s="141" t="s">
        <v>33</v>
      </c>
      <c r="S526" s="206" t="s">
        <v>1341</v>
      </c>
      <c r="T526" s="207">
        <v>35790</v>
      </c>
      <c r="U526" s="206" t="s">
        <v>1344</v>
      </c>
      <c r="V526" s="208" t="s">
        <v>3866</v>
      </c>
      <c r="W526" s="209">
        <v>720147</v>
      </c>
    </row>
    <row r="527" spans="1:23" ht="22.5" customHeight="1">
      <c r="A527" s="137">
        <v>46152.175497974538</v>
      </c>
      <c r="B527" s="12" t="s">
        <v>3867</v>
      </c>
      <c r="C527" s="12" t="s">
        <v>3867</v>
      </c>
      <c r="D527" s="12" t="s">
        <v>24</v>
      </c>
      <c r="E527" s="138">
        <v>35167</v>
      </c>
      <c r="F527" s="12" t="s">
        <v>232</v>
      </c>
      <c r="G527" s="12" t="s">
        <v>3868</v>
      </c>
      <c r="H527" s="12" t="s">
        <v>186</v>
      </c>
      <c r="I527" s="6" t="str">
        <f>VLOOKUP(CLEAN(F527),'World Bank Categories'!$B$4:$C$220,2,FALSE)</f>
        <v>Middle income</v>
      </c>
      <c r="J527" s="12" t="s">
        <v>3869</v>
      </c>
      <c r="K527" s="12" t="s">
        <v>29</v>
      </c>
      <c r="L527" s="143" t="s">
        <v>656</v>
      </c>
      <c r="P527" s="12" t="s">
        <v>31</v>
      </c>
      <c r="Q527" s="205" t="s">
        <v>32</v>
      </c>
      <c r="R527" s="141" t="s">
        <v>43</v>
      </c>
      <c r="S527" s="206" t="s">
        <v>3870</v>
      </c>
      <c r="T527" s="207">
        <v>35167</v>
      </c>
      <c r="U527" s="206" t="s">
        <v>3869</v>
      </c>
      <c r="V527" s="208" t="s">
        <v>3871</v>
      </c>
      <c r="W527" s="209">
        <v>720357</v>
      </c>
    </row>
    <row r="528" spans="1:23" ht="22.5" customHeight="1">
      <c r="A528" s="137">
        <v>46152.568503368057</v>
      </c>
      <c r="B528" s="12" t="s">
        <v>3872</v>
      </c>
      <c r="D528" s="12" t="s">
        <v>24</v>
      </c>
      <c r="E528" s="138">
        <v>37385</v>
      </c>
      <c r="F528" s="12" t="s">
        <v>416</v>
      </c>
      <c r="G528" s="12" t="s">
        <v>3873</v>
      </c>
      <c r="H528" s="12" t="s">
        <v>3537</v>
      </c>
      <c r="I528" s="6" t="str">
        <f>VLOOKUP(CLEAN(F528),'World Bank Categories'!$B$4:$C$220,2,FALSE)</f>
        <v>Middle income</v>
      </c>
      <c r="J528" s="12" t="s">
        <v>3874</v>
      </c>
      <c r="K528" s="12" t="s">
        <v>29</v>
      </c>
      <c r="L528" s="12" t="s">
        <v>162</v>
      </c>
      <c r="P528" s="12" t="s">
        <v>31</v>
      </c>
      <c r="Q528" s="205" t="s">
        <v>32</v>
      </c>
      <c r="R528" s="141" t="s">
        <v>33</v>
      </c>
      <c r="S528" s="206" t="s">
        <v>3875</v>
      </c>
      <c r="T528" s="207">
        <v>37385</v>
      </c>
      <c r="U528" s="206" t="s">
        <v>3874</v>
      </c>
      <c r="V528" s="208" t="s">
        <v>3876</v>
      </c>
      <c r="W528" s="209">
        <v>723763</v>
      </c>
    </row>
    <row r="529" spans="1:23" ht="22.5" customHeight="1">
      <c r="A529" s="137">
        <v>46153.384796608792</v>
      </c>
      <c r="B529" s="12" t="s">
        <v>3877</v>
      </c>
      <c r="D529" s="12" t="s">
        <v>24</v>
      </c>
      <c r="E529" s="138">
        <v>36268</v>
      </c>
      <c r="F529" s="12" t="s">
        <v>232</v>
      </c>
      <c r="G529" s="12" t="s">
        <v>3878</v>
      </c>
      <c r="H529" s="12" t="s">
        <v>186</v>
      </c>
      <c r="I529" s="6" t="str">
        <f>VLOOKUP(CLEAN(F529),'World Bank Categories'!$B$4:$C$220,2,FALSE)</f>
        <v>Middle income</v>
      </c>
      <c r="J529" s="12" t="s">
        <v>3803</v>
      </c>
      <c r="K529" s="12" t="s">
        <v>39</v>
      </c>
      <c r="L529" s="12" t="s">
        <v>621</v>
      </c>
      <c r="P529" s="12" t="s">
        <v>31</v>
      </c>
      <c r="Q529" s="205" t="s">
        <v>32</v>
      </c>
      <c r="R529" s="141" t="s">
        <v>43</v>
      </c>
      <c r="S529" s="206" t="s">
        <v>3804</v>
      </c>
      <c r="T529" s="207">
        <v>36268</v>
      </c>
      <c r="U529" s="206" t="s">
        <v>3803</v>
      </c>
      <c r="V529" s="208" t="s">
        <v>3879</v>
      </c>
      <c r="W529" s="209">
        <v>720417</v>
      </c>
    </row>
    <row r="530" spans="1:23" ht="22.5" customHeight="1">
      <c r="A530" s="137">
        <v>46153.702930949075</v>
      </c>
      <c r="B530" s="12" t="s">
        <v>3880</v>
      </c>
      <c r="D530" s="12" t="s">
        <v>45</v>
      </c>
      <c r="E530" s="138">
        <v>31693</v>
      </c>
      <c r="F530" s="12" t="s">
        <v>3881</v>
      </c>
      <c r="G530" s="12" t="s">
        <v>3882</v>
      </c>
      <c r="H530" s="12" t="s">
        <v>3883</v>
      </c>
      <c r="I530" s="6" t="str">
        <f>VLOOKUP(CLEAN(F530),'World Bank Categories'!$B$4:$C$220,2,FALSE)</f>
        <v>Middle income</v>
      </c>
      <c r="J530" s="12" t="s">
        <v>3884</v>
      </c>
      <c r="K530" s="12" t="s">
        <v>29</v>
      </c>
      <c r="L530" s="143" t="s">
        <v>656</v>
      </c>
      <c r="P530" s="12" t="s">
        <v>31</v>
      </c>
      <c r="Q530" s="205" t="s">
        <v>32</v>
      </c>
      <c r="R530" s="141" t="s">
        <v>33</v>
      </c>
      <c r="S530" s="206" t="s">
        <v>3885</v>
      </c>
      <c r="T530" s="207">
        <v>31693</v>
      </c>
      <c r="U530" s="206" t="s">
        <v>3884</v>
      </c>
      <c r="V530" s="208" t="s">
        <v>3886</v>
      </c>
      <c r="W530" s="209">
        <v>724953</v>
      </c>
    </row>
    <row r="531" spans="1:23" ht="22.5" customHeight="1">
      <c r="A531" s="137">
        <v>46154.057428182874</v>
      </c>
      <c r="B531" s="12" t="s">
        <v>3610</v>
      </c>
      <c r="D531" s="12" t="s">
        <v>24</v>
      </c>
      <c r="E531" s="138">
        <v>16387</v>
      </c>
      <c r="F531" s="12" t="s">
        <v>198</v>
      </c>
      <c r="G531" s="12" t="s">
        <v>586</v>
      </c>
      <c r="H531" s="12" t="s">
        <v>3891</v>
      </c>
      <c r="I531" s="6" t="str">
        <f>VLOOKUP(CLEAN(F531),'World Bank Categories'!$B$4:$C$220,2,FALSE)</f>
        <v>Middle income</v>
      </c>
      <c r="J531" s="12" t="s">
        <v>2658</v>
      </c>
      <c r="K531" s="12" t="s">
        <v>29</v>
      </c>
      <c r="L531" s="12" t="s">
        <v>30</v>
      </c>
      <c r="M531" s="12" t="s">
        <v>3892</v>
      </c>
      <c r="P531" s="12" t="s">
        <v>31</v>
      </c>
      <c r="Q531" s="213" t="s">
        <v>32</v>
      </c>
      <c r="R531" s="141" t="s">
        <v>43</v>
      </c>
      <c r="S531" s="206" t="s">
        <v>3610</v>
      </c>
      <c r="T531" s="207">
        <v>16387</v>
      </c>
      <c r="U531" s="206" t="s">
        <v>2658</v>
      </c>
      <c r="V531" s="208" t="s">
        <v>3893</v>
      </c>
      <c r="W531" s="209">
        <v>720843</v>
      </c>
    </row>
    <row r="532" spans="1:23" ht="22.5" customHeight="1">
      <c r="A532" s="137">
        <v>46154.426144351848</v>
      </c>
      <c r="B532" s="12" t="s">
        <v>688</v>
      </c>
      <c r="D532" s="12" t="s">
        <v>45</v>
      </c>
      <c r="E532" s="138">
        <v>35712</v>
      </c>
      <c r="F532" s="12" t="s">
        <v>64</v>
      </c>
      <c r="G532" s="12" t="s">
        <v>3894</v>
      </c>
      <c r="H532" s="12" t="s">
        <v>90</v>
      </c>
      <c r="I532" s="6" t="str">
        <f>VLOOKUP(CLEAN(F532),'World Bank Categories'!$B$4:$C$220,2,FALSE)</f>
        <v>Middle income</v>
      </c>
      <c r="J532" s="12" t="s">
        <v>690</v>
      </c>
      <c r="K532" s="12" t="s">
        <v>29</v>
      </c>
      <c r="L532" s="12" t="s">
        <v>30</v>
      </c>
      <c r="P532" s="12" t="s">
        <v>31</v>
      </c>
      <c r="Q532" s="205" t="s">
        <v>32</v>
      </c>
      <c r="R532" s="141" t="s">
        <v>33</v>
      </c>
      <c r="S532" s="206" t="s">
        <v>691</v>
      </c>
      <c r="T532" s="207">
        <v>35712</v>
      </c>
      <c r="U532" s="206" t="s">
        <v>690</v>
      </c>
      <c r="V532" s="208" t="s">
        <v>3895</v>
      </c>
      <c r="W532" s="209">
        <v>719335</v>
      </c>
    </row>
    <row r="533" spans="1:23" ht="22.5" customHeight="1">
      <c r="A533" s="137">
        <v>46154.659780254631</v>
      </c>
      <c r="B533" s="12" t="s">
        <v>3896</v>
      </c>
      <c r="D533" s="12" t="s">
        <v>45</v>
      </c>
      <c r="E533" s="138">
        <v>36011</v>
      </c>
      <c r="F533" s="12" t="s">
        <v>980</v>
      </c>
      <c r="G533" s="12" t="s">
        <v>3897</v>
      </c>
      <c r="H533" s="12" t="s">
        <v>111</v>
      </c>
      <c r="I533" s="6" t="str">
        <f>VLOOKUP(CLEAN(F533),'World Bank Categories'!$B$4:$C$220,2,FALSE)</f>
        <v>Middle income</v>
      </c>
      <c r="J533" s="12" t="s">
        <v>3898</v>
      </c>
      <c r="K533" s="12" t="s">
        <v>39</v>
      </c>
      <c r="L533" s="12" t="s">
        <v>621</v>
      </c>
      <c r="P533" s="12" t="s">
        <v>31</v>
      </c>
      <c r="Q533" s="205" t="s">
        <v>32</v>
      </c>
      <c r="R533" s="141" t="s">
        <v>33</v>
      </c>
      <c r="S533" s="206" t="s">
        <v>3899</v>
      </c>
      <c r="T533" s="207">
        <v>32359</v>
      </c>
      <c r="U533" s="206" t="s">
        <v>3898</v>
      </c>
      <c r="V533" s="208" t="s">
        <v>3900</v>
      </c>
      <c r="W533" s="209">
        <v>720714</v>
      </c>
    </row>
    <row r="534" spans="1:23" ht="22.5" customHeight="1">
      <c r="A534" s="137">
        <v>46154.861963472227</v>
      </c>
      <c r="B534" s="12" t="s">
        <v>1823</v>
      </c>
      <c r="D534" s="12" t="s">
        <v>45</v>
      </c>
      <c r="E534" s="138">
        <v>34163</v>
      </c>
      <c r="F534" s="12" t="s">
        <v>198</v>
      </c>
      <c r="G534" s="12" t="s">
        <v>3903</v>
      </c>
      <c r="H534" s="12" t="s">
        <v>111</v>
      </c>
      <c r="I534" s="6" t="str">
        <f>VLOOKUP(CLEAN(F534),'World Bank Categories'!$B$4:$C$220,2,FALSE)</f>
        <v>Middle income</v>
      </c>
      <c r="J534" s="12" t="s">
        <v>1822</v>
      </c>
      <c r="K534" s="12" t="s">
        <v>29</v>
      </c>
      <c r="L534" s="12" t="s">
        <v>30</v>
      </c>
      <c r="P534" s="12" t="s">
        <v>31</v>
      </c>
      <c r="Q534" s="205" t="s">
        <v>32</v>
      </c>
      <c r="R534" s="141" t="s">
        <v>33</v>
      </c>
      <c r="S534" s="206" t="s">
        <v>1823</v>
      </c>
      <c r="T534" s="207">
        <v>34163</v>
      </c>
      <c r="U534" s="206" t="s">
        <v>1822</v>
      </c>
      <c r="V534" s="208" t="s">
        <v>3904</v>
      </c>
      <c r="W534" s="209">
        <v>720754</v>
      </c>
    </row>
    <row r="535" spans="1:23" ht="22.5" customHeight="1">
      <c r="A535" s="137">
        <v>46154.914817523153</v>
      </c>
      <c r="B535" s="12" t="s">
        <v>3905</v>
      </c>
      <c r="D535" s="12" t="s">
        <v>24</v>
      </c>
      <c r="E535" s="138">
        <v>37378</v>
      </c>
      <c r="F535" s="12" t="s">
        <v>64</v>
      </c>
      <c r="G535" s="12" t="s">
        <v>3906</v>
      </c>
      <c r="H535" s="12" t="s">
        <v>1941</v>
      </c>
      <c r="I535" s="6" t="str">
        <f>VLOOKUP(CLEAN(F535),'World Bank Categories'!$B$4:$C$220,2,FALSE)</f>
        <v>Middle income</v>
      </c>
      <c r="J535" s="12" t="s">
        <v>1942</v>
      </c>
      <c r="K535" s="12" t="s">
        <v>29</v>
      </c>
      <c r="L535" s="12" t="s">
        <v>30</v>
      </c>
      <c r="P535" s="12" t="s">
        <v>31</v>
      </c>
      <c r="Q535" s="205" t="s">
        <v>32</v>
      </c>
      <c r="R535" s="141" t="s">
        <v>33</v>
      </c>
      <c r="S535" s="206" t="s">
        <v>1943</v>
      </c>
      <c r="T535" s="207">
        <v>37378</v>
      </c>
      <c r="U535" s="206" t="s">
        <v>1942</v>
      </c>
      <c r="V535" s="208" t="s">
        <v>3907</v>
      </c>
      <c r="W535" s="209">
        <v>719869</v>
      </c>
    </row>
    <row r="536" spans="1:23" ht="22.5" customHeight="1">
      <c r="A536" s="137">
        <v>46155.362145624997</v>
      </c>
      <c r="B536" s="12" t="s">
        <v>3918</v>
      </c>
      <c r="C536" s="12" t="s">
        <v>3919</v>
      </c>
      <c r="D536" s="12" t="s">
        <v>24</v>
      </c>
      <c r="E536" s="138">
        <v>38355</v>
      </c>
      <c r="F536" s="12" t="s">
        <v>1053</v>
      </c>
      <c r="G536" s="12" t="s">
        <v>3920</v>
      </c>
      <c r="H536" s="12" t="s">
        <v>3921</v>
      </c>
      <c r="I536" s="6" t="str">
        <f>VLOOKUP(CLEAN(F536),'World Bank Categories'!$B$4:$C$220,2,FALSE)</f>
        <v>High income</v>
      </c>
      <c r="J536" s="12" t="s">
        <v>3922</v>
      </c>
      <c r="K536" s="12" t="s">
        <v>39</v>
      </c>
      <c r="L536" s="12" t="s">
        <v>621</v>
      </c>
      <c r="P536" s="12" t="s">
        <v>31</v>
      </c>
      <c r="Q536" s="205" t="s">
        <v>32</v>
      </c>
      <c r="R536" s="141" t="s">
        <v>43</v>
      </c>
      <c r="S536" s="206" t="s">
        <v>3918</v>
      </c>
      <c r="T536" s="207">
        <v>38355</v>
      </c>
      <c r="U536" s="206" t="s">
        <v>3922</v>
      </c>
      <c r="V536" s="208" t="s">
        <v>3923</v>
      </c>
      <c r="W536" s="209">
        <v>722459</v>
      </c>
    </row>
    <row r="537" spans="1:23" ht="22.5" customHeight="1">
      <c r="A537" s="137">
        <v>46155.380244571759</v>
      </c>
      <c r="B537" s="12" t="s">
        <v>3924</v>
      </c>
      <c r="C537" s="12" t="s">
        <v>3925</v>
      </c>
      <c r="D537" s="12" t="s">
        <v>24</v>
      </c>
      <c r="E537" s="138">
        <v>38648</v>
      </c>
      <c r="F537" s="12" t="s">
        <v>1053</v>
      </c>
      <c r="G537" s="12" t="s">
        <v>3926</v>
      </c>
      <c r="H537" s="12" t="s">
        <v>66</v>
      </c>
      <c r="I537" s="6" t="str">
        <f>VLOOKUP(CLEAN(F537),'World Bank Categories'!$B$4:$C$220,2,FALSE)</f>
        <v>High income</v>
      </c>
      <c r="J537" s="12" t="s">
        <v>3927</v>
      </c>
      <c r="K537" s="12" t="s">
        <v>29</v>
      </c>
      <c r="L537" s="12" t="s">
        <v>162</v>
      </c>
      <c r="P537" s="12" t="s">
        <v>31</v>
      </c>
      <c r="Q537" s="205" t="s">
        <v>32</v>
      </c>
      <c r="R537" s="141" t="s">
        <v>43</v>
      </c>
      <c r="S537" s="206" t="s">
        <v>3928</v>
      </c>
      <c r="T537" s="207">
        <v>38648</v>
      </c>
      <c r="U537" s="206" t="s">
        <v>3927</v>
      </c>
      <c r="V537" s="208" t="s">
        <v>3929</v>
      </c>
      <c r="W537" s="209">
        <v>721804</v>
      </c>
    </row>
    <row r="538" spans="1:23" ht="22.5" customHeight="1">
      <c r="A538" s="137">
        <v>46155.542550439815</v>
      </c>
      <c r="B538" s="12" t="s">
        <v>3786</v>
      </c>
      <c r="D538" s="12" t="s">
        <v>45</v>
      </c>
      <c r="E538" s="138">
        <v>37198</v>
      </c>
      <c r="F538" s="12" t="s">
        <v>416</v>
      </c>
      <c r="G538" s="12" t="s">
        <v>3930</v>
      </c>
      <c r="H538" s="12" t="s">
        <v>530</v>
      </c>
      <c r="I538" s="6" t="str">
        <f>VLOOKUP(CLEAN(F538),'World Bank Categories'!$B$4:$C$220,2,FALSE)</f>
        <v>Middle income</v>
      </c>
      <c r="J538" s="12" t="s">
        <v>3788</v>
      </c>
      <c r="K538" s="12" t="s">
        <v>39</v>
      </c>
      <c r="L538" s="12" t="s">
        <v>152</v>
      </c>
      <c r="P538" s="12" t="s">
        <v>31</v>
      </c>
      <c r="Q538" s="205" t="s">
        <v>32</v>
      </c>
      <c r="R538" s="141" t="s">
        <v>33</v>
      </c>
      <c r="S538" s="206" t="s">
        <v>3786</v>
      </c>
      <c r="T538" s="207">
        <v>37198</v>
      </c>
      <c r="U538" s="206" t="s">
        <v>3788</v>
      </c>
      <c r="V538" s="208" t="s">
        <v>3789</v>
      </c>
      <c r="W538" s="209">
        <v>723760</v>
      </c>
    </row>
    <row r="539" spans="1:23" ht="22.5" customHeight="1">
      <c r="A539" s="137">
        <v>46155.571707673611</v>
      </c>
      <c r="B539" s="12" t="s">
        <v>3931</v>
      </c>
      <c r="D539" s="12" t="s">
        <v>24</v>
      </c>
      <c r="E539" s="138">
        <v>37389</v>
      </c>
      <c r="F539" s="12" t="s">
        <v>416</v>
      </c>
      <c r="G539" s="12" t="s">
        <v>3873</v>
      </c>
      <c r="H539" s="12" t="s">
        <v>3932</v>
      </c>
      <c r="I539" s="6" t="str">
        <f>VLOOKUP(CLEAN(F539),'World Bank Categories'!$B$4:$C$220,2,FALSE)</f>
        <v>Middle income</v>
      </c>
      <c r="J539" s="12" t="s">
        <v>3874</v>
      </c>
      <c r="K539" s="12" t="s">
        <v>39</v>
      </c>
      <c r="L539" s="12" t="s">
        <v>162</v>
      </c>
      <c r="P539" s="12" t="s">
        <v>31</v>
      </c>
      <c r="Q539" s="205" t="s">
        <v>32</v>
      </c>
      <c r="R539" s="141" t="s">
        <v>33</v>
      </c>
      <c r="S539" s="206" t="s">
        <v>3875</v>
      </c>
      <c r="T539" s="207">
        <v>37385</v>
      </c>
      <c r="U539" s="206" t="s">
        <v>3874</v>
      </c>
      <c r="V539" s="208" t="s">
        <v>3933</v>
      </c>
      <c r="W539" s="209">
        <v>723763</v>
      </c>
    </row>
    <row r="540" spans="1:23" ht="22.5" customHeight="1">
      <c r="A540" s="218">
        <v>46155.224063946764</v>
      </c>
      <c r="B540" s="219" t="s">
        <v>352</v>
      </c>
      <c r="C540" s="221"/>
      <c r="D540" s="219" t="s">
        <v>24</v>
      </c>
      <c r="E540" s="220">
        <v>30328</v>
      </c>
      <c r="F540" s="219" t="s">
        <v>3934</v>
      </c>
      <c r="G540" s="219" t="s">
        <v>3935</v>
      </c>
      <c r="H540" s="219" t="s">
        <v>3936</v>
      </c>
      <c r="I540" s="219" t="s">
        <v>3598</v>
      </c>
      <c r="J540" s="219" t="s">
        <v>3937</v>
      </c>
      <c r="K540" s="219" t="s">
        <v>29</v>
      </c>
      <c r="L540" s="219" t="s">
        <v>30</v>
      </c>
      <c r="M540" s="219" t="s">
        <v>3938</v>
      </c>
      <c r="N540" s="219"/>
      <c r="O540" s="221"/>
      <c r="P540" s="221"/>
      <c r="Q540" s="213" t="s">
        <v>32</v>
      </c>
      <c r="R540" s="141" t="s">
        <v>33</v>
      </c>
      <c r="S540" s="206" t="s">
        <v>358</v>
      </c>
      <c r="T540" s="207">
        <v>30328</v>
      </c>
      <c r="U540" s="223" t="s">
        <v>355</v>
      </c>
      <c r="V540" s="224" t="s">
        <v>3939</v>
      </c>
      <c r="W540" s="209">
        <v>720001</v>
      </c>
    </row>
    <row r="541" spans="1:23" ht="22.5" customHeight="1">
      <c r="A541" s="137">
        <v>46156.598980324074</v>
      </c>
      <c r="B541" s="12" t="s">
        <v>3940</v>
      </c>
      <c r="D541" s="12" t="s">
        <v>24</v>
      </c>
      <c r="E541" s="138">
        <v>21981</v>
      </c>
      <c r="F541" s="12" t="s">
        <v>1063</v>
      </c>
      <c r="G541" s="12" t="s">
        <v>3941</v>
      </c>
      <c r="H541" s="12" t="s">
        <v>3942</v>
      </c>
      <c r="I541" s="6" t="str">
        <f>VLOOKUP(CLEAN(F541),'World Bank Categories'!$B$4:$C$220,2,FALSE)</f>
        <v>Middle income</v>
      </c>
      <c r="J541" s="12" t="s">
        <v>3943</v>
      </c>
      <c r="K541" s="12" t="s">
        <v>29</v>
      </c>
      <c r="L541" s="12" t="s">
        <v>30</v>
      </c>
      <c r="P541" s="12" t="s">
        <v>31</v>
      </c>
      <c r="Q541" s="205" t="s">
        <v>32</v>
      </c>
      <c r="R541" s="141" t="s">
        <v>33</v>
      </c>
      <c r="S541" s="206" t="s">
        <v>3940</v>
      </c>
      <c r="T541" s="207">
        <v>21981</v>
      </c>
      <c r="U541" s="206" t="s">
        <v>3944</v>
      </c>
      <c r="V541" s="208" t="s">
        <v>3945</v>
      </c>
      <c r="W541" s="209">
        <v>719802</v>
      </c>
    </row>
    <row r="542" spans="1:23" ht="22.5" customHeight="1">
      <c r="A542" s="137">
        <v>46157.041112210645</v>
      </c>
      <c r="B542" s="12" t="s">
        <v>3946</v>
      </c>
      <c r="D542" s="12" t="s">
        <v>24</v>
      </c>
      <c r="E542" s="138">
        <v>23332</v>
      </c>
      <c r="F542" s="12" t="s">
        <v>2246</v>
      </c>
      <c r="G542" s="12" t="s">
        <v>3947</v>
      </c>
      <c r="H542" s="12" t="s">
        <v>3948</v>
      </c>
      <c r="I542" s="6" t="str">
        <f>VLOOKUP(CLEAN(F542),'World Bank Categories'!$B$4:$C$220,2,FALSE)</f>
        <v>High income</v>
      </c>
      <c r="J542" s="12" t="s">
        <v>3949</v>
      </c>
      <c r="K542" s="12" t="s">
        <v>29</v>
      </c>
      <c r="L542" s="12" t="s">
        <v>30</v>
      </c>
      <c r="P542" s="12" t="s">
        <v>31</v>
      </c>
      <c r="Q542" s="205" t="s">
        <v>32</v>
      </c>
      <c r="R542" s="141" t="s">
        <v>43</v>
      </c>
      <c r="S542" s="206" t="s">
        <v>3950</v>
      </c>
      <c r="T542" s="207">
        <v>23332</v>
      </c>
      <c r="U542" s="206" t="s">
        <v>3949</v>
      </c>
      <c r="V542" s="208" t="s">
        <v>3951</v>
      </c>
      <c r="W542" s="209">
        <v>722681</v>
      </c>
    </row>
    <row r="543" spans="1:23" ht="22.5" customHeight="1">
      <c r="A543" s="137">
        <v>46158.812273194446</v>
      </c>
      <c r="B543" s="12" t="s">
        <v>2537</v>
      </c>
      <c r="D543" s="12" t="s">
        <v>45</v>
      </c>
      <c r="E543" s="138">
        <v>36879</v>
      </c>
      <c r="F543" s="12" t="s">
        <v>52</v>
      </c>
      <c r="G543" s="12" t="s">
        <v>3959</v>
      </c>
      <c r="H543" s="12" t="s">
        <v>66</v>
      </c>
      <c r="I543" s="6" t="str">
        <f>VLOOKUP(CLEAN(F543),'World Bank Categories'!$B$4:$C$220,2,FALSE)</f>
        <v>Middle income</v>
      </c>
      <c r="J543" s="12" t="s">
        <v>3960</v>
      </c>
      <c r="K543" s="12" t="s">
        <v>29</v>
      </c>
      <c r="L543" s="12" t="s">
        <v>30</v>
      </c>
      <c r="P543" s="12" t="s">
        <v>31</v>
      </c>
      <c r="Q543" s="205" t="s">
        <v>32</v>
      </c>
      <c r="R543" s="141" t="s">
        <v>33</v>
      </c>
      <c r="S543" s="206" t="s">
        <v>2537</v>
      </c>
      <c r="T543" s="207">
        <v>36879</v>
      </c>
      <c r="U543" s="206" t="s">
        <v>2536</v>
      </c>
      <c r="V543" s="208" t="s">
        <v>3961</v>
      </c>
      <c r="W543" s="209">
        <v>719235</v>
      </c>
    </row>
    <row r="544" spans="1:23" ht="22.5" customHeight="1">
      <c r="A544" s="137">
        <v>46158.939807037037</v>
      </c>
      <c r="B544" s="12" t="s">
        <v>3962</v>
      </c>
      <c r="C544" s="12" t="s">
        <v>3963</v>
      </c>
      <c r="D544" s="12" t="s">
        <v>45</v>
      </c>
      <c r="E544" s="138">
        <v>36998</v>
      </c>
      <c r="F544" s="12" t="s">
        <v>1053</v>
      </c>
      <c r="G544" s="12" t="s">
        <v>3964</v>
      </c>
      <c r="H544" s="12" t="s">
        <v>66</v>
      </c>
      <c r="I544" s="6" t="str">
        <f>VLOOKUP(CLEAN(F544),'World Bank Categories'!$B$4:$C$220,2,FALSE)</f>
        <v>High income</v>
      </c>
      <c r="J544" s="12" t="s">
        <v>3965</v>
      </c>
      <c r="K544" s="12" t="s">
        <v>39</v>
      </c>
      <c r="L544" s="12" t="s">
        <v>1991</v>
      </c>
      <c r="P544" s="12" t="s">
        <v>31</v>
      </c>
      <c r="Q544" s="205" t="s">
        <v>32</v>
      </c>
      <c r="R544" s="141" t="s">
        <v>43</v>
      </c>
      <c r="S544" s="206" t="s">
        <v>3966</v>
      </c>
      <c r="T544" s="207">
        <v>36998</v>
      </c>
      <c r="U544" s="206" t="s">
        <v>3965</v>
      </c>
      <c r="V544" s="208" t="s">
        <v>3967</v>
      </c>
      <c r="W544" s="209">
        <v>723249</v>
      </c>
    </row>
    <row r="545" spans="1:23" ht="22.5" customHeight="1">
      <c r="A545" s="137">
        <v>46159.986766365742</v>
      </c>
      <c r="B545" s="12" t="s">
        <v>3977</v>
      </c>
      <c r="D545" s="12" t="s">
        <v>24</v>
      </c>
      <c r="E545" s="138">
        <v>30127</v>
      </c>
      <c r="F545" s="12" t="s">
        <v>332</v>
      </c>
      <c r="G545" s="12" t="s">
        <v>3978</v>
      </c>
      <c r="H545" s="12" t="s">
        <v>3979</v>
      </c>
      <c r="I545" s="6" t="str">
        <f>VLOOKUP(CLEAN(F545),'World Bank Categories'!$B$4:$C$220,2,FALSE)</f>
        <v>High income</v>
      </c>
      <c r="J545" s="12" t="s">
        <v>3980</v>
      </c>
      <c r="K545" s="12" t="s">
        <v>29</v>
      </c>
      <c r="L545" s="12" t="s">
        <v>30</v>
      </c>
      <c r="P545" s="12" t="s">
        <v>31</v>
      </c>
      <c r="Q545" s="205" t="s">
        <v>32</v>
      </c>
      <c r="R545" s="141" t="s">
        <v>43</v>
      </c>
      <c r="S545" s="206" t="s">
        <v>3981</v>
      </c>
      <c r="T545" s="207">
        <v>30127</v>
      </c>
      <c r="U545" s="206" t="s">
        <v>3980</v>
      </c>
      <c r="V545" s="208" t="s">
        <v>3982</v>
      </c>
      <c r="W545" s="209">
        <v>722237</v>
      </c>
    </row>
    <row r="546" spans="1:23" ht="22.5" customHeight="1">
      <c r="A546" s="137">
        <v>46160.113226620371</v>
      </c>
      <c r="B546" s="12" t="s">
        <v>3983</v>
      </c>
      <c r="C546" s="12" t="s">
        <v>3983</v>
      </c>
      <c r="D546" s="12" t="s">
        <v>24</v>
      </c>
      <c r="E546" s="138">
        <v>38085</v>
      </c>
      <c r="F546" s="12" t="s">
        <v>232</v>
      </c>
      <c r="G546" s="12" t="s">
        <v>1922</v>
      </c>
      <c r="H546" s="12" t="s">
        <v>3984</v>
      </c>
      <c r="I546" s="6" t="str">
        <f>VLOOKUP(CLEAN(F546),'World Bank Categories'!$B$4:$C$220,2,FALSE)</f>
        <v>Middle income</v>
      </c>
      <c r="J546" s="12" t="s">
        <v>3985</v>
      </c>
      <c r="K546" s="12" t="s">
        <v>29</v>
      </c>
      <c r="L546" s="12" t="s">
        <v>30</v>
      </c>
      <c r="P546" s="12" t="s">
        <v>31</v>
      </c>
      <c r="Q546" s="205" t="s">
        <v>32</v>
      </c>
      <c r="R546" s="141" t="s">
        <v>33</v>
      </c>
      <c r="S546" s="206" t="s">
        <v>3983</v>
      </c>
      <c r="T546" s="207">
        <v>38085</v>
      </c>
      <c r="U546" s="206" t="s">
        <v>3985</v>
      </c>
      <c r="V546" s="208" t="s">
        <v>3986</v>
      </c>
      <c r="W546" s="209">
        <v>724944</v>
      </c>
    </row>
    <row r="547" spans="1:23" ht="22.5" customHeight="1">
      <c r="A547" s="137">
        <v>46160.658810787034</v>
      </c>
      <c r="B547" s="12" t="s">
        <v>3987</v>
      </c>
      <c r="D547" s="12" t="s">
        <v>24</v>
      </c>
      <c r="E547" s="138">
        <v>36333</v>
      </c>
      <c r="F547" s="12" t="s">
        <v>52</v>
      </c>
      <c r="G547" s="12" t="s">
        <v>3988</v>
      </c>
      <c r="H547" s="12" t="s">
        <v>3989</v>
      </c>
      <c r="I547" s="6" t="str">
        <f>VLOOKUP(CLEAN(F547),'World Bank Categories'!$B$4:$C$220,2,FALSE)</f>
        <v>Middle income</v>
      </c>
      <c r="J547" s="12" t="s">
        <v>1284</v>
      </c>
      <c r="K547" s="12" t="s">
        <v>29</v>
      </c>
      <c r="L547" s="12" t="s">
        <v>30</v>
      </c>
      <c r="P547" s="12" t="s">
        <v>31</v>
      </c>
      <c r="Q547" s="205" t="s">
        <v>32</v>
      </c>
      <c r="R547" s="141" t="s">
        <v>43</v>
      </c>
      <c r="S547" s="206" t="s">
        <v>1285</v>
      </c>
      <c r="T547" s="207">
        <v>36333</v>
      </c>
      <c r="U547" s="206" t="s">
        <v>1284</v>
      </c>
      <c r="V547" s="208" t="s">
        <v>3990</v>
      </c>
      <c r="W547" s="209">
        <v>719603</v>
      </c>
    </row>
    <row r="548" spans="1:23" ht="22.5" customHeight="1">
      <c r="A548" s="137">
        <v>46160.915395949072</v>
      </c>
      <c r="B548" s="12" t="s">
        <v>3991</v>
      </c>
      <c r="C548" s="12" t="s">
        <v>3992</v>
      </c>
      <c r="D548" s="12" t="s">
        <v>45</v>
      </c>
      <c r="E548" s="138">
        <v>35760</v>
      </c>
      <c r="F548" s="12" t="s">
        <v>2246</v>
      </c>
      <c r="G548" s="12" t="s">
        <v>3993</v>
      </c>
      <c r="H548" s="12" t="s">
        <v>3994</v>
      </c>
      <c r="I548" s="6" t="str">
        <f>VLOOKUP(CLEAN(F548),'World Bank Categories'!$B$4:$C$220,2,FALSE)</f>
        <v>High income</v>
      </c>
      <c r="J548" s="12" t="s">
        <v>3995</v>
      </c>
      <c r="K548" s="12" t="s">
        <v>39</v>
      </c>
      <c r="L548" s="12" t="s">
        <v>162</v>
      </c>
      <c r="P548" s="12" t="s">
        <v>31</v>
      </c>
      <c r="Q548" s="205" t="s">
        <v>32</v>
      </c>
      <c r="R548" s="141" t="s">
        <v>43</v>
      </c>
      <c r="S548" s="206" t="s">
        <v>3996</v>
      </c>
      <c r="T548" s="207">
        <v>35760</v>
      </c>
      <c r="U548" s="206" t="s">
        <v>3995</v>
      </c>
      <c r="V548" s="208" t="s">
        <v>3997</v>
      </c>
      <c r="W548" s="209">
        <v>722676</v>
      </c>
    </row>
    <row r="549" spans="1:23" ht="22.5" customHeight="1">
      <c r="A549" s="137">
        <v>46161.087917870369</v>
      </c>
      <c r="B549" s="12" t="s">
        <v>321</v>
      </c>
      <c r="D549" s="12" t="s">
        <v>45</v>
      </c>
      <c r="E549" s="138">
        <v>35302</v>
      </c>
      <c r="F549" s="12" t="s">
        <v>58</v>
      </c>
      <c r="G549" s="12" t="s">
        <v>4010</v>
      </c>
      <c r="H549" s="12" t="s">
        <v>138</v>
      </c>
      <c r="I549" s="6" t="str">
        <f>VLOOKUP(CLEAN(F549),'World Bank Categories'!$B$4:$C$220,2,FALSE)</f>
        <v>Middle income</v>
      </c>
      <c r="J549" s="12" t="s">
        <v>325</v>
      </c>
      <c r="K549" s="12" t="s">
        <v>29</v>
      </c>
      <c r="L549" s="12" t="s">
        <v>30</v>
      </c>
      <c r="P549" s="12" t="s">
        <v>31</v>
      </c>
      <c r="Q549" s="205" t="s">
        <v>32</v>
      </c>
      <c r="R549" s="141" t="s">
        <v>33</v>
      </c>
      <c r="S549" s="206" t="s">
        <v>326</v>
      </c>
      <c r="T549" s="207">
        <v>35302</v>
      </c>
      <c r="U549" s="206" t="s">
        <v>325</v>
      </c>
      <c r="V549" s="208" t="s">
        <v>4011</v>
      </c>
      <c r="W549" s="209">
        <v>720701</v>
      </c>
    </row>
    <row r="550" spans="1:23" ht="22.5" customHeight="1">
      <c r="A550" s="137">
        <v>46161.749358541667</v>
      </c>
      <c r="B550" s="12" t="s">
        <v>4016</v>
      </c>
      <c r="D550" s="12" t="s">
        <v>24</v>
      </c>
      <c r="E550" s="138">
        <v>37565</v>
      </c>
      <c r="F550" s="12" t="s">
        <v>612</v>
      </c>
      <c r="G550" s="12" t="s">
        <v>4017</v>
      </c>
      <c r="H550" s="12" t="s">
        <v>3198</v>
      </c>
      <c r="I550" s="6" t="str">
        <f>VLOOKUP(CLEAN(F550),'World Bank Categories'!$B$4:$C$220,2,FALSE)</f>
        <v>Low income</v>
      </c>
      <c r="J550" s="12" t="s">
        <v>3199</v>
      </c>
      <c r="K550" s="12" t="s">
        <v>29</v>
      </c>
      <c r="L550" s="12" t="s">
        <v>30</v>
      </c>
      <c r="P550" s="12" t="s">
        <v>31</v>
      </c>
      <c r="Q550" s="205" t="s">
        <v>32</v>
      </c>
      <c r="R550" s="141" t="s">
        <v>33</v>
      </c>
      <c r="S550" s="206" t="s">
        <v>3200</v>
      </c>
      <c r="T550" s="207">
        <v>37565</v>
      </c>
      <c r="U550" s="206" t="s">
        <v>3199</v>
      </c>
      <c r="V550" s="208" t="s">
        <v>4018</v>
      </c>
      <c r="W550" s="209">
        <v>719351</v>
      </c>
    </row>
    <row r="551" spans="1:23" ht="22.5" customHeight="1">
      <c r="A551" s="137">
        <v>46161.872398761574</v>
      </c>
      <c r="B551" s="12" t="s">
        <v>4019</v>
      </c>
      <c r="D551" s="12" t="s">
        <v>24</v>
      </c>
      <c r="E551" s="138">
        <v>20765</v>
      </c>
      <c r="F551" s="12" t="s">
        <v>2556</v>
      </c>
      <c r="G551" s="12" t="s">
        <v>4020</v>
      </c>
      <c r="H551" s="12" t="s">
        <v>3753</v>
      </c>
      <c r="I551" s="6" t="str">
        <f>VLOOKUP(CLEAN(F551),'World Bank Categories'!$B$4:$C$220,2,FALSE)</f>
        <v>Middle income</v>
      </c>
      <c r="J551" s="12" t="s">
        <v>2814</v>
      </c>
      <c r="K551" s="12" t="s">
        <v>39</v>
      </c>
      <c r="L551" s="12" t="s">
        <v>30</v>
      </c>
      <c r="P551" s="12" t="s">
        <v>31</v>
      </c>
      <c r="Q551" s="205" t="s">
        <v>32</v>
      </c>
      <c r="R551" s="141" t="s">
        <v>33</v>
      </c>
      <c r="S551" s="206" t="s">
        <v>2812</v>
      </c>
      <c r="T551" s="207">
        <v>20765</v>
      </c>
      <c r="U551" s="206" t="s">
        <v>2814</v>
      </c>
      <c r="V551" s="208" t="s">
        <v>4021</v>
      </c>
      <c r="W551" s="209">
        <v>720293</v>
      </c>
    </row>
    <row r="552" spans="1:23" ht="22.5" customHeight="1">
      <c r="A552" s="137">
        <v>46162.194620810187</v>
      </c>
      <c r="B552" s="12" t="s">
        <v>4022</v>
      </c>
      <c r="D552" s="12" t="s">
        <v>45</v>
      </c>
      <c r="E552" s="138">
        <v>34964</v>
      </c>
      <c r="F552" s="12" t="s">
        <v>799</v>
      </c>
      <c r="G552" s="12" t="s">
        <v>4023</v>
      </c>
      <c r="H552" s="12" t="s">
        <v>4024</v>
      </c>
      <c r="I552" s="6" t="str">
        <f>VLOOKUP(CLEAN(F552),'World Bank Categories'!$B$4:$C$220,2,FALSE)</f>
        <v>Low income</v>
      </c>
      <c r="J552" s="12" t="s">
        <v>1408</v>
      </c>
      <c r="K552" s="12" t="s">
        <v>29</v>
      </c>
      <c r="L552" s="143" t="s">
        <v>1168</v>
      </c>
      <c r="P552" s="12" t="s">
        <v>31</v>
      </c>
      <c r="Q552" s="205" t="s">
        <v>32</v>
      </c>
      <c r="R552" s="141" t="s">
        <v>33</v>
      </c>
      <c r="S552" s="206" t="s">
        <v>1405</v>
      </c>
      <c r="T552" s="207">
        <v>34964</v>
      </c>
      <c r="U552" s="206" t="s">
        <v>1408</v>
      </c>
      <c r="V552" s="208" t="s">
        <v>4025</v>
      </c>
      <c r="W552" s="209">
        <v>720272</v>
      </c>
    </row>
    <row r="553" spans="1:23" ht="22.5" customHeight="1">
      <c r="A553" s="137">
        <v>46162.314009618058</v>
      </c>
      <c r="B553" s="12" t="s">
        <v>3880</v>
      </c>
      <c r="D553" s="12" t="s">
        <v>45</v>
      </c>
      <c r="E553" s="138">
        <v>31693</v>
      </c>
      <c r="F553" s="12" t="s">
        <v>3881</v>
      </c>
      <c r="G553" s="12" t="s">
        <v>3882</v>
      </c>
      <c r="H553" s="12" t="s">
        <v>3883</v>
      </c>
      <c r="I553" s="6" t="str">
        <f>VLOOKUP(CLEAN(F553),'World Bank Categories'!$B$4:$C$220,2,FALSE)</f>
        <v>Middle income</v>
      </c>
      <c r="J553" s="12" t="s">
        <v>3884</v>
      </c>
      <c r="K553" s="12" t="s">
        <v>29</v>
      </c>
      <c r="L553" s="12" t="s">
        <v>30</v>
      </c>
      <c r="P553" s="12" t="s">
        <v>31</v>
      </c>
      <c r="Q553" s="205" t="s">
        <v>32</v>
      </c>
      <c r="R553" s="141" t="s">
        <v>33</v>
      </c>
      <c r="S553" s="206" t="s">
        <v>3885</v>
      </c>
      <c r="T553" s="207">
        <v>31693</v>
      </c>
      <c r="U553" s="206" t="s">
        <v>3884</v>
      </c>
      <c r="V553" s="208" t="s">
        <v>3886</v>
      </c>
      <c r="W553" s="209">
        <v>724953</v>
      </c>
    </row>
    <row r="554" spans="1:23" ht="22.5" customHeight="1">
      <c r="A554" s="137">
        <v>46162.354972141206</v>
      </c>
      <c r="B554" s="12" t="s">
        <v>4026</v>
      </c>
      <c r="D554" s="12" t="s">
        <v>45</v>
      </c>
      <c r="E554" s="138">
        <v>28245</v>
      </c>
      <c r="F554" s="12" t="s">
        <v>799</v>
      </c>
      <c r="G554" s="12" t="s">
        <v>4027</v>
      </c>
      <c r="H554" s="12" t="s">
        <v>111</v>
      </c>
      <c r="I554" s="6" t="str">
        <f>VLOOKUP(CLEAN(F554),'World Bank Categories'!$B$4:$C$220,2,FALSE)</f>
        <v>Low income</v>
      </c>
      <c r="J554" s="12" t="s">
        <v>4028</v>
      </c>
      <c r="K554" s="12" t="s">
        <v>29</v>
      </c>
      <c r="L554" s="12" t="s">
        <v>30</v>
      </c>
      <c r="P554" s="12" t="s">
        <v>31</v>
      </c>
      <c r="Q554" s="205" t="s">
        <v>32</v>
      </c>
      <c r="R554" s="141" t="s">
        <v>43</v>
      </c>
      <c r="S554" s="206" t="s">
        <v>4026</v>
      </c>
      <c r="T554" s="207">
        <v>28245</v>
      </c>
      <c r="U554" s="206" t="s">
        <v>4029</v>
      </c>
      <c r="V554" s="208" t="s">
        <v>4030</v>
      </c>
      <c r="W554" s="209">
        <v>721823</v>
      </c>
    </row>
    <row r="555" spans="1:23" ht="22.5" customHeight="1">
      <c r="A555" s="137">
        <v>46162.374741701387</v>
      </c>
      <c r="B555" s="12" t="s">
        <v>4031</v>
      </c>
      <c r="D555" s="12" t="s">
        <v>45</v>
      </c>
      <c r="E555" s="138">
        <v>23854</v>
      </c>
      <c r="F555" s="12" t="s">
        <v>799</v>
      </c>
      <c r="G555" s="12" t="s">
        <v>4032</v>
      </c>
      <c r="H555" s="12" t="s">
        <v>4033</v>
      </c>
      <c r="I555" s="6" t="str">
        <f>VLOOKUP(CLEAN(F555),'World Bank Categories'!$B$4:$C$220,2,FALSE)</f>
        <v>Low income</v>
      </c>
      <c r="J555" s="12" t="s">
        <v>4034</v>
      </c>
      <c r="K555" s="12" t="s">
        <v>29</v>
      </c>
      <c r="L555" s="12" t="s">
        <v>30</v>
      </c>
      <c r="M555" s="12" t="s">
        <v>4035</v>
      </c>
      <c r="P555" s="12" t="s">
        <v>31</v>
      </c>
      <c r="Q555" s="205" t="s">
        <v>32</v>
      </c>
      <c r="R555" s="141" t="s">
        <v>43</v>
      </c>
      <c r="S555" s="206" t="s">
        <v>4036</v>
      </c>
      <c r="T555" s="207">
        <v>23854</v>
      </c>
      <c r="U555" s="206" t="s">
        <v>4034</v>
      </c>
      <c r="V555" s="208" t="s">
        <v>4037</v>
      </c>
      <c r="W555" s="209">
        <v>720010</v>
      </c>
    </row>
    <row r="556" spans="1:23" ht="22.5" customHeight="1">
      <c r="A556" s="137">
        <v>46162.658753356482</v>
      </c>
      <c r="B556" s="12" t="s">
        <v>4038</v>
      </c>
      <c r="D556" s="12" t="s">
        <v>24</v>
      </c>
      <c r="E556" s="138">
        <v>24517</v>
      </c>
      <c r="F556" s="12" t="s">
        <v>799</v>
      </c>
      <c r="G556" s="12" t="s">
        <v>4039</v>
      </c>
      <c r="H556" s="12" t="s">
        <v>1595</v>
      </c>
      <c r="I556" s="6" t="str">
        <f>VLOOKUP(CLEAN(F556),'World Bank Categories'!$B$4:$C$220,2,FALSE)</f>
        <v>Low income</v>
      </c>
      <c r="J556" s="12" t="s">
        <v>4040</v>
      </c>
      <c r="K556" s="12" t="s">
        <v>29</v>
      </c>
      <c r="L556" s="12" t="s">
        <v>30</v>
      </c>
      <c r="M556" s="12" t="s">
        <v>4041</v>
      </c>
      <c r="P556" s="12" t="s">
        <v>31</v>
      </c>
      <c r="Q556" s="205" t="s">
        <v>32</v>
      </c>
      <c r="R556" s="141" t="s">
        <v>43</v>
      </c>
      <c r="S556" s="206" t="s">
        <v>4042</v>
      </c>
      <c r="T556" s="207">
        <v>24820</v>
      </c>
      <c r="U556" s="206" t="s">
        <v>4040</v>
      </c>
      <c r="V556" s="208" t="s">
        <v>4043</v>
      </c>
      <c r="W556" s="209">
        <v>719941</v>
      </c>
    </row>
    <row r="557" spans="1:23" ht="22.5" customHeight="1">
      <c r="A557" s="210">
        <v>46162.852138263886</v>
      </c>
      <c r="B557" s="211" t="s">
        <v>4044</v>
      </c>
      <c r="C557" s="211"/>
      <c r="D557" s="211" t="s">
        <v>24</v>
      </c>
      <c r="E557" s="212">
        <v>28647</v>
      </c>
      <c r="F557" s="211" t="s">
        <v>2596</v>
      </c>
      <c r="G557" s="211" t="s">
        <v>4045</v>
      </c>
      <c r="H557" s="211" t="s">
        <v>4046</v>
      </c>
      <c r="I557" s="6" t="str">
        <f>VLOOKUP(CLEAN(F557),'World Bank Categories'!$B$4:$C$220,2,FALSE)</f>
        <v>Middle income</v>
      </c>
      <c r="J557" s="211" t="s">
        <v>3491</v>
      </c>
      <c r="K557" s="211" t="s">
        <v>39</v>
      </c>
      <c r="L557" s="211" t="s">
        <v>152</v>
      </c>
      <c r="M557" s="211" t="s">
        <v>4047</v>
      </c>
      <c r="N557" s="211"/>
      <c r="O557" s="211"/>
      <c r="P557" s="211" t="s">
        <v>31</v>
      </c>
      <c r="Q557" s="213" t="s">
        <v>32</v>
      </c>
      <c r="R557" s="33" t="s">
        <v>43</v>
      </c>
      <c r="S557" s="214" t="s">
        <v>4044</v>
      </c>
      <c r="T557" s="215">
        <v>28647</v>
      </c>
      <c r="U557" s="214" t="s">
        <v>3491</v>
      </c>
      <c r="V557" s="216" t="s">
        <v>4048</v>
      </c>
      <c r="W557" s="217">
        <v>725704</v>
      </c>
    </row>
    <row r="558" spans="1:23" ht="22.5" customHeight="1">
      <c r="A558" s="137">
        <v>46163.632929444444</v>
      </c>
      <c r="B558" s="12" t="s">
        <v>3547</v>
      </c>
      <c r="D558" s="12" t="s">
        <v>24</v>
      </c>
      <c r="E558" s="138">
        <v>21916</v>
      </c>
      <c r="F558" s="12" t="s">
        <v>623</v>
      </c>
      <c r="G558" s="12" t="s">
        <v>3548</v>
      </c>
      <c r="H558" s="12" t="s">
        <v>3549</v>
      </c>
      <c r="I558" s="6" t="str">
        <f>VLOOKUP(CLEAN(F558),'World Bank Categories'!$B$4:$C$220,2,FALSE)</f>
        <v>Middle income</v>
      </c>
      <c r="J558" s="12" t="s">
        <v>3550</v>
      </c>
      <c r="K558" s="12" t="s">
        <v>39</v>
      </c>
      <c r="L558" s="12" t="s">
        <v>30</v>
      </c>
      <c r="M558" s="12" t="s">
        <v>4049</v>
      </c>
      <c r="N558" s="12" t="s">
        <v>4050</v>
      </c>
      <c r="O558" s="12" t="s">
        <v>4051</v>
      </c>
      <c r="P558" s="12" t="s">
        <v>31</v>
      </c>
      <c r="Q558" s="205" t="s">
        <v>32</v>
      </c>
      <c r="R558" s="141" t="s">
        <v>43</v>
      </c>
      <c r="S558" s="206" t="s">
        <v>3547</v>
      </c>
      <c r="T558" s="207">
        <v>21916</v>
      </c>
      <c r="U558" s="206" t="s">
        <v>3550</v>
      </c>
      <c r="V558" s="208" t="s">
        <v>4052</v>
      </c>
      <c r="W558" s="209">
        <v>725030</v>
      </c>
    </row>
    <row r="559" spans="1:23" ht="22.5" customHeight="1">
      <c r="A559" s="137">
        <v>46163.636682824072</v>
      </c>
      <c r="B559" s="12" t="s">
        <v>4053</v>
      </c>
      <c r="D559" s="12" t="s">
        <v>45</v>
      </c>
      <c r="E559" s="138">
        <v>34837</v>
      </c>
      <c r="F559" s="12" t="s">
        <v>623</v>
      </c>
      <c r="G559" s="12" t="s">
        <v>3548</v>
      </c>
      <c r="H559" s="12" t="s">
        <v>4054</v>
      </c>
      <c r="I559" s="6" t="str">
        <f>VLOOKUP(CLEAN(F559),'World Bank Categories'!$B$4:$C$220,2,FALSE)</f>
        <v>Middle income</v>
      </c>
      <c r="J559" s="12" t="s">
        <v>3550</v>
      </c>
      <c r="K559" s="12" t="s">
        <v>39</v>
      </c>
      <c r="L559" s="12" t="s">
        <v>30</v>
      </c>
      <c r="M559" s="12" t="s">
        <v>4055</v>
      </c>
      <c r="N559" s="12" t="s">
        <v>4056</v>
      </c>
      <c r="O559" s="12" t="s">
        <v>4057</v>
      </c>
      <c r="P559" s="12" t="s">
        <v>31</v>
      </c>
      <c r="Q559" s="205" t="s">
        <v>32</v>
      </c>
      <c r="R559" s="141" t="s">
        <v>43</v>
      </c>
      <c r="S559" s="206" t="s">
        <v>3547</v>
      </c>
      <c r="T559" s="207">
        <v>21916</v>
      </c>
      <c r="U559" s="206" t="s">
        <v>3550</v>
      </c>
      <c r="V559" s="208" t="s">
        <v>4058</v>
      </c>
      <c r="W559" s="209">
        <v>725030</v>
      </c>
    </row>
    <row r="560" spans="1:23" ht="22.5" customHeight="1">
      <c r="A560" s="144">
        <v>46164.726983576387</v>
      </c>
      <c r="B560" s="40" t="s">
        <v>4059</v>
      </c>
      <c r="C560" s="40"/>
      <c r="D560" s="40" t="s">
        <v>45</v>
      </c>
      <c r="E560" s="145">
        <v>38058</v>
      </c>
      <c r="F560" s="40" t="s">
        <v>70</v>
      </c>
      <c r="G560" s="40" t="s">
        <v>1379</v>
      </c>
      <c r="H560" s="40" t="s">
        <v>138</v>
      </c>
      <c r="I560" s="6" t="str">
        <f>VLOOKUP(CLEAN(F560),'World Bank Categories'!$B$4:$C$220,2,FALSE)</f>
        <v>Middle income</v>
      </c>
      <c r="J560" s="40" t="s">
        <v>4060</v>
      </c>
      <c r="K560" s="40" t="s">
        <v>39</v>
      </c>
      <c r="L560" s="40" t="s">
        <v>30</v>
      </c>
      <c r="M560" s="40"/>
      <c r="N560" s="40"/>
      <c r="O560" s="40"/>
      <c r="P560" s="40" t="s">
        <v>31</v>
      </c>
      <c r="Q560" s="213" t="s">
        <v>32</v>
      </c>
      <c r="R560" s="33" t="s">
        <v>33</v>
      </c>
      <c r="S560" s="33" t="s">
        <v>4061</v>
      </c>
      <c r="T560" s="226">
        <v>38058</v>
      </c>
      <c r="U560" s="33" t="s">
        <v>4060</v>
      </c>
      <c r="V560" s="227" t="s">
        <v>4062</v>
      </c>
      <c r="W560" s="228">
        <v>717265</v>
      </c>
    </row>
    <row r="561" spans="1:23" ht="22.5" customHeight="1">
      <c r="A561" s="137">
        <v>46165.097222303244</v>
      </c>
      <c r="B561" s="12" t="s">
        <v>3863</v>
      </c>
      <c r="D561" s="12" t="s">
        <v>24</v>
      </c>
      <c r="E561" s="138">
        <v>35790</v>
      </c>
      <c r="F561" s="12" t="s">
        <v>1770</v>
      </c>
      <c r="G561" s="12" t="s">
        <v>4063</v>
      </c>
      <c r="H561" s="12" t="s">
        <v>4064</v>
      </c>
      <c r="I561" s="6" t="str">
        <f>VLOOKUP(CLEAN(F561),'World Bank Categories'!$B$4:$C$220,2,FALSE)</f>
        <v>Middle income</v>
      </c>
      <c r="J561" s="12" t="s">
        <v>1344</v>
      </c>
      <c r="K561" s="12" t="s">
        <v>39</v>
      </c>
      <c r="L561" s="12" t="s">
        <v>30</v>
      </c>
      <c r="P561" s="12" t="s">
        <v>31</v>
      </c>
      <c r="Q561" s="205" t="s">
        <v>32</v>
      </c>
      <c r="R561" s="184" t="s">
        <v>1008</v>
      </c>
      <c r="S561" s="206" t="s">
        <v>1341</v>
      </c>
      <c r="T561" s="207">
        <v>35790</v>
      </c>
      <c r="U561" s="206" t="s">
        <v>1344</v>
      </c>
      <c r="V561" s="208" t="s">
        <v>3866</v>
      </c>
      <c r="W561" s="209">
        <v>720147</v>
      </c>
    </row>
    <row r="562" spans="1:23" ht="22.5" customHeight="1">
      <c r="A562" s="137">
        <v>46165.834960717591</v>
      </c>
      <c r="B562" s="12" t="s">
        <v>1448</v>
      </c>
      <c r="D562" s="12" t="s">
        <v>24</v>
      </c>
      <c r="E562" s="138">
        <v>36954</v>
      </c>
      <c r="F562" s="12" t="s">
        <v>1449</v>
      </c>
      <c r="G562" s="12" t="s">
        <v>2995</v>
      </c>
      <c r="H562" s="12" t="s">
        <v>66</v>
      </c>
      <c r="I562" s="6" t="str">
        <f>VLOOKUP(CLEAN(F562),'World Bank Categories'!$B$4:$C$220,2,FALSE)</f>
        <v>Middle income</v>
      </c>
      <c r="J562" s="12" t="s">
        <v>3779</v>
      </c>
      <c r="K562" s="12" t="s">
        <v>29</v>
      </c>
      <c r="L562" s="12" t="s">
        <v>4072</v>
      </c>
      <c r="P562" s="12" t="s">
        <v>31</v>
      </c>
      <c r="Q562" s="205" t="s">
        <v>32</v>
      </c>
      <c r="R562" s="141" t="s">
        <v>43</v>
      </c>
      <c r="S562" s="206" t="s">
        <v>1448</v>
      </c>
      <c r="T562" s="207">
        <v>36954</v>
      </c>
      <c r="U562" s="206" t="s">
        <v>3779</v>
      </c>
      <c r="V562" s="208" t="s">
        <v>3780</v>
      </c>
      <c r="W562" s="209">
        <v>723766</v>
      </c>
    </row>
    <row r="563" spans="1:23" ht="22.5" customHeight="1">
      <c r="A563" s="137">
        <v>46167.387314467589</v>
      </c>
      <c r="B563" s="12" t="s">
        <v>4090</v>
      </c>
      <c r="D563" s="12" t="s">
        <v>45</v>
      </c>
      <c r="E563" s="138">
        <v>34835</v>
      </c>
      <c r="F563" s="12" t="s">
        <v>1179</v>
      </c>
      <c r="G563" s="12" t="s">
        <v>4091</v>
      </c>
      <c r="H563" s="12" t="s">
        <v>138</v>
      </c>
      <c r="I563" s="6" t="str">
        <f>VLOOKUP(CLEAN(F563),'World Bank Categories'!$B$4:$C$220,2,FALSE)</f>
        <v>High income</v>
      </c>
      <c r="J563" s="12" t="s">
        <v>4092</v>
      </c>
      <c r="K563" s="12" t="s">
        <v>29</v>
      </c>
      <c r="L563" s="12" t="s">
        <v>396</v>
      </c>
      <c r="P563" s="12" t="s">
        <v>31</v>
      </c>
      <c r="Q563" s="205" t="s">
        <v>32</v>
      </c>
      <c r="R563" s="141" t="s">
        <v>43</v>
      </c>
      <c r="S563" s="206" t="s">
        <v>4090</v>
      </c>
      <c r="T563" s="207">
        <v>34835</v>
      </c>
      <c r="U563" s="206" t="s">
        <v>4092</v>
      </c>
      <c r="V563" s="208" t="s">
        <v>4093</v>
      </c>
      <c r="W563" s="209">
        <v>725776</v>
      </c>
    </row>
    <row r="564" spans="1:23" ht="22.5" customHeight="1">
      <c r="A564" s="137">
        <v>46167.641716921295</v>
      </c>
      <c r="B564" s="12" t="s">
        <v>4094</v>
      </c>
      <c r="C564" s="12" t="s">
        <v>3483</v>
      </c>
      <c r="D564" s="12" t="s">
        <v>24</v>
      </c>
      <c r="E564" s="138">
        <v>36420</v>
      </c>
      <c r="F564" s="12" t="s">
        <v>1053</v>
      </c>
      <c r="G564" s="12" t="s">
        <v>3484</v>
      </c>
      <c r="H564" s="12" t="s">
        <v>4095</v>
      </c>
      <c r="I564" s="6" t="str">
        <f>VLOOKUP(CLEAN(F564),'World Bank Categories'!$B$4:$C$220,2,FALSE)</f>
        <v>High income</v>
      </c>
      <c r="J564" s="12" t="s">
        <v>3485</v>
      </c>
      <c r="K564" s="12" t="s">
        <v>39</v>
      </c>
      <c r="L564" s="12" t="s">
        <v>152</v>
      </c>
      <c r="P564" s="12" t="s">
        <v>31</v>
      </c>
      <c r="Q564" s="205" t="s">
        <v>32</v>
      </c>
      <c r="R564" s="141" t="s">
        <v>43</v>
      </c>
      <c r="S564" s="206" t="s">
        <v>4094</v>
      </c>
      <c r="T564" s="207">
        <v>36420</v>
      </c>
      <c r="U564" s="206" t="s">
        <v>3485</v>
      </c>
      <c r="V564" s="208" t="s">
        <v>4096</v>
      </c>
      <c r="W564" s="209">
        <v>723721</v>
      </c>
    </row>
    <row r="565" spans="1:23" ht="22.5" customHeight="1">
      <c r="A565" s="137">
        <v>46167.662153750003</v>
      </c>
      <c r="B565" s="12" t="s">
        <v>4097</v>
      </c>
      <c r="D565" s="12" t="s">
        <v>24</v>
      </c>
      <c r="E565" s="138">
        <v>27795</v>
      </c>
      <c r="F565" s="12" t="s">
        <v>623</v>
      </c>
      <c r="G565" s="12" t="s">
        <v>4098</v>
      </c>
      <c r="H565" s="12" t="s">
        <v>4099</v>
      </c>
      <c r="I565" s="6" t="str">
        <f>VLOOKUP(CLEAN(F565),'World Bank Categories'!$B$4:$C$220,2,FALSE)</f>
        <v>Middle income</v>
      </c>
      <c r="J565" s="12" t="s">
        <v>4100</v>
      </c>
      <c r="K565" s="12" t="s">
        <v>29</v>
      </c>
      <c r="L565" s="12" t="s">
        <v>30</v>
      </c>
      <c r="P565" s="12" t="s">
        <v>31</v>
      </c>
      <c r="Q565" s="205" t="s">
        <v>32</v>
      </c>
      <c r="R565" s="141" t="s">
        <v>33</v>
      </c>
      <c r="S565" s="206" t="s">
        <v>4097</v>
      </c>
      <c r="T565" s="207">
        <v>27795</v>
      </c>
      <c r="U565" s="206" t="s">
        <v>4100</v>
      </c>
      <c r="V565" s="208" t="s">
        <v>4101</v>
      </c>
      <c r="W565" s="209">
        <v>718609</v>
      </c>
    </row>
    <row r="566" spans="1:23" ht="22.5" customHeight="1">
      <c r="A566" s="137">
        <v>46167.671573750005</v>
      </c>
      <c r="B566" s="12" t="s">
        <v>4102</v>
      </c>
      <c r="D566" s="12" t="s">
        <v>24</v>
      </c>
      <c r="E566" s="138">
        <v>33280</v>
      </c>
      <c r="F566" s="12" t="s">
        <v>332</v>
      </c>
      <c r="G566" s="12" t="s">
        <v>4103</v>
      </c>
      <c r="H566" s="12" t="s">
        <v>1747</v>
      </c>
      <c r="I566" s="6" t="str">
        <f>VLOOKUP(CLEAN(F566),'World Bank Categories'!$B$4:$C$220,2,FALSE)</f>
        <v>High income</v>
      </c>
      <c r="J566" s="12" t="s">
        <v>4104</v>
      </c>
      <c r="K566" s="12" t="s">
        <v>29</v>
      </c>
      <c r="L566" s="12" t="s">
        <v>30</v>
      </c>
      <c r="P566" s="12" t="s">
        <v>31</v>
      </c>
      <c r="Q566" s="205" t="s">
        <v>32</v>
      </c>
      <c r="R566" s="141" t="s">
        <v>43</v>
      </c>
      <c r="S566" s="206" t="s">
        <v>4102</v>
      </c>
      <c r="T566" s="207">
        <v>33280</v>
      </c>
      <c r="U566" s="206" t="s">
        <v>4104</v>
      </c>
      <c r="V566" s="208" t="s">
        <v>4105</v>
      </c>
      <c r="W566" s="209">
        <v>722131</v>
      </c>
    </row>
    <row r="567" spans="1:23" ht="22.5" customHeight="1">
      <c r="A567" s="137">
        <v>46167.672318900462</v>
      </c>
      <c r="B567" s="12" t="s">
        <v>4106</v>
      </c>
      <c r="D567" s="12" t="s">
        <v>24</v>
      </c>
      <c r="E567" s="138">
        <v>34959</v>
      </c>
      <c r="F567" s="12" t="s">
        <v>332</v>
      </c>
      <c r="G567" s="12" t="s">
        <v>4103</v>
      </c>
      <c r="H567" s="12" t="s">
        <v>4107</v>
      </c>
      <c r="I567" s="6" t="str">
        <f>VLOOKUP(CLEAN(F567),'World Bank Categories'!$B$4:$C$220,2,FALSE)</f>
        <v>High income</v>
      </c>
      <c r="J567" s="12" t="s">
        <v>4108</v>
      </c>
      <c r="K567" s="12" t="s">
        <v>29</v>
      </c>
      <c r="L567" s="12" t="s">
        <v>30</v>
      </c>
      <c r="P567" s="12" t="s">
        <v>31</v>
      </c>
      <c r="Q567" s="205" t="s">
        <v>32</v>
      </c>
      <c r="R567" s="141" t="s">
        <v>43</v>
      </c>
      <c r="S567" s="206" t="s">
        <v>4109</v>
      </c>
      <c r="T567" s="207">
        <v>34959</v>
      </c>
      <c r="U567" s="206" t="s">
        <v>4108</v>
      </c>
      <c r="V567" s="208" t="s">
        <v>4110</v>
      </c>
      <c r="W567" s="209">
        <v>723216</v>
      </c>
    </row>
    <row r="568" spans="1:23" ht="22.5" customHeight="1">
      <c r="A568" s="137">
        <v>46167.771409733796</v>
      </c>
      <c r="B568" s="12" t="s">
        <v>3987</v>
      </c>
      <c r="D568" s="12" t="s">
        <v>24</v>
      </c>
      <c r="E568" s="138">
        <v>36333</v>
      </c>
      <c r="F568" s="12" t="s">
        <v>52</v>
      </c>
      <c r="G568" s="12" t="s">
        <v>3988</v>
      </c>
      <c r="H568" s="12" t="s">
        <v>4111</v>
      </c>
      <c r="I568" s="6" t="str">
        <f>VLOOKUP(CLEAN(F568),'World Bank Categories'!$B$4:$C$220,2,FALSE)</f>
        <v>Middle income</v>
      </c>
      <c r="J568" s="12" t="s">
        <v>1284</v>
      </c>
      <c r="K568" s="12" t="s">
        <v>29</v>
      </c>
      <c r="L568" s="12" t="s">
        <v>30</v>
      </c>
      <c r="P568" s="12" t="s">
        <v>31</v>
      </c>
      <c r="Q568" s="205" t="s">
        <v>32</v>
      </c>
      <c r="R568" s="141" t="s">
        <v>43</v>
      </c>
      <c r="S568" s="206" t="s">
        <v>1285</v>
      </c>
      <c r="T568" s="207">
        <v>36333</v>
      </c>
      <c r="U568" s="206" t="s">
        <v>1284</v>
      </c>
      <c r="V568" s="208" t="s">
        <v>3990</v>
      </c>
      <c r="W568" s="209">
        <v>719603</v>
      </c>
    </row>
    <row r="569" spans="1:23" ht="22.5" customHeight="1">
      <c r="A569" s="137">
        <v>46167.99027065972</v>
      </c>
      <c r="B569" s="12" t="s">
        <v>3389</v>
      </c>
      <c r="C569" s="12" t="s">
        <v>871</v>
      </c>
      <c r="D569" s="12" t="s">
        <v>24</v>
      </c>
      <c r="E569" s="138">
        <v>28965</v>
      </c>
      <c r="F569" s="12" t="s">
        <v>2556</v>
      </c>
      <c r="G569" s="12" t="s">
        <v>209</v>
      </c>
      <c r="H569" s="12" t="s">
        <v>4112</v>
      </c>
      <c r="I569" s="6" t="str">
        <f>VLOOKUP(CLEAN(F569),'World Bank Categories'!$B$4:$C$220,2,FALSE)</f>
        <v>Middle income</v>
      </c>
      <c r="J569" s="12" t="s">
        <v>4113</v>
      </c>
      <c r="K569" s="12" t="s">
        <v>29</v>
      </c>
      <c r="L569" s="12" t="s">
        <v>30</v>
      </c>
      <c r="P569" s="12" t="s">
        <v>31</v>
      </c>
      <c r="Q569" s="205" t="s">
        <v>32</v>
      </c>
      <c r="R569" s="184" t="s">
        <v>1008</v>
      </c>
      <c r="S569" s="206" t="s">
        <v>3389</v>
      </c>
      <c r="T569" s="207">
        <v>28965</v>
      </c>
      <c r="U569" s="206" t="s">
        <v>3392</v>
      </c>
      <c r="V569" s="208" t="s">
        <v>4114</v>
      </c>
      <c r="W569" s="209">
        <v>723617</v>
      </c>
    </row>
    <row r="570" spans="1:23" ht="22.5" customHeight="1">
      <c r="A570" s="137">
        <v>46168.02674188657</v>
      </c>
      <c r="B570" s="12" t="s">
        <v>4115</v>
      </c>
      <c r="D570" s="12" t="s">
        <v>24</v>
      </c>
      <c r="E570" s="138">
        <v>38109</v>
      </c>
      <c r="F570" s="12" t="s">
        <v>232</v>
      </c>
      <c r="G570" s="12" t="s">
        <v>4116</v>
      </c>
      <c r="H570" s="12" t="s">
        <v>4117</v>
      </c>
      <c r="I570" s="6" t="str">
        <f>VLOOKUP(CLEAN(F570),'World Bank Categories'!$B$4:$C$220,2,FALSE)</f>
        <v>Middle income</v>
      </c>
      <c r="J570" s="12" t="s">
        <v>4118</v>
      </c>
      <c r="K570" s="12" t="s">
        <v>29</v>
      </c>
      <c r="L570" s="12" t="s">
        <v>30</v>
      </c>
      <c r="P570" s="12" t="s">
        <v>31</v>
      </c>
      <c r="Q570" s="205" t="s">
        <v>32</v>
      </c>
      <c r="R570" s="184" t="s">
        <v>1008</v>
      </c>
      <c r="S570" s="206" t="s">
        <v>4115</v>
      </c>
      <c r="T570" s="207">
        <v>38109</v>
      </c>
      <c r="U570" s="206" t="s">
        <v>4118</v>
      </c>
      <c r="V570" s="208" t="s">
        <v>4119</v>
      </c>
      <c r="W570" s="209">
        <v>725515</v>
      </c>
    </row>
    <row r="571" spans="1:23" ht="22.5" customHeight="1">
      <c r="A571" s="137">
        <v>46168.032123842597</v>
      </c>
      <c r="B571" s="12" t="s">
        <v>4097</v>
      </c>
      <c r="D571" s="12" t="s">
        <v>24</v>
      </c>
      <c r="E571" s="138">
        <v>27795</v>
      </c>
      <c r="F571" s="12" t="s">
        <v>623</v>
      </c>
      <c r="G571" s="12" t="s">
        <v>4098</v>
      </c>
      <c r="H571" s="12" t="s">
        <v>4120</v>
      </c>
      <c r="I571" s="6" t="str">
        <f>VLOOKUP(CLEAN(F571),'World Bank Categories'!$B$4:$C$220,2,FALSE)</f>
        <v>Middle income</v>
      </c>
      <c r="J571" s="12" t="s">
        <v>4121</v>
      </c>
      <c r="K571" s="12" t="s">
        <v>39</v>
      </c>
      <c r="L571" s="12" t="s">
        <v>152</v>
      </c>
      <c r="P571" s="12" t="s">
        <v>31</v>
      </c>
      <c r="Q571" s="205" t="s">
        <v>32</v>
      </c>
      <c r="R571" s="141" t="s">
        <v>33</v>
      </c>
      <c r="S571" s="206" t="s">
        <v>4097</v>
      </c>
      <c r="T571" s="207">
        <v>27795</v>
      </c>
      <c r="U571" s="206" t="s">
        <v>4100</v>
      </c>
      <c r="V571" s="208" t="s">
        <v>4122</v>
      </c>
      <c r="W571" s="209">
        <v>718609</v>
      </c>
    </row>
    <row r="572" spans="1:23" ht="22.5" customHeight="1">
      <c r="A572" s="137">
        <v>46168.039866284722</v>
      </c>
      <c r="B572" s="12" t="s">
        <v>4123</v>
      </c>
      <c r="C572" s="12" t="s">
        <v>4124</v>
      </c>
      <c r="D572" s="12" t="s">
        <v>24</v>
      </c>
      <c r="E572" s="138">
        <v>38570</v>
      </c>
      <c r="F572" s="12" t="s">
        <v>4125</v>
      </c>
      <c r="G572" s="12" t="s">
        <v>4126</v>
      </c>
      <c r="H572" s="12" t="s">
        <v>66</v>
      </c>
      <c r="I572" s="6" t="str">
        <f>VLOOKUP(CLEAN(F572),'World Bank Categories'!$B$4:$C$220,2,FALSE)</f>
        <v>Middle income</v>
      </c>
      <c r="J572" s="12" t="s">
        <v>4127</v>
      </c>
      <c r="K572" s="12" t="s">
        <v>29</v>
      </c>
      <c r="L572" s="12" t="s">
        <v>30</v>
      </c>
      <c r="P572" s="12" t="s">
        <v>31</v>
      </c>
      <c r="Q572" s="205" t="s">
        <v>32</v>
      </c>
      <c r="R572" s="141" t="s">
        <v>43</v>
      </c>
      <c r="S572" s="206" t="s">
        <v>4123</v>
      </c>
      <c r="T572" s="207">
        <v>38570</v>
      </c>
      <c r="U572" s="206" t="s">
        <v>4127</v>
      </c>
      <c r="V572" s="208" t="s">
        <v>4128</v>
      </c>
      <c r="W572" s="209">
        <v>725791</v>
      </c>
    </row>
    <row r="573" spans="1:23" ht="22.5" customHeight="1">
      <c r="A573" s="137">
        <v>46168.276637604169</v>
      </c>
      <c r="B573" s="12" t="s">
        <v>4136</v>
      </c>
      <c r="C573" s="12" t="s">
        <v>4137</v>
      </c>
      <c r="D573" s="12" t="s">
        <v>24</v>
      </c>
      <c r="E573" s="138">
        <v>34993</v>
      </c>
      <c r="F573" s="12" t="s">
        <v>332</v>
      </c>
      <c r="G573" s="12" t="s">
        <v>1258</v>
      </c>
      <c r="H573" s="12" t="s">
        <v>186</v>
      </c>
      <c r="I573" s="6" t="str">
        <f>VLOOKUP(CLEAN(F573),'World Bank Categories'!$B$4:$C$220,2,FALSE)</f>
        <v>High income</v>
      </c>
      <c r="J573" s="12" t="s">
        <v>4138</v>
      </c>
      <c r="K573" s="12" t="s">
        <v>39</v>
      </c>
      <c r="L573" s="12" t="s">
        <v>621</v>
      </c>
      <c r="P573" s="12" t="s">
        <v>31</v>
      </c>
      <c r="Q573" s="205" t="s">
        <v>32</v>
      </c>
      <c r="R573" s="141" t="s">
        <v>43</v>
      </c>
      <c r="S573" s="206" t="s">
        <v>4139</v>
      </c>
      <c r="T573" s="207">
        <v>34993</v>
      </c>
      <c r="U573" s="206" t="s">
        <v>4138</v>
      </c>
      <c r="V573" s="208" t="s">
        <v>4140</v>
      </c>
      <c r="W573" s="209">
        <v>723241</v>
      </c>
    </row>
    <row r="574" spans="1:23" ht="22.5" customHeight="1">
      <c r="A574" s="137">
        <v>46168.496387152773</v>
      </c>
      <c r="B574" s="12" t="s">
        <v>4152</v>
      </c>
      <c r="D574" s="12" t="s">
        <v>24</v>
      </c>
      <c r="E574" s="138">
        <v>22312</v>
      </c>
      <c r="F574" s="12" t="s">
        <v>1063</v>
      </c>
      <c r="G574" s="12" t="s">
        <v>4153</v>
      </c>
      <c r="H574" s="12" t="s">
        <v>3124</v>
      </c>
      <c r="I574" s="6" t="str">
        <f>VLOOKUP(CLEAN(F574),'World Bank Categories'!$B$4:$C$220,2,FALSE)</f>
        <v>Middle income</v>
      </c>
      <c r="J574" s="12" t="s">
        <v>4154</v>
      </c>
      <c r="K574" s="12" t="s">
        <v>29</v>
      </c>
      <c r="L574" s="12" t="s">
        <v>162</v>
      </c>
      <c r="P574" s="12" t="s">
        <v>31</v>
      </c>
      <c r="Q574" s="205" t="s">
        <v>32</v>
      </c>
      <c r="R574" s="184" t="s">
        <v>1008</v>
      </c>
      <c r="S574" s="206" t="s">
        <v>4152</v>
      </c>
      <c r="T574" s="207">
        <v>22312</v>
      </c>
      <c r="U574" s="206" t="s">
        <v>4155</v>
      </c>
      <c r="V574" s="208" t="s">
        <v>4156</v>
      </c>
      <c r="W574" s="209">
        <v>719698</v>
      </c>
    </row>
    <row r="575" spans="1:23" ht="22.5" customHeight="1">
      <c r="A575" s="229">
        <v>46168.041554861113</v>
      </c>
      <c r="B575" s="230" t="s">
        <v>4161</v>
      </c>
      <c r="C575" s="231"/>
      <c r="D575" s="230" t="s">
        <v>24</v>
      </c>
      <c r="E575" s="232">
        <v>38226</v>
      </c>
      <c r="F575" s="230" t="s">
        <v>4162</v>
      </c>
      <c r="G575" s="230" t="s">
        <v>4131</v>
      </c>
      <c r="H575" s="230" t="s">
        <v>4132</v>
      </c>
      <c r="I575" s="230" t="s">
        <v>3593</v>
      </c>
      <c r="J575" s="230" t="s">
        <v>4163</v>
      </c>
      <c r="K575" s="230" t="s">
        <v>29</v>
      </c>
      <c r="L575" s="230" t="s">
        <v>30</v>
      </c>
      <c r="M575" s="230" t="s">
        <v>4164</v>
      </c>
      <c r="N575" s="230"/>
      <c r="O575" s="231"/>
      <c r="P575" s="231"/>
      <c r="Q575" s="213" t="s">
        <v>32</v>
      </c>
      <c r="R575" s="141" t="s">
        <v>43</v>
      </c>
      <c r="S575" s="206" t="s">
        <v>4161</v>
      </c>
      <c r="T575" s="207">
        <v>38226</v>
      </c>
      <c r="U575" s="33" t="s">
        <v>4163</v>
      </c>
      <c r="V575" s="227" t="s">
        <v>4165</v>
      </c>
      <c r="W575" s="209">
        <v>725806</v>
      </c>
    </row>
    <row r="576" spans="1:23" ht="22.5" customHeight="1">
      <c r="A576" s="137">
        <v>46169.042768125</v>
      </c>
      <c r="B576" s="12" t="s">
        <v>4171</v>
      </c>
      <c r="D576" s="12" t="s">
        <v>45</v>
      </c>
      <c r="E576" s="138">
        <v>36770</v>
      </c>
      <c r="F576" s="12" t="s">
        <v>198</v>
      </c>
      <c r="G576" s="12" t="s">
        <v>4172</v>
      </c>
      <c r="H576" s="12" t="s">
        <v>4173</v>
      </c>
      <c r="I576" s="6" t="str">
        <f>VLOOKUP(CLEAN(F576),'World Bank Categories'!$B$4:$C$220,2,FALSE)</f>
        <v>Middle income</v>
      </c>
      <c r="J576" s="12" t="s">
        <v>2159</v>
      </c>
      <c r="K576" s="12" t="s">
        <v>39</v>
      </c>
      <c r="L576" s="12" t="s">
        <v>30</v>
      </c>
      <c r="P576" s="12" t="s">
        <v>31</v>
      </c>
      <c r="Q576" s="205" t="s">
        <v>32</v>
      </c>
      <c r="R576" s="184" t="s">
        <v>1008</v>
      </c>
      <c r="S576" s="206" t="s">
        <v>2157</v>
      </c>
      <c r="T576" s="207">
        <v>36770</v>
      </c>
      <c r="U576" s="206" t="s">
        <v>2159</v>
      </c>
      <c r="V576" s="208" t="s">
        <v>4174</v>
      </c>
      <c r="W576" s="209">
        <v>722246</v>
      </c>
    </row>
    <row r="577" spans="1:23" ht="22.5" customHeight="1">
      <c r="A577" s="137">
        <v>46169.119206828706</v>
      </c>
      <c r="B577" s="12" t="s">
        <v>4184</v>
      </c>
      <c r="D577" s="12" t="s">
        <v>45</v>
      </c>
      <c r="E577" s="138">
        <v>26014</v>
      </c>
      <c r="F577" s="12" t="s">
        <v>4130</v>
      </c>
      <c r="G577" s="12" t="s">
        <v>4185</v>
      </c>
      <c r="H577" s="12" t="s">
        <v>4186</v>
      </c>
      <c r="I577" s="6" t="str">
        <f>VLOOKUP(CLEAN(F577),'World Bank Categories'!$B$4:$C$220,2,FALSE)</f>
        <v>High income</v>
      </c>
      <c r="J577" s="12" t="s">
        <v>4187</v>
      </c>
      <c r="K577" s="12" t="s">
        <v>29</v>
      </c>
      <c r="L577" s="12" t="s">
        <v>621</v>
      </c>
      <c r="P577" s="12" t="s">
        <v>31</v>
      </c>
      <c r="Q577" s="205" t="s">
        <v>32</v>
      </c>
      <c r="R577" s="141" t="s">
        <v>43</v>
      </c>
      <c r="S577" s="206" t="s">
        <v>4184</v>
      </c>
      <c r="T577" s="207">
        <v>26014</v>
      </c>
      <c r="U577" s="206" t="s">
        <v>4187</v>
      </c>
      <c r="V577" s="208" t="s">
        <v>4188</v>
      </c>
      <c r="W577" s="209">
        <v>725808</v>
      </c>
    </row>
    <row r="578" spans="1:23" ht="22.5" customHeight="1">
      <c r="A578" s="137">
        <v>46169.811606909723</v>
      </c>
      <c r="B578" s="12" t="s">
        <v>4195</v>
      </c>
      <c r="D578" s="12" t="s">
        <v>24</v>
      </c>
      <c r="E578" s="138">
        <v>33832</v>
      </c>
      <c r="F578" s="12" t="s">
        <v>332</v>
      </c>
      <c r="G578" s="12" t="s">
        <v>1665</v>
      </c>
      <c r="H578" s="12" t="s">
        <v>1595</v>
      </c>
      <c r="I578" s="6" t="str">
        <f>VLOOKUP(CLEAN(F578),'World Bank Categories'!$B$4:$C$220,2,FALSE)</f>
        <v>High income</v>
      </c>
      <c r="J578" s="12" t="s">
        <v>4196</v>
      </c>
      <c r="K578" s="12" t="s">
        <v>29</v>
      </c>
      <c r="L578" s="12" t="s">
        <v>30</v>
      </c>
      <c r="M578" s="12" t="s">
        <v>4197</v>
      </c>
      <c r="P578" s="12" t="s">
        <v>31</v>
      </c>
      <c r="Q578" s="205" t="s">
        <v>32</v>
      </c>
      <c r="R578" s="141" t="s">
        <v>43</v>
      </c>
      <c r="S578" s="206" t="s">
        <v>4198</v>
      </c>
      <c r="T578" s="207">
        <v>33832</v>
      </c>
      <c r="U578" s="206" t="s">
        <v>4196</v>
      </c>
      <c r="V578" s="208" t="s">
        <v>4199</v>
      </c>
      <c r="W578" s="209">
        <v>723177</v>
      </c>
    </row>
    <row r="579" spans="1:23" ht="22.5" customHeight="1">
      <c r="A579" s="137">
        <v>46170.185908472224</v>
      </c>
      <c r="B579" s="12" t="s">
        <v>4171</v>
      </c>
      <c r="D579" s="12" t="s">
        <v>45</v>
      </c>
      <c r="E579" s="138">
        <v>36770</v>
      </c>
      <c r="F579" s="12" t="s">
        <v>198</v>
      </c>
      <c r="G579" s="12" t="s">
        <v>1859</v>
      </c>
      <c r="H579" s="12" t="s">
        <v>4173</v>
      </c>
      <c r="I579" s="6" t="str">
        <f>VLOOKUP(CLEAN(F579),'World Bank Categories'!$B$4:$C$220,2,FALSE)</f>
        <v>Middle income</v>
      </c>
      <c r="J579" s="12" t="s">
        <v>2159</v>
      </c>
      <c r="K579" s="12" t="s">
        <v>29</v>
      </c>
      <c r="L579" s="12" t="s">
        <v>162</v>
      </c>
      <c r="P579" s="12" t="s">
        <v>31</v>
      </c>
      <c r="Q579" s="205" t="s">
        <v>32</v>
      </c>
      <c r="R579" s="184" t="s">
        <v>1008</v>
      </c>
      <c r="S579" s="206" t="s">
        <v>2157</v>
      </c>
      <c r="T579" s="207">
        <v>36770</v>
      </c>
      <c r="U579" s="206" t="s">
        <v>2159</v>
      </c>
      <c r="V579" s="208" t="s">
        <v>4174</v>
      </c>
      <c r="W579" s="209">
        <v>722246</v>
      </c>
    </row>
    <row r="580" spans="1:23" ht="22.5" customHeight="1">
      <c r="A580" s="144">
        <v>46170.274338043979</v>
      </c>
      <c r="B580" s="40" t="s">
        <v>4200</v>
      </c>
      <c r="C580" s="40" t="s">
        <v>4201</v>
      </c>
      <c r="D580" s="40" t="s">
        <v>45</v>
      </c>
      <c r="E580" s="145" t="s">
        <v>4202</v>
      </c>
      <c r="F580" s="40" t="s">
        <v>4203</v>
      </c>
      <c r="G580" s="40" t="s">
        <v>4204</v>
      </c>
      <c r="H580" s="40" t="s">
        <v>4205</v>
      </c>
      <c r="I580" s="6" t="str">
        <f>VLOOKUP(CLEAN(F580),'World Bank Categories'!$B$4:$C$220,2,FALSE)</f>
        <v>Middle income</v>
      </c>
      <c r="J580" s="40" t="s">
        <v>4206</v>
      </c>
      <c r="K580" s="40" t="s">
        <v>29</v>
      </c>
      <c r="L580" s="40" t="s">
        <v>30</v>
      </c>
      <c r="M580" s="40"/>
      <c r="N580" s="40"/>
      <c r="O580" s="40"/>
      <c r="P580" s="40" t="s">
        <v>31</v>
      </c>
      <c r="Q580" s="460" t="s">
        <v>4583</v>
      </c>
      <c r="R580" s="184" t="s">
        <v>1008</v>
      </c>
      <c r="S580" s="33" t="s">
        <v>4584</v>
      </c>
      <c r="T580" s="33"/>
      <c r="U580" s="33"/>
      <c r="V580" s="227" t="s">
        <v>3595</v>
      </c>
      <c r="W580" s="141"/>
    </row>
  </sheetData>
  <phoneticPr fontId="45" type="noConversion"/>
  <hyperlinks>
    <hyperlink ref="U178" r:id="rId1" xr:uid="{C6B1C02F-98C2-4DD6-A830-26000F2541DD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05C1-C779-4470-B791-ECF03C4148E7}">
  <sheetPr>
    <outlinePr summaryBelow="0" summaryRight="0"/>
  </sheetPr>
  <dimension ref="A2:X35"/>
  <sheetViews>
    <sheetView topLeftCell="J1" workbookViewId="0">
      <pane ySplit="8" topLeftCell="A9" activePane="bottomLeft" state="frozen"/>
      <selection pane="bottomLeft" activeCell="M6" sqref="M6"/>
    </sheetView>
  </sheetViews>
  <sheetFormatPr defaultColWidth="12.7109375" defaultRowHeight="15.75" customHeight="1"/>
  <cols>
    <col min="1" max="1" width="18.85546875" customWidth="1"/>
    <col min="2" max="2" width="27.7109375" customWidth="1"/>
    <col min="3" max="3" width="12.7109375" customWidth="1"/>
    <col min="4" max="4" width="16.7109375" customWidth="1"/>
    <col min="5" max="5" width="17.28515625" customWidth="1"/>
    <col min="6" max="6" width="17.42578125" customWidth="1"/>
    <col min="7" max="7" width="24.7109375" customWidth="1"/>
    <col min="8" max="8" width="33.85546875" customWidth="1"/>
    <col min="9" max="9" width="21.140625" customWidth="1"/>
    <col min="10" max="10" width="33.7109375" customWidth="1"/>
    <col min="11" max="11" width="35" customWidth="1"/>
    <col min="12" max="12" width="47.140625" customWidth="1"/>
    <col min="13" max="13" width="59" customWidth="1"/>
    <col min="14" max="14" width="23.7109375" customWidth="1"/>
    <col min="15" max="15" width="23" customWidth="1"/>
    <col min="16" max="16" width="23" hidden="1" customWidth="1"/>
    <col min="17" max="17" width="12.7109375" hidden="1" customWidth="1"/>
    <col min="18" max="18" width="18.85546875" customWidth="1"/>
    <col min="19" max="20" width="34.7109375" customWidth="1"/>
    <col min="21" max="21" width="18.85546875" customWidth="1"/>
    <col min="22" max="22" width="23" customWidth="1"/>
    <col min="23" max="23" width="25.140625" customWidth="1"/>
    <col min="24" max="24" width="18.85546875" customWidth="1"/>
  </cols>
  <sheetData>
    <row r="2" spans="1:24" ht="15.75" customHeight="1">
      <c r="A2" s="462" t="s">
        <v>4586</v>
      </c>
      <c r="B2" s="463" t="s">
        <v>4587</v>
      </c>
      <c r="C2" s="463" t="s">
        <v>4588</v>
      </c>
      <c r="D2" s="463" t="s">
        <v>4589</v>
      </c>
      <c r="E2" s="463" t="s">
        <v>4590</v>
      </c>
      <c r="F2" s="462" t="s">
        <v>4591</v>
      </c>
    </row>
    <row r="3" spans="1:24" ht="15.75" customHeight="1">
      <c r="A3" s="464">
        <f>A4/2</f>
        <v>11</v>
      </c>
      <c r="B3" s="464">
        <f>B4/3</f>
        <v>7</v>
      </c>
      <c r="C3" s="464">
        <f>C4/4</f>
        <v>7</v>
      </c>
      <c r="D3" s="464">
        <f>D4/5</f>
        <v>1</v>
      </c>
      <c r="E3" s="464">
        <f>E4/6</f>
        <v>1</v>
      </c>
      <c r="F3" s="465">
        <f>SUM(A3:E3)</f>
        <v>27</v>
      </c>
      <c r="G3" s="466" t="s">
        <v>4592</v>
      </c>
    </row>
    <row r="4" spans="1:24" ht="15.75" customHeight="1">
      <c r="A4" s="465">
        <f>SUMIF(P8:P1000,2)</f>
        <v>22</v>
      </c>
      <c r="B4" s="465">
        <f>SUMIF(P8:P1000,3)</f>
        <v>21</v>
      </c>
      <c r="C4" s="465">
        <f>SUMIF(P8:P1000,4)</f>
        <v>28</v>
      </c>
      <c r="D4" s="465">
        <f>SUMIF(P8:P1000,5)</f>
        <v>5</v>
      </c>
      <c r="E4" s="465">
        <f>SUMIF(P8:P1000,6)</f>
        <v>6</v>
      </c>
      <c r="F4" s="465">
        <f>SUM(A4:E4)</f>
        <v>82</v>
      </c>
      <c r="G4" s="467" t="s">
        <v>4593</v>
      </c>
    </row>
    <row r="5" spans="1:24" ht="15.75" customHeight="1">
      <c r="A5" s="469"/>
      <c r="B5" s="469"/>
      <c r="C5" s="469"/>
      <c r="D5" s="469"/>
      <c r="E5" s="469"/>
      <c r="F5" s="469"/>
      <c r="G5" s="467"/>
    </row>
    <row r="6" spans="1:24" ht="53.45" customHeight="1">
      <c r="A6" s="470">
        <f>F4</f>
        <v>82</v>
      </c>
      <c r="B6" s="469"/>
      <c r="C6" s="469"/>
      <c r="D6" s="469"/>
      <c r="E6" s="469"/>
      <c r="F6" s="469"/>
      <c r="G6" s="467"/>
    </row>
    <row r="8" spans="1:24" ht="22.5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468" t="s">
        <v>4597</v>
      </c>
      <c r="Q8" s="1" t="s">
        <v>15</v>
      </c>
      <c r="R8" s="2" t="s">
        <v>16</v>
      </c>
      <c r="S8" s="3" t="s">
        <v>17</v>
      </c>
      <c r="T8" s="2" t="s">
        <v>18</v>
      </c>
      <c r="U8" s="2" t="s">
        <v>19</v>
      </c>
      <c r="V8" s="2" t="s">
        <v>20</v>
      </c>
      <c r="W8" s="2" t="s">
        <v>21</v>
      </c>
      <c r="X8" s="4" t="s">
        <v>22</v>
      </c>
    </row>
    <row r="9" spans="1:24" ht="22.5" customHeight="1">
      <c r="A9" s="13">
        <v>45843.794978622682</v>
      </c>
      <c r="B9" s="14" t="s">
        <v>34</v>
      </c>
      <c r="C9" s="15"/>
      <c r="D9" s="14" t="s">
        <v>24</v>
      </c>
      <c r="E9" s="16">
        <v>21016</v>
      </c>
      <c r="F9" s="14" t="s">
        <v>35</v>
      </c>
      <c r="G9" s="14" t="s">
        <v>36</v>
      </c>
      <c r="H9" s="14" t="s">
        <v>37</v>
      </c>
      <c r="I9" s="6" t="str">
        <f>VLOOKUP(CLEAN(F9),'World Bank Categories'!$B$4:$C$220,2,FALSE)</f>
        <v>Middle income</v>
      </c>
      <c r="J9" s="14" t="s">
        <v>38</v>
      </c>
      <c r="K9" s="14" t="s">
        <v>39</v>
      </c>
      <c r="L9" s="14" t="s">
        <v>30</v>
      </c>
      <c r="M9" s="6" t="s">
        <v>40</v>
      </c>
      <c r="N9" s="17" t="s">
        <v>41</v>
      </c>
      <c r="O9" s="14" t="s">
        <v>42</v>
      </c>
      <c r="P9" s="14">
        <f t="shared" ref="P9:P35" si="0">VALUE(LEFT(O9,1))</f>
        <v>2</v>
      </c>
      <c r="Q9" s="14" t="s">
        <v>31</v>
      </c>
      <c r="R9" s="9" t="s">
        <v>32</v>
      </c>
      <c r="S9" s="18" t="s">
        <v>43</v>
      </c>
      <c r="T9" s="19" t="s">
        <v>34</v>
      </c>
      <c r="U9" s="12"/>
      <c r="V9" s="12"/>
      <c r="W9" s="12"/>
      <c r="X9" s="12"/>
    </row>
    <row r="10" spans="1:24" ht="22.5" customHeight="1">
      <c r="A10" s="20">
        <v>45871.236030092594</v>
      </c>
      <c r="B10" s="21" t="s">
        <v>207</v>
      </c>
      <c r="C10" s="38"/>
      <c r="D10" s="21" t="s">
        <v>45</v>
      </c>
      <c r="E10" s="22">
        <v>28186</v>
      </c>
      <c r="F10" s="21" t="s">
        <v>208</v>
      </c>
      <c r="G10" s="21" t="s">
        <v>209</v>
      </c>
      <c r="H10" s="21" t="s">
        <v>210</v>
      </c>
      <c r="I10" s="6" t="str">
        <f>VLOOKUP(CLEAN(F10),'World Bank Categories'!$B$4:$C$220,2,FALSE)</f>
        <v>Low income</v>
      </c>
      <c r="J10" s="21" t="s">
        <v>211</v>
      </c>
      <c r="K10" s="21" t="s">
        <v>68</v>
      </c>
      <c r="L10" s="21" t="s">
        <v>30</v>
      </c>
      <c r="M10" s="33" t="s">
        <v>212</v>
      </c>
      <c r="N10" s="21" t="s">
        <v>213</v>
      </c>
      <c r="O10" s="21" t="s">
        <v>214</v>
      </c>
      <c r="P10" s="21">
        <f t="shared" si="0"/>
        <v>3</v>
      </c>
      <c r="Q10" s="21" t="s">
        <v>31</v>
      </c>
      <c r="R10" s="9" t="s">
        <v>32</v>
      </c>
      <c r="S10" s="10" t="s">
        <v>33</v>
      </c>
      <c r="T10" s="25" t="s">
        <v>215</v>
      </c>
      <c r="U10" s="27">
        <v>28186</v>
      </c>
      <c r="V10" s="25" t="s">
        <v>216</v>
      </c>
      <c r="W10" s="25" t="s">
        <v>80</v>
      </c>
      <c r="X10" s="25"/>
    </row>
    <row r="11" spans="1:24" ht="22.5" customHeight="1">
      <c r="A11" s="20">
        <v>45883.567048611112</v>
      </c>
      <c r="B11" s="21" t="s">
        <v>244</v>
      </c>
      <c r="C11" s="38"/>
      <c r="D11" s="21" t="s">
        <v>45</v>
      </c>
      <c r="E11" s="22">
        <v>28573</v>
      </c>
      <c r="F11" s="21" t="s">
        <v>245</v>
      </c>
      <c r="G11" s="21" t="s">
        <v>246</v>
      </c>
      <c r="H11" s="21" t="s">
        <v>247</v>
      </c>
      <c r="I11" s="6" t="str">
        <f>VLOOKUP(CLEAN(F11),'World Bank Categories'!$B$4:$C$220,2,FALSE)</f>
        <v>Middle income</v>
      </c>
      <c r="J11" s="21" t="s">
        <v>248</v>
      </c>
      <c r="K11" s="21" t="s">
        <v>39</v>
      </c>
      <c r="L11" s="21" t="s">
        <v>152</v>
      </c>
      <c r="M11" s="33" t="s">
        <v>249</v>
      </c>
      <c r="N11" s="34" t="s">
        <v>250</v>
      </c>
      <c r="O11" s="21" t="s">
        <v>42</v>
      </c>
      <c r="P11" s="21">
        <f t="shared" si="0"/>
        <v>2</v>
      </c>
      <c r="Q11" s="21" t="s">
        <v>31</v>
      </c>
      <c r="R11" s="9" t="s">
        <v>32</v>
      </c>
      <c r="S11" s="10" t="s">
        <v>43</v>
      </c>
      <c r="T11" s="25" t="s">
        <v>244</v>
      </c>
      <c r="U11" s="27">
        <v>28573</v>
      </c>
      <c r="V11" s="25" t="s">
        <v>248</v>
      </c>
      <c r="W11" s="25" t="s">
        <v>80</v>
      </c>
      <c r="X11" s="25"/>
    </row>
    <row r="12" spans="1:24" ht="22.5" customHeight="1">
      <c r="A12" s="20">
        <v>45895.305358796293</v>
      </c>
      <c r="B12" s="21" t="s">
        <v>284</v>
      </c>
      <c r="C12" s="38"/>
      <c r="D12" s="21" t="s">
        <v>45</v>
      </c>
      <c r="E12" s="22">
        <v>24127</v>
      </c>
      <c r="F12" s="21" t="s">
        <v>285</v>
      </c>
      <c r="G12" s="21" t="s">
        <v>286</v>
      </c>
      <c r="H12" s="21" t="s">
        <v>287</v>
      </c>
      <c r="I12" s="6" t="str">
        <f>VLOOKUP(CLEAN(F12),'World Bank Categories'!$B$4:$C$220,2,FALSE)</f>
        <v>High income</v>
      </c>
      <c r="J12" s="21" t="s">
        <v>288</v>
      </c>
      <c r="K12" s="21" t="s">
        <v>29</v>
      </c>
      <c r="L12" s="21" t="s">
        <v>30</v>
      </c>
      <c r="M12" s="21" t="s">
        <v>289</v>
      </c>
      <c r="N12" s="17" t="s">
        <v>290</v>
      </c>
      <c r="O12" s="21" t="s">
        <v>42</v>
      </c>
      <c r="P12" s="21">
        <f t="shared" si="0"/>
        <v>2</v>
      </c>
      <c r="Q12" s="21" t="s">
        <v>31</v>
      </c>
      <c r="R12" s="9" t="s">
        <v>32</v>
      </c>
      <c r="S12" s="10" t="s">
        <v>43</v>
      </c>
      <c r="T12" s="25" t="s">
        <v>291</v>
      </c>
      <c r="U12" s="27">
        <v>24492</v>
      </c>
      <c r="V12" s="25" t="s">
        <v>288</v>
      </c>
      <c r="W12" s="25" t="s">
        <v>114</v>
      </c>
      <c r="X12" s="25"/>
    </row>
    <row r="13" spans="1:24" ht="22.5" customHeight="1">
      <c r="A13" s="20">
        <v>45900.025902777779</v>
      </c>
      <c r="B13" s="21" t="s">
        <v>296</v>
      </c>
      <c r="C13" s="38"/>
      <c r="D13" s="21" t="s">
        <v>24</v>
      </c>
      <c r="E13" s="22">
        <v>29297</v>
      </c>
      <c r="F13" s="21" t="s">
        <v>297</v>
      </c>
      <c r="G13" s="21" t="s">
        <v>209</v>
      </c>
      <c r="H13" s="21" t="s">
        <v>111</v>
      </c>
      <c r="I13" s="6" t="str">
        <f>VLOOKUP(CLEAN(F13),'World Bank Categories'!$B$4:$C$220,2,FALSE)</f>
        <v>Middle income</v>
      </c>
      <c r="J13" s="21" t="s">
        <v>298</v>
      </c>
      <c r="K13" s="21" t="s">
        <v>68</v>
      </c>
      <c r="L13" s="21" t="s">
        <v>30</v>
      </c>
      <c r="M13" s="21" t="s">
        <v>299</v>
      </c>
      <c r="N13" s="34" t="s">
        <v>300</v>
      </c>
      <c r="O13" s="14" t="s">
        <v>301</v>
      </c>
      <c r="P13" s="14">
        <f t="shared" si="0"/>
        <v>4</v>
      </c>
      <c r="Q13" s="21" t="s">
        <v>31</v>
      </c>
      <c r="R13" s="9" t="s">
        <v>32</v>
      </c>
      <c r="S13" s="18" t="s">
        <v>43</v>
      </c>
      <c r="T13" s="25" t="s">
        <v>302</v>
      </c>
      <c r="U13" s="27">
        <v>29297</v>
      </c>
      <c r="V13" s="25" t="s">
        <v>298</v>
      </c>
      <c r="W13" s="25" t="s">
        <v>80</v>
      </c>
      <c r="X13" s="25"/>
    </row>
    <row r="14" spans="1:24" ht="22.5" customHeight="1">
      <c r="A14" s="20">
        <v>45908.781759259262</v>
      </c>
      <c r="B14" s="21" t="s">
        <v>308</v>
      </c>
      <c r="C14" s="21" t="s">
        <v>309</v>
      </c>
      <c r="D14" s="21" t="s">
        <v>24</v>
      </c>
      <c r="E14" s="22">
        <v>30253</v>
      </c>
      <c r="F14" s="21" t="s">
        <v>310</v>
      </c>
      <c r="G14" s="21" t="s">
        <v>209</v>
      </c>
      <c r="H14" s="21" t="s">
        <v>311</v>
      </c>
      <c r="I14" s="6" t="str">
        <f>VLOOKUP(CLEAN(F14),'World Bank Categories'!$B$4:$C$220,2,FALSE)</f>
        <v>High income</v>
      </c>
      <c r="J14" s="21" t="s">
        <v>312</v>
      </c>
      <c r="K14" s="21" t="s">
        <v>29</v>
      </c>
      <c r="L14" s="21" t="s">
        <v>30</v>
      </c>
      <c r="M14" s="21" t="s">
        <v>313</v>
      </c>
      <c r="N14" s="21" t="s">
        <v>314</v>
      </c>
      <c r="O14" s="21" t="s">
        <v>42</v>
      </c>
      <c r="P14" s="21">
        <f t="shared" si="0"/>
        <v>2</v>
      </c>
      <c r="Q14" s="21" t="s">
        <v>31</v>
      </c>
      <c r="R14" s="9" t="s">
        <v>32</v>
      </c>
      <c r="S14" s="10" t="s">
        <v>33</v>
      </c>
      <c r="T14" s="25" t="s">
        <v>315</v>
      </c>
      <c r="U14" s="27">
        <v>30253</v>
      </c>
      <c r="V14" s="25" t="s">
        <v>312</v>
      </c>
      <c r="W14" s="25" t="s">
        <v>316</v>
      </c>
      <c r="X14" s="25"/>
    </row>
    <row r="15" spans="1:24" ht="22.5" customHeight="1">
      <c r="A15" s="20">
        <v>45918.29042824074</v>
      </c>
      <c r="B15" s="21" t="s">
        <v>331</v>
      </c>
      <c r="C15" s="38"/>
      <c r="D15" s="21" t="s">
        <v>45</v>
      </c>
      <c r="E15" s="22">
        <v>28989</v>
      </c>
      <c r="F15" s="21" t="s">
        <v>332</v>
      </c>
      <c r="G15" s="21" t="s">
        <v>333</v>
      </c>
      <c r="H15" s="21" t="s">
        <v>334</v>
      </c>
      <c r="I15" s="6" t="str">
        <f>VLOOKUP(CLEAN(F15),'World Bank Categories'!$B$4:$C$220,2,FALSE)</f>
        <v>High income</v>
      </c>
      <c r="J15" s="21" t="s">
        <v>335</v>
      </c>
      <c r="K15" s="21" t="s">
        <v>29</v>
      </c>
      <c r="L15" s="21" t="s">
        <v>30</v>
      </c>
      <c r="M15" s="21" t="s">
        <v>336</v>
      </c>
      <c r="N15" s="40" t="s">
        <v>337</v>
      </c>
      <c r="O15" s="21" t="s">
        <v>338</v>
      </c>
      <c r="P15" s="21">
        <f t="shared" si="0"/>
        <v>5</v>
      </c>
      <c r="Q15" s="21" t="s">
        <v>31</v>
      </c>
      <c r="R15" s="9" t="s">
        <v>32</v>
      </c>
      <c r="S15" s="10" t="s">
        <v>43</v>
      </c>
      <c r="T15" s="25" t="s">
        <v>331</v>
      </c>
      <c r="U15" s="27">
        <v>28989</v>
      </c>
      <c r="V15" s="25" t="s">
        <v>335</v>
      </c>
      <c r="W15" s="25" t="s">
        <v>80</v>
      </c>
      <c r="X15" s="25"/>
    </row>
    <row r="16" spans="1:24" ht="22.5" customHeight="1">
      <c r="A16" s="5">
        <v>45922.814504606482</v>
      </c>
      <c r="B16" s="6" t="s">
        <v>352</v>
      </c>
      <c r="C16" s="7"/>
      <c r="D16" s="6" t="s">
        <v>24</v>
      </c>
      <c r="E16" s="8">
        <v>30328</v>
      </c>
      <c r="F16" s="6" t="s">
        <v>346</v>
      </c>
      <c r="G16" s="6" t="s">
        <v>353</v>
      </c>
      <c r="H16" s="6" t="s">
        <v>354</v>
      </c>
      <c r="I16" s="6" t="str">
        <f>VLOOKUP(CLEAN(F16),'World Bank Categories'!$B$4:$C$220,2,FALSE)</f>
        <v>Middle income</v>
      </c>
      <c r="J16" s="6" t="s">
        <v>355</v>
      </c>
      <c r="K16" s="6" t="s">
        <v>29</v>
      </c>
      <c r="L16" s="6" t="s">
        <v>30</v>
      </c>
      <c r="M16" s="6" t="s">
        <v>356</v>
      </c>
      <c r="N16" s="34" t="s">
        <v>357</v>
      </c>
      <c r="O16" s="14" t="s">
        <v>301</v>
      </c>
      <c r="P16" s="14">
        <f t="shared" si="0"/>
        <v>4</v>
      </c>
      <c r="Q16" s="6" t="s">
        <v>31</v>
      </c>
      <c r="R16" s="9" t="s">
        <v>32</v>
      </c>
      <c r="S16" s="18" t="s">
        <v>33</v>
      </c>
      <c r="T16" s="11" t="s">
        <v>358</v>
      </c>
      <c r="U16" s="12"/>
      <c r="V16" s="12"/>
      <c r="W16" s="12"/>
      <c r="X16" s="12"/>
    </row>
    <row r="17" spans="1:24" ht="22.5" customHeight="1">
      <c r="A17" s="28">
        <v>45984.986701388887</v>
      </c>
      <c r="B17" s="29" t="s">
        <v>917</v>
      </c>
      <c r="C17" s="45"/>
      <c r="D17" s="29" t="s">
        <v>45</v>
      </c>
      <c r="E17" s="30">
        <v>31065</v>
      </c>
      <c r="F17" s="29" t="s">
        <v>612</v>
      </c>
      <c r="G17" s="29" t="s">
        <v>918</v>
      </c>
      <c r="H17" s="29" t="s">
        <v>919</v>
      </c>
      <c r="I17" s="6" t="str">
        <f>VLOOKUP(CLEAN(F17),'World Bank Categories'!$B$4:$C$220,2,FALSE)</f>
        <v>Low income</v>
      </c>
      <c r="J17" s="29" t="s">
        <v>920</v>
      </c>
      <c r="K17" s="29" t="s">
        <v>29</v>
      </c>
      <c r="L17" s="29" t="s">
        <v>30</v>
      </c>
      <c r="M17" s="29" t="s">
        <v>921</v>
      </c>
      <c r="N17" s="21" t="s">
        <v>922</v>
      </c>
      <c r="O17" s="21" t="s">
        <v>365</v>
      </c>
      <c r="P17" s="21">
        <f t="shared" si="0"/>
        <v>3</v>
      </c>
      <c r="Q17" s="29" t="s">
        <v>31</v>
      </c>
      <c r="R17" s="9" t="s">
        <v>32</v>
      </c>
      <c r="S17" s="18" t="s">
        <v>33</v>
      </c>
      <c r="T17" s="25" t="s">
        <v>917</v>
      </c>
      <c r="U17" s="27">
        <v>31065</v>
      </c>
      <c r="V17" s="25" t="s">
        <v>920</v>
      </c>
      <c r="W17" s="25" t="s">
        <v>80</v>
      </c>
      <c r="X17" s="25"/>
    </row>
    <row r="18" spans="1:24" ht="22.5" customHeight="1">
      <c r="A18" s="50">
        <v>45989.189976851849</v>
      </c>
      <c r="B18" s="51" t="s">
        <v>969</v>
      </c>
      <c r="C18" s="52"/>
      <c r="D18" s="51" t="s">
        <v>45</v>
      </c>
      <c r="E18" s="53">
        <v>29659</v>
      </c>
      <c r="F18" s="51" t="s">
        <v>751</v>
      </c>
      <c r="G18" s="51" t="s">
        <v>970</v>
      </c>
      <c r="H18" s="51" t="s">
        <v>111</v>
      </c>
      <c r="I18" s="6" t="str">
        <f>VLOOKUP(CLEAN(F18),'World Bank Categories'!$B$4:$C$220,2,FALSE)</f>
        <v>Low income</v>
      </c>
      <c r="J18" s="51" t="s">
        <v>971</v>
      </c>
      <c r="K18" s="51" t="s">
        <v>29</v>
      </c>
      <c r="L18" s="51" t="s">
        <v>30</v>
      </c>
      <c r="M18" s="51" t="s">
        <v>972</v>
      </c>
      <c r="N18" s="21" t="s">
        <v>973</v>
      </c>
      <c r="O18" s="21" t="s">
        <v>365</v>
      </c>
      <c r="P18" s="21">
        <f t="shared" si="0"/>
        <v>3</v>
      </c>
      <c r="Q18" s="51" t="s">
        <v>31</v>
      </c>
      <c r="R18" s="9" t="s">
        <v>32</v>
      </c>
      <c r="S18" s="18" t="s">
        <v>33</v>
      </c>
      <c r="T18" s="25" t="s">
        <v>974</v>
      </c>
      <c r="U18" s="27">
        <v>29659</v>
      </c>
      <c r="V18" s="25" t="s">
        <v>971</v>
      </c>
      <c r="W18" s="25" t="s">
        <v>154</v>
      </c>
      <c r="X18" s="25"/>
    </row>
    <row r="19" spans="1:24" ht="22.5" customHeight="1">
      <c r="A19" s="20">
        <v>45996.041030092594</v>
      </c>
      <c r="B19" s="21" t="s">
        <v>1079</v>
      </c>
      <c r="C19" s="38"/>
      <c r="D19" s="21" t="s">
        <v>45</v>
      </c>
      <c r="E19" s="22">
        <v>32733</v>
      </c>
      <c r="F19" s="21" t="s">
        <v>980</v>
      </c>
      <c r="G19" s="21" t="s">
        <v>1080</v>
      </c>
      <c r="H19" s="21" t="s">
        <v>90</v>
      </c>
      <c r="I19" s="6" t="str">
        <f>VLOOKUP(CLEAN(F19),'World Bank Categories'!$B$4:$C$220,2,FALSE)</f>
        <v>Middle income</v>
      </c>
      <c r="J19" s="21" t="s">
        <v>1081</v>
      </c>
      <c r="K19" s="21" t="s">
        <v>39</v>
      </c>
      <c r="L19" s="21" t="s">
        <v>621</v>
      </c>
      <c r="M19" s="21" t="s">
        <v>1082</v>
      </c>
      <c r="N19" s="34" t="s">
        <v>1083</v>
      </c>
      <c r="O19" s="21" t="s">
        <v>365</v>
      </c>
      <c r="P19" s="21">
        <f t="shared" si="0"/>
        <v>3</v>
      </c>
      <c r="Q19" s="21" t="s">
        <v>31</v>
      </c>
      <c r="R19" s="9" t="s">
        <v>32</v>
      </c>
      <c r="S19" s="18" t="s">
        <v>33</v>
      </c>
      <c r="T19" s="25" t="s">
        <v>1079</v>
      </c>
      <c r="U19" s="27">
        <v>32733</v>
      </c>
      <c r="V19" s="25" t="s">
        <v>1081</v>
      </c>
      <c r="W19" s="25" t="s">
        <v>80</v>
      </c>
      <c r="X19" s="25"/>
    </row>
    <row r="20" spans="1:24" ht="22.5" customHeight="1">
      <c r="A20" s="28">
        <v>46012.652037037034</v>
      </c>
      <c r="B20" s="29" t="s">
        <v>1257</v>
      </c>
      <c r="C20" s="45"/>
      <c r="D20" s="29" t="s">
        <v>24</v>
      </c>
      <c r="E20" s="30">
        <v>32980</v>
      </c>
      <c r="F20" s="29" t="s">
        <v>346</v>
      </c>
      <c r="G20" s="29" t="s">
        <v>1258</v>
      </c>
      <c r="H20" s="29" t="s">
        <v>1259</v>
      </c>
      <c r="I20" s="6" t="str">
        <f>VLOOKUP(CLEAN(F20),'World Bank Categories'!$B$4:$C$220,2,FALSE)</f>
        <v>Middle income</v>
      </c>
      <c r="J20" s="29" t="s">
        <v>1260</v>
      </c>
      <c r="K20" s="29" t="s">
        <v>29</v>
      </c>
      <c r="L20" s="29" t="s">
        <v>30</v>
      </c>
      <c r="M20" s="29" t="s">
        <v>1261</v>
      </c>
      <c r="N20" s="54" t="s">
        <v>1262</v>
      </c>
      <c r="O20" s="14" t="s">
        <v>301</v>
      </c>
      <c r="P20" s="14">
        <f t="shared" si="0"/>
        <v>4</v>
      </c>
      <c r="Q20" s="29" t="s">
        <v>31</v>
      </c>
      <c r="R20" s="9" t="s">
        <v>32</v>
      </c>
      <c r="S20" s="18" t="s">
        <v>33</v>
      </c>
      <c r="T20" s="25" t="s">
        <v>1257</v>
      </c>
      <c r="U20" s="27">
        <v>32980</v>
      </c>
      <c r="V20" s="25" t="s">
        <v>1260</v>
      </c>
      <c r="W20" s="25" t="s">
        <v>80</v>
      </c>
      <c r="X20" s="25"/>
    </row>
    <row r="21" spans="1:24" ht="22.5" customHeight="1">
      <c r="A21" s="20">
        <v>46013.748796296299</v>
      </c>
      <c r="B21" s="21" t="s">
        <v>1276</v>
      </c>
      <c r="C21" s="38"/>
      <c r="D21" s="21" t="s">
        <v>45</v>
      </c>
      <c r="E21" s="22">
        <v>28068</v>
      </c>
      <c r="F21" s="21" t="s">
        <v>1277</v>
      </c>
      <c r="G21" s="21" t="s">
        <v>1278</v>
      </c>
      <c r="H21" s="21" t="s">
        <v>98</v>
      </c>
      <c r="I21" s="6" t="str">
        <f>VLOOKUP(CLEAN(F21),'World Bank Categories'!$B$4:$C$220,2,FALSE)</f>
        <v>Middle income</v>
      </c>
      <c r="J21" s="21" t="s">
        <v>1279</v>
      </c>
      <c r="K21" s="21" t="s">
        <v>29</v>
      </c>
      <c r="L21" s="21" t="s">
        <v>1280</v>
      </c>
      <c r="M21" s="21" t="s">
        <v>1281</v>
      </c>
      <c r="N21" s="21" t="s">
        <v>1282</v>
      </c>
      <c r="O21" s="6" t="s">
        <v>444</v>
      </c>
      <c r="P21" s="6">
        <f t="shared" si="0"/>
        <v>2</v>
      </c>
      <c r="Q21" s="21" t="s">
        <v>31</v>
      </c>
      <c r="R21" s="9" t="s">
        <v>32</v>
      </c>
      <c r="S21" s="18" t="s">
        <v>33</v>
      </c>
      <c r="T21" s="25" t="s">
        <v>1276</v>
      </c>
      <c r="U21" s="27">
        <v>28068</v>
      </c>
      <c r="V21" s="25" t="s">
        <v>1279</v>
      </c>
      <c r="W21" s="25" t="s">
        <v>80</v>
      </c>
      <c r="X21" s="25"/>
    </row>
    <row r="22" spans="1:24" ht="22.5" customHeight="1">
      <c r="A22" s="20">
        <v>46021.989988425928</v>
      </c>
      <c r="B22" s="21" t="s">
        <v>1526</v>
      </c>
      <c r="C22" s="38"/>
      <c r="D22" s="21" t="s">
        <v>24</v>
      </c>
      <c r="E22" s="22">
        <v>33794</v>
      </c>
      <c r="F22" s="21" t="s">
        <v>227</v>
      </c>
      <c r="G22" s="21" t="s">
        <v>1527</v>
      </c>
      <c r="H22" s="21" t="s">
        <v>1528</v>
      </c>
      <c r="I22" s="6" t="str">
        <f>VLOOKUP(CLEAN(F22),'World Bank Categories'!$B$4:$C$220,2,FALSE)</f>
        <v>Middle income</v>
      </c>
      <c r="J22" s="21" t="s">
        <v>1529</v>
      </c>
      <c r="K22" s="21" t="s">
        <v>29</v>
      </c>
      <c r="L22" s="21" t="s">
        <v>30</v>
      </c>
      <c r="M22" s="21" t="s">
        <v>1530</v>
      </c>
      <c r="N22" s="21" t="s">
        <v>1531</v>
      </c>
      <c r="O22" s="14" t="s">
        <v>301</v>
      </c>
      <c r="P22" s="14">
        <f t="shared" si="0"/>
        <v>4</v>
      </c>
      <c r="Q22" s="21" t="s">
        <v>31</v>
      </c>
      <c r="R22" s="9" t="s">
        <v>32</v>
      </c>
      <c r="S22" s="18" t="s">
        <v>33</v>
      </c>
      <c r="T22" s="25" t="s">
        <v>1526</v>
      </c>
      <c r="U22" s="27">
        <v>33794</v>
      </c>
      <c r="V22" s="25" t="s">
        <v>1529</v>
      </c>
      <c r="W22" s="25" t="s">
        <v>80</v>
      </c>
      <c r="X22" s="25"/>
    </row>
    <row r="23" spans="1:24" ht="22.5" customHeight="1">
      <c r="A23" s="20">
        <v>46022.751805555556</v>
      </c>
      <c r="B23" s="21" t="s">
        <v>1585</v>
      </c>
      <c r="C23" s="21" t="s">
        <v>1586</v>
      </c>
      <c r="D23" s="21" t="s">
        <v>24</v>
      </c>
      <c r="E23" s="22">
        <v>33802</v>
      </c>
      <c r="F23" s="21" t="s">
        <v>980</v>
      </c>
      <c r="G23" s="21" t="s">
        <v>1587</v>
      </c>
      <c r="H23" s="21" t="s">
        <v>1588</v>
      </c>
      <c r="I23" s="6" t="str">
        <f>VLOOKUP(CLEAN(F23),'World Bank Categories'!$B$4:$C$220,2,FALSE)</f>
        <v>Middle income</v>
      </c>
      <c r="J23" s="21" t="s">
        <v>1583</v>
      </c>
      <c r="K23" s="21" t="s">
        <v>39</v>
      </c>
      <c r="L23" s="21" t="s">
        <v>152</v>
      </c>
      <c r="M23" s="21" t="s">
        <v>1589</v>
      </c>
      <c r="N23" s="17" t="s">
        <v>1590</v>
      </c>
      <c r="O23" s="6" t="s">
        <v>444</v>
      </c>
      <c r="P23" s="6">
        <f t="shared" si="0"/>
        <v>2</v>
      </c>
      <c r="Q23" s="21" t="s">
        <v>31</v>
      </c>
      <c r="R23" s="9" t="s">
        <v>32</v>
      </c>
      <c r="S23" s="18" t="s">
        <v>33</v>
      </c>
      <c r="T23" s="25" t="s">
        <v>1591</v>
      </c>
      <c r="U23" s="27">
        <v>33802</v>
      </c>
      <c r="V23" s="25" t="s">
        <v>1583</v>
      </c>
      <c r="W23" s="25" t="s">
        <v>316</v>
      </c>
      <c r="X23" s="25"/>
    </row>
    <row r="24" spans="1:24" ht="22.5" customHeight="1">
      <c r="A24" s="20">
        <v>46023.099398148152</v>
      </c>
      <c r="B24" s="21" t="s">
        <v>1653</v>
      </c>
      <c r="C24" s="38"/>
      <c r="D24" s="21" t="s">
        <v>24</v>
      </c>
      <c r="E24" s="22">
        <v>31644</v>
      </c>
      <c r="F24" s="21" t="s">
        <v>227</v>
      </c>
      <c r="G24" s="21" t="s">
        <v>1654</v>
      </c>
      <c r="H24" s="21" t="s">
        <v>1655</v>
      </c>
      <c r="I24" s="6" t="str">
        <f>VLOOKUP(CLEAN(F24),'World Bank Categories'!$B$4:$C$220,2,FALSE)</f>
        <v>Middle income</v>
      </c>
      <c r="J24" s="21" t="s">
        <v>1656</v>
      </c>
      <c r="K24" s="21" t="s">
        <v>39</v>
      </c>
      <c r="L24" s="21" t="s">
        <v>30</v>
      </c>
      <c r="M24" s="21" t="s">
        <v>1657</v>
      </c>
      <c r="N24" s="21" t="s">
        <v>1658</v>
      </c>
      <c r="O24" s="21" t="s">
        <v>1659</v>
      </c>
      <c r="P24" s="21">
        <f t="shared" si="0"/>
        <v>3</v>
      </c>
      <c r="Q24" s="21" t="s">
        <v>31</v>
      </c>
      <c r="R24" s="9" t="s">
        <v>32</v>
      </c>
      <c r="S24" s="10" t="s">
        <v>33</v>
      </c>
      <c r="T24" s="25" t="s">
        <v>1653</v>
      </c>
      <c r="U24" s="27">
        <v>31644</v>
      </c>
      <c r="V24" s="25" t="s">
        <v>1656</v>
      </c>
      <c r="W24" s="25" t="s">
        <v>80</v>
      </c>
      <c r="X24" s="25"/>
    </row>
    <row r="25" spans="1:24" ht="22.5" customHeight="1">
      <c r="A25" s="13">
        <v>46048.142859097221</v>
      </c>
      <c r="B25" s="14" t="s">
        <v>1921</v>
      </c>
      <c r="C25" s="15"/>
      <c r="D25" s="14" t="s">
        <v>24</v>
      </c>
      <c r="E25" s="16">
        <v>29327</v>
      </c>
      <c r="F25" s="14" t="s">
        <v>232</v>
      </c>
      <c r="G25" s="14" t="s">
        <v>1922</v>
      </c>
      <c r="H25" s="14" t="s">
        <v>1923</v>
      </c>
      <c r="I25" s="6" t="str">
        <f>VLOOKUP(CLEAN(F25),'World Bank Categories'!$B$4:$C$220,2,FALSE)</f>
        <v>Middle income</v>
      </c>
      <c r="J25" s="14" t="s">
        <v>1924</v>
      </c>
      <c r="K25" s="14" t="s">
        <v>39</v>
      </c>
      <c r="L25" s="14" t="s">
        <v>152</v>
      </c>
      <c r="M25" s="14" t="s">
        <v>1925</v>
      </c>
      <c r="N25" s="14" t="s">
        <v>1926</v>
      </c>
      <c r="O25" s="14" t="s">
        <v>301</v>
      </c>
      <c r="P25" s="14">
        <f t="shared" si="0"/>
        <v>4</v>
      </c>
      <c r="Q25" s="14" t="s">
        <v>31</v>
      </c>
      <c r="R25" s="9" t="s">
        <v>32</v>
      </c>
      <c r="S25" s="18" t="s">
        <v>43</v>
      </c>
      <c r="T25" s="19" t="s">
        <v>1921</v>
      </c>
      <c r="U25" s="12"/>
      <c r="V25" s="12"/>
      <c r="W25" s="12"/>
      <c r="X25" s="12"/>
    </row>
    <row r="26" spans="1:24" ht="22.5" customHeight="1">
      <c r="A26" s="20">
        <v>46048.748993055553</v>
      </c>
      <c r="B26" s="21" t="s">
        <v>1935</v>
      </c>
      <c r="C26" s="38"/>
      <c r="D26" s="21" t="s">
        <v>45</v>
      </c>
      <c r="E26" s="22">
        <v>31397</v>
      </c>
      <c r="F26" s="21" t="s">
        <v>980</v>
      </c>
      <c r="G26" s="21" t="s">
        <v>1462</v>
      </c>
      <c r="H26" s="21" t="s">
        <v>738</v>
      </c>
      <c r="I26" s="6" t="str">
        <f>VLOOKUP(CLEAN(F26),'World Bank Categories'!$B$4:$C$220,2,FALSE)</f>
        <v>Middle income</v>
      </c>
      <c r="J26" s="21" t="s">
        <v>1936</v>
      </c>
      <c r="K26" s="21" t="s">
        <v>39</v>
      </c>
      <c r="L26" s="21" t="s">
        <v>152</v>
      </c>
      <c r="M26" s="21" t="s">
        <v>1937</v>
      </c>
      <c r="N26" s="21" t="s">
        <v>1938</v>
      </c>
      <c r="O26" s="14" t="s">
        <v>365</v>
      </c>
      <c r="P26" s="14">
        <f t="shared" si="0"/>
        <v>3</v>
      </c>
      <c r="Q26" s="21" t="s">
        <v>31</v>
      </c>
      <c r="R26" s="9" t="s">
        <v>32</v>
      </c>
      <c r="S26" s="10" t="s">
        <v>33</v>
      </c>
      <c r="T26" s="25" t="s">
        <v>1935</v>
      </c>
      <c r="U26" s="27">
        <v>31397</v>
      </c>
      <c r="V26" s="25" t="s">
        <v>1936</v>
      </c>
      <c r="W26" s="25" t="s">
        <v>80</v>
      </c>
      <c r="X26" s="25"/>
    </row>
    <row r="27" spans="1:24" ht="22.5" customHeight="1">
      <c r="A27" s="13">
        <v>46052.178642314815</v>
      </c>
      <c r="B27" s="14" t="s">
        <v>2042</v>
      </c>
      <c r="C27" s="15"/>
      <c r="D27" s="14" t="s">
        <v>45</v>
      </c>
      <c r="E27" s="16">
        <v>29271</v>
      </c>
      <c r="F27" s="14" t="s">
        <v>232</v>
      </c>
      <c r="G27" s="14" t="s">
        <v>648</v>
      </c>
      <c r="H27" s="14" t="s">
        <v>186</v>
      </c>
      <c r="I27" s="6" t="str">
        <f>VLOOKUP(CLEAN(F27),'World Bank Categories'!$B$4:$C$220,2,FALSE)</f>
        <v>Middle income</v>
      </c>
      <c r="J27" s="14" t="s">
        <v>2043</v>
      </c>
      <c r="K27" s="14" t="s">
        <v>29</v>
      </c>
      <c r="L27" s="14" t="s">
        <v>162</v>
      </c>
      <c r="M27" s="14" t="s">
        <v>2044</v>
      </c>
      <c r="N27" s="6" t="s">
        <v>2045</v>
      </c>
      <c r="O27" s="14" t="s">
        <v>2046</v>
      </c>
      <c r="P27" s="14">
        <f t="shared" si="0"/>
        <v>6</v>
      </c>
      <c r="Q27" s="14" t="s">
        <v>31</v>
      </c>
      <c r="R27" s="9" t="s">
        <v>32</v>
      </c>
      <c r="S27" s="18" t="s">
        <v>43</v>
      </c>
      <c r="T27" s="19" t="s">
        <v>2042</v>
      </c>
      <c r="U27" s="12"/>
      <c r="V27" s="12"/>
      <c r="W27" s="12"/>
      <c r="X27" s="12"/>
    </row>
    <row r="28" spans="1:24" ht="22.5" customHeight="1">
      <c r="A28" s="20">
        <v>46053.821539351855</v>
      </c>
      <c r="B28" s="21" t="s">
        <v>2191</v>
      </c>
      <c r="C28" s="38"/>
      <c r="D28" s="21" t="s">
        <v>24</v>
      </c>
      <c r="E28" s="22">
        <v>31669</v>
      </c>
      <c r="F28" s="21" t="s">
        <v>1932</v>
      </c>
      <c r="G28" s="21" t="s">
        <v>2192</v>
      </c>
      <c r="H28" s="21" t="s">
        <v>1006</v>
      </c>
      <c r="I28" s="6" t="str">
        <f>VLOOKUP(CLEAN(F28),'World Bank Categories'!$B$4:$C$220,2,FALSE)</f>
        <v>Middle income</v>
      </c>
      <c r="J28" s="21" t="s">
        <v>2193</v>
      </c>
      <c r="K28" s="21" t="s">
        <v>39</v>
      </c>
      <c r="L28" s="21" t="s">
        <v>621</v>
      </c>
      <c r="M28" s="21" t="s">
        <v>2194</v>
      </c>
      <c r="N28" s="17" t="s">
        <v>2195</v>
      </c>
      <c r="O28" s="6" t="s">
        <v>444</v>
      </c>
      <c r="P28" s="6">
        <f t="shared" si="0"/>
        <v>2</v>
      </c>
      <c r="Q28" s="21" t="s">
        <v>31</v>
      </c>
      <c r="R28" s="9" t="s">
        <v>32</v>
      </c>
      <c r="S28" s="18" t="s">
        <v>33</v>
      </c>
      <c r="T28" s="25" t="s">
        <v>2196</v>
      </c>
      <c r="U28" s="27">
        <v>31669</v>
      </c>
      <c r="V28" s="25" t="s">
        <v>2193</v>
      </c>
      <c r="W28" s="25" t="s">
        <v>80</v>
      </c>
      <c r="X28" s="25"/>
    </row>
    <row r="29" spans="1:24" ht="22.5" customHeight="1">
      <c r="A29" s="110">
        <v>46090.384432870371</v>
      </c>
      <c r="B29" s="111" t="s">
        <v>2982</v>
      </c>
      <c r="C29" s="111" t="s">
        <v>2983</v>
      </c>
      <c r="D29" s="111" t="s">
        <v>45</v>
      </c>
      <c r="E29" s="112">
        <v>32873</v>
      </c>
      <c r="F29" s="111" t="s">
        <v>799</v>
      </c>
      <c r="G29" s="111" t="s">
        <v>209</v>
      </c>
      <c r="H29" s="111" t="s">
        <v>2984</v>
      </c>
      <c r="I29" s="6" t="str">
        <f>VLOOKUP(CLEAN(F29),'World Bank Categories'!$B$4:$C$220,2,FALSE)</f>
        <v>Low income</v>
      </c>
      <c r="J29" s="111" t="s">
        <v>2985</v>
      </c>
      <c r="K29" s="111" t="s">
        <v>29</v>
      </c>
      <c r="L29" s="111" t="s">
        <v>30</v>
      </c>
      <c r="M29" s="111" t="s">
        <v>2986</v>
      </c>
      <c r="N29" s="107" t="s">
        <v>2987</v>
      </c>
      <c r="O29" s="6" t="s">
        <v>444</v>
      </c>
      <c r="P29" s="6">
        <f t="shared" si="0"/>
        <v>2</v>
      </c>
      <c r="Q29" s="111" t="s">
        <v>31</v>
      </c>
      <c r="R29" s="68" t="s">
        <v>32</v>
      </c>
      <c r="S29" s="18" t="s">
        <v>33</v>
      </c>
      <c r="T29" s="74" t="s">
        <v>2988</v>
      </c>
      <c r="U29" s="27">
        <v>32873</v>
      </c>
      <c r="V29" s="25" t="s">
        <v>2985</v>
      </c>
      <c r="W29" s="25" t="s">
        <v>316</v>
      </c>
      <c r="X29" s="25"/>
    </row>
    <row r="30" spans="1:24" ht="22.5" customHeight="1">
      <c r="A30" s="137">
        <v>46107.133913229161</v>
      </c>
      <c r="B30" s="12" t="s">
        <v>3167</v>
      </c>
      <c r="D30" s="12" t="s">
        <v>24</v>
      </c>
      <c r="E30" s="138">
        <v>29327</v>
      </c>
      <c r="F30" s="12" t="s">
        <v>232</v>
      </c>
      <c r="G30" s="12" t="s">
        <v>3168</v>
      </c>
      <c r="H30" s="12" t="s">
        <v>186</v>
      </c>
      <c r="I30" s="6" t="str">
        <f>VLOOKUP(CLEAN(F30),'World Bank Categories'!$B$4:$C$220,2,FALSE)</f>
        <v>Middle income</v>
      </c>
      <c r="J30" s="12" t="s">
        <v>3169</v>
      </c>
      <c r="K30" s="12" t="s">
        <v>39</v>
      </c>
      <c r="L30" s="12" t="s">
        <v>621</v>
      </c>
      <c r="M30" s="12" t="s">
        <v>3170</v>
      </c>
      <c r="N30" s="12" t="s">
        <v>3171</v>
      </c>
      <c r="O30" s="12" t="s">
        <v>214</v>
      </c>
      <c r="P30" s="12">
        <f t="shared" si="0"/>
        <v>3</v>
      </c>
      <c r="Q30" s="12" t="s">
        <v>31</v>
      </c>
      <c r="R30" s="130" t="s">
        <v>32</v>
      </c>
      <c r="S30" s="153" t="s">
        <v>43</v>
      </c>
      <c r="T30" s="149" t="s">
        <v>1921</v>
      </c>
      <c r="U30" s="150">
        <v>29327</v>
      </c>
      <c r="V30" s="154" t="s">
        <v>1924</v>
      </c>
      <c r="W30" s="151" t="s">
        <v>3172</v>
      </c>
      <c r="X30" s="151"/>
    </row>
    <row r="31" spans="1:24" ht="22.5" customHeight="1">
      <c r="A31" s="175">
        <v>46122.730261215278</v>
      </c>
      <c r="B31" s="176" t="s">
        <v>3306</v>
      </c>
      <c r="C31" s="176" t="s">
        <v>3307</v>
      </c>
      <c r="D31" s="176" t="s">
        <v>45</v>
      </c>
      <c r="E31" s="177">
        <v>31381</v>
      </c>
      <c r="F31" s="176" t="s">
        <v>1053</v>
      </c>
      <c r="G31" s="176" t="s">
        <v>3308</v>
      </c>
      <c r="H31" s="176" t="s">
        <v>3309</v>
      </c>
      <c r="I31" s="6" t="str">
        <f>VLOOKUP(CLEAN(F31),'World Bank Categories'!$B$4:$C$220,2,FALSE)</f>
        <v>High income</v>
      </c>
      <c r="J31" s="176" t="s">
        <v>3310</v>
      </c>
      <c r="K31" s="176" t="s">
        <v>39</v>
      </c>
      <c r="L31" s="176" t="s">
        <v>152</v>
      </c>
      <c r="M31" s="176" t="s">
        <v>3311</v>
      </c>
      <c r="N31" s="176" t="s">
        <v>3312</v>
      </c>
      <c r="O31" s="176" t="s">
        <v>3313</v>
      </c>
      <c r="P31" s="176">
        <f t="shared" si="0"/>
        <v>4</v>
      </c>
      <c r="Q31" s="176" t="s">
        <v>31</v>
      </c>
      <c r="R31" s="130" t="s">
        <v>32</v>
      </c>
      <c r="S31" s="178" t="s">
        <v>43</v>
      </c>
      <c r="T31" s="172" t="s">
        <v>3306</v>
      </c>
      <c r="U31" s="179">
        <v>31117</v>
      </c>
      <c r="V31" s="172" t="s">
        <v>3310</v>
      </c>
      <c r="W31" s="180" t="s">
        <v>3314</v>
      </c>
      <c r="X31" s="180"/>
    </row>
    <row r="32" spans="1:24" ht="22.5" customHeight="1">
      <c r="A32" s="137">
        <v>46136.529390960648</v>
      </c>
      <c r="B32" s="12" t="s">
        <v>3468</v>
      </c>
      <c r="C32" s="12" t="s">
        <v>871</v>
      </c>
      <c r="D32" s="12" t="s">
        <v>24</v>
      </c>
      <c r="E32" s="138">
        <v>31597</v>
      </c>
      <c r="F32" s="12" t="s">
        <v>3469</v>
      </c>
      <c r="G32" s="12" t="s">
        <v>3470</v>
      </c>
      <c r="H32" s="12" t="s">
        <v>111</v>
      </c>
      <c r="I32" s="6" t="str">
        <f>VLOOKUP(CLEAN(F32),'World Bank Categories'!$B$4:$C$220,2,FALSE)</f>
        <v>Middle income</v>
      </c>
      <c r="J32" s="12" t="s">
        <v>3471</v>
      </c>
      <c r="K32" s="12" t="s">
        <v>29</v>
      </c>
      <c r="L32" s="12" t="s">
        <v>30</v>
      </c>
      <c r="M32" s="12" t="s">
        <v>3472</v>
      </c>
      <c r="N32" s="12" t="s">
        <v>3473</v>
      </c>
      <c r="O32" s="12" t="s">
        <v>3474</v>
      </c>
      <c r="P32" s="12">
        <f t="shared" si="0"/>
        <v>4</v>
      </c>
      <c r="Q32" s="12" t="s">
        <v>31</v>
      </c>
      <c r="R32" s="130" t="s">
        <v>32</v>
      </c>
      <c r="S32" s="141" t="s">
        <v>43</v>
      </c>
      <c r="X32" s="12"/>
    </row>
    <row r="33" spans="1:24" ht="22.5" customHeight="1">
      <c r="A33" s="137">
        <v>46147.17849583333</v>
      </c>
      <c r="B33" s="12" t="s">
        <v>3604</v>
      </c>
      <c r="D33" s="12" t="s">
        <v>24</v>
      </c>
      <c r="E33" s="138">
        <v>16387</v>
      </c>
      <c r="F33" s="12" t="s">
        <v>198</v>
      </c>
      <c r="G33" s="12" t="s">
        <v>3605</v>
      </c>
      <c r="H33" s="12" t="s">
        <v>3606</v>
      </c>
      <c r="I33" s="6" t="str">
        <f>VLOOKUP(CLEAN(F33),'World Bank Categories'!$B$4:$C$220,2,FALSE)</f>
        <v>Middle income</v>
      </c>
      <c r="J33" s="12" t="s">
        <v>2658</v>
      </c>
      <c r="K33" s="12" t="s">
        <v>29</v>
      </c>
      <c r="L33" s="12" t="s">
        <v>30</v>
      </c>
      <c r="M33" s="12" t="s">
        <v>3607</v>
      </c>
      <c r="N33" s="12" t="s">
        <v>3608</v>
      </c>
      <c r="O33" s="12" t="s">
        <v>4594</v>
      </c>
      <c r="P33" s="12">
        <f t="shared" si="0"/>
        <v>2</v>
      </c>
      <c r="Q33" s="12" t="s">
        <v>31</v>
      </c>
      <c r="R33" s="205" t="s">
        <v>32</v>
      </c>
      <c r="S33" s="141" t="s">
        <v>43</v>
      </c>
      <c r="T33" s="206" t="s">
        <v>3610</v>
      </c>
      <c r="U33" s="207">
        <v>16387</v>
      </c>
      <c r="V33" s="206" t="s">
        <v>2658</v>
      </c>
      <c r="W33" s="208" t="s">
        <v>3611</v>
      </c>
      <c r="X33" s="209">
        <v>720843</v>
      </c>
    </row>
    <row r="34" spans="1:24" ht="22.5" customHeight="1">
      <c r="A34" s="137">
        <v>46163.632929444444</v>
      </c>
      <c r="B34" s="12" t="s">
        <v>3547</v>
      </c>
      <c r="D34" s="12" t="s">
        <v>24</v>
      </c>
      <c r="E34" s="138">
        <v>21916</v>
      </c>
      <c r="F34" s="12" t="s">
        <v>623</v>
      </c>
      <c r="G34" s="12" t="s">
        <v>3548</v>
      </c>
      <c r="H34" s="12" t="s">
        <v>3549</v>
      </c>
      <c r="I34" s="6" t="str">
        <f>VLOOKUP(CLEAN(F34),'World Bank Categories'!$B$4:$C$220,2,FALSE)</f>
        <v>Middle income</v>
      </c>
      <c r="J34" s="12" t="s">
        <v>3550</v>
      </c>
      <c r="K34" s="12" t="s">
        <v>39</v>
      </c>
      <c r="L34" s="12" t="s">
        <v>30</v>
      </c>
      <c r="M34" s="12" t="s">
        <v>4049</v>
      </c>
      <c r="N34" s="12" t="s">
        <v>4050</v>
      </c>
      <c r="O34" s="12" t="s">
        <v>4595</v>
      </c>
      <c r="P34" s="12">
        <f t="shared" si="0"/>
        <v>2</v>
      </c>
      <c r="Q34" s="12" t="s">
        <v>31</v>
      </c>
      <c r="R34" s="205" t="s">
        <v>32</v>
      </c>
      <c r="S34" s="141" t="s">
        <v>43</v>
      </c>
      <c r="T34" s="206" t="s">
        <v>3547</v>
      </c>
      <c r="U34" s="207">
        <v>21916</v>
      </c>
      <c r="V34" s="206" t="s">
        <v>3550</v>
      </c>
      <c r="W34" s="208" t="s">
        <v>4052</v>
      </c>
      <c r="X34" s="209">
        <v>725030</v>
      </c>
    </row>
    <row r="35" spans="1:24" ht="22.5" customHeight="1">
      <c r="A35" s="137">
        <v>46163.636682824072</v>
      </c>
      <c r="B35" s="12" t="s">
        <v>4053</v>
      </c>
      <c r="D35" s="12" t="s">
        <v>45</v>
      </c>
      <c r="E35" s="138">
        <v>34837</v>
      </c>
      <c r="F35" s="12" t="s">
        <v>623</v>
      </c>
      <c r="G35" s="12" t="s">
        <v>3548</v>
      </c>
      <c r="H35" s="12" t="s">
        <v>4054</v>
      </c>
      <c r="I35" s="6" t="str">
        <f>VLOOKUP(CLEAN(F35),'World Bank Categories'!$B$4:$C$220,2,FALSE)</f>
        <v>Middle income</v>
      </c>
      <c r="J35" s="12" t="s">
        <v>3550</v>
      </c>
      <c r="K35" s="12" t="s">
        <v>39</v>
      </c>
      <c r="L35" s="12" t="s">
        <v>30</v>
      </c>
      <c r="M35" s="12" t="s">
        <v>4055</v>
      </c>
      <c r="N35" s="12" t="s">
        <v>4056</v>
      </c>
      <c r="O35" s="12" t="s">
        <v>4596</v>
      </c>
      <c r="P35" s="12">
        <f t="shared" si="0"/>
        <v>2</v>
      </c>
      <c r="Q35" s="12" t="s">
        <v>31</v>
      </c>
      <c r="R35" s="205" t="s">
        <v>32</v>
      </c>
      <c r="S35" s="141" t="s">
        <v>43</v>
      </c>
      <c r="T35" s="206" t="s">
        <v>3547</v>
      </c>
      <c r="U35" s="207">
        <v>21916</v>
      </c>
      <c r="V35" s="206" t="s">
        <v>3550</v>
      </c>
      <c r="W35" s="208" t="s">
        <v>4058</v>
      </c>
      <c r="X35" s="209">
        <v>725030</v>
      </c>
    </row>
  </sheetData>
  <phoneticPr fontId="4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DA14-5AE5-4A22-984B-46A8236702D1}">
  <sheetPr>
    <outlinePr summaryBelow="0" summaryRight="0"/>
  </sheetPr>
  <dimension ref="A2:W554"/>
  <sheetViews>
    <sheetView workbookViewId="0">
      <pane ySplit="4" topLeftCell="A5" activePane="bottomLeft" state="frozen"/>
      <selection pane="bottomLeft" activeCell="G16" sqref="G16"/>
    </sheetView>
  </sheetViews>
  <sheetFormatPr defaultColWidth="12.7109375" defaultRowHeight="15.75" customHeight="1"/>
  <cols>
    <col min="1" max="1" width="18.85546875" customWidth="1"/>
    <col min="2" max="2" width="27.7109375" customWidth="1"/>
    <col min="3" max="3" width="12.7109375" customWidth="1"/>
    <col min="4" max="4" width="16.7109375" customWidth="1"/>
    <col min="5" max="5" width="17.28515625" customWidth="1"/>
    <col min="6" max="6" width="17.42578125" customWidth="1"/>
    <col min="7" max="7" width="24.7109375" customWidth="1"/>
    <col min="8" max="8" width="33.85546875" customWidth="1"/>
    <col min="9" max="9" width="21.140625" customWidth="1"/>
    <col min="10" max="10" width="33.7109375" customWidth="1"/>
    <col min="11" max="11" width="35" customWidth="1"/>
    <col min="12" max="12" width="47.140625" customWidth="1"/>
    <col min="13" max="13" width="59" customWidth="1"/>
    <col min="14" max="14" width="23.7109375" customWidth="1"/>
    <col min="15" max="15" width="23" customWidth="1"/>
    <col min="16" max="16" width="0.28515625" customWidth="1"/>
    <col min="17" max="17" width="18.85546875" customWidth="1"/>
    <col min="18" max="19" width="34.7109375" customWidth="1"/>
    <col min="20" max="20" width="18.85546875" customWidth="1"/>
    <col min="21" max="21" width="23" customWidth="1"/>
    <col min="22" max="22" width="25.140625" customWidth="1"/>
    <col min="23" max="23" width="18.85546875" customWidth="1"/>
  </cols>
  <sheetData>
    <row r="2" spans="1:23" ht="60">
      <c r="A2" s="453">
        <f>COUNTA(B5:B14621)</f>
        <v>550</v>
      </c>
      <c r="B2" s="461" t="s">
        <v>4585</v>
      </c>
      <c r="C2" s="455" t="s">
        <v>4580</v>
      </c>
      <c r="D2" s="456">
        <f>COUNTIF(Q5:Q685,"등록")</f>
        <v>550</v>
      </c>
      <c r="E2" s="454"/>
      <c r="F2" s="457" t="s">
        <v>4581</v>
      </c>
      <c r="G2" s="456">
        <f>COUNTIF(Q5:Q2621,"미등록")</f>
        <v>0</v>
      </c>
      <c r="H2" s="454"/>
      <c r="I2" s="458" t="s">
        <v>4582</v>
      </c>
      <c r="J2" s="456">
        <f>COUNTA(R5:R14621)</f>
        <v>550</v>
      </c>
      <c r="K2" s="459"/>
    </row>
    <row r="4" spans="1:23" ht="22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2" t="s">
        <v>16</v>
      </c>
      <c r="R4" s="3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4" t="s">
        <v>22</v>
      </c>
    </row>
    <row r="5" spans="1:23" ht="22.5" customHeight="1">
      <c r="A5" s="5">
        <v>45841.452735972227</v>
      </c>
      <c r="B5" s="6" t="s">
        <v>23</v>
      </c>
      <c r="C5" s="7"/>
      <c r="D5" s="6" t="s">
        <v>24</v>
      </c>
      <c r="E5" s="8">
        <v>35614</v>
      </c>
      <c r="F5" s="6" t="s">
        <v>25</v>
      </c>
      <c r="G5" s="6" t="s">
        <v>26</v>
      </c>
      <c r="H5" s="6" t="s">
        <v>27</v>
      </c>
      <c r="I5" s="6" t="str">
        <f>VLOOKUP(CLEAN(F5),'World Bank Categories'!$B$4:$C$220,2,FALSE)</f>
        <v>Middle income</v>
      </c>
      <c r="J5" s="6" t="s">
        <v>28</v>
      </c>
      <c r="K5" s="6" t="s">
        <v>29</v>
      </c>
      <c r="L5" s="6" t="s">
        <v>30</v>
      </c>
      <c r="M5" s="7"/>
      <c r="N5" s="6"/>
      <c r="O5" s="6"/>
      <c r="P5" s="6" t="s">
        <v>31</v>
      </c>
      <c r="Q5" s="9" t="s">
        <v>32</v>
      </c>
      <c r="R5" s="10" t="s">
        <v>33</v>
      </c>
      <c r="S5" s="11" t="s">
        <v>23</v>
      </c>
      <c r="T5" s="12"/>
      <c r="U5" s="12"/>
      <c r="V5" s="12"/>
      <c r="W5" s="12"/>
    </row>
    <row r="6" spans="1:23" ht="22.5" customHeight="1">
      <c r="A6" s="5">
        <v>45853.250324305554</v>
      </c>
      <c r="B6" s="6" t="s">
        <v>57</v>
      </c>
      <c r="C6" s="7"/>
      <c r="D6" s="6" t="s">
        <v>24</v>
      </c>
      <c r="E6" s="8">
        <v>36458</v>
      </c>
      <c r="F6" s="6" t="s">
        <v>58</v>
      </c>
      <c r="G6" s="6" t="s">
        <v>59</v>
      </c>
      <c r="H6" s="6" t="s">
        <v>60</v>
      </c>
      <c r="I6" s="6" t="str">
        <f>VLOOKUP(CLEAN(F6),'World Bank Categories'!$B$4:$C$220,2,FALSE)</f>
        <v>Middle income</v>
      </c>
      <c r="J6" s="6" t="s">
        <v>61</v>
      </c>
      <c r="K6" s="6" t="s">
        <v>29</v>
      </c>
      <c r="L6" s="6" t="s">
        <v>30</v>
      </c>
      <c r="M6" s="7"/>
      <c r="N6" s="6"/>
      <c r="O6" s="6"/>
      <c r="P6" s="6" t="s">
        <v>31</v>
      </c>
      <c r="Q6" s="9" t="s">
        <v>32</v>
      </c>
      <c r="R6" s="10" t="s">
        <v>33</v>
      </c>
      <c r="S6" s="11" t="s">
        <v>62</v>
      </c>
      <c r="T6" s="12"/>
      <c r="U6" s="12"/>
      <c r="V6" s="12"/>
      <c r="W6" s="12"/>
    </row>
    <row r="7" spans="1:23" ht="22.5" customHeight="1">
      <c r="A7" s="28">
        <v>45859.28665509259</v>
      </c>
      <c r="B7" s="29" t="s">
        <v>81</v>
      </c>
      <c r="C7" s="29" t="s">
        <v>82</v>
      </c>
      <c r="D7" s="29" t="s">
        <v>45</v>
      </c>
      <c r="E7" s="30">
        <v>29178</v>
      </c>
      <c r="F7" s="29" t="s">
        <v>83</v>
      </c>
      <c r="G7" s="29" t="s">
        <v>84</v>
      </c>
      <c r="H7" s="29" t="s">
        <v>85</v>
      </c>
      <c r="I7" s="6" t="str">
        <f>VLOOKUP(CLEAN(F7),'World Bank Categories'!$B$4:$C$220,2,FALSE)</f>
        <v>Low income</v>
      </c>
      <c r="J7" s="29" t="s">
        <v>86</v>
      </c>
      <c r="K7" s="29" t="s">
        <v>68</v>
      </c>
      <c r="L7" s="31">
        <v>46207</v>
      </c>
      <c r="M7" s="29"/>
      <c r="N7" s="29"/>
      <c r="O7" s="29"/>
      <c r="P7" s="29" t="s">
        <v>31</v>
      </c>
      <c r="Q7" s="9" t="s">
        <v>32</v>
      </c>
      <c r="R7" s="10" t="s">
        <v>33</v>
      </c>
      <c r="S7" s="25" t="s">
        <v>81</v>
      </c>
      <c r="T7" s="27">
        <v>29178</v>
      </c>
      <c r="U7" s="25" t="s">
        <v>86</v>
      </c>
      <c r="V7" s="25" t="s">
        <v>80</v>
      </c>
      <c r="W7" s="25"/>
    </row>
    <row r="8" spans="1:23" ht="22.5" customHeight="1">
      <c r="A8" s="20">
        <v>45865.164687500001</v>
      </c>
      <c r="B8" s="21" t="s">
        <v>181</v>
      </c>
      <c r="C8" s="21"/>
      <c r="D8" s="21" t="s">
        <v>24</v>
      </c>
      <c r="E8" s="22">
        <v>32229</v>
      </c>
      <c r="F8" s="21" t="s">
        <v>52</v>
      </c>
      <c r="G8" s="21" t="s">
        <v>182</v>
      </c>
      <c r="H8" s="21" t="s">
        <v>183</v>
      </c>
      <c r="I8" s="6" t="str">
        <f>VLOOKUP(CLEAN(F8),'World Bank Categories'!$B$4:$C$220,2,FALSE)</f>
        <v>Middle income</v>
      </c>
      <c r="J8" s="21" t="s">
        <v>184</v>
      </c>
      <c r="K8" s="21" t="s">
        <v>29</v>
      </c>
      <c r="L8" s="21" t="s">
        <v>30</v>
      </c>
      <c r="M8" s="21"/>
      <c r="N8" s="21"/>
      <c r="O8" s="21"/>
      <c r="P8" s="21" t="s">
        <v>31</v>
      </c>
      <c r="Q8" s="9" t="s">
        <v>32</v>
      </c>
      <c r="R8" s="10" t="s">
        <v>43</v>
      </c>
      <c r="S8" s="25" t="s">
        <v>181</v>
      </c>
      <c r="T8" s="27">
        <v>32229</v>
      </c>
      <c r="U8" s="25" t="s">
        <v>184</v>
      </c>
      <c r="V8" s="25" t="s">
        <v>80</v>
      </c>
      <c r="W8" s="25"/>
    </row>
    <row r="9" spans="1:23" ht="22.5" customHeight="1">
      <c r="A9" s="20">
        <v>45870.141527777778</v>
      </c>
      <c r="B9" s="21" t="s">
        <v>197</v>
      </c>
      <c r="C9" s="21" t="s">
        <v>197</v>
      </c>
      <c r="D9" s="21" t="s">
        <v>24</v>
      </c>
      <c r="E9" s="22">
        <v>32847</v>
      </c>
      <c r="F9" s="21" t="s">
        <v>198</v>
      </c>
      <c r="G9" s="21" t="s">
        <v>199</v>
      </c>
      <c r="H9" s="21" t="s">
        <v>200</v>
      </c>
      <c r="I9" s="6" t="str">
        <f>VLOOKUP(CLEAN(F9),'World Bank Categories'!$B$4:$C$220,2,FALSE)</f>
        <v>Middle income</v>
      </c>
      <c r="J9" s="21" t="s">
        <v>201</v>
      </c>
      <c r="K9" s="21" t="s">
        <v>68</v>
      </c>
      <c r="L9" s="21" t="s">
        <v>30</v>
      </c>
      <c r="M9" s="21"/>
      <c r="N9" s="21"/>
      <c r="O9" s="21"/>
      <c r="P9" s="21" t="s">
        <v>31</v>
      </c>
      <c r="Q9" s="9" t="s">
        <v>32</v>
      </c>
      <c r="R9" s="18" t="s">
        <v>43</v>
      </c>
      <c r="S9" s="25" t="s">
        <v>197</v>
      </c>
      <c r="T9" s="27">
        <v>32847</v>
      </c>
      <c r="U9" s="25" t="s">
        <v>201</v>
      </c>
      <c r="V9" s="25" t="s">
        <v>80</v>
      </c>
      <c r="W9" s="25"/>
    </row>
    <row r="10" spans="1:23" ht="22.5" customHeight="1">
      <c r="A10" s="5">
        <v>45874.229586655092</v>
      </c>
      <c r="B10" s="6" t="s">
        <v>217</v>
      </c>
      <c r="C10" s="7"/>
      <c r="D10" s="6" t="s">
        <v>24</v>
      </c>
      <c r="E10" s="8">
        <v>28943</v>
      </c>
      <c r="F10" s="6" t="s">
        <v>208</v>
      </c>
      <c r="G10" s="6" t="s">
        <v>218</v>
      </c>
      <c r="H10" s="6" t="s">
        <v>219</v>
      </c>
      <c r="I10" s="6" t="str">
        <f>VLOOKUP(CLEAN(F10),'World Bank Categories'!$B$4:$C$220,2,FALSE)</f>
        <v>Low income</v>
      </c>
      <c r="J10" s="6" t="s">
        <v>220</v>
      </c>
      <c r="K10" s="6" t="s">
        <v>39</v>
      </c>
      <c r="L10" s="6" t="s">
        <v>162</v>
      </c>
      <c r="M10" s="7"/>
      <c r="N10" s="6"/>
      <c r="O10" s="6"/>
      <c r="P10" s="6" t="s">
        <v>31</v>
      </c>
      <c r="Q10" s="9" t="s">
        <v>32</v>
      </c>
      <c r="R10" s="18" t="s">
        <v>33</v>
      </c>
      <c r="S10" s="11" t="s">
        <v>221</v>
      </c>
      <c r="T10" s="12"/>
      <c r="U10" s="12"/>
      <c r="V10" s="12"/>
      <c r="W10" s="12"/>
    </row>
    <row r="11" spans="1:23" ht="22.5" customHeight="1">
      <c r="A11" s="20">
        <v>45875.633298611108</v>
      </c>
      <c r="B11" s="21" t="s">
        <v>226</v>
      </c>
      <c r="C11" s="38"/>
      <c r="D11" s="21" t="s">
        <v>45</v>
      </c>
      <c r="E11" s="22">
        <v>32327</v>
      </c>
      <c r="F11" s="21" t="s">
        <v>227</v>
      </c>
      <c r="G11" s="21" t="s">
        <v>209</v>
      </c>
      <c r="H11" s="21" t="s">
        <v>228</v>
      </c>
      <c r="I11" s="6" t="str">
        <f>VLOOKUP(CLEAN(F11),'World Bank Categories'!$B$4:$C$220,2,FALSE)</f>
        <v>Middle income</v>
      </c>
      <c r="J11" s="21" t="s">
        <v>229</v>
      </c>
      <c r="K11" s="21" t="s">
        <v>29</v>
      </c>
      <c r="L11" s="21" t="s">
        <v>30</v>
      </c>
      <c r="M11" s="21"/>
      <c r="N11" s="21"/>
      <c r="O11" s="21"/>
      <c r="P11" s="21" t="s">
        <v>31</v>
      </c>
      <c r="Q11" s="9" t="s">
        <v>32</v>
      </c>
      <c r="R11" s="18" t="s">
        <v>43</v>
      </c>
      <c r="S11" s="25" t="s">
        <v>226</v>
      </c>
      <c r="T11" s="27">
        <v>32327</v>
      </c>
      <c r="U11" s="25" t="s">
        <v>229</v>
      </c>
      <c r="V11" s="25" t="s">
        <v>80</v>
      </c>
      <c r="W11" s="25"/>
    </row>
    <row r="12" spans="1:23" ht="22.5" customHeight="1">
      <c r="A12" s="13">
        <v>45890.989432731483</v>
      </c>
      <c r="B12" s="14" t="s">
        <v>251</v>
      </c>
      <c r="C12" s="15"/>
      <c r="D12" s="14" t="s">
        <v>24</v>
      </c>
      <c r="E12" s="16">
        <v>36334</v>
      </c>
      <c r="F12" s="14" t="s">
        <v>252</v>
      </c>
      <c r="G12" s="14" t="s">
        <v>253</v>
      </c>
      <c r="H12" s="14" t="s">
        <v>254</v>
      </c>
      <c r="I12" s="6" t="str">
        <f>VLOOKUP(CLEAN(F12),'World Bank Categories'!$B$4:$C$220,2,FALSE)</f>
        <v>Middle income</v>
      </c>
      <c r="J12" s="14" t="s">
        <v>255</v>
      </c>
      <c r="K12" s="14" t="s">
        <v>39</v>
      </c>
      <c r="L12" s="14" t="s">
        <v>30</v>
      </c>
      <c r="M12" s="15"/>
      <c r="N12" s="14"/>
      <c r="O12" s="14"/>
      <c r="P12" s="14" t="s">
        <v>31</v>
      </c>
      <c r="Q12" s="9" t="s">
        <v>32</v>
      </c>
      <c r="R12" s="10" t="s">
        <v>33</v>
      </c>
      <c r="S12" s="19" t="s">
        <v>256</v>
      </c>
      <c r="T12" s="12"/>
      <c r="U12" s="12"/>
      <c r="V12" s="12"/>
      <c r="W12" s="12"/>
    </row>
    <row r="13" spans="1:23" ht="22.5" customHeight="1">
      <c r="A13" s="20">
        <v>45909.696238425924</v>
      </c>
      <c r="B13" s="21" t="s">
        <v>321</v>
      </c>
      <c r="C13" s="38"/>
      <c r="D13" s="21" t="s">
        <v>45</v>
      </c>
      <c r="E13" s="22">
        <v>35302</v>
      </c>
      <c r="F13" s="21" t="s">
        <v>322</v>
      </c>
      <c r="G13" s="21" t="s">
        <v>323</v>
      </c>
      <c r="H13" s="21" t="s">
        <v>324</v>
      </c>
      <c r="I13" s="6" t="str">
        <f>VLOOKUP(CLEAN(F13),'World Bank Categories'!$B$4:$C$220,2,FALSE)</f>
        <v>Middle income</v>
      </c>
      <c r="J13" s="21" t="s">
        <v>325</v>
      </c>
      <c r="K13" s="21" t="s">
        <v>68</v>
      </c>
      <c r="L13" s="21" t="s">
        <v>30</v>
      </c>
      <c r="M13" s="21"/>
      <c r="N13" s="21"/>
      <c r="O13" s="21"/>
      <c r="P13" s="21" t="s">
        <v>31</v>
      </c>
      <c r="Q13" s="9" t="s">
        <v>32</v>
      </c>
      <c r="R13" s="10" t="s">
        <v>33</v>
      </c>
      <c r="S13" s="25" t="s">
        <v>326</v>
      </c>
      <c r="T13" s="27">
        <v>35302</v>
      </c>
      <c r="U13" s="25" t="s">
        <v>325</v>
      </c>
      <c r="V13" s="25" t="s">
        <v>154</v>
      </c>
      <c r="W13" s="25"/>
    </row>
    <row r="14" spans="1:23" ht="22.5" customHeight="1">
      <c r="A14" s="20">
        <v>45918.574583333335</v>
      </c>
      <c r="B14" s="21" t="s">
        <v>339</v>
      </c>
      <c r="C14" s="21" t="s">
        <v>340</v>
      </c>
      <c r="D14" s="21" t="s">
        <v>24</v>
      </c>
      <c r="E14" s="22">
        <v>34006</v>
      </c>
      <c r="F14" s="21" t="s">
        <v>208</v>
      </c>
      <c r="G14" s="21" t="s">
        <v>341</v>
      </c>
      <c r="H14" s="21" t="s">
        <v>342</v>
      </c>
      <c r="I14" s="6" t="e">
        <f>VLOOKUP(CLEAN(#REF!),'World Bank Categories'!$B$4:$C$220,2,FALSE)</f>
        <v>#REF!</v>
      </c>
      <c r="J14" s="21" t="s">
        <v>343</v>
      </c>
      <c r="K14" s="21" t="s">
        <v>29</v>
      </c>
      <c r="L14" s="21" t="s">
        <v>30</v>
      </c>
      <c r="M14" s="21"/>
      <c r="N14" s="21"/>
      <c r="O14" s="21"/>
      <c r="P14" s="21" t="s">
        <v>31</v>
      </c>
      <c r="Q14" s="9" t="s">
        <v>32</v>
      </c>
      <c r="R14" s="18" t="s">
        <v>33</v>
      </c>
      <c r="S14" s="25" t="s">
        <v>344</v>
      </c>
      <c r="T14" s="27">
        <v>34006</v>
      </c>
      <c r="U14" s="25" t="s">
        <v>343</v>
      </c>
      <c r="V14" s="25" t="s">
        <v>316</v>
      </c>
      <c r="W14" s="25"/>
    </row>
    <row r="15" spans="1:23" ht="22.5" customHeight="1">
      <c r="A15" s="20">
        <v>45927.903912037036</v>
      </c>
      <c r="B15" s="21" t="s">
        <v>384</v>
      </c>
      <c r="C15" s="38"/>
      <c r="D15" s="21" t="s">
        <v>24</v>
      </c>
      <c r="E15" s="22">
        <v>35457</v>
      </c>
      <c r="F15" s="21" t="s">
        <v>227</v>
      </c>
      <c r="G15" s="21" t="s">
        <v>209</v>
      </c>
      <c r="H15" s="21" t="s">
        <v>385</v>
      </c>
      <c r="I15" s="6" t="str">
        <f>VLOOKUP(CLEAN(F15),'World Bank Categories'!$B$4:$C$220,2,FALSE)</f>
        <v>Middle income</v>
      </c>
      <c r="J15" s="21" t="s">
        <v>386</v>
      </c>
      <c r="K15" s="21" t="s">
        <v>29</v>
      </c>
      <c r="L15" s="21" t="s">
        <v>162</v>
      </c>
      <c r="M15" s="41"/>
      <c r="N15" s="21"/>
      <c r="O15" s="21"/>
      <c r="P15" s="21" t="s">
        <v>31</v>
      </c>
      <c r="Q15" s="9" t="s">
        <v>32</v>
      </c>
      <c r="R15" s="10" t="s">
        <v>43</v>
      </c>
      <c r="S15" s="25" t="s">
        <v>384</v>
      </c>
      <c r="T15" s="27">
        <v>35457</v>
      </c>
      <c r="U15" s="25" t="s">
        <v>386</v>
      </c>
      <c r="V15" s="25" t="s">
        <v>80</v>
      </c>
      <c r="W15" s="25"/>
    </row>
    <row r="16" spans="1:23" ht="22.5" customHeight="1">
      <c r="A16" s="5">
        <v>45927.983740509255</v>
      </c>
      <c r="B16" s="6" t="s">
        <v>387</v>
      </c>
      <c r="C16" s="7"/>
      <c r="D16" s="6" t="s">
        <v>45</v>
      </c>
      <c r="E16" s="8">
        <v>31257</v>
      </c>
      <c r="F16" s="6" t="s">
        <v>388</v>
      </c>
      <c r="G16" s="6" t="s">
        <v>389</v>
      </c>
      <c r="H16" s="6" t="s">
        <v>390</v>
      </c>
      <c r="I16" s="6" t="str">
        <f>VLOOKUP(CLEAN(F16),'World Bank Categories'!$B$4:$C$220,2,FALSE)</f>
        <v>High income</v>
      </c>
      <c r="J16" s="6" t="s">
        <v>391</v>
      </c>
      <c r="K16" s="6" t="s">
        <v>39</v>
      </c>
      <c r="L16" s="6" t="s">
        <v>30</v>
      </c>
      <c r="M16" s="7"/>
      <c r="N16" s="6"/>
      <c r="O16" s="6"/>
      <c r="P16" s="6" t="s">
        <v>31</v>
      </c>
      <c r="Q16" s="9" t="s">
        <v>32</v>
      </c>
      <c r="R16" s="18" t="s">
        <v>33</v>
      </c>
      <c r="S16" s="11" t="s">
        <v>387</v>
      </c>
      <c r="T16" s="12"/>
      <c r="U16" s="12"/>
      <c r="V16" s="12"/>
      <c r="W16" s="12"/>
    </row>
    <row r="17" spans="1:23" ht="22.5" customHeight="1">
      <c r="A17" s="20">
        <v>45928.771412037036</v>
      </c>
      <c r="B17" s="21" t="s">
        <v>392</v>
      </c>
      <c r="C17" s="21"/>
      <c r="D17" s="21" t="s">
        <v>45</v>
      </c>
      <c r="E17" s="22">
        <v>38475</v>
      </c>
      <c r="F17" s="21" t="s">
        <v>393</v>
      </c>
      <c r="G17" s="21" t="s">
        <v>394</v>
      </c>
      <c r="H17" s="21" t="s">
        <v>138</v>
      </c>
      <c r="I17" s="6" t="str">
        <f>VLOOKUP(CLEAN(F17),'World Bank Categories'!$B$4:$C$220,2,FALSE)</f>
        <v>High income</v>
      </c>
      <c r="J17" s="21" t="s">
        <v>395</v>
      </c>
      <c r="K17" s="21" t="s">
        <v>29</v>
      </c>
      <c r="L17" s="21" t="s">
        <v>396</v>
      </c>
      <c r="M17" s="21" t="s">
        <v>397</v>
      </c>
      <c r="N17" s="21"/>
      <c r="O17" s="21"/>
      <c r="P17" s="21" t="s">
        <v>31</v>
      </c>
      <c r="Q17" s="9" t="s">
        <v>32</v>
      </c>
      <c r="R17" s="10" t="s">
        <v>43</v>
      </c>
      <c r="S17" s="25" t="s">
        <v>398</v>
      </c>
      <c r="T17" s="27">
        <v>38475</v>
      </c>
      <c r="U17" s="25" t="s">
        <v>395</v>
      </c>
      <c r="V17" s="25" t="s">
        <v>154</v>
      </c>
      <c r="W17" s="25"/>
    </row>
    <row r="18" spans="1:23" ht="22.5" customHeight="1">
      <c r="A18" s="20">
        <v>45929.067048611112</v>
      </c>
      <c r="B18" s="21" t="s">
        <v>399</v>
      </c>
      <c r="C18" s="21"/>
      <c r="D18" s="21" t="s">
        <v>24</v>
      </c>
      <c r="E18" s="22">
        <v>35435</v>
      </c>
      <c r="F18" s="21" t="s">
        <v>400</v>
      </c>
      <c r="G18" s="21" t="s">
        <v>401</v>
      </c>
      <c r="H18" s="21" t="s">
        <v>276</v>
      </c>
      <c r="I18" s="6" t="str">
        <f>VLOOKUP(CLEAN(F18),'World Bank Categories'!$B$4:$C$220,2,FALSE)</f>
        <v>Middle income</v>
      </c>
      <c r="J18" s="21" t="s">
        <v>402</v>
      </c>
      <c r="K18" s="21" t="s">
        <v>29</v>
      </c>
      <c r="L18" s="21" t="s">
        <v>30</v>
      </c>
      <c r="M18" s="41"/>
      <c r="N18" s="21"/>
      <c r="O18" s="21"/>
      <c r="P18" s="21" t="s">
        <v>31</v>
      </c>
      <c r="Q18" s="9" t="s">
        <v>32</v>
      </c>
      <c r="R18" s="18" t="s">
        <v>33</v>
      </c>
      <c r="S18" s="25" t="s">
        <v>403</v>
      </c>
      <c r="T18" s="27">
        <v>35435</v>
      </c>
      <c r="U18" s="25" t="s">
        <v>404</v>
      </c>
      <c r="V18" s="25" t="s">
        <v>129</v>
      </c>
      <c r="W18" s="25"/>
    </row>
    <row r="19" spans="1:23" ht="22.5" customHeight="1">
      <c r="A19" s="20">
        <v>45930.647893518515</v>
      </c>
      <c r="B19" s="21" t="s">
        <v>415</v>
      </c>
      <c r="C19" s="21"/>
      <c r="D19" s="21" t="s">
        <v>24</v>
      </c>
      <c r="E19" s="22">
        <v>25119</v>
      </c>
      <c r="F19" s="21" t="s">
        <v>416</v>
      </c>
      <c r="G19" s="21" t="s">
        <v>417</v>
      </c>
      <c r="H19" s="21" t="s">
        <v>418</v>
      </c>
      <c r="I19" s="6" t="str">
        <f>VLOOKUP(CLEAN(F19),'World Bank Categories'!$B$4:$C$220,2,FALSE)</f>
        <v>Middle income</v>
      </c>
      <c r="J19" s="21" t="s">
        <v>419</v>
      </c>
      <c r="K19" s="21" t="s">
        <v>29</v>
      </c>
      <c r="L19" s="21" t="s">
        <v>30</v>
      </c>
      <c r="M19" s="21"/>
      <c r="N19" s="21"/>
      <c r="O19" s="21"/>
      <c r="P19" s="21" t="s">
        <v>31</v>
      </c>
      <c r="Q19" s="42" t="s">
        <v>32</v>
      </c>
      <c r="R19" s="10" t="s">
        <v>33</v>
      </c>
      <c r="S19" s="25" t="s">
        <v>415</v>
      </c>
      <c r="T19" s="43">
        <v>25119</v>
      </c>
      <c r="U19" s="25" t="s">
        <v>420</v>
      </c>
      <c r="V19" s="25"/>
      <c r="W19" s="25"/>
    </row>
    <row r="20" spans="1:23" ht="22.5" customHeight="1">
      <c r="A20" s="20">
        <v>45932.03570601852</v>
      </c>
      <c r="B20" s="21" t="s">
        <v>431</v>
      </c>
      <c r="C20" s="21" t="s">
        <v>432</v>
      </c>
      <c r="D20" s="21" t="s">
        <v>45</v>
      </c>
      <c r="E20" s="22">
        <v>31339</v>
      </c>
      <c r="F20" s="21" t="s">
        <v>433</v>
      </c>
      <c r="G20" s="21" t="s">
        <v>434</v>
      </c>
      <c r="H20" s="21" t="s">
        <v>435</v>
      </c>
      <c r="I20" s="6" t="str">
        <f>VLOOKUP(CLEAN(F20),'World Bank Categories'!$B$4:$C$220,2,FALSE)</f>
        <v>Low income</v>
      </c>
      <c r="J20" s="21" t="s">
        <v>436</v>
      </c>
      <c r="K20" s="21" t="s">
        <v>29</v>
      </c>
      <c r="L20" s="21" t="s">
        <v>30</v>
      </c>
      <c r="M20" s="21"/>
      <c r="N20" s="21"/>
      <c r="O20" s="21"/>
      <c r="P20" s="21" t="s">
        <v>31</v>
      </c>
      <c r="Q20" s="9" t="s">
        <v>32</v>
      </c>
      <c r="R20" s="10" t="s">
        <v>33</v>
      </c>
      <c r="S20" s="25" t="s">
        <v>431</v>
      </c>
      <c r="T20" s="27">
        <v>31339</v>
      </c>
      <c r="U20" s="25" t="s">
        <v>436</v>
      </c>
      <c r="V20" s="25" t="s">
        <v>80</v>
      </c>
      <c r="W20" s="25"/>
    </row>
    <row r="21" spans="1:23" ht="22.5" customHeight="1">
      <c r="A21" s="20">
        <v>45933.673692129632</v>
      </c>
      <c r="B21" s="21" t="s">
        <v>448</v>
      </c>
      <c r="C21" s="21" t="s">
        <v>449</v>
      </c>
      <c r="D21" s="21" t="s">
        <v>24</v>
      </c>
      <c r="E21" s="22">
        <v>36659</v>
      </c>
      <c r="F21" s="21" t="s">
        <v>227</v>
      </c>
      <c r="G21" s="21" t="s">
        <v>446</v>
      </c>
      <c r="H21" s="21" t="s">
        <v>90</v>
      </c>
      <c r="I21" s="6" t="str">
        <f>VLOOKUP(CLEAN(F21),'World Bank Categories'!$B$4:$C$220,2,FALSE)</f>
        <v>Middle income</v>
      </c>
      <c r="J21" s="21" t="s">
        <v>450</v>
      </c>
      <c r="K21" s="21" t="s">
        <v>39</v>
      </c>
      <c r="L21" s="21" t="s">
        <v>152</v>
      </c>
      <c r="M21" s="21"/>
      <c r="N21" s="21"/>
      <c r="O21" s="21"/>
      <c r="P21" s="21" t="s">
        <v>31</v>
      </c>
      <c r="Q21" s="9" t="s">
        <v>32</v>
      </c>
      <c r="R21" s="10" t="s">
        <v>33</v>
      </c>
      <c r="S21" s="25" t="s">
        <v>448</v>
      </c>
      <c r="T21" s="27">
        <v>36659</v>
      </c>
      <c r="U21" s="25" t="s">
        <v>450</v>
      </c>
      <c r="V21" s="25" t="s">
        <v>80</v>
      </c>
      <c r="W21" s="25"/>
    </row>
    <row r="22" spans="1:23" ht="22.5" customHeight="1">
      <c r="A22" s="20">
        <v>45943.15556712963</v>
      </c>
      <c r="B22" s="21" t="s">
        <v>474</v>
      </c>
      <c r="C22" s="21"/>
      <c r="D22" s="21" t="s">
        <v>45</v>
      </c>
      <c r="E22" s="22">
        <v>26224</v>
      </c>
      <c r="F22" s="21" t="s">
        <v>475</v>
      </c>
      <c r="G22" s="21" t="s">
        <v>476</v>
      </c>
      <c r="H22" s="21" t="s">
        <v>477</v>
      </c>
      <c r="I22" s="6" t="str">
        <f>VLOOKUP(CLEAN(F22),'World Bank Categories'!$B$4:$C$220,2,FALSE)</f>
        <v>Middle income</v>
      </c>
      <c r="J22" s="21" t="s">
        <v>478</v>
      </c>
      <c r="K22" s="21" t="s">
        <v>29</v>
      </c>
      <c r="L22" s="21" t="s">
        <v>30</v>
      </c>
      <c r="M22" s="21" t="s">
        <v>479</v>
      </c>
      <c r="N22" s="21"/>
      <c r="O22" s="21"/>
      <c r="P22" s="21" t="s">
        <v>31</v>
      </c>
      <c r="Q22" s="9" t="s">
        <v>32</v>
      </c>
      <c r="R22" s="10" t="s">
        <v>17</v>
      </c>
      <c r="S22" s="25" t="s">
        <v>480</v>
      </c>
      <c r="T22" s="27">
        <v>26224</v>
      </c>
      <c r="U22" s="25" t="s">
        <v>481</v>
      </c>
      <c r="V22" s="25" t="s">
        <v>154</v>
      </c>
      <c r="W22" s="25"/>
    </row>
    <row r="23" spans="1:23" ht="22.5" customHeight="1">
      <c r="A23" s="20">
        <v>45946.596886574072</v>
      </c>
      <c r="B23" s="21" t="s">
        <v>485</v>
      </c>
      <c r="C23" s="21"/>
      <c r="D23" s="21" t="s">
        <v>24</v>
      </c>
      <c r="E23" s="22">
        <v>37372</v>
      </c>
      <c r="F23" s="21" t="s">
        <v>486</v>
      </c>
      <c r="G23" s="21" t="s">
        <v>487</v>
      </c>
      <c r="H23" s="21" t="s">
        <v>66</v>
      </c>
      <c r="I23" s="6" t="str">
        <f>VLOOKUP(CLEAN(F23),'World Bank Categories'!$B$4:$C$220,2,FALSE)</f>
        <v>High income</v>
      </c>
      <c r="J23" s="21" t="s">
        <v>488</v>
      </c>
      <c r="K23" s="21" t="s">
        <v>29</v>
      </c>
      <c r="L23" s="21" t="s">
        <v>30</v>
      </c>
      <c r="M23" s="21"/>
      <c r="N23" s="21"/>
      <c r="O23" s="21"/>
      <c r="P23" s="21" t="s">
        <v>31</v>
      </c>
      <c r="Q23" s="9" t="s">
        <v>32</v>
      </c>
      <c r="R23" s="10" t="s">
        <v>33</v>
      </c>
      <c r="S23" s="25" t="s">
        <v>489</v>
      </c>
      <c r="T23" s="27">
        <v>37372</v>
      </c>
      <c r="U23" s="25" t="s">
        <v>488</v>
      </c>
      <c r="V23" s="25" t="s">
        <v>154</v>
      </c>
      <c r="W23" s="25"/>
    </row>
    <row r="24" spans="1:23" ht="22.5" customHeight="1">
      <c r="A24" s="28">
        <v>45947.178981481484</v>
      </c>
      <c r="B24" s="29" t="s">
        <v>499</v>
      </c>
      <c r="C24" s="29"/>
      <c r="D24" s="29" t="s">
        <v>45</v>
      </c>
      <c r="E24" s="30">
        <v>33297</v>
      </c>
      <c r="F24" s="21" t="s">
        <v>88</v>
      </c>
      <c r="G24" s="29" t="s">
        <v>500</v>
      </c>
      <c r="H24" s="29" t="s">
        <v>186</v>
      </c>
      <c r="I24" s="6" t="str">
        <f>VLOOKUP(CLEAN(F24),'World Bank Categories'!$B$4:$C$220,2,FALSE)</f>
        <v>Low income</v>
      </c>
      <c r="J24" s="29" t="s">
        <v>501</v>
      </c>
      <c r="K24" s="29" t="s">
        <v>29</v>
      </c>
      <c r="L24" s="29" t="s">
        <v>30</v>
      </c>
      <c r="M24" s="29"/>
      <c r="N24" s="29"/>
      <c r="O24" s="29"/>
      <c r="P24" s="29" t="s">
        <v>31</v>
      </c>
      <c r="Q24" s="9" t="s">
        <v>32</v>
      </c>
      <c r="R24" s="18" t="s">
        <v>33</v>
      </c>
      <c r="S24" s="25" t="s">
        <v>499</v>
      </c>
      <c r="T24" s="27">
        <v>33297</v>
      </c>
      <c r="U24" s="25" t="s">
        <v>501</v>
      </c>
      <c r="V24" s="25" t="s">
        <v>80</v>
      </c>
      <c r="W24" s="25"/>
    </row>
    <row r="25" spans="1:23" ht="22.5" customHeight="1">
      <c r="A25" s="20">
        <v>45947.313321759262</v>
      </c>
      <c r="B25" s="21" t="s">
        <v>506</v>
      </c>
      <c r="C25" s="21"/>
      <c r="D25" s="21" t="s">
        <v>24</v>
      </c>
      <c r="E25" s="22">
        <v>36417</v>
      </c>
      <c r="F25" s="21" t="s">
        <v>507</v>
      </c>
      <c r="G25" s="21" t="s">
        <v>508</v>
      </c>
      <c r="H25" s="21" t="s">
        <v>509</v>
      </c>
      <c r="I25" s="6" t="str">
        <f>VLOOKUP(CLEAN(F25),'World Bank Categories'!$B$4:$C$220,2,FALSE)</f>
        <v>Middle income</v>
      </c>
      <c r="J25" s="21" t="s">
        <v>510</v>
      </c>
      <c r="K25" s="21" t="s">
        <v>29</v>
      </c>
      <c r="L25" s="21" t="s">
        <v>30</v>
      </c>
      <c r="M25" s="21"/>
      <c r="N25" s="21"/>
      <c r="O25" s="21"/>
      <c r="P25" s="21" t="s">
        <v>31</v>
      </c>
      <c r="Q25" s="9" t="s">
        <v>32</v>
      </c>
      <c r="R25" s="10" t="s">
        <v>33</v>
      </c>
      <c r="S25" s="25" t="s">
        <v>511</v>
      </c>
      <c r="T25" s="27">
        <v>36417</v>
      </c>
      <c r="U25" s="25" t="s">
        <v>510</v>
      </c>
      <c r="V25" s="25" t="s">
        <v>80</v>
      </c>
      <c r="W25" s="25"/>
    </row>
    <row r="26" spans="1:23" ht="22.5" customHeight="1">
      <c r="A26" s="20">
        <v>45947.313344907408</v>
      </c>
      <c r="B26" s="21" t="s">
        <v>512</v>
      </c>
      <c r="C26" s="21"/>
      <c r="D26" s="21" t="s">
        <v>24</v>
      </c>
      <c r="E26" s="22">
        <v>37086</v>
      </c>
      <c r="F26" s="21" t="s">
        <v>513</v>
      </c>
      <c r="G26" s="21" t="s">
        <v>514</v>
      </c>
      <c r="H26" s="21" t="s">
        <v>106</v>
      </c>
      <c r="I26" s="6" t="str">
        <f>VLOOKUP(CLEAN(F26),'World Bank Categories'!$B$4:$C$220,2,FALSE)</f>
        <v>Middle income</v>
      </c>
      <c r="J26" s="21" t="s">
        <v>515</v>
      </c>
      <c r="K26" s="21" t="s">
        <v>29</v>
      </c>
      <c r="L26" s="21" t="s">
        <v>30</v>
      </c>
      <c r="M26" s="21"/>
      <c r="N26" s="21"/>
      <c r="O26" s="21"/>
      <c r="P26" s="21" t="s">
        <v>31</v>
      </c>
      <c r="Q26" s="9" t="s">
        <v>32</v>
      </c>
      <c r="R26" s="10" t="s">
        <v>33</v>
      </c>
      <c r="S26" s="25" t="s">
        <v>516</v>
      </c>
      <c r="T26" s="27">
        <v>37086</v>
      </c>
      <c r="U26" s="25" t="s">
        <v>515</v>
      </c>
      <c r="V26" s="25" t="s">
        <v>154</v>
      </c>
      <c r="W26" s="25"/>
    </row>
    <row r="27" spans="1:23" ht="22.5" customHeight="1">
      <c r="A27" s="20">
        <v>45947.313368055555</v>
      </c>
      <c r="B27" s="21" t="s">
        <v>517</v>
      </c>
      <c r="C27" s="21"/>
      <c r="D27" s="21" t="s">
        <v>24</v>
      </c>
      <c r="E27" s="22">
        <v>33994</v>
      </c>
      <c r="F27" s="21" t="s">
        <v>507</v>
      </c>
      <c r="G27" s="21" t="s">
        <v>508</v>
      </c>
      <c r="H27" s="21" t="s">
        <v>518</v>
      </c>
      <c r="I27" s="6" t="str">
        <f>VLOOKUP(CLEAN(F27),'World Bank Categories'!$B$4:$C$220,2,FALSE)</f>
        <v>Middle income</v>
      </c>
      <c r="J27" s="21" t="s">
        <v>519</v>
      </c>
      <c r="K27" s="21" t="s">
        <v>29</v>
      </c>
      <c r="L27" s="21" t="s">
        <v>30</v>
      </c>
      <c r="M27" s="21"/>
      <c r="N27" s="21"/>
      <c r="O27" s="21"/>
      <c r="P27" s="21" t="s">
        <v>31</v>
      </c>
      <c r="Q27" s="9" t="s">
        <v>32</v>
      </c>
      <c r="R27" s="18" t="s">
        <v>33</v>
      </c>
      <c r="S27" s="25" t="s">
        <v>517</v>
      </c>
      <c r="T27" s="27">
        <v>33994</v>
      </c>
      <c r="U27" s="25" t="s">
        <v>519</v>
      </c>
      <c r="V27" s="25" t="s">
        <v>80</v>
      </c>
      <c r="W27" s="25"/>
    </row>
    <row r="28" spans="1:23" ht="22.5" customHeight="1">
      <c r="A28" s="20">
        <v>45948.297013888892</v>
      </c>
      <c r="B28" s="21" t="s">
        <v>527</v>
      </c>
      <c r="C28" s="38"/>
      <c r="D28" s="21" t="s">
        <v>45</v>
      </c>
      <c r="E28" s="22">
        <v>34126</v>
      </c>
      <c r="F28" s="21" t="s">
        <v>528</v>
      </c>
      <c r="G28" s="21" t="s">
        <v>529</v>
      </c>
      <c r="H28" s="21" t="s">
        <v>530</v>
      </c>
      <c r="I28" s="6" t="str">
        <f>VLOOKUP(CLEAN(F28),'World Bank Categories'!$B$4:$C$220,2,FALSE)</f>
        <v>Middle income</v>
      </c>
      <c r="J28" s="21" t="s">
        <v>531</v>
      </c>
      <c r="K28" s="21" t="s">
        <v>29</v>
      </c>
      <c r="L28" s="21" t="s">
        <v>30</v>
      </c>
      <c r="M28" s="21"/>
      <c r="N28" s="21"/>
      <c r="O28" s="21"/>
      <c r="P28" s="21" t="s">
        <v>31</v>
      </c>
      <c r="Q28" s="9" t="s">
        <v>32</v>
      </c>
      <c r="R28" s="18" t="s">
        <v>33</v>
      </c>
      <c r="S28" s="25" t="s">
        <v>527</v>
      </c>
      <c r="T28" s="27">
        <v>34126</v>
      </c>
      <c r="U28" s="25" t="s">
        <v>531</v>
      </c>
      <c r="V28" s="25" t="s">
        <v>80</v>
      </c>
      <c r="W28" s="25"/>
    </row>
    <row r="29" spans="1:23" ht="22.5" customHeight="1">
      <c r="A29" s="20">
        <v>45948.800138888888</v>
      </c>
      <c r="B29" s="21" t="s">
        <v>535</v>
      </c>
      <c r="C29" s="21" t="s">
        <v>536</v>
      </c>
      <c r="D29" s="21" t="s">
        <v>24</v>
      </c>
      <c r="E29" s="22">
        <v>34099</v>
      </c>
      <c r="F29" s="21" t="s">
        <v>346</v>
      </c>
      <c r="G29" s="21" t="s">
        <v>537</v>
      </c>
      <c r="H29" s="21" t="s">
        <v>538</v>
      </c>
      <c r="I29" s="6" t="str">
        <f>VLOOKUP(CLEAN(F29),'World Bank Categories'!$B$4:$C$220,2,FALSE)</f>
        <v>Middle income</v>
      </c>
      <c r="J29" s="21" t="s">
        <v>539</v>
      </c>
      <c r="K29" s="21" t="s">
        <v>29</v>
      </c>
      <c r="L29" s="21" t="s">
        <v>30</v>
      </c>
      <c r="M29" s="21"/>
      <c r="N29" s="21"/>
      <c r="O29" s="21"/>
      <c r="P29" s="21" t="s">
        <v>31</v>
      </c>
      <c r="Q29" s="9" t="s">
        <v>32</v>
      </c>
      <c r="R29" s="18" t="s">
        <v>33</v>
      </c>
      <c r="S29" s="25" t="s">
        <v>540</v>
      </c>
      <c r="T29" s="27">
        <v>34099</v>
      </c>
      <c r="U29" s="25" t="s">
        <v>539</v>
      </c>
      <c r="V29" s="25" t="s">
        <v>154</v>
      </c>
      <c r="W29" s="25"/>
    </row>
    <row r="30" spans="1:23" ht="22.5" customHeight="1">
      <c r="A30" s="20">
        <v>45949.128912037035</v>
      </c>
      <c r="B30" s="21" t="s">
        <v>544</v>
      </c>
      <c r="C30" s="38"/>
      <c r="D30" s="21" t="s">
        <v>24</v>
      </c>
      <c r="E30" s="22">
        <v>36381</v>
      </c>
      <c r="F30" s="21" t="s">
        <v>346</v>
      </c>
      <c r="G30" s="21" t="s">
        <v>545</v>
      </c>
      <c r="H30" s="21" t="s">
        <v>546</v>
      </c>
      <c r="I30" s="6" t="str">
        <f>VLOOKUP(CLEAN(F30),'World Bank Categories'!$B$4:$C$220,2,FALSE)</f>
        <v>Middle income</v>
      </c>
      <c r="J30" s="21" t="s">
        <v>547</v>
      </c>
      <c r="K30" s="21" t="s">
        <v>29</v>
      </c>
      <c r="L30" s="21" t="s">
        <v>30</v>
      </c>
      <c r="M30" s="21"/>
      <c r="N30" s="21"/>
      <c r="O30" s="21"/>
      <c r="P30" s="21" t="s">
        <v>31</v>
      </c>
      <c r="Q30" s="9" t="s">
        <v>32</v>
      </c>
      <c r="R30" s="18" t="s">
        <v>33</v>
      </c>
      <c r="S30" s="25" t="s">
        <v>544</v>
      </c>
      <c r="T30" s="27">
        <v>36381</v>
      </c>
      <c r="U30" s="25" t="s">
        <v>547</v>
      </c>
      <c r="V30" s="25" t="s">
        <v>80</v>
      </c>
      <c r="W30" s="25"/>
    </row>
    <row r="31" spans="1:23" ht="22.5" customHeight="1">
      <c r="A31" s="20">
        <v>45949.23201388889</v>
      </c>
      <c r="B31" s="21" t="s">
        <v>548</v>
      </c>
      <c r="C31" s="38"/>
      <c r="D31" s="21" t="s">
        <v>24</v>
      </c>
      <c r="E31" s="22">
        <v>37412</v>
      </c>
      <c r="F31" s="21" t="s">
        <v>528</v>
      </c>
      <c r="G31" s="21" t="s">
        <v>529</v>
      </c>
      <c r="H31" s="21" t="s">
        <v>368</v>
      </c>
      <c r="I31" s="6" t="str">
        <f>VLOOKUP(CLEAN(F31),'World Bank Categories'!$B$4:$C$220,2,FALSE)</f>
        <v>Middle income</v>
      </c>
      <c r="J31" s="21" t="s">
        <v>549</v>
      </c>
      <c r="K31" s="21" t="s">
        <v>29</v>
      </c>
      <c r="L31" s="21" t="s">
        <v>30</v>
      </c>
      <c r="M31" s="21"/>
      <c r="N31" s="21"/>
      <c r="O31" s="21"/>
      <c r="P31" s="21" t="s">
        <v>31</v>
      </c>
      <c r="Q31" s="9" t="s">
        <v>32</v>
      </c>
      <c r="R31" s="10" t="s">
        <v>33</v>
      </c>
      <c r="S31" s="25" t="s">
        <v>548</v>
      </c>
      <c r="T31" s="27">
        <v>37412</v>
      </c>
      <c r="U31" s="25" t="s">
        <v>549</v>
      </c>
      <c r="V31" s="25" t="s">
        <v>80</v>
      </c>
      <c r="W31" s="25"/>
    </row>
    <row r="32" spans="1:23" ht="22.5" customHeight="1">
      <c r="A32" s="20">
        <v>45950.12636574074</v>
      </c>
      <c r="B32" s="21" t="s">
        <v>553</v>
      </c>
      <c r="C32" s="38"/>
      <c r="D32" s="21" t="s">
        <v>45</v>
      </c>
      <c r="E32" s="22">
        <v>28979</v>
      </c>
      <c r="F32" s="21" t="s">
        <v>475</v>
      </c>
      <c r="G32" s="21" t="s">
        <v>554</v>
      </c>
      <c r="H32" s="21" t="s">
        <v>555</v>
      </c>
      <c r="I32" s="6" t="str">
        <f>VLOOKUP(CLEAN(F32),'World Bank Categories'!$B$4:$C$220,2,FALSE)</f>
        <v>Middle income</v>
      </c>
      <c r="J32" s="21" t="s">
        <v>556</v>
      </c>
      <c r="K32" s="21" t="s">
        <v>29</v>
      </c>
      <c r="L32" s="21" t="s">
        <v>30</v>
      </c>
      <c r="M32" s="21" t="s">
        <v>557</v>
      </c>
      <c r="N32" s="21"/>
      <c r="O32" s="21"/>
      <c r="P32" s="21" t="s">
        <v>31</v>
      </c>
      <c r="Q32" s="9" t="s">
        <v>32</v>
      </c>
      <c r="R32" s="10" t="s">
        <v>43</v>
      </c>
      <c r="S32" s="25" t="s">
        <v>558</v>
      </c>
      <c r="T32" s="27">
        <v>28979</v>
      </c>
      <c r="U32" s="25" t="s">
        <v>556</v>
      </c>
      <c r="V32" s="25" t="s">
        <v>154</v>
      </c>
      <c r="W32" s="25"/>
    </row>
    <row r="33" spans="1:23" ht="22.5" customHeight="1">
      <c r="A33" s="20">
        <v>45950.133796296293</v>
      </c>
      <c r="B33" s="21" t="s">
        <v>559</v>
      </c>
      <c r="C33" s="38"/>
      <c r="D33" s="21" t="s">
        <v>45</v>
      </c>
      <c r="E33" s="22">
        <v>27390</v>
      </c>
      <c r="F33" s="21" t="s">
        <v>64</v>
      </c>
      <c r="G33" s="21" t="s">
        <v>560</v>
      </c>
      <c r="H33" s="21" t="s">
        <v>561</v>
      </c>
      <c r="I33" s="6" t="str">
        <f>VLOOKUP(CLEAN(F33),'World Bank Categories'!$B$4:$C$220,2,FALSE)</f>
        <v>Middle income</v>
      </c>
      <c r="J33" s="21" t="s">
        <v>562</v>
      </c>
      <c r="K33" s="21" t="s">
        <v>29</v>
      </c>
      <c r="L33" s="21" t="s">
        <v>30</v>
      </c>
      <c r="M33" s="21"/>
      <c r="N33" s="21"/>
      <c r="O33" s="21"/>
      <c r="P33" s="21" t="s">
        <v>31</v>
      </c>
      <c r="Q33" s="9" t="s">
        <v>32</v>
      </c>
      <c r="R33" s="18" t="s">
        <v>33</v>
      </c>
      <c r="S33" s="25" t="s">
        <v>563</v>
      </c>
      <c r="T33" s="27">
        <v>27390</v>
      </c>
      <c r="U33" s="25" t="s">
        <v>562</v>
      </c>
      <c r="V33" s="25" t="s">
        <v>154</v>
      </c>
      <c r="W33" s="25"/>
    </row>
    <row r="34" spans="1:23" ht="22.5" customHeight="1">
      <c r="A34" s="20">
        <v>45951.219884259262</v>
      </c>
      <c r="B34" s="21" t="s">
        <v>568</v>
      </c>
      <c r="C34" s="21" t="s">
        <v>569</v>
      </c>
      <c r="D34" s="21" t="s">
        <v>45</v>
      </c>
      <c r="E34" s="22">
        <v>38579</v>
      </c>
      <c r="F34" s="21" t="s">
        <v>64</v>
      </c>
      <c r="G34" s="21" t="s">
        <v>570</v>
      </c>
      <c r="H34" s="21" t="s">
        <v>48</v>
      </c>
      <c r="I34" s="6" t="str">
        <f>VLOOKUP(CLEAN(F34),'World Bank Categories'!$B$4:$C$220,2,FALSE)</f>
        <v>Middle income</v>
      </c>
      <c r="J34" s="21" t="s">
        <v>571</v>
      </c>
      <c r="K34" s="21" t="s">
        <v>29</v>
      </c>
      <c r="L34" s="21" t="s">
        <v>162</v>
      </c>
      <c r="M34" s="21"/>
      <c r="N34" s="21"/>
      <c r="O34" s="21"/>
      <c r="P34" s="21" t="s">
        <v>31</v>
      </c>
      <c r="Q34" s="9" t="s">
        <v>32</v>
      </c>
      <c r="R34" s="10" t="s">
        <v>33</v>
      </c>
      <c r="S34" s="25" t="s">
        <v>568</v>
      </c>
      <c r="T34" s="27">
        <v>38579</v>
      </c>
      <c r="U34" s="25" t="s">
        <v>571</v>
      </c>
      <c r="V34" s="25" t="s">
        <v>80</v>
      </c>
      <c r="W34" s="25"/>
    </row>
    <row r="35" spans="1:23" ht="22.5" customHeight="1">
      <c r="A35" s="20">
        <v>45952.287199074075</v>
      </c>
      <c r="B35" s="21" t="s">
        <v>576</v>
      </c>
      <c r="C35" s="38"/>
      <c r="D35" s="21" t="s">
        <v>45</v>
      </c>
      <c r="E35" s="22">
        <v>35236</v>
      </c>
      <c r="F35" s="21" t="s">
        <v>208</v>
      </c>
      <c r="G35" s="21" t="s">
        <v>577</v>
      </c>
      <c r="H35" s="21" t="s">
        <v>578</v>
      </c>
      <c r="I35" s="6" t="str">
        <f>VLOOKUP(CLEAN(F35),'World Bank Categories'!$B$4:$C$220,2,FALSE)</f>
        <v>Low income</v>
      </c>
      <c r="J35" s="21" t="s">
        <v>579</v>
      </c>
      <c r="K35" s="21" t="s">
        <v>29</v>
      </c>
      <c r="L35" s="21" t="s">
        <v>30</v>
      </c>
      <c r="M35" s="21"/>
      <c r="N35" s="21"/>
      <c r="O35" s="21"/>
      <c r="P35" s="21" t="s">
        <v>31</v>
      </c>
      <c r="Q35" s="9" t="s">
        <v>32</v>
      </c>
      <c r="R35" s="18" t="s">
        <v>33</v>
      </c>
      <c r="S35" s="25" t="s">
        <v>580</v>
      </c>
      <c r="T35" s="27">
        <v>35236</v>
      </c>
      <c r="U35" s="25" t="s">
        <v>579</v>
      </c>
      <c r="V35" s="25" t="s">
        <v>80</v>
      </c>
      <c r="W35" s="25"/>
    </row>
    <row r="36" spans="1:23" ht="22.5" customHeight="1">
      <c r="A36" s="20">
        <v>45952.50922453704</v>
      </c>
      <c r="B36" s="21" t="s">
        <v>591</v>
      </c>
      <c r="C36" s="38"/>
      <c r="D36" s="21" t="s">
        <v>45</v>
      </c>
      <c r="E36" s="22">
        <v>37547</v>
      </c>
      <c r="F36" s="21" t="s">
        <v>208</v>
      </c>
      <c r="G36" s="21" t="s">
        <v>592</v>
      </c>
      <c r="H36" s="21" t="s">
        <v>66</v>
      </c>
      <c r="I36" s="6" t="str">
        <f>VLOOKUP(CLEAN(F36),'World Bank Categories'!$B$4:$C$220,2,FALSE)</f>
        <v>Low income</v>
      </c>
      <c r="J36" s="21" t="s">
        <v>593</v>
      </c>
      <c r="K36" s="21" t="s">
        <v>29</v>
      </c>
      <c r="L36" s="21" t="s">
        <v>30</v>
      </c>
      <c r="M36" s="21"/>
      <c r="N36" s="21"/>
      <c r="O36" s="21"/>
      <c r="P36" s="21" t="s">
        <v>31</v>
      </c>
      <c r="Q36" s="9" t="s">
        <v>32</v>
      </c>
      <c r="R36" s="18" t="s">
        <v>33</v>
      </c>
      <c r="S36" s="25" t="s">
        <v>591</v>
      </c>
      <c r="T36" s="27">
        <v>37182</v>
      </c>
      <c r="U36" s="25" t="s">
        <v>593</v>
      </c>
      <c r="V36" s="25" t="s">
        <v>236</v>
      </c>
      <c r="W36" s="25"/>
    </row>
    <row r="37" spans="1:23" ht="22.5" customHeight="1">
      <c r="A37" s="28">
        <v>45952.557256944441</v>
      </c>
      <c r="B37" s="29" t="s">
        <v>599</v>
      </c>
      <c r="C37" s="45"/>
      <c r="D37" s="29" t="s">
        <v>24</v>
      </c>
      <c r="E37" s="30">
        <v>29011</v>
      </c>
      <c r="F37" s="29" t="s">
        <v>198</v>
      </c>
      <c r="G37" s="29" t="s">
        <v>586</v>
      </c>
      <c r="H37" s="29" t="s">
        <v>600</v>
      </c>
      <c r="I37" s="6" t="str">
        <f>VLOOKUP(CLEAN(F37),'World Bank Categories'!$B$4:$C$220,2,FALSE)</f>
        <v>Middle income</v>
      </c>
      <c r="J37" s="29" t="s">
        <v>601</v>
      </c>
      <c r="K37" s="29" t="s">
        <v>29</v>
      </c>
      <c r="L37" s="29" t="s">
        <v>30</v>
      </c>
      <c r="M37" s="29" t="s">
        <v>602</v>
      </c>
      <c r="N37" s="29"/>
      <c r="O37" s="29"/>
      <c r="P37" s="29" t="s">
        <v>31</v>
      </c>
      <c r="Q37" s="9" t="s">
        <v>32</v>
      </c>
      <c r="R37" s="18" t="s">
        <v>33</v>
      </c>
      <c r="S37" s="25" t="s">
        <v>603</v>
      </c>
      <c r="T37" s="27">
        <v>29011</v>
      </c>
      <c r="U37" s="25" t="s">
        <v>601</v>
      </c>
      <c r="V37" s="25" t="s">
        <v>80</v>
      </c>
      <c r="W37" s="25"/>
    </row>
    <row r="38" spans="1:23" ht="22.5" customHeight="1">
      <c r="A38" s="20">
        <v>45952.739560185182</v>
      </c>
      <c r="B38" s="21" t="s">
        <v>604</v>
      </c>
      <c r="C38" s="38"/>
      <c r="D38" s="21" t="s">
        <v>24</v>
      </c>
      <c r="E38" s="22">
        <v>36498</v>
      </c>
      <c r="F38" s="21" t="s">
        <v>227</v>
      </c>
      <c r="G38" s="21" t="s">
        <v>209</v>
      </c>
      <c r="H38" s="21" t="s">
        <v>605</v>
      </c>
      <c r="I38" s="6" t="str">
        <f>VLOOKUP(CLEAN(F38),'World Bank Categories'!$B$4:$C$220,2,FALSE)</f>
        <v>Middle income</v>
      </c>
      <c r="J38" s="21" t="s">
        <v>606</v>
      </c>
      <c r="K38" s="21" t="s">
        <v>29</v>
      </c>
      <c r="L38" s="21" t="s">
        <v>162</v>
      </c>
      <c r="M38" s="21"/>
      <c r="N38" s="21"/>
      <c r="O38" s="21"/>
      <c r="P38" s="21" t="s">
        <v>31</v>
      </c>
      <c r="Q38" s="9" t="s">
        <v>32</v>
      </c>
      <c r="R38" s="10" t="s">
        <v>43</v>
      </c>
      <c r="S38" s="25" t="s">
        <v>604</v>
      </c>
      <c r="T38" s="27">
        <v>36498</v>
      </c>
      <c r="U38" s="25" t="s">
        <v>606</v>
      </c>
      <c r="V38" s="25" t="s">
        <v>80</v>
      </c>
      <c r="W38" s="25"/>
    </row>
    <row r="39" spans="1:23" ht="22.5" customHeight="1">
      <c r="A39" s="20">
        <v>45952.831932870373</v>
      </c>
      <c r="B39" s="21" t="s">
        <v>611</v>
      </c>
      <c r="C39" s="38"/>
      <c r="D39" s="21" t="s">
        <v>24</v>
      </c>
      <c r="E39" s="22">
        <v>37163</v>
      </c>
      <c r="F39" s="21" t="s">
        <v>612</v>
      </c>
      <c r="G39" s="21" t="s">
        <v>613</v>
      </c>
      <c r="H39" s="21" t="s">
        <v>614</v>
      </c>
      <c r="I39" s="6" t="str">
        <f>VLOOKUP(CLEAN(F39),'World Bank Categories'!$B$4:$C$220,2,FALSE)</f>
        <v>Low income</v>
      </c>
      <c r="J39" s="21" t="s">
        <v>615</v>
      </c>
      <c r="K39" s="21" t="s">
        <v>29</v>
      </c>
      <c r="L39" s="21" t="s">
        <v>30</v>
      </c>
      <c r="M39" s="21"/>
      <c r="N39" s="21"/>
      <c r="O39" s="21"/>
      <c r="P39" s="21" t="s">
        <v>31</v>
      </c>
      <c r="Q39" s="9" t="s">
        <v>32</v>
      </c>
      <c r="R39" s="18" t="s">
        <v>33</v>
      </c>
      <c r="S39" s="25" t="s">
        <v>616</v>
      </c>
      <c r="T39" s="27">
        <v>37163</v>
      </c>
      <c r="U39" s="25" t="s">
        <v>615</v>
      </c>
      <c r="V39" s="25" t="s">
        <v>80</v>
      </c>
      <c r="W39" s="25"/>
    </row>
    <row r="40" spans="1:23" ht="22.5" customHeight="1">
      <c r="A40" s="20">
        <v>45952.890497685185</v>
      </c>
      <c r="B40" s="21" t="s">
        <v>617</v>
      </c>
      <c r="C40" s="38"/>
      <c r="D40" s="21" t="s">
        <v>24</v>
      </c>
      <c r="E40" s="22">
        <v>34219</v>
      </c>
      <c r="F40" s="21" t="s">
        <v>227</v>
      </c>
      <c r="G40" s="21" t="s">
        <v>618</v>
      </c>
      <c r="H40" s="21" t="s">
        <v>619</v>
      </c>
      <c r="I40" s="6" t="str">
        <f>VLOOKUP(CLEAN(F40),'World Bank Categories'!$B$4:$C$220,2,FALSE)</f>
        <v>Middle income</v>
      </c>
      <c r="J40" s="21" t="s">
        <v>620</v>
      </c>
      <c r="K40" s="21" t="s">
        <v>39</v>
      </c>
      <c r="L40" s="21" t="s">
        <v>621</v>
      </c>
      <c r="M40" s="21"/>
      <c r="N40" s="21"/>
      <c r="O40" s="21"/>
      <c r="P40" s="21" t="s">
        <v>31</v>
      </c>
      <c r="Q40" s="9" t="s">
        <v>32</v>
      </c>
      <c r="R40" s="10" t="s">
        <v>33</v>
      </c>
      <c r="S40" s="25" t="s">
        <v>617</v>
      </c>
      <c r="T40" s="27">
        <v>34219</v>
      </c>
      <c r="U40" s="25" t="s">
        <v>620</v>
      </c>
      <c r="V40" s="25" t="s">
        <v>80</v>
      </c>
      <c r="W40" s="25"/>
    </row>
    <row r="41" spans="1:23" ht="22.5" customHeight="1">
      <c r="A41" s="20">
        <v>45952.990497685183</v>
      </c>
      <c r="B41" s="21" t="s">
        <v>622</v>
      </c>
      <c r="C41" s="38"/>
      <c r="D41" s="21" t="s">
        <v>24</v>
      </c>
      <c r="E41" s="22">
        <v>35438</v>
      </c>
      <c r="F41" s="21" t="s">
        <v>623</v>
      </c>
      <c r="G41" s="21" t="s">
        <v>624</v>
      </c>
      <c r="H41" s="21" t="s">
        <v>625</v>
      </c>
      <c r="I41" s="6" t="str">
        <f>VLOOKUP(CLEAN(F41),'World Bank Categories'!$B$4:$C$220,2,FALSE)</f>
        <v>Middle income</v>
      </c>
      <c r="J41" s="21" t="s">
        <v>626</v>
      </c>
      <c r="K41" s="21" t="s">
        <v>39</v>
      </c>
      <c r="L41" s="21" t="s">
        <v>621</v>
      </c>
      <c r="M41" s="21"/>
      <c r="N41" s="21"/>
      <c r="O41" s="21"/>
      <c r="P41" s="21" t="s">
        <v>31</v>
      </c>
      <c r="Q41" s="9" t="s">
        <v>32</v>
      </c>
      <c r="R41" s="18" t="s">
        <v>33</v>
      </c>
      <c r="S41" s="25" t="s">
        <v>627</v>
      </c>
      <c r="T41" s="27">
        <v>35438</v>
      </c>
      <c r="U41" s="25" t="s">
        <v>626</v>
      </c>
      <c r="V41" s="25" t="s">
        <v>154</v>
      </c>
      <c r="W41" s="25"/>
    </row>
    <row r="42" spans="1:23" ht="22.5" customHeight="1">
      <c r="A42" s="20">
        <v>45953.025266203702</v>
      </c>
      <c r="B42" s="21" t="s">
        <v>628</v>
      </c>
      <c r="C42" s="38"/>
      <c r="D42" s="21" t="s">
        <v>24</v>
      </c>
      <c r="E42" s="22">
        <v>23483</v>
      </c>
      <c r="F42" s="21" t="s">
        <v>623</v>
      </c>
      <c r="G42" s="21" t="s">
        <v>629</v>
      </c>
      <c r="H42" s="21" t="s">
        <v>630</v>
      </c>
      <c r="I42" s="6" t="str">
        <f>VLOOKUP(CLEAN(F42),'World Bank Categories'!$B$4:$C$220,2,FALSE)</f>
        <v>Middle income</v>
      </c>
      <c r="J42" s="21" t="s">
        <v>631</v>
      </c>
      <c r="K42" s="21" t="s">
        <v>29</v>
      </c>
      <c r="L42" s="21" t="s">
        <v>30</v>
      </c>
      <c r="M42" s="21" t="s">
        <v>632</v>
      </c>
      <c r="N42" s="21"/>
      <c r="O42" s="21"/>
      <c r="P42" s="21" t="s">
        <v>31</v>
      </c>
      <c r="Q42" s="9" t="s">
        <v>32</v>
      </c>
      <c r="R42" s="10" t="s">
        <v>33</v>
      </c>
      <c r="S42" s="25" t="s">
        <v>633</v>
      </c>
      <c r="T42" s="27">
        <v>22752</v>
      </c>
      <c r="U42" s="25" t="s">
        <v>631</v>
      </c>
      <c r="V42" s="25" t="s">
        <v>114</v>
      </c>
      <c r="W42" s="25"/>
    </row>
    <row r="43" spans="1:23" ht="22.5" customHeight="1">
      <c r="A43" s="20">
        <v>45953.919502314813</v>
      </c>
      <c r="B43" s="21" t="s">
        <v>638</v>
      </c>
      <c r="C43" s="38"/>
      <c r="D43" s="21" t="s">
        <v>45</v>
      </c>
      <c r="E43" s="22">
        <v>31262</v>
      </c>
      <c r="F43" s="21" t="s">
        <v>227</v>
      </c>
      <c r="G43" s="21" t="s">
        <v>639</v>
      </c>
      <c r="H43" s="21" t="s">
        <v>640</v>
      </c>
      <c r="I43" s="6" t="str">
        <f>VLOOKUP(CLEAN(F43),'World Bank Categories'!$B$4:$C$220,2,FALSE)</f>
        <v>Middle income</v>
      </c>
      <c r="J43" s="21" t="s">
        <v>641</v>
      </c>
      <c r="K43" s="21" t="s">
        <v>39</v>
      </c>
      <c r="L43" s="21" t="s">
        <v>30</v>
      </c>
      <c r="M43" s="21"/>
      <c r="N43" s="21"/>
      <c r="O43" s="21"/>
      <c r="P43" s="21" t="s">
        <v>31</v>
      </c>
      <c r="Q43" s="9" t="s">
        <v>32</v>
      </c>
      <c r="R43" s="10" t="s">
        <v>33</v>
      </c>
      <c r="S43" s="25" t="s">
        <v>638</v>
      </c>
      <c r="T43" s="27">
        <v>31262</v>
      </c>
      <c r="U43" s="25" t="s">
        <v>641</v>
      </c>
      <c r="V43" s="25" t="s">
        <v>80</v>
      </c>
      <c r="W43" s="25"/>
    </row>
    <row r="44" spans="1:23" ht="22.5" customHeight="1">
      <c r="A44" s="20">
        <v>45954.066493055558</v>
      </c>
      <c r="B44" s="21" t="s">
        <v>642</v>
      </c>
      <c r="C44" s="38"/>
      <c r="D44" s="21" t="s">
        <v>24</v>
      </c>
      <c r="E44" s="22">
        <v>36855</v>
      </c>
      <c r="F44" s="21" t="s">
        <v>208</v>
      </c>
      <c r="G44" s="21" t="s">
        <v>643</v>
      </c>
      <c r="H44" s="21" t="s">
        <v>98</v>
      </c>
      <c r="I44" s="6" t="str">
        <f>VLOOKUP(CLEAN(F44),'World Bank Categories'!$B$4:$C$220,2,FALSE)</f>
        <v>Low income</v>
      </c>
      <c r="J44" s="21" t="s">
        <v>644</v>
      </c>
      <c r="K44" s="21" t="s">
        <v>29</v>
      </c>
      <c r="L44" s="32">
        <v>46203</v>
      </c>
      <c r="M44" s="21"/>
      <c r="N44" s="21"/>
      <c r="O44" s="21"/>
      <c r="P44" s="21" t="s">
        <v>31</v>
      </c>
      <c r="Q44" s="9" t="s">
        <v>32</v>
      </c>
      <c r="R44" s="18" t="s">
        <v>33</v>
      </c>
      <c r="S44" s="25" t="s">
        <v>642</v>
      </c>
      <c r="T44" s="27">
        <v>36855</v>
      </c>
      <c r="U44" s="25" t="s">
        <v>644</v>
      </c>
      <c r="V44" s="25" t="s">
        <v>80</v>
      </c>
      <c r="W44" s="25"/>
    </row>
    <row r="45" spans="1:23" ht="22.5" customHeight="1">
      <c r="A45" s="20">
        <v>45955.198657407411</v>
      </c>
      <c r="B45" s="21" t="s">
        <v>663</v>
      </c>
      <c r="C45" s="38"/>
      <c r="D45" s="21" t="s">
        <v>24</v>
      </c>
      <c r="E45" s="22">
        <v>36376</v>
      </c>
      <c r="F45" s="21" t="s">
        <v>52</v>
      </c>
      <c r="G45" s="21" t="s">
        <v>664</v>
      </c>
      <c r="H45" s="21" t="s">
        <v>66</v>
      </c>
      <c r="I45" s="6" t="str">
        <f>VLOOKUP(CLEAN(F45),'World Bank Categories'!$B$4:$C$220,2,FALSE)</f>
        <v>Middle income</v>
      </c>
      <c r="J45" s="21" t="s">
        <v>665</v>
      </c>
      <c r="K45" s="21" t="s">
        <v>29</v>
      </c>
      <c r="L45" s="21" t="s">
        <v>30</v>
      </c>
      <c r="M45" s="21"/>
      <c r="N45" s="21"/>
      <c r="O45" s="21"/>
      <c r="P45" s="21" t="s">
        <v>31</v>
      </c>
      <c r="Q45" s="9" t="s">
        <v>32</v>
      </c>
      <c r="R45" s="10" t="s">
        <v>33</v>
      </c>
      <c r="S45" s="25" t="s">
        <v>663</v>
      </c>
      <c r="T45" s="27">
        <v>36376</v>
      </c>
      <c r="U45" s="25" t="s">
        <v>666</v>
      </c>
      <c r="V45" s="25" t="s">
        <v>80</v>
      </c>
      <c r="W45" s="25"/>
    </row>
    <row r="46" spans="1:23" ht="22.5" customHeight="1">
      <c r="A46" s="46">
        <v>45957.161712962959</v>
      </c>
      <c r="B46" s="47" t="s">
        <v>677</v>
      </c>
      <c r="C46" s="48"/>
      <c r="D46" s="47" t="s">
        <v>24</v>
      </c>
      <c r="E46" s="49">
        <v>36253</v>
      </c>
      <c r="F46" s="47" t="s">
        <v>678</v>
      </c>
      <c r="G46" s="47" t="s">
        <v>679</v>
      </c>
      <c r="H46" s="47" t="s">
        <v>680</v>
      </c>
      <c r="I46" s="6" t="str">
        <f>VLOOKUP(CLEAN(F46),'World Bank Categories'!$B$4:$C$220,2,FALSE)</f>
        <v>Middle income</v>
      </c>
      <c r="J46" s="47" t="s">
        <v>681</v>
      </c>
      <c r="K46" s="47" t="s">
        <v>29</v>
      </c>
      <c r="L46" s="47" t="s">
        <v>30</v>
      </c>
      <c r="M46" s="47"/>
      <c r="N46" s="47"/>
      <c r="O46" s="47"/>
      <c r="P46" s="47" t="s">
        <v>31</v>
      </c>
      <c r="Q46" s="9" t="s">
        <v>32</v>
      </c>
      <c r="R46" s="18" t="s">
        <v>17</v>
      </c>
      <c r="S46" s="25" t="s">
        <v>682</v>
      </c>
      <c r="T46" s="27">
        <v>36253</v>
      </c>
      <c r="U46" s="25" t="s">
        <v>681</v>
      </c>
      <c r="V46" s="25" t="s">
        <v>80</v>
      </c>
      <c r="W46" s="25"/>
    </row>
    <row r="47" spans="1:23" ht="22.5" customHeight="1">
      <c r="A47" s="20">
        <v>45957.261435185188</v>
      </c>
      <c r="B47" s="21" t="s">
        <v>688</v>
      </c>
      <c r="C47" s="38"/>
      <c r="D47" s="21" t="s">
        <v>45</v>
      </c>
      <c r="E47" s="22">
        <v>35712</v>
      </c>
      <c r="F47" s="21" t="s">
        <v>64</v>
      </c>
      <c r="G47" s="21" t="s">
        <v>689</v>
      </c>
      <c r="H47" s="21" t="s">
        <v>111</v>
      </c>
      <c r="I47" s="6" t="str">
        <f>VLOOKUP(CLEAN(F47),'World Bank Categories'!$B$4:$C$220,2,FALSE)</f>
        <v>Middle income</v>
      </c>
      <c r="J47" s="21" t="s">
        <v>690</v>
      </c>
      <c r="K47" s="21" t="s">
        <v>29</v>
      </c>
      <c r="L47" s="21" t="s">
        <v>30</v>
      </c>
      <c r="M47" s="21"/>
      <c r="N47" s="21"/>
      <c r="O47" s="21"/>
      <c r="P47" s="21" t="s">
        <v>31</v>
      </c>
      <c r="Q47" s="9" t="s">
        <v>32</v>
      </c>
      <c r="R47" s="18" t="s">
        <v>33</v>
      </c>
      <c r="S47" s="25" t="s">
        <v>691</v>
      </c>
      <c r="T47" s="27">
        <v>35712</v>
      </c>
      <c r="U47" s="25" t="s">
        <v>690</v>
      </c>
      <c r="V47" s="25" t="s">
        <v>154</v>
      </c>
      <c r="W47" s="25"/>
    </row>
    <row r="48" spans="1:23" ht="22.5" customHeight="1">
      <c r="A48" s="20">
        <v>45957.283680555556</v>
      </c>
      <c r="B48" s="21" t="s">
        <v>692</v>
      </c>
      <c r="C48" s="38"/>
      <c r="D48" s="21" t="s">
        <v>45</v>
      </c>
      <c r="E48" s="22">
        <v>30098</v>
      </c>
      <c r="F48" s="21" t="s">
        <v>64</v>
      </c>
      <c r="G48" s="21" t="s">
        <v>693</v>
      </c>
      <c r="H48" s="21" t="s">
        <v>694</v>
      </c>
      <c r="I48" s="6" t="str">
        <f>VLOOKUP(CLEAN(F48),'World Bank Categories'!$B$4:$C$220,2,FALSE)</f>
        <v>Middle income</v>
      </c>
      <c r="J48" s="21" t="s">
        <v>695</v>
      </c>
      <c r="K48" s="21" t="s">
        <v>29</v>
      </c>
      <c r="L48" s="21" t="s">
        <v>30</v>
      </c>
      <c r="M48" s="21"/>
      <c r="N48" s="21"/>
      <c r="O48" s="21"/>
      <c r="P48" s="21" t="s">
        <v>31</v>
      </c>
      <c r="Q48" s="9" t="s">
        <v>32</v>
      </c>
      <c r="R48" s="10" t="s">
        <v>33</v>
      </c>
      <c r="S48" s="25" t="s">
        <v>696</v>
      </c>
      <c r="T48" s="27">
        <v>30098</v>
      </c>
      <c r="U48" s="25" t="s">
        <v>695</v>
      </c>
      <c r="V48" s="25" t="s">
        <v>80</v>
      </c>
      <c r="W48" s="25"/>
    </row>
    <row r="49" spans="1:23" ht="22.5" customHeight="1">
      <c r="A49" s="20">
        <v>45957.460034722222</v>
      </c>
      <c r="B49" s="21" t="s">
        <v>697</v>
      </c>
      <c r="C49" s="38"/>
      <c r="D49" s="21" t="s">
        <v>45</v>
      </c>
      <c r="E49" s="22">
        <v>35773</v>
      </c>
      <c r="F49" s="21" t="s">
        <v>64</v>
      </c>
      <c r="G49" s="21" t="s">
        <v>698</v>
      </c>
      <c r="H49" s="21" t="s">
        <v>276</v>
      </c>
      <c r="I49" s="6" t="str">
        <f>VLOOKUP(CLEAN(F49),'World Bank Categories'!$B$4:$C$220,2,FALSE)</f>
        <v>Middle income</v>
      </c>
      <c r="J49" s="21" t="s">
        <v>699</v>
      </c>
      <c r="K49" s="21" t="s">
        <v>29</v>
      </c>
      <c r="L49" s="21" t="s">
        <v>30</v>
      </c>
      <c r="M49" s="21"/>
      <c r="N49" s="21"/>
      <c r="O49" s="21"/>
      <c r="P49" s="21" t="s">
        <v>31</v>
      </c>
      <c r="Q49" s="9" t="s">
        <v>32</v>
      </c>
      <c r="R49" s="18" t="s">
        <v>33</v>
      </c>
      <c r="S49" s="25" t="s">
        <v>700</v>
      </c>
      <c r="T49" s="27">
        <v>35773</v>
      </c>
      <c r="U49" s="25" t="s">
        <v>699</v>
      </c>
      <c r="V49" s="25" t="s">
        <v>80</v>
      </c>
      <c r="W49" s="25"/>
    </row>
    <row r="50" spans="1:23" ht="22.5" customHeight="1">
      <c r="A50" s="20">
        <v>45958.564745370371</v>
      </c>
      <c r="B50" s="21" t="s">
        <v>709</v>
      </c>
      <c r="C50" s="38"/>
      <c r="D50" s="21" t="s">
        <v>24</v>
      </c>
      <c r="E50" s="22">
        <v>27940</v>
      </c>
      <c r="F50" s="21" t="s">
        <v>227</v>
      </c>
      <c r="G50" s="21" t="s">
        <v>710</v>
      </c>
      <c r="H50" s="21" t="s">
        <v>711</v>
      </c>
      <c r="I50" s="6" t="str">
        <f>VLOOKUP(CLEAN(F50),'World Bank Categories'!$B$4:$C$220,2,FALSE)</f>
        <v>Middle income</v>
      </c>
      <c r="J50" s="21" t="s">
        <v>712</v>
      </c>
      <c r="K50" s="21" t="s">
        <v>29</v>
      </c>
      <c r="L50" s="21" t="s">
        <v>162</v>
      </c>
      <c r="M50" s="21"/>
      <c r="N50" s="21"/>
      <c r="O50" s="21"/>
      <c r="P50" s="21" t="s">
        <v>31</v>
      </c>
      <c r="Q50" s="9" t="s">
        <v>32</v>
      </c>
      <c r="R50" s="10" t="s">
        <v>33</v>
      </c>
      <c r="S50" s="25" t="s">
        <v>709</v>
      </c>
      <c r="T50" s="27">
        <v>27940</v>
      </c>
      <c r="U50" s="25" t="s">
        <v>712</v>
      </c>
      <c r="V50" s="25" t="s">
        <v>80</v>
      </c>
      <c r="W50" s="25"/>
    </row>
    <row r="51" spans="1:23" ht="22.5" customHeight="1">
      <c r="A51" s="20">
        <v>45958.776678240742</v>
      </c>
      <c r="B51" s="21" t="s">
        <v>713</v>
      </c>
      <c r="C51" s="38"/>
      <c r="D51" s="21" t="s">
        <v>45</v>
      </c>
      <c r="E51" s="22">
        <v>31409</v>
      </c>
      <c r="F51" s="21" t="s">
        <v>64</v>
      </c>
      <c r="G51" s="21" t="s">
        <v>714</v>
      </c>
      <c r="H51" s="21" t="s">
        <v>715</v>
      </c>
      <c r="I51" s="6" t="str">
        <f>VLOOKUP(CLEAN(F51),'World Bank Categories'!$B$4:$C$220,2,FALSE)</f>
        <v>Middle income</v>
      </c>
      <c r="J51" s="21" t="s">
        <v>716</v>
      </c>
      <c r="K51" s="21" t="s">
        <v>29</v>
      </c>
      <c r="L51" s="21" t="s">
        <v>30</v>
      </c>
      <c r="M51" s="21"/>
      <c r="N51" s="21"/>
      <c r="O51" s="21"/>
      <c r="P51" s="21" t="s">
        <v>31</v>
      </c>
      <c r="Q51" s="9" t="s">
        <v>32</v>
      </c>
      <c r="R51" s="18" t="s">
        <v>33</v>
      </c>
      <c r="S51" s="25" t="s">
        <v>713</v>
      </c>
      <c r="T51" s="27">
        <v>31409</v>
      </c>
      <c r="U51" s="25" t="s">
        <v>716</v>
      </c>
      <c r="V51" s="25" t="s">
        <v>80</v>
      </c>
      <c r="W51" s="25"/>
    </row>
    <row r="52" spans="1:23" ht="22.5" customHeight="1">
      <c r="A52" s="20">
        <v>45958.989363425928</v>
      </c>
      <c r="B52" s="21" t="s">
        <v>717</v>
      </c>
      <c r="C52" s="38"/>
      <c r="D52" s="21" t="s">
        <v>24</v>
      </c>
      <c r="E52" s="22">
        <v>34612</v>
      </c>
      <c r="F52" s="21" t="s">
        <v>70</v>
      </c>
      <c r="G52" s="21" t="s">
        <v>718</v>
      </c>
      <c r="H52" s="21" t="s">
        <v>719</v>
      </c>
      <c r="I52" s="6" t="str">
        <f>VLOOKUP(CLEAN(F52),'World Bank Categories'!$B$4:$C$220,2,FALSE)</f>
        <v>Middle income</v>
      </c>
      <c r="J52" s="21" t="s">
        <v>720</v>
      </c>
      <c r="K52" s="21" t="s">
        <v>29</v>
      </c>
      <c r="L52" s="32">
        <v>46202</v>
      </c>
      <c r="M52" s="21"/>
      <c r="N52" s="21"/>
      <c r="O52" s="21"/>
      <c r="P52" s="21" t="s">
        <v>31</v>
      </c>
      <c r="Q52" s="9" t="s">
        <v>32</v>
      </c>
      <c r="R52" s="10" t="s">
        <v>33</v>
      </c>
      <c r="S52" s="25" t="s">
        <v>721</v>
      </c>
      <c r="T52" s="27">
        <v>34612</v>
      </c>
      <c r="U52" s="25" t="s">
        <v>720</v>
      </c>
      <c r="V52" s="25" t="s">
        <v>722</v>
      </c>
      <c r="W52" s="25"/>
    </row>
    <row r="53" spans="1:23" ht="22.5" customHeight="1">
      <c r="A53" s="20">
        <v>45961.094328703701</v>
      </c>
      <c r="B53" s="21" t="s">
        <v>728</v>
      </c>
      <c r="C53" s="38"/>
      <c r="D53" s="21" t="s">
        <v>45</v>
      </c>
      <c r="E53" s="22">
        <v>36016</v>
      </c>
      <c r="F53" s="21" t="s">
        <v>70</v>
      </c>
      <c r="G53" s="21" t="s">
        <v>729</v>
      </c>
      <c r="H53" s="21" t="s">
        <v>186</v>
      </c>
      <c r="I53" s="6" t="str">
        <f>VLOOKUP(CLEAN(F53),'World Bank Categories'!$B$4:$C$220,2,FALSE)</f>
        <v>Middle income</v>
      </c>
      <c r="J53" s="21" t="s">
        <v>730</v>
      </c>
      <c r="K53" s="21" t="s">
        <v>29</v>
      </c>
      <c r="L53" s="21" t="s">
        <v>30</v>
      </c>
      <c r="M53" s="21"/>
      <c r="N53" s="21"/>
      <c r="O53" s="21"/>
      <c r="P53" s="21" t="s">
        <v>31</v>
      </c>
      <c r="Q53" s="9" t="s">
        <v>32</v>
      </c>
      <c r="R53" s="10" t="s">
        <v>33</v>
      </c>
      <c r="S53" s="25" t="s">
        <v>728</v>
      </c>
      <c r="T53" s="27">
        <v>36016</v>
      </c>
      <c r="U53" s="25" t="s">
        <v>730</v>
      </c>
      <c r="V53" s="25" t="s">
        <v>80</v>
      </c>
      <c r="W53" s="25"/>
    </row>
    <row r="54" spans="1:23" ht="22.5" customHeight="1">
      <c r="A54" s="13">
        <v>45962.906888379628</v>
      </c>
      <c r="B54" s="14" t="s">
        <v>740</v>
      </c>
      <c r="C54" s="15"/>
      <c r="D54" s="14" t="s">
        <v>45</v>
      </c>
      <c r="E54" s="16">
        <v>32013</v>
      </c>
      <c r="F54" s="14" t="s">
        <v>52</v>
      </c>
      <c r="G54" s="14" t="s">
        <v>741</v>
      </c>
      <c r="H54" s="14" t="s">
        <v>186</v>
      </c>
      <c r="I54" s="6" t="str">
        <f>VLOOKUP(CLEAN(F54),'World Bank Categories'!$B$4:$C$220,2,FALSE)</f>
        <v>Middle income</v>
      </c>
      <c r="J54" s="14" t="s">
        <v>742</v>
      </c>
      <c r="K54" s="14" t="s">
        <v>29</v>
      </c>
      <c r="L54" s="14" t="s">
        <v>30</v>
      </c>
      <c r="M54" s="15"/>
      <c r="N54" s="14"/>
      <c r="O54" s="14"/>
      <c r="P54" s="14" t="s">
        <v>31</v>
      </c>
      <c r="Q54" s="9" t="s">
        <v>32</v>
      </c>
      <c r="R54" s="10" t="s">
        <v>33</v>
      </c>
      <c r="S54" s="19" t="s">
        <v>740</v>
      </c>
      <c r="T54" s="12"/>
      <c r="U54" s="12"/>
      <c r="V54" s="12"/>
      <c r="W54" s="12"/>
    </row>
    <row r="55" spans="1:23" ht="22.5" customHeight="1">
      <c r="A55" s="20">
        <v>45964.769606481481</v>
      </c>
      <c r="B55" s="21" t="s">
        <v>748</v>
      </c>
      <c r="C55" s="38"/>
      <c r="D55" s="21" t="s">
        <v>24</v>
      </c>
      <c r="E55" s="22">
        <v>37380</v>
      </c>
      <c r="F55" s="21" t="s">
        <v>208</v>
      </c>
      <c r="G55" s="21" t="s">
        <v>452</v>
      </c>
      <c r="H55" s="21" t="s">
        <v>66</v>
      </c>
      <c r="I55" s="6" t="str">
        <f>VLOOKUP(CLEAN(F55),'World Bank Categories'!$B$4:$C$220,2,FALSE)</f>
        <v>Low income</v>
      </c>
      <c r="J55" s="21" t="s">
        <v>749</v>
      </c>
      <c r="K55" s="21" t="s">
        <v>29</v>
      </c>
      <c r="L55" s="21" t="s">
        <v>30</v>
      </c>
      <c r="M55" s="21"/>
      <c r="N55" s="21"/>
      <c r="O55" s="21"/>
      <c r="P55" s="21" t="s">
        <v>31</v>
      </c>
      <c r="Q55" s="9" t="s">
        <v>32</v>
      </c>
      <c r="R55" s="18" t="s">
        <v>33</v>
      </c>
      <c r="S55" s="25" t="s">
        <v>748</v>
      </c>
      <c r="T55" s="27">
        <v>45781</v>
      </c>
      <c r="U55" s="25" t="s">
        <v>749</v>
      </c>
      <c r="V55" s="25" t="s">
        <v>236</v>
      </c>
      <c r="W55" s="25"/>
    </row>
    <row r="56" spans="1:23" ht="22.5" customHeight="1">
      <c r="A56" s="20">
        <v>45965.19090277778</v>
      </c>
      <c r="B56" s="21" t="s">
        <v>750</v>
      </c>
      <c r="C56" s="38"/>
      <c r="D56" s="21" t="s">
        <v>45</v>
      </c>
      <c r="E56" s="22">
        <v>28467</v>
      </c>
      <c r="F56" s="21" t="s">
        <v>751</v>
      </c>
      <c r="G56" s="21" t="s">
        <v>209</v>
      </c>
      <c r="H56" s="21" t="s">
        <v>186</v>
      </c>
      <c r="I56" s="6" t="str">
        <f>VLOOKUP(CLEAN(F56),'World Bank Categories'!$B$4:$C$220,2,FALSE)</f>
        <v>Low income</v>
      </c>
      <c r="J56" s="21" t="s">
        <v>752</v>
      </c>
      <c r="K56" s="21" t="s">
        <v>29</v>
      </c>
      <c r="L56" s="21" t="s">
        <v>30</v>
      </c>
      <c r="M56" s="21"/>
      <c r="N56" s="21"/>
      <c r="O56" s="21"/>
      <c r="P56" s="21" t="s">
        <v>31</v>
      </c>
      <c r="Q56" s="9" t="s">
        <v>32</v>
      </c>
      <c r="R56" s="10" t="s">
        <v>33</v>
      </c>
      <c r="S56" s="25" t="s">
        <v>750</v>
      </c>
      <c r="T56" s="27">
        <v>28467</v>
      </c>
      <c r="U56" s="25" t="s">
        <v>752</v>
      </c>
      <c r="V56" s="25" t="s">
        <v>80</v>
      </c>
      <c r="W56" s="25"/>
    </row>
    <row r="57" spans="1:23" ht="22.5" customHeight="1">
      <c r="A57" s="20">
        <v>45965.231990740744</v>
      </c>
      <c r="B57" s="21" t="s">
        <v>757</v>
      </c>
      <c r="C57" s="38"/>
      <c r="D57" s="21" t="s">
        <v>45</v>
      </c>
      <c r="E57" s="22">
        <v>32128</v>
      </c>
      <c r="F57" s="21" t="s">
        <v>751</v>
      </c>
      <c r="G57" s="21" t="s">
        <v>758</v>
      </c>
      <c r="H57" s="21" t="s">
        <v>759</v>
      </c>
      <c r="I57" s="6" t="str">
        <f>VLOOKUP(CLEAN(F57),'World Bank Categories'!$B$4:$C$220,2,FALSE)</f>
        <v>Low income</v>
      </c>
      <c r="J57" s="21" t="s">
        <v>760</v>
      </c>
      <c r="K57" s="21" t="s">
        <v>29</v>
      </c>
      <c r="L57" s="21" t="s">
        <v>30</v>
      </c>
      <c r="M57" s="21"/>
      <c r="N57" s="21"/>
      <c r="O57" s="21"/>
      <c r="P57" s="21" t="s">
        <v>31</v>
      </c>
      <c r="Q57" s="9" t="s">
        <v>32</v>
      </c>
      <c r="R57" s="18" t="s">
        <v>33</v>
      </c>
      <c r="S57" s="25" t="s">
        <v>761</v>
      </c>
      <c r="T57" s="27">
        <v>32128</v>
      </c>
      <c r="U57" s="25" t="s">
        <v>760</v>
      </c>
      <c r="V57" s="25" t="s">
        <v>80</v>
      </c>
      <c r="W57" s="25"/>
    </row>
    <row r="58" spans="1:23" ht="22.5" customHeight="1">
      <c r="A58" s="20">
        <v>45965.376875000002</v>
      </c>
      <c r="B58" s="21" t="s">
        <v>762</v>
      </c>
      <c r="C58" s="38"/>
      <c r="D58" s="21" t="s">
        <v>45</v>
      </c>
      <c r="E58" s="22">
        <v>34722</v>
      </c>
      <c r="F58" s="21" t="s">
        <v>751</v>
      </c>
      <c r="G58" s="21" t="s">
        <v>763</v>
      </c>
      <c r="H58" s="21" t="s">
        <v>111</v>
      </c>
      <c r="I58" s="6" t="str">
        <f>VLOOKUP(CLEAN(F58),'World Bank Categories'!$B$4:$C$220,2,FALSE)</f>
        <v>Low income</v>
      </c>
      <c r="J58" s="21" t="s">
        <v>764</v>
      </c>
      <c r="K58" s="21" t="s">
        <v>29</v>
      </c>
      <c r="L58" s="21" t="s">
        <v>30</v>
      </c>
      <c r="M58" s="21"/>
      <c r="N58" s="21"/>
      <c r="O58" s="21"/>
      <c r="P58" s="21" t="s">
        <v>31</v>
      </c>
      <c r="Q58" s="9" t="s">
        <v>32</v>
      </c>
      <c r="R58" s="10" t="s">
        <v>33</v>
      </c>
      <c r="S58" s="25" t="s">
        <v>762</v>
      </c>
      <c r="T58" s="27">
        <v>34722</v>
      </c>
      <c r="U58" s="25" t="s">
        <v>764</v>
      </c>
      <c r="V58" s="25" t="s">
        <v>80</v>
      </c>
      <c r="W58" s="25"/>
    </row>
    <row r="59" spans="1:23" ht="22.5" customHeight="1">
      <c r="A59" s="20">
        <v>45966.82203703704</v>
      </c>
      <c r="B59" s="21" t="s">
        <v>774</v>
      </c>
      <c r="C59" s="38"/>
      <c r="D59" s="21" t="s">
        <v>24</v>
      </c>
      <c r="E59" s="22">
        <v>38402</v>
      </c>
      <c r="F59" s="21" t="s">
        <v>227</v>
      </c>
      <c r="G59" s="21" t="s">
        <v>775</v>
      </c>
      <c r="H59" s="21" t="s">
        <v>66</v>
      </c>
      <c r="I59" s="6" t="str">
        <f>VLOOKUP(CLEAN(F59),'World Bank Categories'!$B$4:$C$220,2,FALSE)</f>
        <v>Middle income</v>
      </c>
      <c r="J59" s="21" t="s">
        <v>776</v>
      </c>
      <c r="K59" s="21" t="s">
        <v>29</v>
      </c>
      <c r="L59" s="21" t="s">
        <v>30</v>
      </c>
      <c r="M59" s="21"/>
      <c r="N59" s="21"/>
      <c r="O59" s="21"/>
      <c r="P59" s="21" t="s">
        <v>31</v>
      </c>
      <c r="Q59" s="9" t="s">
        <v>32</v>
      </c>
      <c r="R59" s="18" t="s">
        <v>33</v>
      </c>
      <c r="S59" s="25" t="s">
        <v>774</v>
      </c>
      <c r="T59" s="27">
        <v>38402</v>
      </c>
      <c r="U59" s="25" t="s">
        <v>776</v>
      </c>
      <c r="V59" s="25" t="s">
        <v>80</v>
      </c>
      <c r="W59" s="25"/>
    </row>
    <row r="60" spans="1:23" ht="22.5" customHeight="1">
      <c r="A60" s="20">
        <v>45969.149988425925</v>
      </c>
      <c r="B60" s="21" t="s">
        <v>777</v>
      </c>
      <c r="C60" s="38"/>
      <c r="D60" s="21" t="s">
        <v>45</v>
      </c>
      <c r="E60" s="22">
        <v>35695</v>
      </c>
      <c r="F60" s="21" t="s">
        <v>208</v>
      </c>
      <c r="G60" s="21" t="s">
        <v>778</v>
      </c>
      <c r="H60" s="21" t="s">
        <v>779</v>
      </c>
      <c r="I60" s="6" t="str">
        <f>VLOOKUP(CLEAN(F60),'World Bank Categories'!$B$4:$C$220,2,FALSE)</f>
        <v>Low income</v>
      </c>
      <c r="J60" s="21" t="s">
        <v>780</v>
      </c>
      <c r="K60" s="21" t="s">
        <v>29</v>
      </c>
      <c r="L60" s="21" t="s">
        <v>30</v>
      </c>
      <c r="M60" s="21"/>
      <c r="N60" s="21"/>
      <c r="O60" s="21"/>
      <c r="P60" s="21" t="s">
        <v>31</v>
      </c>
      <c r="Q60" s="9" t="s">
        <v>32</v>
      </c>
      <c r="R60" s="10" t="s">
        <v>33</v>
      </c>
      <c r="S60" s="25" t="s">
        <v>777</v>
      </c>
      <c r="T60" s="27">
        <v>35695</v>
      </c>
      <c r="U60" s="25" t="s">
        <v>780</v>
      </c>
      <c r="V60" s="25" t="s">
        <v>80</v>
      </c>
      <c r="W60" s="25"/>
    </row>
    <row r="61" spans="1:23" ht="22.5" customHeight="1">
      <c r="A61" s="20">
        <v>45970.186041666668</v>
      </c>
      <c r="B61" s="21" t="s">
        <v>781</v>
      </c>
      <c r="C61" s="38"/>
      <c r="D61" s="21" t="s">
        <v>24</v>
      </c>
      <c r="E61" s="22">
        <v>37575</v>
      </c>
      <c r="F61" s="21" t="s">
        <v>732</v>
      </c>
      <c r="G61" s="21" t="s">
        <v>782</v>
      </c>
      <c r="H61" s="21" t="s">
        <v>368</v>
      </c>
      <c r="I61" s="6" t="str">
        <f>VLOOKUP(CLEAN(F61),'World Bank Categories'!$B$4:$C$220,2,FALSE)</f>
        <v>Middle income</v>
      </c>
      <c r="J61" s="21" t="s">
        <v>783</v>
      </c>
      <c r="K61" s="21" t="s">
        <v>29</v>
      </c>
      <c r="L61" s="21" t="s">
        <v>30</v>
      </c>
      <c r="M61" s="21"/>
      <c r="N61" s="21"/>
      <c r="O61" s="21"/>
      <c r="P61" s="21" t="s">
        <v>31</v>
      </c>
      <c r="Q61" s="9" t="s">
        <v>32</v>
      </c>
      <c r="R61" s="18" t="s">
        <v>33</v>
      </c>
      <c r="S61" s="25" t="s">
        <v>781</v>
      </c>
      <c r="T61" s="27">
        <v>37575</v>
      </c>
      <c r="U61" s="25" t="s">
        <v>783</v>
      </c>
      <c r="V61" s="25" t="s">
        <v>80</v>
      </c>
      <c r="W61" s="25"/>
    </row>
    <row r="62" spans="1:23" ht="22.5" customHeight="1">
      <c r="A62" s="5">
        <v>45971.840571296299</v>
      </c>
      <c r="B62" s="6" t="s">
        <v>788</v>
      </c>
      <c r="C62" s="7"/>
      <c r="D62" s="6" t="s">
        <v>45</v>
      </c>
      <c r="E62" s="8">
        <v>37385</v>
      </c>
      <c r="F62" s="6" t="s">
        <v>245</v>
      </c>
      <c r="G62" s="6" t="s">
        <v>789</v>
      </c>
      <c r="H62" s="6" t="s">
        <v>790</v>
      </c>
      <c r="I62" s="6" t="str">
        <f>VLOOKUP(CLEAN(F62),'World Bank Categories'!$B$4:$C$220,2,FALSE)</f>
        <v>Middle income</v>
      </c>
      <c r="J62" s="6" t="s">
        <v>791</v>
      </c>
      <c r="K62" s="6" t="s">
        <v>29</v>
      </c>
      <c r="L62" s="6" t="s">
        <v>30</v>
      </c>
      <c r="M62" s="7"/>
      <c r="N62" s="6"/>
      <c r="O62" s="6"/>
      <c r="P62" s="6" t="s">
        <v>31</v>
      </c>
      <c r="Q62" s="9" t="s">
        <v>32</v>
      </c>
      <c r="R62" s="18" t="s">
        <v>33</v>
      </c>
      <c r="S62" s="11" t="s">
        <v>792</v>
      </c>
      <c r="T62" s="12"/>
      <c r="U62" s="12"/>
      <c r="V62" s="12"/>
      <c r="W62" s="12"/>
    </row>
    <row r="63" spans="1:23" ht="22.5" customHeight="1">
      <c r="A63" s="20">
        <v>45972.180428240739</v>
      </c>
      <c r="B63" s="21" t="s">
        <v>793</v>
      </c>
      <c r="C63" s="38"/>
      <c r="D63" s="21" t="s">
        <v>45</v>
      </c>
      <c r="E63" s="22">
        <v>34699</v>
      </c>
      <c r="F63" s="21" t="s">
        <v>751</v>
      </c>
      <c r="G63" s="21" t="s">
        <v>794</v>
      </c>
      <c r="H63" s="21" t="s">
        <v>795</v>
      </c>
      <c r="I63" s="6" t="str">
        <f>VLOOKUP(CLEAN(F63),'World Bank Categories'!$B$4:$C$220,2,FALSE)</f>
        <v>Low income</v>
      </c>
      <c r="J63" s="21" t="s">
        <v>796</v>
      </c>
      <c r="K63" s="21" t="s">
        <v>29</v>
      </c>
      <c r="L63" s="21" t="s">
        <v>30</v>
      </c>
      <c r="M63" s="21"/>
      <c r="N63" s="21"/>
      <c r="O63" s="21"/>
      <c r="P63" s="21" t="s">
        <v>31</v>
      </c>
      <c r="Q63" s="9" t="s">
        <v>32</v>
      </c>
      <c r="R63" s="10" t="s">
        <v>33</v>
      </c>
      <c r="S63" s="25" t="s">
        <v>797</v>
      </c>
      <c r="T63" s="27">
        <v>34699</v>
      </c>
      <c r="U63" s="25" t="s">
        <v>796</v>
      </c>
      <c r="V63" s="25" t="s">
        <v>463</v>
      </c>
      <c r="W63" s="25"/>
    </row>
    <row r="64" spans="1:23" ht="22.5" customHeight="1">
      <c r="A64" s="20">
        <v>45975.8515162037</v>
      </c>
      <c r="B64" s="21" t="s">
        <v>832</v>
      </c>
      <c r="C64" s="38"/>
      <c r="D64" s="21" t="s">
        <v>45</v>
      </c>
      <c r="E64" s="22">
        <v>26816</v>
      </c>
      <c r="F64" s="21" t="s">
        <v>433</v>
      </c>
      <c r="G64" s="21" t="s">
        <v>833</v>
      </c>
      <c r="H64" s="21" t="s">
        <v>834</v>
      </c>
      <c r="I64" s="6" t="str">
        <f>VLOOKUP(CLEAN(F64),'World Bank Categories'!$B$4:$C$220,2,FALSE)</f>
        <v>Low income</v>
      </c>
      <c r="J64" s="21" t="s">
        <v>835</v>
      </c>
      <c r="K64" s="21" t="s">
        <v>29</v>
      </c>
      <c r="L64" s="21" t="s">
        <v>30</v>
      </c>
      <c r="M64" s="21"/>
      <c r="N64" s="21"/>
      <c r="O64" s="21"/>
      <c r="P64" s="21" t="s">
        <v>31</v>
      </c>
      <c r="Q64" s="9" t="s">
        <v>32</v>
      </c>
      <c r="R64" s="10" t="s">
        <v>33</v>
      </c>
      <c r="S64" s="25" t="s">
        <v>832</v>
      </c>
      <c r="T64" s="27">
        <v>26816</v>
      </c>
      <c r="U64" s="25" t="s">
        <v>836</v>
      </c>
      <c r="V64" s="25" t="s">
        <v>101</v>
      </c>
      <c r="W64" s="25"/>
    </row>
    <row r="65" spans="1:23" ht="22.5" customHeight="1">
      <c r="A65" s="13">
        <v>45976.196471574076</v>
      </c>
      <c r="B65" s="14" t="s">
        <v>837</v>
      </c>
      <c r="C65" s="15"/>
      <c r="D65" s="14" t="s">
        <v>45</v>
      </c>
      <c r="E65" s="16">
        <v>36840</v>
      </c>
      <c r="F65" s="14" t="s">
        <v>838</v>
      </c>
      <c r="G65" s="14" t="s">
        <v>839</v>
      </c>
      <c r="H65" s="14" t="s">
        <v>840</v>
      </c>
      <c r="I65" s="6" t="str">
        <f>VLOOKUP(CLEAN(F65),'World Bank Categories'!$B$4:$C$220,2,FALSE)</f>
        <v>Middle income</v>
      </c>
      <c r="J65" s="14" t="s">
        <v>841</v>
      </c>
      <c r="K65" s="14" t="s">
        <v>29</v>
      </c>
      <c r="L65" s="14" t="s">
        <v>30</v>
      </c>
      <c r="M65" s="15"/>
      <c r="N65" s="14"/>
      <c r="O65" s="14"/>
      <c r="P65" s="14" t="s">
        <v>31</v>
      </c>
      <c r="Q65" s="9" t="s">
        <v>32</v>
      </c>
      <c r="R65" s="18" t="s">
        <v>33</v>
      </c>
      <c r="S65" s="19" t="s">
        <v>837</v>
      </c>
      <c r="T65" s="12"/>
      <c r="U65" s="12"/>
      <c r="V65" s="12"/>
      <c r="W65" s="12"/>
    </row>
    <row r="66" spans="1:23" ht="22.5" customHeight="1">
      <c r="A66" s="20">
        <v>45979.592997685184</v>
      </c>
      <c r="B66" s="21" t="s">
        <v>857</v>
      </c>
      <c r="C66" s="38"/>
      <c r="D66" s="21" t="s">
        <v>45</v>
      </c>
      <c r="E66" s="22">
        <v>35122</v>
      </c>
      <c r="F66" s="21" t="s">
        <v>70</v>
      </c>
      <c r="G66" s="21" t="s">
        <v>858</v>
      </c>
      <c r="H66" s="21" t="s">
        <v>859</v>
      </c>
      <c r="I66" s="6" t="str">
        <f>VLOOKUP(CLEAN(F66),'World Bank Categories'!$B$4:$C$220,2,FALSE)</f>
        <v>Middle income</v>
      </c>
      <c r="J66" s="21" t="s">
        <v>860</v>
      </c>
      <c r="K66" s="21" t="s">
        <v>29</v>
      </c>
      <c r="L66" s="21" t="s">
        <v>30</v>
      </c>
      <c r="M66" s="21"/>
      <c r="N66" s="21"/>
      <c r="O66" s="21"/>
      <c r="P66" s="21" t="s">
        <v>31</v>
      </c>
      <c r="Q66" s="9" t="s">
        <v>32</v>
      </c>
      <c r="R66" s="18" t="s">
        <v>33</v>
      </c>
      <c r="S66" s="25" t="s">
        <v>857</v>
      </c>
      <c r="T66" s="27">
        <v>35122</v>
      </c>
      <c r="U66" s="25" t="s">
        <v>860</v>
      </c>
      <c r="V66" s="25" t="s">
        <v>80</v>
      </c>
      <c r="W66" s="25"/>
    </row>
    <row r="67" spans="1:23" ht="22.5" customHeight="1">
      <c r="A67" s="50">
        <v>45981.655694444446</v>
      </c>
      <c r="B67" s="51" t="s">
        <v>865</v>
      </c>
      <c r="C67" s="52"/>
      <c r="D67" s="51" t="s">
        <v>45</v>
      </c>
      <c r="E67" s="53">
        <v>32586</v>
      </c>
      <c r="F67" s="21" t="s">
        <v>88</v>
      </c>
      <c r="G67" s="51" t="s">
        <v>866</v>
      </c>
      <c r="H67" s="51" t="s">
        <v>867</v>
      </c>
      <c r="I67" s="6" t="str">
        <f>VLOOKUP(CLEAN(F67),'World Bank Categories'!$B$4:$C$220,2,FALSE)</f>
        <v>Low income</v>
      </c>
      <c r="J67" s="51" t="s">
        <v>868</v>
      </c>
      <c r="K67" s="51" t="s">
        <v>29</v>
      </c>
      <c r="L67" s="51" t="s">
        <v>30</v>
      </c>
      <c r="M67" s="51"/>
      <c r="N67" s="51"/>
      <c r="O67" s="51"/>
      <c r="P67" s="51" t="s">
        <v>31</v>
      </c>
      <c r="Q67" s="9" t="s">
        <v>32</v>
      </c>
      <c r="R67" s="18" t="s">
        <v>33</v>
      </c>
      <c r="S67" s="25" t="s">
        <v>869</v>
      </c>
      <c r="T67" s="27">
        <v>32586</v>
      </c>
      <c r="U67" s="25" t="s">
        <v>868</v>
      </c>
      <c r="V67" s="25" t="s">
        <v>154</v>
      </c>
      <c r="W67" s="25"/>
    </row>
    <row r="68" spans="1:23" ht="22.5" customHeight="1">
      <c r="A68" s="20">
        <v>45982.753576388888</v>
      </c>
      <c r="B68" s="21" t="s">
        <v>884</v>
      </c>
      <c r="C68" s="38"/>
      <c r="D68" s="21" t="s">
        <v>24</v>
      </c>
      <c r="E68" s="22">
        <v>32684</v>
      </c>
      <c r="F68" s="21" t="s">
        <v>422</v>
      </c>
      <c r="G68" s="21" t="s">
        <v>209</v>
      </c>
      <c r="H68" s="21" t="s">
        <v>885</v>
      </c>
      <c r="I68" s="6" t="str">
        <f>VLOOKUP(CLEAN(F68),'World Bank Categories'!$B$4:$C$220,2,FALSE)</f>
        <v>Middle income</v>
      </c>
      <c r="J68" s="21" t="s">
        <v>886</v>
      </c>
      <c r="K68" s="21" t="s">
        <v>39</v>
      </c>
      <c r="L68" s="21" t="s">
        <v>162</v>
      </c>
      <c r="M68" s="21"/>
      <c r="N68" s="21"/>
      <c r="O68" s="21"/>
      <c r="P68" s="21" t="s">
        <v>31</v>
      </c>
      <c r="Q68" s="9" t="s">
        <v>32</v>
      </c>
      <c r="R68" s="18" t="s">
        <v>33</v>
      </c>
      <c r="S68" s="25" t="s">
        <v>887</v>
      </c>
      <c r="T68" s="27">
        <v>32684</v>
      </c>
      <c r="U68" s="25" t="s">
        <v>886</v>
      </c>
      <c r="V68" s="25" t="s">
        <v>154</v>
      </c>
      <c r="W68" s="25"/>
    </row>
    <row r="69" spans="1:23" ht="22.5" customHeight="1">
      <c r="A69" s="20">
        <v>45984.227418981478</v>
      </c>
      <c r="B69" s="21" t="s">
        <v>905</v>
      </c>
      <c r="C69" s="21" t="s">
        <v>905</v>
      </c>
      <c r="D69" s="21" t="s">
        <v>45</v>
      </c>
      <c r="E69" s="22">
        <v>33434</v>
      </c>
      <c r="F69" s="21" t="s">
        <v>470</v>
      </c>
      <c r="G69" s="21" t="s">
        <v>906</v>
      </c>
      <c r="H69" s="21" t="s">
        <v>111</v>
      </c>
      <c r="I69" s="6" t="str">
        <f>VLOOKUP(CLEAN(F69),'World Bank Categories'!$B$4:$C$220,2,FALSE)</f>
        <v>Middle income</v>
      </c>
      <c r="J69" s="21" t="s">
        <v>907</v>
      </c>
      <c r="K69" s="21" t="s">
        <v>29</v>
      </c>
      <c r="L69" s="32">
        <v>46202</v>
      </c>
      <c r="M69" s="21"/>
      <c r="N69" s="21"/>
      <c r="O69" s="21"/>
      <c r="P69" s="21" t="s">
        <v>31</v>
      </c>
      <c r="Q69" s="9" t="s">
        <v>32</v>
      </c>
      <c r="R69" s="10" t="s">
        <v>33</v>
      </c>
      <c r="S69" s="25" t="s">
        <v>905</v>
      </c>
      <c r="T69" s="27">
        <v>33434</v>
      </c>
      <c r="U69" s="25" t="s">
        <v>907</v>
      </c>
      <c r="V69" s="25" t="s">
        <v>80</v>
      </c>
      <c r="W69" s="25"/>
    </row>
    <row r="70" spans="1:23" ht="22.5" customHeight="1">
      <c r="A70" s="20">
        <v>45984.624571759261</v>
      </c>
      <c r="B70" s="21" t="s">
        <v>908</v>
      </c>
      <c r="C70" s="38"/>
      <c r="D70" s="21" t="s">
        <v>24</v>
      </c>
      <c r="E70" s="22">
        <v>37776</v>
      </c>
      <c r="F70" s="21" t="s">
        <v>64</v>
      </c>
      <c r="G70" s="21" t="s">
        <v>909</v>
      </c>
      <c r="H70" s="21" t="s">
        <v>910</v>
      </c>
      <c r="I70" s="6" t="str">
        <f>VLOOKUP(CLEAN(F70),'World Bank Categories'!$B$4:$C$220,2,FALSE)</f>
        <v>Middle income</v>
      </c>
      <c r="J70" s="21" t="s">
        <v>911</v>
      </c>
      <c r="K70" s="21" t="s">
        <v>29</v>
      </c>
      <c r="L70" s="21" t="s">
        <v>30</v>
      </c>
      <c r="M70" s="21"/>
      <c r="N70" s="21"/>
      <c r="O70" s="21"/>
      <c r="P70" s="21" t="s">
        <v>31</v>
      </c>
      <c r="Q70" s="9" t="s">
        <v>32</v>
      </c>
      <c r="R70" s="18" t="s">
        <v>17</v>
      </c>
      <c r="S70" s="25" t="s">
        <v>912</v>
      </c>
      <c r="T70" s="27">
        <v>38142</v>
      </c>
      <c r="U70" s="25" t="s">
        <v>911</v>
      </c>
      <c r="V70" s="25" t="s">
        <v>114</v>
      </c>
      <c r="W70" s="25"/>
    </row>
    <row r="71" spans="1:23" ht="22.5" customHeight="1">
      <c r="A71" s="20">
        <v>45985.77716435185</v>
      </c>
      <c r="B71" s="21" t="s">
        <v>926</v>
      </c>
      <c r="C71" s="21" t="s">
        <v>927</v>
      </c>
      <c r="D71" s="21" t="s">
        <v>45</v>
      </c>
      <c r="E71" s="22">
        <v>36793</v>
      </c>
      <c r="F71" s="21" t="s">
        <v>64</v>
      </c>
      <c r="G71" s="21" t="s">
        <v>928</v>
      </c>
      <c r="H71" s="21" t="s">
        <v>929</v>
      </c>
      <c r="I71" s="6" t="str">
        <f>VLOOKUP(CLEAN(F71),'World Bank Categories'!$B$4:$C$220,2,FALSE)</f>
        <v>Middle income</v>
      </c>
      <c r="J71" s="21" t="s">
        <v>930</v>
      </c>
      <c r="K71" s="21" t="s">
        <v>29</v>
      </c>
      <c r="L71" s="21" t="s">
        <v>30</v>
      </c>
      <c r="M71" s="21"/>
      <c r="N71" s="21"/>
      <c r="O71" s="21"/>
      <c r="P71" s="21" t="s">
        <v>31</v>
      </c>
      <c r="Q71" s="9" t="s">
        <v>32</v>
      </c>
      <c r="R71" s="18" t="s">
        <v>33</v>
      </c>
      <c r="S71" s="25" t="s">
        <v>926</v>
      </c>
      <c r="T71" s="27">
        <v>36793</v>
      </c>
      <c r="U71" s="25" t="s">
        <v>930</v>
      </c>
      <c r="V71" s="25" t="s">
        <v>80</v>
      </c>
      <c r="W71" s="25"/>
    </row>
    <row r="72" spans="1:23" ht="22.5" customHeight="1">
      <c r="A72" s="28">
        <v>45985.852708333332</v>
      </c>
      <c r="B72" s="29" t="s">
        <v>931</v>
      </c>
      <c r="C72" s="29" t="s">
        <v>931</v>
      </c>
      <c r="D72" s="29" t="s">
        <v>24</v>
      </c>
      <c r="E72" s="30">
        <v>33868</v>
      </c>
      <c r="F72" s="21" t="s">
        <v>88</v>
      </c>
      <c r="G72" s="29" t="s">
        <v>932</v>
      </c>
      <c r="H72" s="29" t="s">
        <v>933</v>
      </c>
      <c r="I72" s="6" t="str">
        <f>VLOOKUP(CLEAN(F72),'World Bank Categories'!$B$4:$C$220,2,FALSE)</f>
        <v>Low income</v>
      </c>
      <c r="J72" s="29" t="s">
        <v>934</v>
      </c>
      <c r="K72" s="29" t="s">
        <v>29</v>
      </c>
      <c r="L72" s="29" t="s">
        <v>30</v>
      </c>
      <c r="M72" s="29"/>
      <c r="N72" s="29"/>
      <c r="O72" s="29"/>
      <c r="P72" s="29" t="s">
        <v>31</v>
      </c>
      <c r="Q72" s="9" t="s">
        <v>32</v>
      </c>
      <c r="R72" s="10" t="s">
        <v>33</v>
      </c>
      <c r="S72" s="25" t="s">
        <v>931</v>
      </c>
      <c r="T72" s="27">
        <v>33868</v>
      </c>
      <c r="U72" s="25" t="s">
        <v>934</v>
      </c>
      <c r="V72" s="25" t="s">
        <v>80</v>
      </c>
      <c r="W72" s="25"/>
    </row>
    <row r="73" spans="1:23" ht="22.5" customHeight="1">
      <c r="A73" s="20">
        <v>45988.082071759258</v>
      </c>
      <c r="B73" s="21" t="s">
        <v>950</v>
      </c>
      <c r="C73" s="38"/>
      <c r="D73" s="21" t="s">
        <v>24</v>
      </c>
      <c r="E73" s="22">
        <v>33908</v>
      </c>
      <c r="F73" s="21" t="s">
        <v>252</v>
      </c>
      <c r="G73" s="21" t="s">
        <v>209</v>
      </c>
      <c r="H73" s="21" t="s">
        <v>951</v>
      </c>
      <c r="I73" s="6" t="str">
        <f>VLOOKUP(CLEAN(F73),'World Bank Categories'!$B$4:$C$220,2,FALSE)</f>
        <v>Middle income</v>
      </c>
      <c r="J73" s="21" t="s">
        <v>952</v>
      </c>
      <c r="K73" s="21" t="s">
        <v>39</v>
      </c>
      <c r="L73" s="21" t="s">
        <v>953</v>
      </c>
      <c r="M73" s="21"/>
      <c r="N73" s="21"/>
      <c r="O73" s="21"/>
      <c r="P73" s="21" t="s">
        <v>31</v>
      </c>
      <c r="Q73" s="9" t="s">
        <v>32</v>
      </c>
      <c r="R73" s="10" t="s">
        <v>33</v>
      </c>
      <c r="S73" s="25" t="s">
        <v>950</v>
      </c>
      <c r="T73" s="27">
        <v>33908</v>
      </c>
      <c r="U73" s="25" t="s">
        <v>952</v>
      </c>
      <c r="V73" s="25" t="s">
        <v>80</v>
      </c>
      <c r="W73" s="25"/>
    </row>
    <row r="74" spans="1:23" ht="22.5" customHeight="1">
      <c r="A74" s="20">
        <v>45988.221620370372</v>
      </c>
      <c r="B74" s="21" t="s">
        <v>954</v>
      </c>
      <c r="C74" s="38"/>
      <c r="D74" s="21" t="s">
        <v>45</v>
      </c>
      <c r="E74" s="22">
        <v>17098</v>
      </c>
      <c r="F74" s="21" t="s">
        <v>955</v>
      </c>
      <c r="G74" s="21" t="s">
        <v>956</v>
      </c>
      <c r="H74" s="21" t="s">
        <v>957</v>
      </c>
      <c r="I74" s="6" t="str">
        <f>VLOOKUP(CLEAN(F74),'World Bank Categories'!$B$4:$C$220,2,FALSE)</f>
        <v>High income</v>
      </c>
      <c r="J74" s="21" t="s">
        <v>958</v>
      </c>
      <c r="K74" s="21" t="s">
        <v>29</v>
      </c>
      <c r="L74" s="21" t="s">
        <v>30</v>
      </c>
      <c r="M74" s="21" t="s">
        <v>959</v>
      </c>
      <c r="N74" s="21"/>
      <c r="O74" s="21"/>
      <c r="P74" s="21" t="s">
        <v>31</v>
      </c>
      <c r="Q74" s="9" t="s">
        <v>32</v>
      </c>
      <c r="R74" s="18" t="s">
        <v>43</v>
      </c>
      <c r="S74" s="25" t="s">
        <v>954</v>
      </c>
      <c r="T74" s="27">
        <v>17098</v>
      </c>
      <c r="U74" s="25" t="s">
        <v>958</v>
      </c>
      <c r="V74" s="25" t="s">
        <v>80</v>
      </c>
      <c r="W74" s="25"/>
    </row>
    <row r="75" spans="1:23" ht="22.5" customHeight="1">
      <c r="A75" s="20">
        <v>45988.603101851855</v>
      </c>
      <c r="B75" s="21" t="s">
        <v>960</v>
      </c>
      <c r="C75" s="38"/>
      <c r="D75" s="21" t="s">
        <v>45</v>
      </c>
      <c r="E75" s="22">
        <v>22235</v>
      </c>
      <c r="F75" s="21" t="s">
        <v>416</v>
      </c>
      <c r="G75" s="21" t="s">
        <v>209</v>
      </c>
      <c r="H75" s="21" t="s">
        <v>961</v>
      </c>
      <c r="I75" s="6" t="str">
        <f>VLOOKUP(CLEAN(F75),'World Bank Categories'!$B$4:$C$220,2,FALSE)</f>
        <v>Middle income</v>
      </c>
      <c r="J75" s="21" t="s">
        <v>962</v>
      </c>
      <c r="K75" s="21" t="s">
        <v>29</v>
      </c>
      <c r="L75" s="21" t="s">
        <v>30</v>
      </c>
      <c r="M75" s="21" t="s">
        <v>963</v>
      </c>
      <c r="N75" s="21"/>
      <c r="O75" s="21"/>
      <c r="P75" s="21" t="s">
        <v>31</v>
      </c>
      <c r="Q75" s="9" t="s">
        <v>32</v>
      </c>
      <c r="R75" s="10" t="s">
        <v>33</v>
      </c>
      <c r="S75" s="25" t="s">
        <v>960</v>
      </c>
      <c r="T75" s="27">
        <v>22235</v>
      </c>
      <c r="U75" s="25" t="s">
        <v>962</v>
      </c>
      <c r="V75" s="25" t="s">
        <v>80</v>
      </c>
      <c r="W75" s="25"/>
    </row>
    <row r="76" spans="1:23" ht="22.5" customHeight="1">
      <c r="A76" s="20">
        <v>45989.837361111109</v>
      </c>
      <c r="B76" s="21" t="s">
        <v>975</v>
      </c>
      <c r="C76" s="38"/>
      <c r="D76" s="21" t="s">
        <v>45</v>
      </c>
      <c r="E76" s="22">
        <v>33593</v>
      </c>
      <c r="F76" s="21" t="s">
        <v>227</v>
      </c>
      <c r="G76" s="21" t="s">
        <v>976</v>
      </c>
      <c r="H76" s="21" t="s">
        <v>977</v>
      </c>
      <c r="I76" s="6" t="str">
        <f>VLOOKUP(CLEAN(F76),'World Bank Categories'!$B$4:$C$220,2,FALSE)</f>
        <v>Middle income</v>
      </c>
      <c r="J76" s="21" t="s">
        <v>978</v>
      </c>
      <c r="K76" s="21" t="s">
        <v>29</v>
      </c>
      <c r="L76" s="21" t="s">
        <v>30</v>
      </c>
      <c r="M76" s="21"/>
      <c r="N76" s="21"/>
      <c r="O76" s="21"/>
      <c r="P76" s="21" t="s">
        <v>31</v>
      </c>
      <c r="Q76" s="9" t="s">
        <v>32</v>
      </c>
      <c r="R76" s="10" t="s">
        <v>33</v>
      </c>
      <c r="S76" s="25" t="s">
        <v>975</v>
      </c>
      <c r="T76" s="27">
        <v>33593</v>
      </c>
      <c r="U76" s="25" t="s">
        <v>978</v>
      </c>
      <c r="V76" s="25" t="s">
        <v>80</v>
      </c>
      <c r="W76" s="25"/>
    </row>
    <row r="77" spans="1:23" ht="22.5" customHeight="1">
      <c r="A77" s="20">
        <v>45989.917847222219</v>
      </c>
      <c r="B77" s="21" t="s">
        <v>979</v>
      </c>
      <c r="C77" s="38"/>
      <c r="D77" s="21" t="s">
        <v>45</v>
      </c>
      <c r="E77" s="22">
        <v>37852</v>
      </c>
      <c r="F77" s="21" t="s">
        <v>980</v>
      </c>
      <c r="G77" s="21" t="s">
        <v>981</v>
      </c>
      <c r="H77" s="21" t="s">
        <v>138</v>
      </c>
      <c r="I77" s="6" t="str">
        <f>VLOOKUP(CLEAN(F77),'World Bank Categories'!$B$4:$C$220,2,FALSE)</f>
        <v>Middle income</v>
      </c>
      <c r="J77" s="21" t="s">
        <v>982</v>
      </c>
      <c r="K77" s="21" t="s">
        <v>39</v>
      </c>
      <c r="L77" s="21" t="s">
        <v>152</v>
      </c>
      <c r="M77" s="21" t="s">
        <v>983</v>
      </c>
      <c r="N77" s="21"/>
      <c r="O77" s="21"/>
      <c r="P77" s="21" t="s">
        <v>31</v>
      </c>
      <c r="Q77" s="9" t="s">
        <v>32</v>
      </c>
      <c r="R77" s="18" t="s">
        <v>33</v>
      </c>
      <c r="S77" s="25" t="s">
        <v>979</v>
      </c>
      <c r="T77" s="27">
        <v>37852</v>
      </c>
      <c r="U77" s="25" t="s">
        <v>982</v>
      </c>
      <c r="V77" s="25" t="s">
        <v>80</v>
      </c>
      <c r="W77" s="25"/>
    </row>
    <row r="78" spans="1:23" ht="22.5" customHeight="1">
      <c r="A78" s="20">
        <v>45989.920011574075</v>
      </c>
      <c r="B78" s="21" t="s">
        <v>984</v>
      </c>
      <c r="C78" s="38"/>
      <c r="D78" s="21" t="s">
        <v>45</v>
      </c>
      <c r="E78" s="22">
        <v>37875</v>
      </c>
      <c r="F78" s="21" t="s">
        <v>980</v>
      </c>
      <c r="G78" s="21" t="s">
        <v>985</v>
      </c>
      <c r="H78" s="21" t="s">
        <v>368</v>
      </c>
      <c r="I78" s="6" t="str">
        <f>VLOOKUP(CLEAN(F78),'World Bank Categories'!$B$4:$C$220,2,FALSE)</f>
        <v>Middle income</v>
      </c>
      <c r="J78" s="21" t="s">
        <v>986</v>
      </c>
      <c r="K78" s="21" t="s">
        <v>39</v>
      </c>
      <c r="L78" s="21" t="s">
        <v>152</v>
      </c>
      <c r="M78" s="21" t="s">
        <v>987</v>
      </c>
      <c r="N78" s="21"/>
      <c r="O78" s="21"/>
      <c r="P78" s="21" t="s">
        <v>31</v>
      </c>
      <c r="Q78" s="9" t="s">
        <v>32</v>
      </c>
      <c r="R78" s="10" t="s">
        <v>33</v>
      </c>
      <c r="S78" s="25" t="s">
        <v>988</v>
      </c>
      <c r="T78" s="27">
        <v>37875</v>
      </c>
      <c r="U78" s="25" t="s">
        <v>986</v>
      </c>
      <c r="V78" s="25" t="s">
        <v>80</v>
      </c>
      <c r="W78" s="25"/>
    </row>
    <row r="79" spans="1:23" ht="22.5" customHeight="1">
      <c r="A79" s="35">
        <v>45989.952928240738</v>
      </c>
      <c r="B79" s="36" t="s">
        <v>989</v>
      </c>
      <c r="C79" s="55"/>
      <c r="D79" s="36" t="s">
        <v>45</v>
      </c>
      <c r="E79" s="37">
        <v>38368</v>
      </c>
      <c r="F79" s="21" t="s">
        <v>980</v>
      </c>
      <c r="G79" s="36" t="s">
        <v>990</v>
      </c>
      <c r="H79" s="36" t="s">
        <v>991</v>
      </c>
      <c r="I79" s="6" t="str">
        <f>VLOOKUP(CLEAN(F79),'World Bank Categories'!$B$4:$C$220,2,FALSE)</f>
        <v>Middle income</v>
      </c>
      <c r="J79" s="36" t="s">
        <v>992</v>
      </c>
      <c r="K79" s="36" t="s">
        <v>39</v>
      </c>
      <c r="L79" s="36" t="s">
        <v>152</v>
      </c>
      <c r="M79" s="36"/>
      <c r="N79" s="36"/>
      <c r="O79" s="36"/>
      <c r="P79" s="36" t="s">
        <v>31</v>
      </c>
      <c r="Q79" s="9" t="s">
        <v>32</v>
      </c>
      <c r="R79" s="18" t="s">
        <v>33</v>
      </c>
      <c r="S79" s="25" t="s">
        <v>993</v>
      </c>
      <c r="T79" s="27">
        <v>38368</v>
      </c>
      <c r="U79" s="25" t="s">
        <v>992</v>
      </c>
      <c r="V79" s="25" t="s">
        <v>80</v>
      </c>
      <c r="W79" s="25"/>
    </row>
    <row r="80" spans="1:23" ht="22.5" customHeight="1">
      <c r="A80" s="20">
        <v>45989.953750000001</v>
      </c>
      <c r="B80" s="21" t="s">
        <v>994</v>
      </c>
      <c r="C80" s="38"/>
      <c r="D80" s="21" t="s">
        <v>24</v>
      </c>
      <c r="E80" s="22">
        <v>37925</v>
      </c>
      <c r="F80" s="21" t="s">
        <v>980</v>
      </c>
      <c r="G80" s="21" t="s">
        <v>995</v>
      </c>
      <c r="H80" s="21" t="s">
        <v>66</v>
      </c>
      <c r="I80" s="6" t="str">
        <f>VLOOKUP(CLEAN(F80),'World Bank Categories'!$B$4:$C$220,2,FALSE)</f>
        <v>Middle income</v>
      </c>
      <c r="J80" s="21" t="s">
        <v>996</v>
      </c>
      <c r="K80" s="21" t="s">
        <v>39</v>
      </c>
      <c r="L80" s="21" t="s">
        <v>152</v>
      </c>
      <c r="M80" s="21"/>
      <c r="N80" s="21"/>
      <c r="O80" s="21"/>
      <c r="P80" s="21" t="s">
        <v>31</v>
      </c>
      <c r="Q80" s="9" t="s">
        <v>32</v>
      </c>
      <c r="R80" s="10" t="s">
        <v>33</v>
      </c>
      <c r="S80" s="25" t="s">
        <v>997</v>
      </c>
      <c r="T80" s="27">
        <v>37925</v>
      </c>
      <c r="U80" s="25" t="s">
        <v>996</v>
      </c>
      <c r="V80" s="25" t="s">
        <v>154</v>
      </c>
      <c r="W80" s="25"/>
    </row>
    <row r="81" spans="1:23" ht="22.5" customHeight="1">
      <c r="A81" s="20">
        <v>45989.995046296295</v>
      </c>
      <c r="B81" s="21" t="s">
        <v>998</v>
      </c>
      <c r="C81" s="38"/>
      <c r="D81" s="21" t="s">
        <v>45</v>
      </c>
      <c r="E81" s="22">
        <v>36466</v>
      </c>
      <c r="F81" s="21" t="s">
        <v>980</v>
      </c>
      <c r="G81" s="21" t="s">
        <v>999</v>
      </c>
      <c r="H81" s="21" t="s">
        <v>368</v>
      </c>
      <c r="I81" s="6" t="str">
        <f>VLOOKUP(CLEAN(F81),'World Bank Categories'!$B$4:$C$220,2,FALSE)</f>
        <v>Middle income</v>
      </c>
      <c r="J81" s="21" t="s">
        <v>1000</v>
      </c>
      <c r="K81" s="21" t="s">
        <v>39</v>
      </c>
      <c r="L81" s="21" t="s">
        <v>621</v>
      </c>
      <c r="M81" s="21"/>
      <c r="N81" s="21"/>
      <c r="O81" s="21"/>
      <c r="P81" s="21" t="s">
        <v>31</v>
      </c>
      <c r="Q81" s="9" t="s">
        <v>32</v>
      </c>
      <c r="R81" s="18" t="s">
        <v>33</v>
      </c>
      <c r="S81" s="25" t="s">
        <v>1001</v>
      </c>
      <c r="T81" s="27">
        <v>36466</v>
      </c>
      <c r="U81" s="25" t="s">
        <v>1000</v>
      </c>
      <c r="V81" s="25" t="s">
        <v>80</v>
      </c>
      <c r="W81" s="25"/>
    </row>
    <row r="82" spans="1:23" ht="22.5" customHeight="1">
      <c r="A82" s="20">
        <v>45990.019178240742</v>
      </c>
      <c r="B82" s="21" t="s">
        <v>1002</v>
      </c>
      <c r="C82" s="38"/>
      <c r="D82" s="21" t="s">
        <v>24</v>
      </c>
      <c r="E82" s="22">
        <v>37495</v>
      </c>
      <c r="F82" s="21" t="s">
        <v>980</v>
      </c>
      <c r="G82" s="21" t="s">
        <v>985</v>
      </c>
      <c r="H82" s="21" t="s">
        <v>138</v>
      </c>
      <c r="I82" s="6" t="str">
        <f>VLOOKUP(CLEAN(F82),'World Bank Categories'!$B$4:$C$220,2,FALSE)</f>
        <v>Middle income</v>
      </c>
      <c r="J82" s="21" t="s">
        <v>1003</v>
      </c>
      <c r="K82" s="21" t="s">
        <v>39</v>
      </c>
      <c r="L82" s="21" t="s">
        <v>621</v>
      </c>
      <c r="M82" s="21"/>
      <c r="N82" s="21"/>
      <c r="O82" s="21"/>
      <c r="P82" s="21" t="s">
        <v>31</v>
      </c>
      <c r="Q82" s="9" t="s">
        <v>32</v>
      </c>
      <c r="R82" s="10" t="s">
        <v>33</v>
      </c>
      <c r="S82" s="25" t="s">
        <v>1002</v>
      </c>
      <c r="T82" s="27">
        <v>37495</v>
      </c>
      <c r="U82" s="25" t="s">
        <v>1003</v>
      </c>
      <c r="V82" s="25" t="s">
        <v>80</v>
      </c>
      <c r="W82" s="25"/>
    </row>
    <row r="83" spans="1:23" ht="22.5" customHeight="1">
      <c r="A83" s="20">
        <v>45990.201168981483</v>
      </c>
      <c r="B83" s="21" t="s">
        <v>1004</v>
      </c>
      <c r="C83" s="38"/>
      <c r="D83" s="21" t="s">
        <v>45</v>
      </c>
      <c r="E83" s="22">
        <v>32844</v>
      </c>
      <c r="F83" s="21" t="s">
        <v>346</v>
      </c>
      <c r="G83" s="21" t="s">
        <v>1005</v>
      </c>
      <c r="H83" s="21" t="s">
        <v>1006</v>
      </c>
      <c r="I83" s="6" t="str">
        <f>VLOOKUP(CLEAN(F83),'World Bank Categories'!$B$4:$C$220,2,FALSE)</f>
        <v>Middle income</v>
      </c>
      <c r="J83" s="21" t="s">
        <v>1007</v>
      </c>
      <c r="K83" s="21" t="s">
        <v>29</v>
      </c>
      <c r="L83" s="21" t="s">
        <v>30</v>
      </c>
      <c r="M83" s="21"/>
      <c r="N83" s="21"/>
      <c r="O83" s="21"/>
      <c r="P83" s="21" t="s">
        <v>31</v>
      </c>
      <c r="Q83" s="9" t="s">
        <v>32</v>
      </c>
      <c r="R83" s="18" t="s">
        <v>1008</v>
      </c>
      <c r="S83" s="25" t="s">
        <v>1009</v>
      </c>
      <c r="T83" s="27">
        <v>32844</v>
      </c>
      <c r="U83" s="25" t="s">
        <v>1010</v>
      </c>
      <c r="V83" s="25" t="s">
        <v>1011</v>
      </c>
      <c r="W83" s="25"/>
    </row>
    <row r="84" spans="1:23" ht="22.5" customHeight="1">
      <c r="A84" s="20">
        <v>45991.081053240741</v>
      </c>
      <c r="B84" s="21" t="s">
        <v>1012</v>
      </c>
      <c r="C84" s="38"/>
      <c r="D84" s="21" t="s">
        <v>24</v>
      </c>
      <c r="E84" s="22">
        <v>38619</v>
      </c>
      <c r="F84" s="21" t="s">
        <v>980</v>
      </c>
      <c r="G84" s="21" t="s">
        <v>1013</v>
      </c>
      <c r="H84" s="21" t="s">
        <v>1014</v>
      </c>
      <c r="I84" s="6" t="str">
        <f>VLOOKUP(CLEAN(F84),'World Bank Categories'!$B$4:$C$220,2,FALSE)</f>
        <v>Middle income</v>
      </c>
      <c r="J84" s="21" t="s">
        <v>1015</v>
      </c>
      <c r="K84" s="21" t="s">
        <v>39</v>
      </c>
      <c r="L84" s="21" t="s">
        <v>621</v>
      </c>
      <c r="M84" s="21" t="s">
        <v>1016</v>
      </c>
      <c r="N84" s="21"/>
      <c r="O84" s="21"/>
      <c r="P84" s="21" t="s">
        <v>31</v>
      </c>
      <c r="Q84" s="9" t="s">
        <v>32</v>
      </c>
      <c r="R84" s="10" t="s">
        <v>33</v>
      </c>
      <c r="S84" s="25" t="s">
        <v>1017</v>
      </c>
      <c r="T84" s="27">
        <v>38619</v>
      </c>
      <c r="U84" s="25" t="s">
        <v>1015</v>
      </c>
      <c r="V84" s="25" t="s">
        <v>80</v>
      </c>
      <c r="W84" s="25"/>
    </row>
    <row r="85" spans="1:23" ht="22.5" customHeight="1">
      <c r="A85" s="20">
        <v>45991.880393518521</v>
      </c>
      <c r="B85" s="21" t="s">
        <v>1018</v>
      </c>
      <c r="C85" s="21" t="s">
        <v>1019</v>
      </c>
      <c r="D85" s="21" t="s">
        <v>24</v>
      </c>
      <c r="E85" s="22">
        <v>38139</v>
      </c>
      <c r="F85" s="21" t="s">
        <v>980</v>
      </c>
      <c r="G85" s="21" t="s">
        <v>1020</v>
      </c>
      <c r="H85" s="21" t="s">
        <v>66</v>
      </c>
      <c r="I85" s="6" t="str">
        <f>VLOOKUP(CLEAN(F85),'World Bank Categories'!$B$4:$C$220,2,FALSE)</f>
        <v>Middle income</v>
      </c>
      <c r="J85" s="21" t="s">
        <v>1021</v>
      </c>
      <c r="K85" s="21" t="s">
        <v>39</v>
      </c>
      <c r="L85" s="21" t="s">
        <v>152</v>
      </c>
      <c r="M85" s="21" t="s">
        <v>1022</v>
      </c>
      <c r="N85" s="21"/>
      <c r="O85" s="21"/>
      <c r="P85" s="21" t="s">
        <v>31</v>
      </c>
      <c r="Q85" s="9" t="s">
        <v>32</v>
      </c>
      <c r="R85" s="18" t="s">
        <v>33</v>
      </c>
      <c r="S85" s="25" t="s">
        <v>1023</v>
      </c>
      <c r="T85" s="27">
        <v>38139</v>
      </c>
      <c r="U85" s="25" t="s">
        <v>1021</v>
      </c>
      <c r="V85" s="25" t="s">
        <v>154</v>
      </c>
      <c r="W85" s="25"/>
    </row>
    <row r="86" spans="1:23" ht="22.5" customHeight="1">
      <c r="A86" s="50">
        <v>45992.336111111108</v>
      </c>
      <c r="B86" s="51" t="s">
        <v>1024</v>
      </c>
      <c r="C86" s="51" t="s">
        <v>1025</v>
      </c>
      <c r="D86" s="51" t="s">
        <v>24</v>
      </c>
      <c r="E86" s="53">
        <v>35248</v>
      </c>
      <c r="F86" s="51" t="s">
        <v>198</v>
      </c>
      <c r="G86" s="51" t="s">
        <v>1026</v>
      </c>
      <c r="H86" s="51" t="s">
        <v>1027</v>
      </c>
      <c r="I86" s="6" t="str">
        <f>VLOOKUP(CLEAN(F86),'World Bank Categories'!$B$4:$C$220,2,FALSE)</f>
        <v>Middle income</v>
      </c>
      <c r="J86" s="51" t="s">
        <v>1028</v>
      </c>
      <c r="K86" s="51" t="s">
        <v>29</v>
      </c>
      <c r="L86" s="51" t="s">
        <v>30</v>
      </c>
      <c r="M86" s="51"/>
      <c r="N86" s="51"/>
      <c r="O86" s="51"/>
      <c r="P86" s="51" t="s">
        <v>31</v>
      </c>
      <c r="Q86" s="9" t="s">
        <v>32</v>
      </c>
      <c r="R86" s="10" t="s">
        <v>33</v>
      </c>
      <c r="S86" s="25" t="s">
        <v>1024</v>
      </c>
      <c r="T86" s="27">
        <v>35248</v>
      </c>
      <c r="U86" s="25" t="s">
        <v>1028</v>
      </c>
      <c r="V86" s="25" t="s">
        <v>80</v>
      </c>
      <c r="W86" s="25"/>
    </row>
    <row r="87" spans="1:23" ht="22.5" customHeight="1">
      <c r="A87" s="50">
        <v>45993.611990740741</v>
      </c>
      <c r="B87" s="51" t="s">
        <v>1037</v>
      </c>
      <c r="C87" s="52"/>
      <c r="D87" s="51" t="s">
        <v>45</v>
      </c>
      <c r="E87" s="53">
        <v>24838</v>
      </c>
      <c r="F87" s="51" t="s">
        <v>1038</v>
      </c>
      <c r="G87" s="51" t="s">
        <v>1039</v>
      </c>
      <c r="H87" s="51" t="s">
        <v>1040</v>
      </c>
      <c r="I87" s="6" t="str">
        <f>VLOOKUP(CLEAN(F87),'World Bank Categories'!$B$4:$C$220,2,FALSE)</f>
        <v>Middle income</v>
      </c>
      <c r="J87" s="51" t="s">
        <v>1041</v>
      </c>
      <c r="K87" s="51" t="s">
        <v>1042</v>
      </c>
      <c r="L87" s="51" t="s">
        <v>162</v>
      </c>
      <c r="M87" s="51"/>
      <c r="N87" s="51"/>
      <c r="O87" s="51"/>
      <c r="P87" s="51" t="s">
        <v>31</v>
      </c>
      <c r="Q87" s="9" t="s">
        <v>32</v>
      </c>
      <c r="R87" s="18" t="s">
        <v>33</v>
      </c>
      <c r="S87" s="25" t="s">
        <v>1037</v>
      </c>
      <c r="T87" s="27">
        <v>24838</v>
      </c>
      <c r="U87" s="25" t="s">
        <v>1041</v>
      </c>
      <c r="V87" s="25" t="s">
        <v>80</v>
      </c>
      <c r="W87" s="25"/>
    </row>
    <row r="88" spans="1:23" ht="22.5" customHeight="1">
      <c r="A88" s="20">
        <v>45993.840671296297</v>
      </c>
      <c r="B88" s="21" t="s">
        <v>1048</v>
      </c>
      <c r="C88" s="38"/>
      <c r="D88" s="21" t="s">
        <v>24</v>
      </c>
      <c r="E88" s="22">
        <v>34383</v>
      </c>
      <c r="F88" s="21" t="s">
        <v>88</v>
      </c>
      <c r="G88" s="21" t="s">
        <v>866</v>
      </c>
      <c r="H88" s="21" t="s">
        <v>1049</v>
      </c>
      <c r="I88" s="6" t="str">
        <f>VLOOKUP(CLEAN(F88),'World Bank Categories'!$B$4:$C$220,2,FALSE)</f>
        <v>Low income</v>
      </c>
      <c r="J88" s="21" t="s">
        <v>1050</v>
      </c>
      <c r="K88" s="21" t="s">
        <v>29</v>
      </c>
      <c r="L88" s="21" t="s">
        <v>30</v>
      </c>
      <c r="M88" s="21"/>
      <c r="N88" s="21"/>
      <c r="O88" s="21"/>
      <c r="P88" s="21" t="s">
        <v>31</v>
      </c>
      <c r="Q88" s="9" t="s">
        <v>32</v>
      </c>
      <c r="R88" s="18" t="s">
        <v>33</v>
      </c>
      <c r="S88" s="25" t="s">
        <v>1048</v>
      </c>
      <c r="T88" s="27">
        <v>34383</v>
      </c>
      <c r="U88" s="25" t="s">
        <v>1050</v>
      </c>
      <c r="V88" s="25" t="s">
        <v>80</v>
      </c>
      <c r="W88" s="25"/>
    </row>
    <row r="89" spans="1:23" ht="22.5" customHeight="1">
      <c r="A89" s="20">
        <v>45994.137314814812</v>
      </c>
      <c r="B89" s="21" t="s">
        <v>1051</v>
      </c>
      <c r="C89" s="21" t="s">
        <v>1052</v>
      </c>
      <c r="D89" s="21" t="s">
        <v>45</v>
      </c>
      <c r="E89" s="22">
        <v>30184</v>
      </c>
      <c r="F89" s="21" t="s">
        <v>1053</v>
      </c>
      <c r="G89" s="21" t="s">
        <v>1054</v>
      </c>
      <c r="H89" s="21" t="s">
        <v>1055</v>
      </c>
      <c r="I89" s="6" t="str">
        <f>VLOOKUP(CLEAN(F89),'World Bank Categories'!$B$4:$C$220,2,FALSE)</f>
        <v>High income</v>
      </c>
      <c r="J89" s="21" t="s">
        <v>1056</v>
      </c>
      <c r="K89" s="21" t="s">
        <v>39</v>
      </c>
      <c r="L89" s="21" t="s">
        <v>621</v>
      </c>
      <c r="M89" s="21"/>
      <c r="N89" s="21"/>
      <c r="O89" s="21"/>
      <c r="P89" s="21" t="s">
        <v>31</v>
      </c>
      <c r="Q89" s="9" t="s">
        <v>32</v>
      </c>
      <c r="R89" s="10" t="s">
        <v>33</v>
      </c>
      <c r="S89" s="25" t="s">
        <v>1057</v>
      </c>
      <c r="T89" s="27">
        <v>30184</v>
      </c>
      <c r="U89" s="25" t="s">
        <v>1056</v>
      </c>
      <c r="V89" s="25" t="s">
        <v>154</v>
      </c>
      <c r="W89" s="25"/>
    </row>
    <row r="90" spans="1:23" ht="22.5" customHeight="1">
      <c r="A90" s="20">
        <v>45994.546724537038</v>
      </c>
      <c r="B90" s="21" t="s">
        <v>1062</v>
      </c>
      <c r="C90" s="38"/>
      <c r="D90" s="21" t="s">
        <v>24</v>
      </c>
      <c r="E90" s="22">
        <v>32386</v>
      </c>
      <c r="F90" s="21" t="s">
        <v>1063</v>
      </c>
      <c r="G90" s="21" t="s">
        <v>1064</v>
      </c>
      <c r="H90" s="21" t="s">
        <v>1065</v>
      </c>
      <c r="I90" s="6" t="str">
        <f>VLOOKUP(CLEAN(F90),'World Bank Categories'!$B$4:$C$220,2,FALSE)</f>
        <v>Middle income</v>
      </c>
      <c r="J90" s="21" t="s">
        <v>1066</v>
      </c>
      <c r="K90" s="21" t="s">
        <v>29</v>
      </c>
      <c r="L90" s="21" t="s">
        <v>162</v>
      </c>
      <c r="M90" s="21"/>
      <c r="N90" s="21"/>
      <c r="O90" s="21"/>
      <c r="P90" s="21" t="s">
        <v>31</v>
      </c>
      <c r="Q90" s="9" t="s">
        <v>32</v>
      </c>
      <c r="R90" s="10" t="s">
        <v>33</v>
      </c>
      <c r="S90" s="25" t="s">
        <v>1062</v>
      </c>
      <c r="T90" s="27">
        <v>32386</v>
      </c>
      <c r="U90" s="25" t="s">
        <v>1066</v>
      </c>
      <c r="V90" s="25" t="s">
        <v>80</v>
      </c>
      <c r="W90" s="25"/>
    </row>
    <row r="91" spans="1:23" ht="22.5" customHeight="1">
      <c r="A91" s="20">
        <v>45994.893842592595</v>
      </c>
      <c r="B91" s="21" t="s">
        <v>1067</v>
      </c>
      <c r="C91" s="38"/>
      <c r="D91" s="21" t="s">
        <v>45</v>
      </c>
      <c r="E91" s="22">
        <v>35708</v>
      </c>
      <c r="F91" s="21" t="s">
        <v>438</v>
      </c>
      <c r="G91" s="21" t="s">
        <v>1068</v>
      </c>
      <c r="H91" s="21" t="s">
        <v>1069</v>
      </c>
      <c r="I91" s="6" t="str">
        <f>VLOOKUP(CLEAN(F91),'World Bank Categories'!$B$4:$C$220,2,FALSE)</f>
        <v>Middle income</v>
      </c>
      <c r="J91" s="21" t="s">
        <v>1070</v>
      </c>
      <c r="K91" s="21" t="s">
        <v>39</v>
      </c>
      <c r="L91" s="21" t="s">
        <v>30</v>
      </c>
      <c r="M91" s="21"/>
      <c r="N91" s="21"/>
      <c r="O91" s="21"/>
      <c r="P91" s="21" t="s">
        <v>31</v>
      </c>
      <c r="Q91" s="9" t="s">
        <v>32</v>
      </c>
      <c r="R91" s="18" t="s">
        <v>33</v>
      </c>
      <c r="S91" s="25" t="s">
        <v>1067</v>
      </c>
      <c r="T91" s="27">
        <v>35708</v>
      </c>
      <c r="U91" s="25" t="s">
        <v>1070</v>
      </c>
      <c r="V91" s="25" t="s">
        <v>80</v>
      </c>
      <c r="W91" s="25"/>
    </row>
    <row r="92" spans="1:23" ht="22.5" customHeight="1">
      <c r="A92" s="20">
        <v>45994.995312500003</v>
      </c>
      <c r="B92" s="21" t="s">
        <v>1071</v>
      </c>
      <c r="C92" s="38"/>
      <c r="D92" s="21" t="s">
        <v>24</v>
      </c>
      <c r="E92" s="22">
        <v>38389</v>
      </c>
      <c r="F92" s="21" t="s">
        <v>980</v>
      </c>
      <c r="G92" s="21" t="s">
        <v>1072</v>
      </c>
      <c r="H92" s="21" t="s">
        <v>66</v>
      </c>
      <c r="I92" s="6" t="str">
        <f>VLOOKUP(CLEAN(F92),'World Bank Categories'!$B$4:$C$220,2,FALSE)</f>
        <v>Middle income</v>
      </c>
      <c r="J92" s="21" t="s">
        <v>1073</v>
      </c>
      <c r="K92" s="21" t="s">
        <v>39</v>
      </c>
      <c r="L92" s="21" t="s">
        <v>152</v>
      </c>
      <c r="M92" s="21"/>
      <c r="N92" s="21"/>
      <c r="O92" s="21"/>
      <c r="P92" s="21" t="s">
        <v>31</v>
      </c>
      <c r="Q92" s="9" t="s">
        <v>32</v>
      </c>
      <c r="R92" s="10" t="s">
        <v>33</v>
      </c>
      <c r="S92" s="25" t="s">
        <v>1071</v>
      </c>
      <c r="T92" s="27">
        <v>38389</v>
      </c>
      <c r="U92" s="25" t="s">
        <v>1073</v>
      </c>
      <c r="V92" s="25" t="s">
        <v>80</v>
      </c>
      <c r="W92" s="25"/>
    </row>
    <row r="93" spans="1:23" ht="22.5" customHeight="1">
      <c r="A93" s="20">
        <v>45994.998344907406</v>
      </c>
      <c r="B93" s="21" t="s">
        <v>1074</v>
      </c>
      <c r="C93" s="38"/>
      <c r="D93" s="21" t="s">
        <v>45</v>
      </c>
      <c r="E93" s="22">
        <v>38977</v>
      </c>
      <c r="F93" s="21" t="s">
        <v>980</v>
      </c>
      <c r="G93" s="21" t="s">
        <v>1075</v>
      </c>
      <c r="H93" s="21" t="s">
        <v>66</v>
      </c>
      <c r="I93" s="6" t="str">
        <f>VLOOKUP(CLEAN(F93),'World Bank Categories'!$B$4:$C$220,2,FALSE)</f>
        <v>Middle income</v>
      </c>
      <c r="J93" s="21" t="s">
        <v>1076</v>
      </c>
      <c r="K93" s="21" t="s">
        <v>39</v>
      </c>
      <c r="L93" s="21" t="s">
        <v>152</v>
      </c>
      <c r="M93" s="21"/>
      <c r="N93" s="21"/>
      <c r="O93" s="21"/>
      <c r="P93" s="21" t="s">
        <v>31</v>
      </c>
      <c r="Q93" s="42" t="s">
        <v>32</v>
      </c>
      <c r="R93" s="18" t="s">
        <v>33</v>
      </c>
      <c r="S93" s="25"/>
      <c r="T93" s="26"/>
      <c r="U93" s="25"/>
      <c r="V93" s="25"/>
      <c r="W93" s="25"/>
    </row>
    <row r="94" spans="1:23" ht="22.5" customHeight="1">
      <c r="A94" s="20">
        <v>45995.008425925924</v>
      </c>
      <c r="B94" s="21" t="s">
        <v>1077</v>
      </c>
      <c r="C94" s="38"/>
      <c r="D94" s="21" t="s">
        <v>24</v>
      </c>
      <c r="E94" s="22">
        <v>38508</v>
      </c>
      <c r="F94" s="21" t="s">
        <v>980</v>
      </c>
      <c r="G94" s="21" t="s">
        <v>1072</v>
      </c>
      <c r="H94" s="21" t="s">
        <v>66</v>
      </c>
      <c r="I94" s="6" t="str">
        <f>VLOOKUP(CLEAN(F94),'World Bank Categories'!$B$4:$C$220,2,FALSE)</f>
        <v>Middle income</v>
      </c>
      <c r="J94" s="21" t="s">
        <v>1078</v>
      </c>
      <c r="K94" s="21" t="s">
        <v>39</v>
      </c>
      <c r="L94" s="21" t="s">
        <v>152</v>
      </c>
      <c r="M94" s="21"/>
      <c r="N94" s="21"/>
      <c r="O94" s="21"/>
      <c r="P94" s="21" t="s">
        <v>31</v>
      </c>
      <c r="Q94" s="9" t="s">
        <v>32</v>
      </c>
      <c r="R94" s="10" t="s">
        <v>33</v>
      </c>
      <c r="S94" s="25" t="s">
        <v>1077</v>
      </c>
      <c r="T94" s="27">
        <v>38508</v>
      </c>
      <c r="U94" s="25" t="s">
        <v>1078</v>
      </c>
      <c r="V94" s="25" t="s">
        <v>80</v>
      </c>
      <c r="W94" s="25"/>
    </row>
    <row r="95" spans="1:23" ht="22.5" customHeight="1">
      <c r="A95" s="20">
        <v>45997.913298611114</v>
      </c>
      <c r="B95" s="21" t="s">
        <v>1084</v>
      </c>
      <c r="C95" s="38"/>
      <c r="D95" s="21" t="s">
        <v>45</v>
      </c>
      <c r="E95" s="22">
        <v>36956</v>
      </c>
      <c r="F95" s="21" t="s">
        <v>64</v>
      </c>
      <c r="G95" s="21" t="s">
        <v>1085</v>
      </c>
      <c r="H95" s="21" t="s">
        <v>54</v>
      </c>
      <c r="I95" s="6" t="str">
        <f>VLOOKUP(CLEAN(F95),'World Bank Categories'!$B$4:$C$220,2,FALSE)</f>
        <v>Middle income</v>
      </c>
      <c r="J95" s="21" t="s">
        <v>1086</v>
      </c>
      <c r="K95" s="21" t="s">
        <v>29</v>
      </c>
      <c r="L95" s="21" t="s">
        <v>30</v>
      </c>
      <c r="M95" s="21"/>
      <c r="N95" s="21"/>
      <c r="O95" s="21"/>
      <c r="P95" s="21" t="s">
        <v>31</v>
      </c>
      <c r="Q95" s="9" t="s">
        <v>32</v>
      </c>
      <c r="R95" s="10" t="s">
        <v>33</v>
      </c>
      <c r="S95" s="25" t="s">
        <v>1084</v>
      </c>
      <c r="T95" s="27">
        <v>36956</v>
      </c>
      <c r="U95" s="25" t="s">
        <v>1086</v>
      </c>
      <c r="V95" s="25" t="s">
        <v>80</v>
      </c>
      <c r="W95" s="25"/>
    </row>
    <row r="96" spans="1:23" ht="22.5" customHeight="1">
      <c r="A96" s="20">
        <v>45999.920925925922</v>
      </c>
      <c r="B96" s="21" t="s">
        <v>1087</v>
      </c>
      <c r="C96" s="21" t="s">
        <v>1088</v>
      </c>
      <c r="D96" s="21" t="s">
        <v>24</v>
      </c>
      <c r="E96" s="22">
        <v>37314</v>
      </c>
      <c r="F96" s="21" t="s">
        <v>1063</v>
      </c>
      <c r="G96" s="21" t="s">
        <v>1089</v>
      </c>
      <c r="H96" s="21" t="s">
        <v>1090</v>
      </c>
      <c r="I96" s="6" t="str">
        <f>VLOOKUP(CLEAN(F96),'World Bank Categories'!$B$4:$C$220,2,FALSE)</f>
        <v>Middle income</v>
      </c>
      <c r="J96" s="21" t="s">
        <v>1091</v>
      </c>
      <c r="K96" s="21" t="s">
        <v>29</v>
      </c>
      <c r="L96" s="21" t="s">
        <v>30</v>
      </c>
      <c r="M96" s="21"/>
      <c r="N96" s="21"/>
      <c r="O96" s="21"/>
      <c r="P96" s="21" t="s">
        <v>31</v>
      </c>
      <c r="Q96" s="9" t="s">
        <v>32</v>
      </c>
      <c r="R96" s="18" t="s">
        <v>33</v>
      </c>
      <c r="S96" s="25" t="s">
        <v>1087</v>
      </c>
      <c r="T96" s="27">
        <v>37314</v>
      </c>
      <c r="U96" s="25" t="s">
        <v>1091</v>
      </c>
      <c r="V96" s="25" t="s">
        <v>80</v>
      </c>
      <c r="W96" s="25"/>
    </row>
    <row r="97" spans="1:23" ht="22.5" customHeight="1">
      <c r="A97" s="5">
        <v>46001.294196261573</v>
      </c>
      <c r="B97" s="6" t="s">
        <v>1095</v>
      </c>
      <c r="C97" s="7"/>
      <c r="D97" s="6" t="s">
        <v>24</v>
      </c>
      <c r="E97" s="8">
        <v>34048</v>
      </c>
      <c r="F97" s="6" t="s">
        <v>310</v>
      </c>
      <c r="G97" s="6" t="s">
        <v>1096</v>
      </c>
      <c r="H97" s="6" t="s">
        <v>1097</v>
      </c>
      <c r="I97" s="6" t="str">
        <f>VLOOKUP(CLEAN(F97),'World Bank Categories'!$B$4:$C$220,2,FALSE)</f>
        <v>High income</v>
      </c>
      <c r="J97" s="6" t="s">
        <v>1098</v>
      </c>
      <c r="K97" s="6" t="s">
        <v>29</v>
      </c>
      <c r="L97" s="6" t="s">
        <v>30</v>
      </c>
      <c r="M97" s="7"/>
      <c r="N97" s="6"/>
      <c r="O97" s="6"/>
      <c r="P97" s="6" t="s">
        <v>31</v>
      </c>
      <c r="Q97" s="9" t="s">
        <v>32</v>
      </c>
      <c r="R97" s="18" t="s">
        <v>33</v>
      </c>
      <c r="S97" s="11" t="s">
        <v>1095</v>
      </c>
      <c r="T97" s="12"/>
      <c r="U97" s="12"/>
      <c r="V97" s="12"/>
      <c r="W97" s="12"/>
    </row>
    <row r="98" spans="1:23" ht="22.5" customHeight="1">
      <c r="A98" s="20">
        <v>46001.703275462962</v>
      </c>
      <c r="B98" s="21" t="s">
        <v>1099</v>
      </c>
      <c r="C98" s="21" t="s">
        <v>1100</v>
      </c>
      <c r="D98" s="21" t="s">
        <v>24</v>
      </c>
      <c r="E98" s="22">
        <v>36638</v>
      </c>
      <c r="F98" s="21" t="s">
        <v>70</v>
      </c>
      <c r="G98" s="21" t="s">
        <v>71</v>
      </c>
      <c r="H98" s="21" t="s">
        <v>376</v>
      </c>
      <c r="I98" s="6" t="str">
        <f>VLOOKUP(CLEAN(F98),'World Bank Categories'!$B$4:$C$220,2,FALSE)</f>
        <v>Middle income</v>
      </c>
      <c r="J98" s="21" t="s">
        <v>1101</v>
      </c>
      <c r="K98" s="21" t="s">
        <v>29</v>
      </c>
      <c r="L98" s="21" t="s">
        <v>30</v>
      </c>
      <c r="M98" s="21"/>
      <c r="N98" s="21"/>
      <c r="O98" s="21"/>
      <c r="P98" s="21" t="s">
        <v>31</v>
      </c>
      <c r="Q98" s="9" t="s">
        <v>32</v>
      </c>
      <c r="R98" s="10" t="s">
        <v>33</v>
      </c>
      <c r="S98" s="25" t="s">
        <v>1099</v>
      </c>
      <c r="T98" s="27">
        <v>36638</v>
      </c>
      <c r="U98" s="25" t="s">
        <v>1101</v>
      </c>
      <c r="V98" s="25" t="s">
        <v>80</v>
      </c>
      <c r="W98" s="25"/>
    </row>
    <row r="99" spans="1:23" ht="22.5" customHeight="1">
      <c r="A99" s="20">
        <v>46002.060347222221</v>
      </c>
      <c r="B99" s="21" t="s">
        <v>1106</v>
      </c>
      <c r="C99" s="38"/>
      <c r="D99" s="21" t="s">
        <v>24</v>
      </c>
      <c r="E99" s="22">
        <v>34207</v>
      </c>
      <c r="F99" s="21" t="s">
        <v>1107</v>
      </c>
      <c r="G99" s="21" t="s">
        <v>1108</v>
      </c>
      <c r="H99" s="21" t="s">
        <v>1109</v>
      </c>
      <c r="I99" s="6" t="str">
        <f>VLOOKUP(CLEAN(F99),'World Bank Categories'!$B$4:$C$220,2,FALSE)</f>
        <v>Middle income</v>
      </c>
      <c r="J99" s="21" t="s">
        <v>1110</v>
      </c>
      <c r="K99" s="21" t="s">
        <v>29</v>
      </c>
      <c r="L99" s="21" t="s">
        <v>30</v>
      </c>
      <c r="M99" s="21"/>
      <c r="N99" s="21"/>
      <c r="O99" s="21"/>
      <c r="P99" s="21" t="s">
        <v>31</v>
      </c>
      <c r="Q99" s="9" t="s">
        <v>32</v>
      </c>
      <c r="R99" s="10" t="s">
        <v>33</v>
      </c>
      <c r="S99" s="25" t="s">
        <v>1106</v>
      </c>
      <c r="T99" s="27">
        <v>34207</v>
      </c>
      <c r="U99" s="25" t="s">
        <v>1110</v>
      </c>
      <c r="V99" s="25" t="s">
        <v>80</v>
      </c>
      <c r="W99" s="25"/>
    </row>
    <row r="100" spans="1:23" ht="22.5" customHeight="1">
      <c r="A100" s="20">
        <v>46002.060393518521</v>
      </c>
      <c r="B100" s="21" t="s">
        <v>1111</v>
      </c>
      <c r="C100" s="38"/>
      <c r="D100" s="21" t="s">
        <v>45</v>
      </c>
      <c r="E100" s="22">
        <v>36040</v>
      </c>
      <c r="F100" s="21" t="s">
        <v>1112</v>
      </c>
      <c r="G100" s="21" t="s">
        <v>1113</v>
      </c>
      <c r="H100" s="21" t="s">
        <v>1114</v>
      </c>
      <c r="I100" s="6" t="str">
        <f>VLOOKUP(CLEAN(F100),'World Bank Categories'!$B$4:$C$220,2,FALSE)</f>
        <v>Low income</v>
      </c>
      <c r="J100" s="21" t="s">
        <v>1115</v>
      </c>
      <c r="K100" s="21" t="s">
        <v>29</v>
      </c>
      <c r="L100" s="21" t="s">
        <v>30</v>
      </c>
      <c r="M100" s="21"/>
      <c r="N100" s="21"/>
      <c r="O100" s="21"/>
      <c r="P100" s="21" t="s">
        <v>31</v>
      </c>
      <c r="Q100" s="9" t="s">
        <v>32</v>
      </c>
      <c r="R100" s="18" t="s">
        <v>33</v>
      </c>
      <c r="S100" s="25" t="s">
        <v>1111</v>
      </c>
      <c r="T100" s="27">
        <v>35835</v>
      </c>
      <c r="U100" s="25" t="s">
        <v>1115</v>
      </c>
      <c r="V100" s="25" t="s">
        <v>236</v>
      </c>
      <c r="W100" s="25"/>
    </row>
    <row r="101" spans="1:23" ht="22.5" customHeight="1">
      <c r="A101" s="20">
        <v>46006.693368055552</v>
      </c>
      <c r="B101" s="21" t="s">
        <v>1133</v>
      </c>
      <c r="C101" s="38"/>
      <c r="D101" s="21" t="s">
        <v>45</v>
      </c>
      <c r="E101" s="22">
        <v>25932</v>
      </c>
      <c r="F101" s="21" t="s">
        <v>232</v>
      </c>
      <c r="G101" s="21" t="s">
        <v>1134</v>
      </c>
      <c r="H101" s="21" t="s">
        <v>1135</v>
      </c>
      <c r="I101" s="6" t="str">
        <f>VLOOKUP(CLEAN(F101),'World Bank Categories'!$B$4:$C$220,2,FALSE)</f>
        <v>Middle income</v>
      </c>
      <c r="J101" s="21" t="s">
        <v>1136</v>
      </c>
      <c r="K101" s="21" t="s">
        <v>29</v>
      </c>
      <c r="L101" s="21" t="s">
        <v>30</v>
      </c>
      <c r="M101" s="21"/>
      <c r="N101" s="21"/>
      <c r="O101" s="21"/>
      <c r="P101" s="21" t="s">
        <v>31</v>
      </c>
      <c r="Q101" s="9" t="s">
        <v>32</v>
      </c>
      <c r="R101" s="18" t="s">
        <v>33</v>
      </c>
      <c r="S101" s="25" t="s">
        <v>1137</v>
      </c>
      <c r="T101" s="27">
        <v>25932</v>
      </c>
      <c r="U101" s="25" t="s">
        <v>1136</v>
      </c>
      <c r="V101" s="25" t="s">
        <v>154</v>
      </c>
      <c r="W101" s="25"/>
    </row>
    <row r="102" spans="1:23" ht="22.5" customHeight="1">
      <c r="A102" s="20">
        <v>46007.604178240741</v>
      </c>
      <c r="B102" s="21" t="s">
        <v>1138</v>
      </c>
      <c r="C102" s="38"/>
      <c r="D102" s="21" t="s">
        <v>24</v>
      </c>
      <c r="E102" s="22">
        <v>36554</v>
      </c>
      <c r="F102" s="21" t="s">
        <v>70</v>
      </c>
      <c r="G102" s="21" t="s">
        <v>1139</v>
      </c>
      <c r="H102" s="21" t="s">
        <v>263</v>
      </c>
      <c r="I102" s="6" t="str">
        <f>VLOOKUP(CLEAN(F102),'World Bank Categories'!$B$4:$C$220,2,FALSE)</f>
        <v>Middle income</v>
      </c>
      <c r="J102" s="21" t="s">
        <v>1140</v>
      </c>
      <c r="K102" s="21" t="s">
        <v>29</v>
      </c>
      <c r="L102" s="21" t="s">
        <v>30</v>
      </c>
      <c r="M102" s="21"/>
      <c r="N102" s="21"/>
      <c r="O102" s="21"/>
      <c r="P102" s="21" t="s">
        <v>31</v>
      </c>
      <c r="Q102" s="9" t="s">
        <v>32</v>
      </c>
      <c r="R102" s="10" t="s">
        <v>33</v>
      </c>
      <c r="S102" s="25" t="s">
        <v>1141</v>
      </c>
      <c r="T102" s="27">
        <v>36554</v>
      </c>
      <c r="U102" s="25" t="s">
        <v>1140</v>
      </c>
      <c r="V102" s="25" t="s">
        <v>154</v>
      </c>
      <c r="W102" s="25"/>
    </row>
    <row r="103" spans="1:23" ht="22.5" customHeight="1">
      <c r="A103" s="46">
        <v>46007.891782407409</v>
      </c>
      <c r="B103" s="47" t="s">
        <v>1146</v>
      </c>
      <c r="C103" s="47" t="s">
        <v>1147</v>
      </c>
      <c r="D103" s="47" t="s">
        <v>24</v>
      </c>
      <c r="E103" s="49">
        <v>33954</v>
      </c>
      <c r="F103" s="47" t="s">
        <v>64</v>
      </c>
      <c r="G103" s="47" t="s">
        <v>1148</v>
      </c>
      <c r="H103" s="47" t="s">
        <v>186</v>
      </c>
      <c r="I103" s="6" t="str">
        <f>VLOOKUP(CLEAN(F103),'World Bank Categories'!$B$4:$C$220,2,FALSE)</f>
        <v>Middle income</v>
      </c>
      <c r="J103" s="47" t="s">
        <v>1149</v>
      </c>
      <c r="K103" s="47" t="s">
        <v>29</v>
      </c>
      <c r="L103" s="47" t="s">
        <v>30</v>
      </c>
      <c r="M103" s="47"/>
      <c r="N103" s="47"/>
      <c r="O103" s="47"/>
      <c r="P103" s="47" t="s">
        <v>31</v>
      </c>
      <c r="Q103" s="9" t="s">
        <v>32</v>
      </c>
      <c r="R103" s="10" t="s">
        <v>33</v>
      </c>
      <c r="S103" s="25" t="s">
        <v>1150</v>
      </c>
      <c r="T103" s="27">
        <v>33682</v>
      </c>
      <c r="U103" s="25" t="s">
        <v>1149</v>
      </c>
      <c r="V103" s="25" t="s">
        <v>114</v>
      </c>
      <c r="W103" s="25"/>
    </row>
    <row r="104" spans="1:23" ht="22.5" customHeight="1">
      <c r="A104" s="20">
        <v>46008.216574074075</v>
      </c>
      <c r="B104" s="21" t="s">
        <v>1155</v>
      </c>
      <c r="C104" s="38"/>
      <c r="D104" s="21" t="s">
        <v>45</v>
      </c>
      <c r="E104" s="22">
        <v>36733</v>
      </c>
      <c r="F104" s="21" t="s">
        <v>70</v>
      </c>
      <c r="G104" s="21" t="s">
        <v>1156</v>
      </c>
      <c r="H104" s="21" t="s">
        <v>98</v>
      </c>
      <c r="I104" s="6" t="str">
        <f>VLOOKUP(CLEAN(F104),'World Bank Categories'!$B$4:$C$220,2,FALSE)</f>
        <v>Middle income</v>
      </c>
      <c r="J104" s="21" t="s">
        <v>1157</v>
      </c>
      <c r="K104" s="21" t="s">
        <v>29</v>
      </c>
      <c r="L104" s="21" t="s">
        <v>30</v>
      </c>
      <c r="M104" s="21"/>
      <c r="N104" s="21"/>
      <c r="O104" s="21"/>
      <c r="P104" s="21" t="s">
        <v>31</v>
      </c>
      <c r="Q104" s="9" t="s">
        <v>32</v>
      </c>
      <c r="R104" s="10" t="s">
        <v>33</v>
      </c>
      <c r="S104" s="25" t="s">
        <v>1158</v>
      </c>
      <c r="T104" s="27">
        <v>36733</v>
      </c>
      <c r="U104" s="25" t="s">
        <v>1157</v>
      </c>
      <c r="V104" s="25" t="s">
        <v>1159</v>
      </c>
      <c r="W104" s="25"/>
    </row>
    <row r="105" spans="1:23" ht="22.5" customHeight="1">
      <c r="A105" s="20">
        <v>46009.054027777776</v>
      </c>
      <c r="B105" s="21" t="s">
        <v>1170</v>
      </c>
      <c r="C105" s="38"/>
      <c r="D105" s="21" t="s">
        <v>24</v>
      </c>
      <c r="E105" s="22">
        <v>31289</v>
      </c>
      <c r="F105" s="21" t="s">
        <v>416</v>
      </c>
      <c r="G105" s="21" t="s">
        <v>1171</v>
      </c>
      <c r="H105" s="21" t="s">
        <v>1172</v>
      </c>
      <c r="I105" s="6" t="str">
        <f>VLOOKUP(CLEAN(F105),'World Bank Categories'!$B$4:$C$220,2,FALSE)</f>
        <v>Middle income</v>
      </c>
      <c r="J105" s="21" t="s">
        <v>1173</v>
      </c>
      <c r="K105" s="21" t="s">
        <v>39</v>
      </c>
      <c r="L105" s="21" t="s">
        <v>152</v>
      </c>
      <c r="M105" s="21"/>
      <c r="N105" s="21"/>
      <c r="O105" s="21"/>
      <c r="P105" s="21" t="s">
        <v>31</v>
      </c>
      <c r="Q105" s="9" t="s">
        <v>32</v>
      </c>
      <c r="R105" s="18" t="s">
        <v>33</v>
      </c>
      <c r="S105" s="25" t="s">
        <v>1170</v>
      </c>
      <c r="T105" s="27">
        <v>31289</v>
      </c>
      <c r="U105" s="25" t="s">
        <v>1173</v>
      </c>
      <c r="V105" s="25" t="s">
        <v>80</v>
      </c>
      <c r="W105" s="25"/>
    </row>
    <row r="106" spans="1:23" ht="22.5" customHeight="1">
      <c r="A106" s="20">
        <v>46009.056770833333</v>
      </c>
      <c r="B106" s="21" t="s">
        <v>1174</v>
      </c>
      <c r="C106" s="38"/>
      <c r="D106" s="21" t="s">
        <v>24</v>
      </c>
      <c r="E106" s="22">
        <v>32539</v>
      </c>
      <c r="F106" s="21" t="s">
        <v>416</v>
      </c>
      <c r="G106" s="21" t="s">
        <v>1175</v>
      </c>
      <c r="H106" s="21" t="s">
        <v>1176</v>
      </c>
      <c r="I106" s="6" t="str">
        <f>VLOOKUP(CLEAN(F106),'World Bank Categories'!$B$4:$C$220,2,FALSE)</f>
        <v>Middle income</v>
      </c>
      <c r="J106" s="21" t="s">
        <v>1177</v>
      </c>
      <c r="K106" s="21" t="s">
        <v>39</v>
      </c>
      <c r="L106" s="21" t="s">
        <v>152</v>
      </c>
      <c r="M106" s="21"/>
      <c r="N106" s="21"/>
      <c r="O106" s="21"/>
      <c r="P106" s="21" t="s">
        <v>31</v>
      </c>
      <c r="Q106" s="9" t="s">
        <v>32</v>
      </c>
      <c r="R106" s="10" t="s">
        <v>33</v>
      </c>
      <c r="S106" s="25" t="s">
        <v>1174</v>
      </c>
      <c r="T106" s="27">
        <v>32539</v>
      </c>
      <c r="U106" s="25" t="s">
        <v>1177</v>
      </c>
      <c r="V106" s="25" t="s">
        <v>80</v>
      </c>
      <c r="W106" s="25"/>
    </row>
    <row r="107" spans="1:23" ht="22.5" customHeight="1">
      <c r="A107" s="20">
        <v>46009.236643518518</v>
      </c>
      <c r="B107" s="21" t="s">
        <v>1178</v>
      </c>
      <c r="C107" s="38"/>
      <c r="D107" s="21" t="s">
        <v>24</v>
      </c>
      <c r="E107" s="22">
        <v>36568</v>
      </c>
      <c r="F107" s="21" t="s">
        <v>1179</v>
      </c>
      <c r="G107" s="21" t="s">
        <v>1180</v>
      </c>
      <c r="H107" s="21" t="s">
        <v>1181</v>
      </c>
      <c r="I107" s="6" t="str">
        <f>VLOOKUP(CLEAN(F107),'World Bank Categories'!$B$4:$C$220,2,FALSE)</f>
        <v>High income</v>
      </c>
      <c r="J107" s="21" t="s">
        <v>1182</v>
      </c>
      <c r="K107" s="21" t="s">
        <v>29</v>
      </c>
      <c r="L107" s="21" t="s">
        <v>30</v>
      </c>
      <c r="M107" s="21"/>
      <c r="N107" s="21"/>
      <c r="O107" s="21"/>
      <c r="P107" s="21" t="s">
        <v>31</v>
      </c>
      <c r="Q107" s="9" t="s">
        <v>32</v>
      </c>
      <c r="R107" s="18" t="s">
        <v>1183</v>
      </c>
      <c r="S107" s="25" t="s">
        <v>1178</v>
      </c>
      <c r="T107" s="27">
        <v>36568</v>
      </c>
      <c r="U107" s="25" t="s">
        <v>1182</v>
      </c>
      <c r="V107" s="25" t="s">
        <v>80</v>
      </c>
      <c r="W107" s="25"/>
    </row>
    <row r="108" spans="1:23" ht="22.5" customHeight="1">
      <c r="A108" s="20">
        <v>46009.3828587963</v>
      </c>
      <c r="B108" s="21" t="s">
        <v>1187</v>
      </c>
      <c r="C108" s="38"/>
      <c r="D108" s="21" t="s">
        <v>45</v>
      </c>
      <c r="E108" s="22">
        <v>37319</v>
      </c>
      <c r="F108" s="21" t="s">
        <v>1188</v>
      </c>
      <c r="G108" s="21" t="s">
        <v>1189</v>
      </c>
      <c r="H108" s="21" t="s">
        <v>138</v>
      </c>
      <c r="I108" s="6" t="str">
        <f>VLOOKUP(CLEAN(F108),'World Bank Categories'!$B$4:$C$220,2,FALSE)</f>
        <v>High income</v>
      </c>
      <c r="J108" s="21" t="s">
        <v>1190</v>
      </c>
      <c r="K108" s="21" t="s">
        <v>29</v>
      </c>
      <c r="L108" s="21" t="s">
        <v>30</v>
      </c>
      <c r="M108" s="21"/>
      <c r="N108" s="21"/>
      <c r="O108" s="21"/>
      <c r="P108" s="21" t="s">
        <v>31</v>
      </c>
      <c r="Q108" s="9" t="s">
        <v>32</v>
      </c>
      <c r="R108" s="18" t="s">
        <v>43</v>
      </c>
      <c r="S108" s="25" t="s">
        <v>1191</v>
      </c>
      <c r="T108" s="27">
        <v>37319</v>
      </c>
      <c r="U108" s="25" t="s">
        <v>1190</v>
      </c>
      <c r="V108" s="25" t="s">
        <v>1192</v>
      </c>
      <c r="W108" s="25"/>
    </row>
    <row r="109" spans="1:23" ht="22.5" customHeight="1">
      <c r="A109" s="20">
        <v>46009.764351851853</v>
      </c>
      <c r="B109" s="21" t="s">
        <v>1193</v>
      </c>
      <c r="C109" s="38"/>
      <c r="D109" s="21" t="s">
        <v>45</v>
      </c>
      <c r="E109" s="22">
        <v>21647</v>
      </c>
      <c r="F109" s="21" t="s">
        <v>1194</v>
      </c>
      <c r="G109" s="21" t="s">
        <v>1195</v>
      </c>
      <c r="H109" s="21" t="s">
        <v>186</v>
      </c>
      <c r="I109" s="6" t="str">
        <f>VLOOKUP(CLEAN(F109),'World Bank Categories'!$B$4:$C$220,2,FALSE)</f>
        <v>Middle income</v>
      </c>
      <c r="J109" s="21" t="s">
        <v>1196</v>
      </c>
      <c r="K109" s="21" t="s">
        <v>29</v>
      </c>
      <c r="L109" s="21" t="s">
        <v>30</v>
      </c>
      <c r="M109" s="21"/>
      <c r="N109" s="21"/>
      <c r="O109" s="21"/>
      <c r="P109" s="21" t="s">
        <v>31</v>
      </c>
      <c r="Q109" s="9" t="s">
        <v>32</v>
      </c>
      <c r="R109" s="10" t="s">
        <v>33</v>
      </c>
      <c r="S109" s="25" t="s">
        <v>1197</v>
      </c>
      <c r="T109" s="27">
        <v>21647</v>
      </c>
      <c r="U109" s="25" t="s">
        <v>1196</v>
      </c>
      <c r="V109" s="25" t="s">
        <v>80</v>
      </c>
      <c r="W109" s="25"/>
    </row>
    <row r="110" spans="1:23" ht="22.5" customHeight="1">
      <c r="A110" s="20">
        <v>46009.945509259262</v>
      </c>
      <c r="B110" s="21" t="s">
        <v>1198</v>
      </c>
      <c r="C110" s="38"/>
      <c r="D110" s="21" t="s">
        <v>24</v>
      </c>
      <c r="E110" s="22">
        <v>30376</v>
      </c>
      <c r="F110" s="21" t="s">
        <v>799</v>
      </c>
      <c r="G110" s="21" t="s">
        <v>1199</v>
      </c>
      <c r="H110" s="21" t="s">
        <v>795</v>
      </c>
      <c r="I110" s="6" t="str">
        <f>VLOOKUP(CLEAN(F110),'World Bank Categories'!$B$4:$C$220,2,FALSE)</f>
        <v>Low income</v>
      </c>
      <c r="J110" s="21" t="s">
        <v>1200</v>
      </c>
      <c r="K110" s="21" t="s">
        <v>29</v>
      </c>
      <c r="L110" s="21" t="s">
        <v>30</v>
      </c>
      <c r="M110" s="21"/>
      <c r="N110" s="21"/>
      <c r="O110" s="21"/>
      <c r="P110" s="21" t="s">
        <v>31</v>
      </c>
      <c r="Q110" s="9" t="s">
        <v>32</v>
      </c>
      <c r="R110" s="10" t="s">
        <v>33</v>
      </c>
      <c r="S110" s="25" t="s">
        <v>1198</v>
      </c>
      <c r="T110" s="27">
        <v>30376</v>
      </c>
      <c r="U110" s="25" t="s">
        <v>1200</v>
      </c>
      <c r="V110" s="25" t="s">
        <v>80</v>
      </c>
      <c r="W110" s="25"/>
    </row>
    <row r="111" spans="1:23" ht="22.5" customHeight="1">
      <c r="A111" s="20">
        <v>46011.587581018517</v>
      </c>
      <c r="B111" s="21" t="s">
        <v>1227</v>
      </c>
      <c r="C111" s="38"/>
      <c r="D111" s="21" t="s">
        <v>24</v>
      </c>
      <c r="E111" s="22">
        <v>31038</v>
      </c>
      <c r="F111" s="21" t="s">
        <v>52</v>
      </c>
      <c r="G111" s="21" t="s">
        <v>1228</v>
      </c>
      <c r="H111" s="21" t="s">
        <v>1229</v>
      </c>
      <c r="I111" s="6" t="str">
        <f>VLOOKUP(CLEAN(F111),'World Bank Categories'!$B$4:$C$220,2,FALSE)</f>
        <v>Middle income</v>
      </c>
      <c r="J111" s="21" t="s">
        <v>1230</v>
      </c>
      <c r="K111" s="21" t="s">
        <v>29</v>
      </c>
      <c r="L111" s="21" t="s">
        <v>30</v>
      </c>
      <c r="M111" s="21"/>
      <c r="N111" s="21"/>
      <c r="O111" s="21"/>
      <c r="P111" s="21" t="s">
        <v>31</v>
      </c>
      <c r="Q111" s="9" t="s">
        <v>32</v>
      </c>
      <c r="R111" s="10" t="s">
        <v>33</v>
      </c>
      <c r="S111" s="25" t="s">
        <v>1231</v>
      </c>
      <c r="T111" s="27">
        <v>31038</v>
      </c>
      <c r="U111" s="25" t="s">
        <v>1230</v>
      </c>
      <c r="V111" s="25" t="s">
        <v>154</v>
      </c>
      <c r="W111" s="25"/>
    </row>
    <row r="112" spans="1:23" ht="22.5" customHeight="1">
      <c r="A112" s="20">
        <v>46012.938622685186</v>
      </c>
      <c r="B112" s="21" t="s">
        <v>1271</v>
      </c>
      <c r="C112" s="38"/>
      <c r="D112" s="21" t="s">
        <v>45</v>
      </c>
      <c r="E112" s="22">
        <v>33105</v>
      </c>
      <c r="F112" s="21" t="s">
        <v>1272</v>
      </c>
      <c r="G112" s="21" t="s">
        <v>1273</v>
      </c>
      <c r="H112" s="21" t="s">
        <v>1274</v>
      </c>
      <c r="I112" s="6" t="str">
        <f>VLOOKUP(CLEAN(F112),'World Bank Categories'!$B$4:$C$220,2,FALSE)</f>
        <v>Low income</v>
      </c>
      <c r="J112" s="21" t="s">
        <v>1275</v>
      </c>
      <c r="K112" s="21" t="s">
        <v>29</v>
      </c>
      <c r="L112" s="21" t="s">
        <v>30</v>
      </c>
      <c r="M112" s="21"/>
      <c r="N112" s="21"/>
      <c r="O112" s="21"/>
      <c r="P112" s="21" t="s">
        <v>31</v>
      </c>
      <c r="Q112" s="9" t="s">
        <v>32</v>
      </c>
      <c r="R112" s="10" t="s">
        <v>33</v>
      </c>
      <c r="S112" s="25" t="s">
        <v>1271</v>
      </c>
      <c r="T112" s="27">
        <v>33105</v>
      </c>
      <c r="U112" s="25" t="s">
        <v>1275</v>
      </c>
      <c r="V112" s="25" t="s">
        <v>80</v>
      </c>
      <c r="W112" s="25"/>
    </row>
    <row r="113" spans="1:23" ht="22.5" customHeight="1">
      <c r="A113" s="20">
        <v>46014.312222222223</v>
      </c>
      <c r="B113" s="21" t="s">
        <v>1292</v>
      </c>
      <c r="C113" s="21" t="s">
        <v>1293</v>
      </c>
      <c r="D113" s="21" t="s">
        <v>45</v>
      </c>
      <c r="E113" s="22">
        <v>38455</v>
      </c>
      <c r="F113" s="21" t="s">
        <v>83</v>
      </c>
      <c r="G113" s="21" t="s">
        <v>123</v>
      </c>
      <c r="H113" s="21" t="s">
        <v>66</v>
      </c>
      <c r="I113" s="6" t="str">
        <f>VLOOKUP(CLEAN(F113),'World Bank Categories'!$B$4:$C$220,2,FALSE)</f>
        <v>Low income</v>
      </c>
      <c r="J113" s="21" t="s">
        <v>1294</v>
      </c>
      <c r="K113" s="21" t="s">
        <v>29</v>
      </c>
      <c r="L113" s="21" t="s">
        <v>30</v>
      </c>
      <c r="M113" s="21"/>
      <c r="N113" s="21"/>
      <c r="O113" s="21"/>
      <c r="P113" s="21" t="s">
        <v>31</v>
      </c>
      <c r="Q113" s="9" t="s">
        <v>32</v>
      </c>
      <c r="R113" s="18" t="s">
        <v>33</v>
      </c>
      <c r="S113" s="25" t="s">
        <v>1295</v>
      </c>
      <c r="T113" s="27">
        <v>38455</v>
      </c>
      <c r="U113" s="25" t="s">
        <v>1294</v>
      </c>
      <c r="V113" s="25" t="s">
        <v>154</v>
      </c>
      <c r="W113" s="25"/>
    </row>
    <row r="114" spans="1:23" ht="22.5" customHeight="1">
      <c r="A114" s="20">
        <v>46014.57917824074</v>
      </c>
      <c r="B114" s="21" t="s">
        <v>1300</v>
      </c>
      <c r="C114" s="38"/>
      <c r="D114" s="21" t="s">
        <v>24</v>
      </c>
      <c r="E114" s="22">
        <v>34091</v>
      </c>
      <c r="F114" s="21" t="s">
        <v>1301</v>
      </c>
      <c r="G114" s="21" t="s">
        <v>1302</v>
      </c>
      <c r="H114" s="21" t="s">
        <v>1303</v>
      </c>
      <c r="I114" s="6" t="str">
        <f>VLOOKUP(CLEAN(F114),'World Bank Categories'!$B$4:$C$220,2,FALSE)</f>
        <v>Middle income</v>
      </c>
      <c r="J114" s="21" t="s">
        <v>1304</v>
      </c>
      <c r="K114" s="21" t="s">
        <v>39</v>
      </c>
      <c r="L114" s="21" t="s">
        <v>30</v>
      </c>
      <c r="M114" s="21"/>
      <c r="N114" s="21"/>
      <c r="O114" s="21"/>
      <c r="P114" s="21" t="s">
        <v>31</v>
      </c>
      <c r="Q114" s="9" t="s">
        <v>32</v>
      </c>
      <c r="R114" s="10" t="s">
        <v>33</v>
      </c>
      <c r="S114" s="25" t="s">
        <v>1300</v>
      </c>
      <c r="T114" s="27">
        <v>34091</v>
      </c>
      <c r="U114" s="25" t="s">
        <v>1304</v>
      </c>
      <c r="V114" s="25" t="s">
        <v>80</v>
      </c>
      <c r="W114" s="25"/>
    </row>
    <row r="115" spans="1:23" ht="22.5" customHeight="1">
      <c r="A115" s="20">
        <v>46014.877974537034</v>
      </c>
      <c r="B115" s="21" t="s">
        <v>1315</v>
      </c>
      <c r="C115" s="38"/>
      <c r="D115" s="21" t="s">
        <v>24</v>
      </c>
      <c r="E115" s="22">
        <v>22759</v>
      </c>
      <c r="F115" s="21" t="s">
        <v>1316</v>
      </c>
      <c r="G115" s="21" t="s">
        <v>1317</v>
      </c>
      <c r="H115" s="21" t="s">
        <v>1318</v>
      </c>
      <c r="I115" s="6" t="str">
        <f>VLOOKUP(CLEAN(F115),'World Bank Categories'!$B$4:$C$220,2,FALSE)</f>
        <v>Low income</v>
      </c>
      <c r="J115" s="21" t="s">
        <v>1319</v>
      </c>
      <c r="K115" s="21" t="s">
        <v>39</v>
      </c>
      <c r="L115" s="21" t="s">
        <v>30</v>
      </c>
      <c r="M115" s="41"/>
      <c r="N115" s="21"/>
      <c r="O115" s="21"/>
      <c r="P115" s="21" t="s">
        <v>31</v>
      </c>
      <c r="Q115" s="9" t="s">
        <v>32</v>
      </c>
      <c r="R115" s="18" t="s">
        <v>33</v>
      </c>
      <c r="S115" s="25" t="s">
        <v>1320</v>
      </c>
      <c r="T115" s="27">
        <v>22759</v>
      </c>
      <c r="U115" s="25" t="s">
        <v>1319</v>
      </c>
      <c r="V115" s="25" t="s">
        <v>80</v>
      </c>
      <c r="W115" s="25"/>
    </row>
    <row r="116" spans="1:23" ht="22.5" customHeight="1">
      <c r="A116" s="20">
        <v>46015.102384259262</v>
      </c>
      <c r="B116" s="21" t="s">
        <v>1331</v>
      </c>
      <c r="C116" s="38"/>
      <c r="D116" s="21" t="s">
        <v>24</v>
      </c>
      <c r="E116" s="22">
        <v>35053</v>
      </c>
      <c r="F116" s="21" t="s">
        <v>52</v>
      </c>
      <c r="G116" s="21" t="s">
        <v>1332</v>
      </c>
      <c r="H116" s="21" t="s">
        <v>156</v>
      </c>
      <c r="I116" s="6" t="str">
        <f>VLOOKUP(CLEAN(F116),'World Bank Categories'!$B$4:$C$220,2,FALSE)</f>
        <v>Middle income</v>
      </c>
      <c r="J116" s="21" t="s">
        <v>1333</v>
      </c>
      <c r="K116" s="21" t="s">
        <v>29</v>
      </c>
      <c r="L116" s="21" t="s">
        <v>30</v>
      </c>
      <c r="M116" s="21"/>
      <c r="N116" s="21"/>
      <c r="O116" s="21"/>
      <c r="P116" s="21" t="s">
        <v>31</v>
      </c>
      <c r="Q116" s="9" t="s">
        <v>32</v>
      </c>
      <c r="R116" s="10" t="s">
        <v>43</v>
      </c>
      <c r="S116" s="25" t="s">
        <v>1331</v>
      </c>
      <c r="T116" s="27">
        <v>35053</v>
      </c>
      <c r="U116" s="25" t="s">
        <v>1333</v>
      </c>
      <c r="V116" s="25" t="s">
        <v>80</v>
      </c>
      <c r="W116" s="25"/>
    </row>
    <row r="117" spans="1:23" ht="22.5" customHeight="1">
      <c r="A117" s="20">
        <v>46015.335729166669</v>
      </c>
      <c r="B117" s="21" t="s">
        <v>1334</v>
      </c>
      <c r="C117" s="38"/>
      <c r="D117" s="21" t="s">
        <v>45</v>
      </c>
      <c r="E117" s="22">
        <v>37530</v>
      </c>
      <c r="F117" s="21" t="s">
        <v>1335</v>
      </c>
      <c r="G117" s="21" t="s">
        <v>1336</v>
      </c>
      <c r="H117" s="21" t="s">
        <v>66</v>
      </c>
      <c r="I117" s="6" t="str">
        <f>VLOOKUP(CLEAN(F117),'World Bank Categories'!$B$4:$C$220,2,FALSE)</f>
        <v>High income</v>
      </c>
      <c r="J117" s="21" t="s">
        <v>1337</v>
      </c>
      <c r="K117" s="21" t="s">
        <v>29</v>
      </c>
      <c r="L117" s="21" t="s">
        <v>30</v>
      </c>
      <c r="M117" s="21"/>
      <c r="N117" s="21"/>
      <c r="O117" s="21"/>
      <c r="P117" s="21" t="s">
        <v>31</v>
      </c>
      <c r="Q117" s="9" t="s">
        <v>32</v>
      </c>
      <c r="R117" s="18" t="s">
        <v>33</v>
      </c>
      <c r="S117" s="25" t="s">
        <v>1334</v>
      </c>
      <c r="T117" s="27">
        <v>37530</v>
      </c>
      <c r="U117" s="25" t="s">
        <v>1337</v>
      </c>
      <c r="V117" s="25" t="s">
        <v>80</v>
      </c>
      <c r="W117" s="25"/>
    </row>
    <row r="118" spans="1:23" ht="22.5" customHeight="1">
      <c r="A118" s="20">
        <v>46015.772731481484</v>
      </c>
      <c r="B118" s="21" t="s">
        <v>1341</v>
      </c>
      <c r="C118" s="38"/>
      <c r="D118" s="21" t="s">
        <v>24</v>
      </c>
      <c r="E118" s="22">
        <v>35790</v>
      </c>
      <c r="F118" s="21" t="s">
        <v>52</v>
      </c>
      <c r="G118" s="21" t="s">
        <v>1342</v>
      </c>
      <c r="H118" s="21" t="s">
        <v>1343</v>
      </c>
      <c r="I118" s="6" t="str">
        <f>VLOOKUP(CLEAN(F118),'World Bank Categories'!$B$4:$C$220,2,FALSE)</f>
        <v>Middle income</v>
      </c>
      <c r="J118" s="21" t="s">
        <v>1344</v>
      </c>
      <c r="K118" s="21" t="s">
        <v>39</v>
      </c>
      <c r="L118" s="32">
        <v>46202</v>
      </c>
      <c r="M118" s="21"/>
      <c r="N118" s="21"/>
      <c r="O118" s="21"/>
      <c r="P118" s="21" t="s">
        <v>31</v>
      </c>
      <c r="Q118" s="9" t="s">
        <v>32</v>
      </c>
      <c r="R118" s="18" t="s">
        <v>33</v>
      </c>
      <c r="S118" s="25" t="s">
        <v>1341</v>
      </c>
      <c r="T118" s="27">
        <v>35790</v>
      </c>
      <c r="U118" s="25" t="s">
        <v>1344</v>
      </c>
      <c r="V118" s="25" t="s">
        <v>80</v>
      </c>
      <c r="W118" s="25"/>
    </row>
    <row r="119" spans="1:23" ht="22.5" customHeight="1">
      <c r="A119" s="20">
        <v>46015.906504629631</v>
      </c>
      <c r="B119" s="21" t="s">
        <v>1345</v>
      </c>
      <c r="C119" s="38"/>
      <c r="D119" s="21" t="s">
        <v>24</v>
      </c>
      <c r="E119" s="22">
        <v>34001</v>
      </c>
      <c r="F119" s="21" t="s">
        <v>198</v>
      </c>
      <c r="G119" s="21" t="s">
        <v>1346</v>
      </c>
      <c r="H119" s="21" t="s">
        <v>1347</v>
      </c>
      <c r="I119" s="6" t="str">
        <f>VLOOKUP(CLEAN(F119),'World Bank Categories'!$B$4:$C$220,2,FALSE)</f>
        <v>Middle income</v>
      </c>
      <c r="J119" s="21" t="s">
        <v>1348</v>
      </c>
      <c r="K119" s="21" t="s">
        <v>29</v>
      </c>
      <c r="L119" s="21" t="s">
        <v>30</v>
      </c>
      <c r="M119" s="21"/>
      <c r="N119" s="21"/>
      <c r="O119" s="21"/>
      <c r="P119" s="21" t="s">
        <v>31</v>
      </c>
      <c r="Q119" s="9" t="s">
        <v>32</v>
      </c>
      <c r="R119" s="10" t="s">
        <v>33</v>
      </c>
      <c r="S119" s="25" t="s">
        <v>1345</v>
      </c>
      <c r="T119" s="27">
        <v>34001</v>
      </c>
      <c r="U119" s="25" t="s">
        <v>1348</v>
      </c>
      <c r="V119" s="25" t="s">
        <v>80</v>
      </c>
      <c r="W119" s="25"/>
    </row>
    <row r="120" spans="1:23" ht="22.5" customHeight="1">
      <c r="A120" s="20">
        <v>46017.499490740738</v>
      </c>
      <c r="B120" s="21" t="s">
        <v>1356</v>
      </c>
      <c r="C120" s="38"/>
      <c r="D120" s="21" t="s">
        <v>24</v>
      </c>
      <c r="E120" s="22">
        <v>37458</v>
      </c>
      <c r="F120" s="21" t="s">
        <v>1357</v>
      </c>
      <c r="G120" s="21" t="s">
        <v>394</v>
      </c>
      <c r="H120" s="21" t="s">
        <v>1358</v>
      </c>
      <c r="I120" s="6" t="str">
        <f>VLOOKUP(CLEAN(F120),'World Bank Categories'!$B$4:$C$220,2,FALSE)</f>
        <v>High income</v>
      </c>
      <c r="J120" s="21" t="s">
        <v>1359</v>
      </c>
      <c r="K120" s="21" t="s">
        <v>29</v>
      </c>
      <c r="L120" s="21" t="s">
        <v>30</v>
      </c>
      <c r="M120" s="21"/>
      <c r="N120" s="21"/>
      <c r="O120" s="21"/>
      <c r="P120" s="21" t="s">
        <v>31</v>
      </c>
      <c r="Q120" s="9" t="s">
        <v>32</v>
      </c>
      <c r="R120" s="10" t="s">
        <v>43</v>
      </c>
      <c r="S120" s="25" t="s">
        <v>1360</v>
      </c>
      <c r="T120" s="27">
        <v>37458</v>
      </c>
      <c r="U120" s="25" t="s">
        <v>1359</v>
      </c>
      <c r="V120" s="25" t="s">
        <v>463</v>
      </c>
      <c r="W120" s="25"/>
    </row>
    <row r="121" spans="1:23" ht="22.5" customHeight="1">
      <c r="A121" s="20">
        <v>46017.943622685183</v>
      </c>
      <c r="B121" s="21" t="s">
        <v>1367</v>
      </c>
      <c r="C121" s="38"/>
      <c r="D121" s="21" t="s">
        <v>24</v>
      </c>
      <c r="E121" s="22">
        <v>36742</v>
      </c>
      <c r="F121" s="21" t="s">
        <v>980</v>
      </c>
      <c r="G121" s="21" t="s">
        <v>1020</v>
      </c>
      <c r="H121" s="21" t="s">
        <v>368</v>
      </c>
      <c r="I121" s="6" t="str">
        <f>VLOOKUP(CLEAN(F121),'World Bank Categories'!$B$4:$C$220,2,FALSE)</f>
        <v>Middle income</v>
      </c>
      <c r="J121" s="21" t="s">
        <v>1368</v>
      </c>
      <c r="K121" s="21" t="s">
        <v>39</v>
      </c>
      <c r="L121" s="21" t="s">
        <v>152</v>
      </c>
      <c r="M121" s="21"/>
      <c r="N121" s="21"/>
      <c r="O121" s="21"/>
      <c r="P121" s="21" t="s">
        <v>31</v>
      </c>
      <c r="Q121" s="9" t="s">
        <v>32</v>
      </c>
      <c r="R121" s="18" t="s">
        <v>33</v>
      </c>
      <c r="S121" s="25" t="s">
        <v>1367</v>
      </c>
      <c r="T121" s="27">
        <v>36742</v>
      </c>
      <c r="U121" s="25" t="s">
        <v>1368</v>
      </c>
      <c r="V121" s="25" t="s">
        <v>80</v>
      </c>
      <c r="W121" s="25"/>
    </row>
    <row r="122" spans="1:23" ht="22.5" customHeight="1">
      <c r="A122" s="13">
        <v>46018.179594212968</v>
      </c>
      <c r="B122" s="14" t="s">
        <v>1371</v>
      </c>
      <c r="C122" s="15"/>
      <c r="D122" s="14" t="s">
        <v>24</v>
      </c>
      <c r="E122" s="16">
        <v>37865</v>
      </c>
      <c r="F122" s="14" t="s">
        <v>1357</v>
      </c>
      <c r="G122" s="14" t="s">
        <v>394</v>
      </c>
      <c r="H122" s="14" t="s">
        <v>138</v>
      </c>
      <c r="I122" s="6" t="str">
        <f>VLOOKUP(CLEAN(F122),'World Bank Categories'!$B$4:$C$220,2,FALSE)</f>
        <v>High income</v>
      </c>
      <c r="J122" s="14" t="s">
        <v>1372</v>
      </c>
      <c r="K122" s="14" t="s">
        <v>29</v>
      </c>
      <c r="L122" s="14" t="s">
        <v>30</v>
      </c>
      <c r="M122" s="15"/>
      <c r="N122" s="14"/>
      <c r="O122" s="14"/>
      <c r="P122" s="14" t="s">
        <v>31</v>
      </c>
      <c r="Q122" s="9" t="s">
        <v>32</v>
      </c>
      <c r="R122" s="10" t="s">
        <v>43</v>
      </c>
      <c r="S122" s="19" t="s">
        <v>1373</v>
      </c>
      <c r="T122" s="12"/>
      <c r="U122" s="12"/>
      <c r="V122" s="12"/>
      <c r="W122" s="12"/>
    </row>
    <row r="123" spans="1:23" ht="22.5" customHeight="1">
      <c r="A123" s="20">
        <v>46018.255462962959</v>
      </c>
      <c r="B123" s="21" t="s">
        <v>1374</v>
      </c>
      <c r="C123" s="38"/>
      <c r="D123" s="21" t="s">
        <v>24</v>
      </c>
      <c r="E123" s="22">
        <v>37761</v>
      </c>
      <c r="F123" s="21" t="s">
        <v>64</v>
      </c>
      <c r="G123" s="21" t="s">
        <v>1375</v>
      </c>
      <c r="H123" s="21" t="s">
        <v>461</v>
      </c>
      <c r="I123" s="6" t="str">
        <f>VLOOKUP(CLEAN(F123),'World Bank Categories'!$B$4:$C$220,2,FALSE)</f>
        <v>Middle income</v>
      </c>
      <c r="J123" s="21" t="s">
        <v>1376</v>
      </c>
      <c r="K123" s="21" t="s">
        <v>29</v>
      </c>
      <c r="L123" s="21" t="s">
        <v>30</v>
      </c>
      <c r="M123" s="21"/>
      <c r="N123" s="21"/>
      <c r="O123" s="21"/>
      <c r="P123" s="21" t="s">
        <v>31</v>
      </c>
      <c r="Q123" s="9" t="s">
        <v>32</v>
      </c>
      <c r="R123" s="18" t="s">
        <v>33</v>
      </c>
      <c r="S123" s="25" t="s">
        <v>1374</v>
      </c>
      <c r="T123" s="27">
        <v>37761</v>
      </c>
      <c r="U123" s="25" t="s">
        <v>1376</v>
      </c>
      <c r="V123" s="25" t="s">
        <v>80</v>
      </c>
      <c r="W123" s="25"/>
    </row>
    <row r="124" spans="1:23" ht="22.5" customHeight="1">
      <c r="A124" s="20">
        <v>46019.448113425926</v>
      </c>
      <c r="B124" s="21" t="s">
        <v>1386</v>
      </c>
      <c r="C124" s="38"/>
      <c r="D124" s="21" t="s">
        <v>24</v>
      </c>
      <c r="E124" s="22">
        <v>30435</v>
      </c>
      <c r="F124" s="21" t="s">
        <v>1387</v>
      </c>
      <c r="G124" s="21" t="s">
        <v>209</v>
      </c>
      <c r="H124" s="21" t="s">
        <v>1388</v>
      </c>
      <c r="I124" s="6" t="str">
        <f>VLOOKUP(CLEAN(F124),'World Bank Categories'!$B$4:$C$220,2,FALSE)</f>
        <v>Middle income</v>
      </c>
      <c r="J124" s="21" t="s">
        <v>1389</v>
      </c>
      <c r="K124" s="21" t="s">
        <v>39</v>
      </c>
      <c r="L124" s="21" t="s">
        <v>30</v>
      </c>
      <c r="M124" s="21"/>
      <c r="N124" s="21"/>
      <c r="O124" s="21"/>
      <c r="P124" s="21" t="s">
        <v>31</v>
      </c>
      <c r="Q124" s="9" t="s">
        <v>32</v>
      </c>
      <c r="R124" s="10" t="s">
        <v>33</v>
      </c>
      <c r="S124" s="25" t="s">
        <v>1386</v>
      </c>
      <c r="T124" s="27">
        <v>30435</v>
      </c>
      <c r="U124" s="25" t="s">
        <v>1389</v>
      </c>
      <c r="V124" s="25" t="s">
        <v>80</v>
      </c>
      <c r="W124" s="25"/>
    </row>
    <row r="125" spans="1:23" ht="22.5" customHeight="1">
      <c r="A125" s="20">
        <v>46019.814305555556</v>
      </c>
      <c r="B125" s="21" t="s">
        <v>1393</v>
      </c>
      <c r="C125" s="38"/>
      <c r="D125" s="21" t="s">
        <v>24</v>
      </c>
      <c r="E125" s="22">
        <v>35223</v>
      </c>
      <c r="F125" s="21" t="s">
        <v>52</v>
      </c>
      <c r="G125" s="21" t="s">
        <v>1394</v>
      </c>
      <c r="H125" s="21" t="s">
        <v>530</v>
      </c>
      <c r="I125" s="6" t="str">
        <f>VLOOKUP(CLEAN(F125),'World Bank Categories'!$B$4:$C$220,2,FALSE)</f>
        <v>Middle income</v>
      </c>
      <c r="J125" s="21" t="s">
        <v>1395</v>
      </c>
      <c r="K125" s="21" t="s">
        <v>29</v>
      </c>
      <c r="L125" s="21" t="s">
        <v>30</v>
      </c>
      <c r="M125" s="21"/>
      <c r="N125" s="21"/>
      <c r="O125" s="21"/>
      <c r="P125" s="21" t="s">
        <v>31</v>
      </c>
      <c r="Q125" s="9" t="s">
        <v>32</v>
      </c>
      <c r="R125" s="10" t="s">
        <v>43</v>
      </c>
      <c r="S125" s="25" t="s">
        <v>1396</v>
      </c>
      <c r="T125" s="27">
        <v>35223</v>
      </c>
      <c r="U125" s="25" t="s">
        <v>1395</v>
      </c>
      <c r="V125" s="25" t="s">
        <v>154</v>
      </c>
      <c r="W125" s="25"/>
    </row>
    <row r="126" spans="1:23" ht="22.5" customHeight="1">
      <c r="A126" s="20">
        <v>46020.02071759259</v>
      </c>
      <c r="B126" s="21" t="s">
        <v>1402</v>
      </c>
      <c r="C126" s="38"/>
      <c r="D126" s="21" t="s">
        <v>24</v>
      </c>
      <c r="E126" s="22">
        <v>37597</v>
      </c>
      <c r="F126" s="21" t="s">
        <v>1335</v>
      </c>
      <c r="G126" s="21" t="s">
        <v>1403</v>
      </c>
      <c r="H126" s="21" t="s">
        <v>160</v>
      </c>
      <c r="I126" s="6" t="str">
        <f>VLOOKUP(CLEAN(F126),'World Bank Categories'!$B$4:$C$220,2,FALSE)</f>
        <v>High income</v>
      </c>
      <c r="J126" s="21" t="s">
        <v>1404</v>
      </c>
      <c r="K126" s="21" t="s">
        <v>29</v>
      </c>
      <c r="L126" s="32">
        <v>46202</v>
      </c>
      <c r="M126" s="21"/>
      <c r="N126" s="21"/>
      <c r="O126" s="21"/>
      <c r="P126" s="21" t="s">
        <v>31</v>
      </c>
      <c r="Q126" s="9" t="s">
        <v>32</v>
      </c>
      <c r="R126" s="10" t="s">
        <v>33</v>
      </c>
      <c r="S126" s="25" t="s">
        <v>1402</v>
      </c>
      <c r="T126" s="27">
        <v>37597</v>
      </c>
      <c r="U126" s="25" t="s">
        <v>1404</v>
      </c>
      <c r="V126" s="25" t="s">
        <v>80</v>
      </c>
      <c r="W126" s="25"/>
    </row>
    <row r="127" spans="1:23" ht="22.5" customHeight="1">
      <c r="A127" s="20">
        <v>46020.150856481479</v>
      </c>
      <c r="B127" s="21" t="s">
        <v>1405</v>
      </c>
      <c r="C127" s="38"/>
      <c r="D127" s="21" t="s">
        <v>45</v>
      </c>
      <c r="E127" s="22">
        <v>34964</v>
      </c>
      <c r="F127" s="21" t="s">
        <v>799</v>
      </c>
      <c r="G127" s="21" t="s">
        <v>1406</v>
      </c>
      <c r="H127" s="21" t="s">
        <v>1407</v>
      </c>
      <c r="I127" s="6" t="str">
        <f>VLOOKUP(CLEAN(F127),'World Bank Categories'!$B$4:$C$220,2,FALSE)</f>
        <v>Low income</v>
      </c>
      <c r="J127" s="21" t="s">
        <v>1408</v>
      </c>
      <c r="K127" s="21" t="s">
        <v>29</v>
      </c>
      <c r="L127" s="21" t="s">
        <v>30</v>
      </c>
      <c r="M127" s="21"/>
      <c r="N127" s="21"/>
      <c r="O127" s="21"/>
      <c r="P127" s="21" t="s">
        <v>31</v>
      </c>
      <c r="Q127" s="9" t="s">
        <v>32</v>
      </c>
      <c r="R127" s="18" t="s">
        <v>33</v>
      </c>
      <c r="S127" s="25" t="s">
        <v>1405</v>
      </c>
      <c r="T127" s="27">
        <v>34964</v>
      </c>
      <c r="U127" s="25" t="s">
        <v>1408</v>
      </c>
      <c r="V127" s="25" t="s">
        <v>80</v>
      </c>
      <c r="W127" s="25"/>
    </row>
    <row r="128" spans="1:23" ht="22.5" customHeight="1">
      <c r="A128" s="20">
        <v>46020.19332175926</v>
      </c>
      <c r="B128" s="21" t="s">
        <v>1415</v>
      </c>
      <c r="C128" s="38"/>
      <c r="D128" s="21" t="s">
        <v>24</v>
      </c>
      <c r="E128" s="22">
        <v>35440</v>
      </c>
      <c r="F128" s="21" t="s">
        <v>52</v>
      </c>
      <c r="G128" s="21" t="s">
        <v>1416</v>
      </c>
      <c r="H128" s="21" t="s">
        <v>738</v>
      </c>
      <c r="I128" s="6" t="str">
        <f>VLOOKUP(CLEAN(F128),'World Bank Categories'!$B$4:$C$220,2,FALSE)</f>
        <v>Middle income</v>
      </c>
      <c r="J128" s="21" t="s">
        <v>1417</v>
      </c>
      <c r="K128" s="21" t="s">
        <v>29</v>
      </c>
      <c r="L128" s="21" t="s">
        <v>30</v>
      </c>
      <c r="M128" s="21"/>
      <c r="N128" s="21"/>
      <c r="O128" s="21"/>
      <c r="P128" s="21" t="s">
        <v>31</v>
      </c>
      <c r="Q128" s="9" t="s">
        <v>32</v>
      </c>
      <c r="R128" s="18" t="s">
        <v>33</v>
      </c>
      <c r="S128" s="25" t="s">
        <v>1415</v>
      </c>
      <c r="T128" s="27">
        <v>35440</v>
      </c>
      <c r="U128" s="25" t="s">
        <v>1417</v>
      </c>
      <c r="V128" s="25" t="s">
        <v>80</v>
      </c>
      <c r="W128" s="25"/>
    </row>
    <row r="129" spans="1:23" ht="22.5" customHeight="1">
      <c r="A129" s="20">
        <v>46020.428333333337</v>
      </c>
      <c r="B129" s="21" t="s">
        <v>1426</v>
      </c>
      <c r="C129" s="38"/>
      <c r="D129" s="21" t="s">
        <v>45</v>
      </c>
      <c r="E129" s="22">
        <v>33649</v>
      </c>
      <c r="F129" s="21" t="s">
        <v>1427</v>
      </c>
      <c r="G129" s="21" t="s">
        <v>1428</v>
      </c>
      <c r="H129" s="21" t="s">
        <v>1429</v>
      </c>
      <c r="I129" s="6" t="str">
        <f>VLOOKUP(CLEAN(F129),'World Bank Categories'!$B$4:$C$220,2,FALSE)</f>
        <v>Low income</v>
      </c>
      <c r="J129" s="21" t="s">
        <v>1430</v>
      </c>
      <c r="K129" s="21" t="s">
        <v>29</v>
      </c>
      <c r="L129" s="21" t="s">
        <v>1431</v>
      </c>
      <c r="M129" s="21"/>
      <c r="N129" s="21"/>
      <c r="O129" s="21"/>
      <c r="P129" s="21" t="s">
        <v>31</v>
      </c>
      <c r="Q129" s="9" t="s">
        <v>32</v>
      </c>
      <c r="R129" s="10" t="s">
        <v>33</v>
      </c>
      <c r="S129" s="25" t="s">
        <v>1432</v>
      </c>
      <c r="T129" s="27">
        <v>33649</v>
      </c>
      <c r="U129" s="25" t="s">
        <v>1430</v>
      </c>
      <c r="V129" s="25" t="s">
        <v>154</v>
      </c>
      <c r="W129" s="25"/>
    </row>
    <row r="130" spans="1:23" ht="22.5" customHeight="1">
      <c r="A130" s="20">
        <v>46020.688252314816</v>
      </c>
      <c r="B130" s="21" t="s">
        <v>1433</v>
      </c>
      <c r="C130" s="38"/>
      <c r="D130" s="21" t="s">
        <v>24</v>
      </c>
      <c r="E130" s="57" t="s">
        <v>1434</v>
      </c>
      <c r="F130" s="21" t="s">
        <v>35</v>
      </c>
      <c r="G130" s="21" t="s">
        <v>1435</v>
      </c>
      <c r="H130" s="21" t="s">
        <v>943</v>
      </c>
      <c r="I130" s="6" t="str">
        <f>VLOOKUP(CLEAN(F130),'World Bank Categories'!$B$4:$C$220,2,FALSE)</f>
        <v>Middle income</v>
      </c>
      <c r="J130" s="21" t="s">
        <v>1436</v>
      </c>
      <c r="K130" s="21" t="s">
        <v>29</v>
      </c>
      <c r="L130" s="32">
        <v>46202</v>
      </c>
      <c r="M130" s="21" t="s">
        <v>1437</v>
      </c>
      <c r="N130" s="21"/>
      <c r="O130" s="21"/>
      <c r="P130" s="21" t="s">
        <v>31</v>
      </c>
      <c r="Q130" s="9" t="s">
        <v>32</v>
      </c>
      <c r="R130" s="18" t="s">
        <v>43</v>
      </c>
      <c r="S130" s="25" t="s">
        <v>1433</v>
      </c>
      <c r="T130" s="27">
        <v>28603</v>
      </c>
      <c r="U130" s="25" t="s">
        <v>1438</v>
      </c>
      <c r="V130" s="25" t="s">
        <v>236</v>
      </c>
      <c r="W130" s="25"/>
    </row>
    <row r="131" spans="1:23" ht="22.5" customHeight="1">
      <c r="A131" s="5">
        <v>46020.823621111107</v>
      </c>
      <c r="B131" s="6" t="s">
        <v>1443</v>
      </c>
      <c r="C131" s="6" t="s">
        <v>1444</v>
      </c>
      <c r="D131" s="6" t="s">
        <v>45</v>
      </c>
      <c r="E131" s="8">
        <v>33835</v>
      </c>
      <c r="F131" s="6" t="s">
        <v>1053</v>
      </c>
      <c r="G131" s="6" t="s">
        <v>1445</v>
      </c>
      <c r="H131" s="6" t="s">
        <v>1446</v>
      </c>
      <c r="I131" s="6" t="str">
        <f>VLOOKUP(CLEAN(F131),'World Bank Categories'!$B$4:$C$220,2,FALSE)</f>
        <v>High income</v>
      </c>
      <c r="J131" s="6" t="s">
        <v>1447</v>
      </c>
      <c r="K131" s="6" t="s">
        <v>29</v>
      </c>
      <c r="L131" s="6" t="s">
        <v>162</v>
      </c>
      <c r="M131" s="7"/>
      <c r="N131" s="6"/>
      <c r="O131" s="6"/>
      <c r="P131" s="6" t="s">
        <v>31</v>
      </c>
      <c r="Q131" s="9" t="s">
        <v>32</v>
      </c>
      <c r="R131" s="18" t="s">
        <v>43</v>
      </c>
      <c r="S131" s="11" t="s">
        <v>1443</v>
      </c>
      <c r="T131" s="12"/>
      <c r="U131" s="12"/>
      <c r="V131" s="12"/>
      <c r="W131" s="12"/>
    </row>
    <row r="132" spans="1:23" ht="22.5" customHeight="1">
      <c r="A132" s="20">
        <v>46021.017557870371</v>
      </c>
      <c r="B132" s="21" t="s">
        <v>1459</v>
      </c>
      <c r="C132" s="38"/>
      <c r="D132" s="21" t="s">
        <v>45</v>
      </c>
      <c r="E132" s="22">
        <v>37131</v>
      </c>
      <c r="F132" s="21" t="s">
        <v>475</v>
      </c>
      <c r="G132" s="21" t="s">
        <v>476</v>
      </c>
      <c r="H132" s="21" t="s">
        <v>48</v>
      </c>
      <c r="I132" s="6" t="str">
        <f>VLOOKUP(CLEAN(F132),'World Bank Categories'!$B$4:$C$220,2,FALSE)</f>
        <v>Middle income</v>
      </c>
      <c r="J132" s="21" t="s">
        <v>1460</v>
      </c>
      <c r="K132" s="21" t="s">
        <v>29</v>
      </c>
      <c r="L132" s="21" t="s">
        <v>30</v>
      </c>
      <c r="M132" s="21"/>
      <c r="N132" s="21"/>
      <c r="O132" s="21"/>
      <c r="P132" s="21" t="s">
        <v>31</v>
      </c>
      <c r="Q132" s="9" t="s">
        <v>32</v>
      </c>
      <c r="R132" s="10" t="s">
        <v>43</v>
      </c>
      <c r="S132" s="25" t="s">
        <v>1459</v>
      </c>
      <c r="T132" s="27">
        <v>37131</v>
      </c>
      <c r="U132" s="25" t="s">
        <v>1460</v>
      </c>
      <c r="V132" s="25" t="s">
        <v>80</v>
      </c>
      <c r="W132" s="25"/>
    </row>
    <row r="133" spans="1:23" ht="22.5" customHeight="1">
      <c r="A133" s="20">
        <v>46021.026064814818</v>
      </c>
      <c r="B133" s="21" t="s">
        <v>1461</v>
      </c>
      <c r="C133" s="38"/>
      <c r="D133" s="21" t="s">
        <v>45</v>
      </c>
      <c r="E133" s="22">
        <v>37622</v>
      </c>
      <c r="F133" s="21" t="s">
        <v>980</v>
      </c>
      <c r="G133" s="21" t="s">
        <v>1462</v>
      </c>
      <c r="H133" s="21" t="s">
        <v>66</v>
      </c>
      <c r="I133" s="6" t="str">
        <f>VLOOKUP(CLEAN(F133),'World Bank Categories'!$B$4:$C$220,2,FALSE)</f>
        <v>Middle income</v>
      </c>
      <c r="J133" s="21" t="s">
        <v>1463</v>
      </c>
      <c r="K133" s="21" t="s">
        <v>29</v>
      </c>
      <c r="L133" s="21" t="s">
        <v>30</v>
      </c>
      <c r="M133" s="21"/>
      <c r="N133" s="21"/>
      <c r="O133" s="21"/>
      <c r="P133" s="21" t="s">
        <v>31</v>
      </c>
      <c r="Q133" s="9" t="s">
        <v>32</v>
      </c>
      <c r="R133" s="18" t="s">
        <v>33</v>
      </c>
      <c r="S133" s="25" t="s">
        <v>1464</v>
      </c>
      <c r="T133" s="27">
        <v>37622</v>
      </c>
      <c r="U133" s="25" t="s">
        <v>1463</v>
      </c>
      <c r="V133" s="25" t="s">
        <v>80</v>
      </c>
      <c r="W133" s="25"/>
    </row>
    <row r="134" spans="1:23" ht="22.5" customHeight="1">
      <c r="A134" s="20">
        <v>46021.200810185182</v>
      </c>
      <c r="B134" s="21" t="s">
        <v>1469</v>
      </c>
      <c r="C134" s="21" t="s">
        <v>1470</v>
      </c>
      <c r="D134" s="21" t="s">
        <v>24</v>
      </c>
      <c r="E134" s="22">
        <v>34039</v>
      </c>
      <c r="F134" s="21" t="s">
        <v>252</v>
      </c>
      <c r="G134" s="21" t="s">
        <v>1471</v>
      </c>
      <c r="H134" s="21" t="s">
        <v>1472</v>
      </c>
      <c r="I134" s="6" t="str">
        <f>VLOOKUP(CLEAN(F134),'World Bank Categories'!$B$4:$C$220,2,FALSE)</f>
        <v>Middle income</v>
      </c>
      <c r="J134" s="21" t="s">
        <v>1473</v>
      </c>
      <c r="K134" s="21" t="s">
        <v>39</v>
      </c>
      <c r="L134" s="21" t="s">
        <v>30</v>
      </c>
      <c r="M134" s="21"/>
      <c r="N134" s="21"/>
      <c r="O134" s="21"/>
      <c r="P134" s="21" t="s">
        <v>31</v>
      </c>
      <c r="Q134" s="9" t="s">
        <v>32</v>
      </c>
      <c r="R134" s="10" t="s">
        <v>33</v>
      </c>
      <c r="S134" s="25" t="s">
        <v>1474</v>
      </c>
      <c r="T134" s="27">
        <v>34039</v>
      </c>
      <c r="U134" s="25" t="s">
        <v>1473</v>
      </c>
      <c r="V134" s="25" t="s">
        <v>463</v>
      </c>
      <c r="W134" s="25"/>
    </row>
    <row r="135" spans="1:23" ht="22.5" customHeight="1">
      <c r="A135" s="20">
        <v>46021.207002314812</v>
      </c>
      <c r="B135" s="21" t="s">
        <v>1484</v>
      </c>
      <c r="C135" s="38"/>
      <c r="D135" s="21" t="s">
        <v>45</v>
      </c>
      <c r="E135" s="22">
        <v>33521</v>
      </c>
      <c r="F135" s="21" t="s">
        <v>416</v>
      </c>
      <c r="G135" s="21" t="s">
        <v>1485</v>
      </c>
      <c r="H135" s="21" t="s">
        <v>247</v>
      </c>
      <c r="I135" s="6" t="str">
        <f>VLOOKUP(CLEAN(F135),'World Bank Categories'!$B$4:$C$220,2,FALSE)</f>
        <v>Middle income</v>
      </c>
      <c r="J135" s="21" t="s">
        <v>1486</v>
      </c>
      <c r="K135" s="21" t="s">
        <v>39</v>
      </c>
      <c r="L135" s="21" t="s">
        <v>152</v>
      </c>
      <c r="M135" s="21"/>
      <c r="N135" s="21"/>
      <c r="O135" s="21"/>
      <c r="P135" s="21" t="s">
        <v>31</v>
      </c>
      <c r="Q135" s="9" t="s">
        <v>32</v>
      </c>
      <c r="R135" s="18" t="s">
        <v>33</v>
      </c>
      <c r="S135" s="25" t="s">
        <v>1487</v>
      </c>
      <c r="T135" s="27">
        <v>33521</v>
      </c>
      <c r="U135" s="25" t="s">
        <v>1486</v>
      </c>
      <c r="V135" s="25" t="s">
        <v>154</v>
      </c>
      <c r="W135" s="25"/>
    </row>
    <row r="136" spans="1:23" ht="22.5" customHeight="1">
      <c r="A136" s="20">
        <v>46021.660543981481</v>
      </c>
      <c r="B136" s="21" t="s">
        <v>1499</v>
      </c>
      <c r="C136" s="38"/>
      <c r="D136" s="21" t="s">
        <v>45</v>
      </c>
      <c r="E136" s="22">
        <v>35871</v>
      </c>
      <c r="F136" s="21" t="s">
        <v>980</v>
      </c>
      <c r="G136" s="21" t="s">
        <v>1500</v>
      </c>
      <c r="H136" s="21" t="s">
        <v>1501</v>
      </c>
      <c r="I136" s="6" t="str">
        <f>VLOOKUP(CLEAN(F136),'World Bank Categories'!$B$4:$C$220,2,FALSE)</f>
        <v>Middle income</v>
      </c>
      <c r="J136" s="21" t="s">
        <v>1502</v>
      </c>
      <c r="K136" s="21" t="s">
        <v>29</v>
      </c>
      <c r="L136" s="21" t="s">
        <v>30</v>
      </c>
      <c r="M136" s="21"/>
      <c r="N136" s="21"/>
      <c r="O136" s="21"/>
      <c r="P136" s="21" t="s">
        <v>31</v>
      </c>
      <c r="Q136" s="9" t="s">
        <v>32</v>
      </c>
      <c r="R136" s="18" t="s">
        <v>33</v>
      </c>
      <c r="S136" s="25" t="s">
        <v>1499</v>
      </c>
      <c r="T136" s="27">
        <v>35871</v>
      </c>
      <c r="U136" s="25" t="s">
        <v>1502</v>
      </c>
      <c r="V136" s="25" t="s">
        <v>80</v>
      </c>
      <c r="W136" s="25"/>
    </row>
    <row r="137" spans="1:23" ht="22.5" customHeight="1">
      <c r="A137" s="20">
        <v>46021.703020833331</v>
      </c>
      <c r="B137" s="21" t="s">
        <v>1503</v>
      </c>
      <c r="C137" s="38"/>
      <c r="D137" s="21" t="s">
        <v>24</v>
      </c>
      <c r="E137" s="22">
        <v>45782</v>
      </c>
      <c r="F137" s="21" t="s">
        <v>980</v>
      </c>
      <c r="G137" s="21" t="s">
        <v>1504</v>
      </c>
      <c r="H137" s="21" t="s">
        <v>66</v>
      </c>
      <c r="I137" s="6" t="str">
        <f>VLOOKUP(CLEAN(F137),'World Bank Categories'!$B$4:$C$220,2,FALSE)</f>
        <v>Middle income</v>
      </c>
      <c r="J137" s="21" t="s">
        <v>1505</v>
      </c>
      <c r="K137" s="21" t="s">
        <v>29</v>
      </c>
      <c r="L137" s="21" t="s">
        <v>30</v>
      </c>
      <c r="M137" s="21"/>
      <c r="N137" s="21"/>
      <c r="O137" s="21"/>
      <c r="P137" s="21" t="s">
        <v>31</v>
      </c>
      <c r="Q137" s="9" t="s">
        <v>32</v>
      </c>
      <c r="R137" s="10" t="s">
        <v>33</v>
      </c>
      <c r="S137" s="25" t="s">
        <v>1503</v>
      </c>
      <c r="T137" s="27">
        <v>36651</v>
      </c>
      <c r="U137" s="25" t="s">
        <v>1506</v>
      </c>
      <c r="V137" s="25" t="s">
        <v>1507</v>
      </c>
      <c r="W137" s="25"/>
    </row>
    <row r="138" spans="1:23" ht="22.5" customHeight="1">
      <c r="A138" s="20">
        <v>46021.725277777776</v>
      </c>
      <c r="B138" s="21" t="s">
        <v>1508</v>
      </c>
      <c r="C138" s="21" t="s">
        <v>1508</v>
      </c>
      <c r="D138" s="21" t="s">
        <v>24</v>
      </c>
      <c r="E138" s="22">
        <v>38404</v>
      </c>
      <c r="F138" s="21" t="s">
        <v>1362</v>
      </c>
      <c r="G138" s="21" t="s">
        <v>1509</v>
      </c>
      <c r="H138" s="21" t="s">
        <v>66</v>
      </c>
      <c r="I138" s="6" t="str">
        <f>VLOOKUP(CLEAN(F138),'World Bank Categories'!$B$4:$C$220,2,FALSE)</f>
        <v>Middle income</v>
      </c>
      <c r="J138" s="21" t="s">
        <v>1510</v>
      </c>
      <c r="K138" s="21" t="s">
        <v>29</v>
      </c>
      <c r="L138" s="21" t="s">
        <v>30</v>
      </c>
      <c r="M138" s="21"/>
      <c r="N138" s="21"/>
      <c r="O138" s="21"/>
      <c r="P138" s="21" t="s">
        <v>31</v>
      </c>
      <c r="Q138" s="9" t="s">
        <v>32</v>
      </c>
      <c r="R138" s="18" t="s">
        <v>33</v>
      </c>
      <c r="S138" s="25" t="s">
        <v>1508</v>
      </c>
      <c r="T138" s="27">
        <v>38404</v>
      </c>
      <c r="U138" s="25" t="s">
        <v>1510</v>
      </c>
      <c r="V138" s="25" t="s">
        <v>80</v>
      </c>
      <c r="W138" s="25"/>
    </row>
    <row r="139" spans="1:23" ht="22.5" customHeight="1">
      <c r="A139" s="5">
        <v>46021.779096157406</v>
      </c>
      <c r="B139" s="6" t="s">
        <v>1511</v>
      </c>
      <c r="C139" s="7"/>
      <c r="D139" s="6" t="s">
        <v>45</v>
      </c>
      <c r="E139" s="8">
        <v>31717</v>
      </c>
      <c r="F139" s="6" t="s">
        <v>274</v>
      </c>
      <c r="G139" s="6" t="s">
        <v>1512</v>
      </c>
      <c r="H139" s="6" t="s">
        <v>1513</v>
      </c>
      <c r="I139" s="6" t="str">
        <f>VLOOKUP(CLEAN(F139),'World Bank Categories'!$B$4:$C$220,2,FALSE)</f>
        <v>Middle income</v>
      </c>
      <c r="J139" s="6" t="s">
        <v>1514</v>
      </c>
      <c r="K139" s="6" t="s">
        <v>29</v>
      </c>
      <c r="L139" s="6" t="s">
        <v>30</v>
      </c>
      <c r="M139" s="7"/>
      <c r="N139" s="6"/>
      <c r="O139" s="6"/>
      <c r="P139" s="6" t="s">
        <v>31</v>
      </c>
      <c r="Q139" s="9" t="s">
        <v>32</v>
      </c>
      <c r="R139" s="10" t="s">
        <v>33</v>
      </c>
      <c r="S139" s="11" t="s">
        <v>1511</v>
      </c>
      <c r="T139" s="12"/>
      <c r="U139" s="12"/>
      <c r="V139" s="12"/>
      <c r="W139" s="12"/>
    </row>
    <row r="140" spans="1:23" ht="22.5" customHeight="1">
      <c r="A140" s="20">
        <v>46021.904548611114</v>
      </c>
      <c r="B140" s="21" t="s">
        <v>1519</v>
      </c>
      <c r="C140" s="38"/>
      <c r="D140" s="21" t="s">
        <v>45</v>
      </c>
      <c r="E140" s="22">
        <v>30425</v>
      </c>
      <c r="F140" s="21" t="s">
        <v>274</v>
      </c>
      <c r="G140" s="21" t="s">
        <v>1520</v>
      </c>
      <c r="H140" s="21" t="s">
        <v>1521</v>
      </c>
      <c r="I140" s="6" t="str">
        <f>VLOOKUP(CLEAN(F140),'World Bank Categories'!$B$4:$C$220,2,FALSE)</f>
        <v>Middle income</v>
      </c>
      <c r="J140" s="21" t="s">
        <v>1522</v>
      </c>
      <c r="K140" s="21" t="s">
        <v>29</v>
      </c>
      <c r="L140" s="21" t="s">
        <v>30</v>
      </c>
      <c r="M140" s="21"/>
      <c r="N140" s="21"/>
      <c r="O140" s="21"/>
      <c r="P140" s="21" t="s">
        <v>31</v>
      </c>
      <c r="Q140" s="9" t="s">
        <v>32</v>
      </c>
      <c r="R140" s="10" t="s">
        <v>33</v>
      </c>
      <c r="S140" s="25" t="s">
        <v>1519</v>
      </c>
      <c r="T140" s="27">
        <v>30425</v>
      </c>
      <c r="U140" s="25" t="s">
        <v>1522</v>
      </c>
      <c r="V140" s="25" t="s">
        <v>80</v>
      </c>
      <c r="W140" s="25"/>
    </row>
    <row r="141" spans="1:23" ht="22.5" customHeight="1">
      <c r="A141" s="46">
        <v>46021.929826388892</v>
      </c>
      <c r="B141" s="47" t="s">
        <v>1523</v>
      </c>
      <c r="C141" s="47" t="s">
        <v>1524</v>
      </c>
      <c r="D141" s="47" t="s">
        <v>45</v>
      </c>
      <c r="E141" s="49">
        <v>35123</v>
      </c>
      <c r="F141" s="47" t="s">
        <v>980</v>
      </c>
      <c r="G141" s="47" t="s">
        <v>1013</v>
      </c>
      <c r="H141" s="47" t="s">
        <v>66</v>
      </c>
      <c r="I141" s="6" t="str">
        <f>VLOOKUP(CLEAN(F141),'World Bank Categories'!$B$4:$C$220,2,FALSE)</f>
        <v>Middle income</v>
      </c>
      <c r="J141" s="47" t="s">
        <v>1525</v>
      </c>
      <c r="K141" s="47" t="s">
        <v>39</v>
      </c>
      <c r="L141" s="47" t="s">
        <v>621</v>
      </c>
      <c r="M141" s="47"/>
      <c r="N141" s="47"/>
      <c r="O141" s="47"/>
      <c r="P141" s="47" t="s">
        <v>31</v>
      </c>
      <c r="Q141" s="9" t="s">
        <v>32</v>
      </c>
      <c r="R141" s="18" t="s">
        <v>33</v>
      </c>
      <c r="S141" s="25" t="s">
        <v>1523</v>
      </c>
      <c r="T141" s="27">
        <v>35123</v>
      </c>
      <c r="U141" s="25" t="s">
        <v>1525</v>
      </c>
      <c r="V141" s="25" t="s">
        <v>80</v>
      </c>
      <c r="W141" s="25"/>
    </row>
    <row r="142" spans="1:23" ht="22.5" customHeight="1">
      <c r="A142" s="46">
        <v>46022.304710648146</v>
      </c>
      <c r="B142" s="47" t="s">
        <v>1557</v>
      </c>
      <c r="C142" s="48"/>
      <c r="D142" s="47" t="s">
        <v>24</v>
      </c>
      <c r="E142" s="49">
        <v>34921</v>
      </c>
      <c r="F142" s="47" t="s">
        <v>751</v>
      </c>
      <c r="G142" s="47" t="s">
        <v>1558</v>
      </c>
      <c r="H142" s="47" t="s">
        <v>1559</v>
      </c>
      <c r="I142" s="6" t="str">
        <f>VLOOKUP(CLEAN(F142),'World Bank Categories'!$B$4:$C$220,2,FALSE)</f>
        <v>Low income</v>
      </c>
      <c r="J142" s="47" t="s">
        <v>1560</v>
      </c>
      <c r="K142" s="47" t="s">
        <v>29</v>
      </c>
      <c r="L142" s="47" t="s">
        <v>30</v>
      </c>
      <c r="M142" s="59"/>
      <c r="N142" s="47"/>
      <c r="O142" s="47"/>
      <c r="P142" s="47" t="s">
        <v>31</v>
      </c>
      <c r="Q142" s="9" t="s">
        <v>32</v>
      </c>
      <c r="R142" s="18" t="s">
        <v>33</v>
      </c>
      <c r="S142" s="25" t="s">
        <v>1557</v>
      </c>
      <c r="T142" s="27">
        <v>34921</v>
      </c>
      <c r="U142" s="25" t="s">
        <v>1560</v>
      </c>
      <c r="V142" s="25" t="s">
        <v>80</v>
      </c>
      <c r="W142" s="25"/>
    </row>
    <row r="143" spans="1:23" ht="22.5" customHeight="1">
      <c r="A143" s="20">
        <v>46022.307395833333</v>
      </c>
      <c r="B143" s="21" t="s">
        <v>1561</v>
      </c>
      <c r="C143" s="38"/>
      <c r="D143" s="21" t="s">
        <v>24</v>
      </c>
      <c r="E143" s="22">
        <v>36177</v>
      </c>
      <c r="F143" s="21" t="s">
        <v>751</v>
      </c>
      <c r="G143" s="21" t="s">
        <v>1562</v>
      </c>
      <c r="H143" s="21" t="s">
        <v>943</v>
      </c>
      <c r="I143" s="6" t="str">
        <f>VLOOKUP(CLEAN(F143),'World Bank Categories'!$B$4:$C$220,2,FALSE)</f>
        <v>Low income</v>
      </c>
      <c r="J143" s="21" t="s">
        <v>1563</v>
      </c>
      <c r="K143" s="21" t="s">
        <v>29</v>
      </c>
      <c r="L143" s="21" t="s">
        <v>30</v>
      </c>
      <c r="M143" s="21"/>
      <c r="N143" s="21"/>
      <c r="O143" s="21"/>
      <c r="P143" s="21" t="s">
        <v>31</v>
      </c>
      <c r="Q143" s="9" t="s">
        <v>32</v>
      </c>
      <c r="R143" s="10" t="s">
        <v>33</v>
      </c>
      <c r="S143" s="25" t="s">
        <v>1564</v>
      </c>
      <c r="T143" s="27">
        <v>36177</v>
      </c>
      <c r="U143" s="25" t="s">
        <v>1563</v>
      </c>
      <c r="V143" s="25" t="s">
        <v>154</v>
      </c>
      <c r="W143" s="25"/>
    </row>
    <row r="144" spans="1:23" ht="22.5" customHeight="1">
      <c r="A144" s="20">
        <v>46022.475474537037</v>
      </c>
      <c r="B144" s="21" t="s">
        <v>1565</v>
      </c>
      <c r="C144" s="38"/>
      <c r="D144" s="21" t="s">
        <v>24</v>
      </c>
      <c r="E144" s="22">
        <v>37841</v>
      </c>
      <c r="F144" s="21" t="s">
        <v>980</v>
      </c>
      <c r="G144" s="21" t="s">
        <v>985</v>
      </c>
      <c r="H144" s="21" t="s">
        <v>368</v>
      </c>
      <c r="I144" s="6" t="str">
        <f>VLOOKUP(CLEAN(F144),'World Bank Categories'!$B$4:$C$220,2,FALSE)</f>
        <v>Middle income</v>
      </c>
      <c r="J144" s="21" t="s">
        <v>1566</v>
      </c>
      <c r="K144" s="21" t="s">
        <v>39</v>
      </c>
      <c r="L144" s="21" t="s">
        <v>152</v>
      </c>
      <c r="M144" s="21"/>
      <c r="N144" s="21"/>
      <c r="O144" s="21"/>
      <c r="P144" s="21" t="s">
        <v>31</v>
      </c>
      <c r="Q144" s="9" t="s">
        <v>32</v>
      </c>
      <c r="R144" s="18" t="s">
        <v>33</v>
      </c>
      <c r="S144" s="25" t="s">
        <v>1565</v>
      </c>
      <c r="T144" s="27">
        <v>37841</v>
      </c>
      <c r="U144" s="25" t="s">
        <v>1566</v>
      </c>
      <c r="V144" s="25" t="s">
        <v>80</v>
      </c>
      <c r="W144" s="25"/>
    </row>
    <row r="145" spans="1:23" ht="22.5" customHeight="1">
      <c r="A145" s="20">
        <v>46022.57402777778</v>
      </c>
      <c r="B145" s="21" t="s">
        <v>1571</v>
      </c>
      <c r="C145" s="38"/>
      <c r="D145" s="21" t="s">
        <v>45</v>
      </c>
      <c r="E145" s="22">
        <v>26548</v>
      </c>
      <c r="F145" s="21" t="s">
        <v>1572</v>
      </c>
      <c r="G145" s="21" t="s">
        <v>209</v>
      </c>
      <c r="H145" s="21" t="s">
        <v>1573</v>
      </c>
      <c r="I145" s="6" t="str">
        <f>VLOOKUP(CLEAN(F145),'World Bank Categories'!$B$4:$C$220,2,FALSE)</f>
        <v>High income</v>
      </c>
      <c r="J145" s="21" t="s">
        <v>1574</v>
      </c>
      <c r="K145" s="21" t="s">
        <v>39</v>
      </c>
      <c r="L145" s="21" t="s">
        <v>162</v>
      </c>
      <c r="M145" s="21" t="s">
        <v>1575</v>
      </c>
      <c r="N145" s="21"/>
      <c r="O145" s="21"/>
      <c r="P145" s="21" t="s">
        <v>31</v>
      </c>
      <c r="Q145" s="9" t="s">
        <v>32</v>
      </c>
      <c r="R145" s="10" t="s">
        <v>33</v>
      </c>
      <c r="S145" s="25" t="s">
        <v>1576</v>
      </c>
      <c r="T145" s="27">
        <v>26548</v>
      </c>
      <c r="U145" s="25" t="s">
        <v>1574</v>
      </c>
      <c r="V145" s="25" t="s">
        <v>154</v>
      </c>
      <c r="W145" s="25"/>
    </row>
    <row r="146" spans="1:23" ht="22.5" customHeight="1">
      <c r="A146" s="20">
        <v>46022.748981481483</v>
      </c>
      <c r="B146" s="21" t="s">
        <v>1581</v>
      </c>
      <c r="C146" s="38"/>
      <c r="D146" s="21" t="s">
        <v>45</v>
      </c>
      <c r="E146" s="22">
        <v>32515</v>
      </c>
      <c r="F146" s="21" t="s">
        <v>980</v>
      </c>
      <c r="G146" s="21" t="s">
        <v>1080</v>
      </c>
      <c r="H146" s="21" t="s">
        <v>1582</v>
      </c>
      <c r="I146" s="6" t="str">
        <f>VLOOKUP(CLEAN(F146),'World Bank Categories'!$B$4:$C$220,2,FALSE)</f>
        <v>Middle income</v>
      </c>
      <c r="J146" s="21" t="s">
        <v>1583</v>
      </c>
      <c r="K146" s="21" t="s">
        <v>39</v>
      </c>
      <c r="L146" s="21" t="s">
        <v>152</v>
      </c>
      <c r="M146" s="21"/>
      <c r="N146" s="21"/>
      <c r="O146" s="21"/>
      <c r="P146" s="21" t="s">
        <v>31</v>
      </c>
      <c r="Q146" s="9" t="s">
        <v>32</v>
      </c>
      <c r="R146" s="10" t="s">
        <v>33</v>
      </c>
      <c r="S146" s="25" t="s">
        <v>1584</v>
      </c>
      <c r="T146" s="27">
        <v>32515</v>
      </c>
      <c r="U146" s="25" t="s">
        <v>1583</v>
      </c>
      <c r="V146" s="25" t="s">
        <v>154</v>
      </c>
      <c r="W146" s="25"/>
    </row>
    <row r="147" spans="1:23" ht="22.5" customHeight="1">
      <c r="A147" s="13">
        <v>46022.787485104171</v>
      </c>
      <c r="B147" s="14" t="s">
        <v>1592</v>
      </c>
      <c r="C147" s="15"/>
      <c r="D147" s="14" t="s">
        <v>45</v>
      </c>
      <c r="E147" s="16">
        <v>34716</v>
      </c>
      <c r="F147" s="14" t="s">
        <v>1593</v>
      </c>
      <c r="G147" s="14" t="s">
        <v>1594</v>
      </c>
      <c r="H147" s="14" t="s">
        <v>1595</v>
      </c>
      <c r="I147" s="6" t="str">
        <f>VLOOKUP(CLEAN(F147),'World Bank Categories'!$B$4:$C$220,2,FALSE)</f>
        <v>High income</v>
      </c>
      <c r="J147" s="14" t="s">
        <v>1596</v>
      </c>
      <c r="K147" s="14" t="s">
        <v>29</v>
      </c>
      <c r="L147" s="14" t="s">
        <v>30</v>
      </c>
      <c r="M147" s="15"/>
      <c r="N147" s="14"/>
      <c r="O147" s="14"/>
      <c r="P147" s="14" t="s">
        <v>31</v>
      </c>
      <c r="Q147" s="9" t="s">
        <v>32</v>
      </c>
      <c r="R147" s="10" t="s">
        <v>33</v>
      </c>
      <c r="S147" s="19" t="s">
        <v>1597</v>
      </c>
      <c r="T147" s="12"/>
      <c r="U147" s="12"/>
      <c r="V147" s="12"/>
      <c r="W147" s="12"/>
    </row>
    <row r="148" spans="1:23" ht="22.5" customHeight="1">
      <c r="A148" s="20">
        <v>46022.810127314813</v>
      </c>
      <c r="B148" s="21" t="s">
        <v>1598</v>
      </c>
      <c r="C148" s="38"/>
      <c r="D148" s="21" t="s">
        <v>45</v>
      </c>
      <c r="E148" s="22">
        <v>34193</v>
      </c>
      <c r="F148" s="21" t="s">
        <v>64</v>
      </c>
      <c r="G148" s="21" t="s">
        <v>1599</v>
      </c>
      <c r="H148" s="21" t="s">
        <v>1600</v>
      </c>
      <c r="I148" s="6" t="str">
        <f>VLOOKUP(CLEAN(F148),'World Bank Categories'!$B$4:$C$220,2,FALSE)</f>
        <v>Middle income</v>
      </c>
      <c r="J148" s="21" t="s">
        <v>1601</v>
      </c>
      <c r="K148" s="21" t="s">
        <v>29</v>
      </c>
      <c r="L148" s="21" t="s">
        <v>30</v>
      </c>
      <c r="M148" s="21"/>
      <c r="N148" s="21"/>
      <c r="O148" s="21"/>
      <c r="P148" s="21" t="s">
        <v>31</v>
      </c>
      <c r="Q148" s="9" t="s">
        <v>32</v>
      </c>
      <c r="R148" s="18" t="s">
        <v>33</v>
      </c>
      <c r="S148" s="25" t="s">
        <v>1602</v>
      </c>
      <c r="T148" s="27">
        <v>34193</v>
      </c>
      <c r="U148" s="25" t="s">
        <v>1601</v>
      </c>
      <c r="V148" s="25" t="s">
        <v>154</v>
      </c>
      <c r="W148" s="25"/>
    </row>
    <row r="149" spans="1:23" ht="22.5" customHeight="1">
      <c r="A149" s="20">
        <v>46022.829918981479</v>
      </c>
      <c r="B149" s="21" t="s">
        <v>1603</v>
      </c>
      <c r="C149" s="38"/>
      <c r="D149" s="21" t="s">
        <v>24</v>
      </c>
      <c r="E149" s="22">
        <v>36640</v>
      </c>
      <c r="F149" s="21" t="s">
        <v>70</v>
      </c>
      <c r="G149" s="21" t="s">
        <v>1604</v>
      </c>
      <c r="H149" s="21" t="s">
        <v>1605</v>
      </c>
      <c r="I149" s="6" t="str">
        <f>VLOOKUP(CLEAN(F149),'World Bank Categories'!$B$4:$C$220,2,FALSE)</f>
        <v>Middle income</v>
      </c>
      <c r="J149" s="21" t="s">
        <v>1606</v>
      </c>
      <c r="K149" s="21" t="s">
        <v>39</v>
      </c>
      <c r="L149" s="21" t="s">
        <v>30</v>
      </c>
      <c r="M149" s="21"/>
      <c r="N149" s="21"/>
      <c r="O149" s="21"/>
      <c r="P149" s="21" t="s">
        <v>31</v>
      </c>
      <c r="Q149" s="9" t="s">
        <v>32</v>
      </c>
      <c r="R149" s="10" t="s">
        <v>33</v>
      </c>
      <c r="S149" s="25" t="s">
        <v>1607</v>
      </c>
      <c r="T149" s="27">
        <v>36640</v>
      </c>
      <c r="U149" s="25" t="s">
        <v>1606</v>
      </c>
      <c r="V149" s="25" t="s">
        <v>154</v>
      </c>
      <c r="W149" s="25"/>
    </row>
    <row r="150" spans="1:23" ht="22.5" customHeight="1">
      <c r="A150" s="20">
        <v>46022.859351851854</v>
      </c>
      <c r="B150" s="21" t="s">
        <v>1608</v>
      </c>
      <c r="C150" s="38"/>
      <c r="D150" s="21" t="s">
        <v>45</v>
      </c>
      <c r="E150" s="22">
        <v>37485</v>
      </c>
      <c r="F150" s="21" t="s">
        <v>486</v>
      </c>
      <c r="G150" s="21" t="s">
        <v>1609</v>
      </c>
      <c r="H150" s="21" t="s">
        <v>1610</v>
      </c>
      <c r="I150" s="6" t="str">
        <f>VLOOKUP(CLEAN(F150),'World Bank Categories'!$B$4:$C$220,2,FALSE)</f>
        <v>High income</v>
      </c>
      <c r="J150" s="21" t="s">
        <v>1611</v>
      </c>
      <c r="K150" s="21" t="s">
        <v>29</v>
      </c>
      <c r="L150" s="21" t="s">
        <v>30</v>
      </c>
      <c r="M150" s="21"/>
      <c r="N150" s="21"/>
      <c r="O150" s="21"/>
      <c r="P150" s="21" t="s">
        <v>31</v>
      </c>
      <c r="Q150" s="9" t="s">
        <v>32</v>
      </c>
      <c r="R150" s="18" t="s">
        <v>33</v>
      </c>
      <c r="S150" s="25" t="s">
        <v>1608</v>
      </c>
      <c r="T150" s="27">
        <v>37485</v>
      </c>
      <c r="U150" s="25" t="s">
        <v>1611</v>
      </c>
      <c r="V150" s="25" t="s">
        <v>80</v>
      </c>
      <c r="W150" s="25"/>
    </row>
    <row r="151" spans="1:23" ht="22.5" customHeight="1">
      <c r="A151" s="20">
        <v>46022.892071759263</v>
      </c>
      <c r="B151" s="21" t="s">
        <v>1612</v>
      </c>
      <c r="C151" s="38"/>
      <c r="D151" s="21" t="s">
        <v>24</v>
      </c>
      <c r="E151" s="22">
        <v>33796</v>
      </c>
      <c r="F151" s="21" t="s">
        <v>980</v>
      </c>
      <c r="G151" s="21" t="s">
        <v>1613</v>
      </c>
      <c r="H151" s="21" t="s">
        <v>1614</v>
      </c>
      <c r="I151" s="6" t="str">
        <f>VLOOKUP(CLEAN(F151),'World Bank Categories'!$B$4:$C$220,2,FALSE)</f>
        <v>Middle income</v>
      </c>
      <c r="J151" s="21" t="s">
        <v>1615</v>
      </c>
      <c r="K151" s="21" t="s">
        <v>39</v>
      </c>
      <c r="L151" s="21" t="s">
        <v>152</v>
      </c>
      <c r="M151" s="21" t="s">
        <v>1616</v>
      </c>
      <c r="N151" s="21"/>
      <c r="O151" s="21"/>
      <c r="P151" s="21" t="s">
        <v>31</v>
      </c>
      <c r="Q151" s="9" t="s">
        <v>32</v>
      </c>
      <c r="R151" s="10" t="s">
        <v>33</v>
      </c>
      <c r="S151" s="25" t="s">
        <v>1612</v>
      </c>
      <c r="T151" s="27">
        <v>33796</v>
      </c>
      <c r="U151" s="25" t="s">
        <v>1615</v>
      </c>
      <c r="V151" s="25" t="s">
        <v>80</v>
      </c>
      <c r="W151" s="25"/>
    </row>
    <row r="152" spans="1:23" ht="22.5" customHeight="1">
      <c r="A152" s="20">
        <v>46022.911192129628</v>
      </c>
      <c r="B152" s="21" t="s">
        <v>1617</v>
      </c>
      <c r="C152" s="38"/>
      <c r="D152" s="21" t="s">
        <v>45</v>
      </c>
      <c r="E152" s="22">
        <v>26568</v>
      </c>
      <c r="F152" s="21" t="s">
        <v>416</v>
      </c>
      <c r="G152" s="21" t="s">
        <v>1618</v>
      </c>
      <c r="H152" s="21" t="s">
        <v>1619</v>
      </c>
      <c r="I152" s="6" t="str">
        <f>VLOOKUP(CLEAN(F152),'World Bank Categories'!$B$4:$C$220,2,FALSE)</f>
        <v>Middle income</v>
      </c>
      <c r="J152" s="21" t="s">
        <v>1620</v>
      </c>
      <c r="K152" s="21" t="s">
        <v>29</v>
      </c>
      <c r="L152" s="21" t="s">
        <v>30</v>
      </c>
      <c r="M152" s="21"/>
      <c r="N152" s="21"/>
      <c r="O152" s="21"/>
      <c r="P152" s="21" t="s">
        <v>31</v>
      </c>
      <c r="Q152" s="9" t="s">
        <v>32</v>
      </c>
      <c r="R152" s="18" t="s">
        <v>33</v>
      </c>
      <c r="S152" s="25" t="s">
        <v>1617</v>
      </c>
      <c r="T152" s="27">
        <v>26568</v>
      </c>
      <c r="U152" s="25" t="s">
        <v>1620</v>
      </c>
      <c r="V152" s="25" t="s">
        <v>80</v>
      </c>
      <c r="W152" s="25"/>
    </row>
    <row r="153" spans="1:23" ht="22.5" customHeight="1">
      <c r="A153" s="28">
        <v>46022.918877314813</v>
      </c>
      <c r="B153" s="29" t="s">
        <v>1624</v>
      </c>
      <c r="C153" s="45"/>
      <c r="D153" s="29" t="s">
        <v>45</v>
      </c>
      <c r="E153" s="30">
        <v>33287</v>
      </c>
      <c r="F153" s="21" t="s">
        <v>980</v>
      </c>
      <c r="G153" s="29" t="s">
        <v>1625</v>
      </c>
      <c r="H153" s="29" t="s">
        <v>111</v>
      </c>
      <c r="I153" s="6" t="str">
        <f>VLOOKUP(CLEAN(F153),'World Bank Categories'!$B$4:$C$220,2,FALSE)</f>
        <v>Middle income</v>
      </c>
      <c r="J153" s="29" t="s">
        <v>1626</v>
      </c>
      <c r="K153" s="29" t="s">
        <v>39</v>
      </c>
      <c r="L153" s="31">
        <v>46205</v>
      </c>
      <c r="M153" s="29"/>
      <c r="N153" s="29"/>
      <c r="O153" s="29"/>
      <c r="P153" s="29" t="s">
        <v>31</v>
      </c>
      <c r="Q153" s="9" t="s">
        <v>32</v>
      </c>
      <c r="R153" s="18" t="s">
        <v>33</v>
      </c>
      <c r="S153" s="25" t="s">
        <v>1624</v>
      </c>
      <c r="T153" s="27">
        <v>33287</v>
      </c>
      <c r="U153" s="25" t="s">
        <v>1626</v>
      </c>
      <c r="V153" s="25" t="s">
        <v>80</v>
      </c>
      <c r="W153" s="25"/>
    </row>
    <row r="154" spans="1:23" ht="22.5" customHeight="1">
      <c r="A154" s="20">
        <v>46022.962546296294</v>
      </c>
      <c r="B154" s="21" t="s">
        <v>1636</v>
      </c>
      <c r="C154" s="21" t="s">
        <v>1637</v>
      </c>
      <c r="D154" s="21" t="s">
        <v>24</v>
      </c>
      <c r="E154" s="22">
        <v>35640</v>
      </c>
      <c r="F154" s="21" t="s">
        <v>799</v>
      </c>
      <c r="G154" s="21" t="s">
        <v>1638</v>
      </c>
      <c r="H154" s="21" t="s">
        <v>1639</v>
      </c>
      <c r="I154" s="6" t="str">
        <f>VLOOKUP(CLEAN(F154),'World Bank Categories'!$B$4:$C$220,2,FALSE)</f>
        <v>Low income</v>
      </c>
      <c r="J154" s="21" t="s">
        <v>1640</v>
      </c>
      <c r="K154" s="21" t="s">
        <v>39</v>
      </c>
      <c r="L154" s="21" t="s">
        <v>30</v>
      </c>
      <c r="M154" s="21"/>
      <c r="N154" s="21"/>
      <c r="O154" s="21"/>
      <c r="P154" s="21" t="s">
        <v>31</v>
      </c>
      <c r="Q154" s="9" t="s">
        <v>32</v>
      </c>
      <c r="R154" s="10" t="s">
        <v>33</v>
      </c>
      <c r="S154" s="25" t="s">
        <v>1641</v>
      </c>
      <c r="T154" s="27">
        <v>35640</v>
      </c>
      <c r="U154" s="25" t="s">
        <v>1640</v>
      </c>
      <c r="V154" s="25" t="s">
        <v>316</v>
      </c>
      <c r="W154" s="25"/>
    </row>
    <row r="155" spans="1:23" ht="22.5" customHeight="1">
      <c r="A155" s="20">
        <v>46022.983715277776</v>
      </c>
      <c r="B155" s="21" t="s">
        <v>1642</v>
      </c>
      <c r="C155" s="38"/>
      <c r="D155" s="21" t="s">
        <v>45</v>
      </c>
      <c r="E155" s="22">
        <v>27918</v>
      </c>
      <c r="F155" s="21" t="s">
        <v>64</v>
      </c>
      <c r="G155" s="21" t="s">
        <v>1599</v>
      </c>
      <c r="H155" s="21" t="s">
        <v>1643</v>
      </c>
      <c r="I155" s="6" t="str">
        <f>VLOOKUP(CLEAN(F155),'World Bank Categories'!$B$4:$C$220,2,FALSE)</f>
        <v>Middle income</v>
      </c>
      <c r="J155" s="21" t="s">
        <v>1644</v>
      </c>
      <c r="K155" s="21" t="s">
        <v>29</v>
      </c>
      <c r="L155" s="21" t="s">
        <v>30</v>
      </c>
      <c r="M155" s="21"/>
      <c r="N155" s="21"/>
      <c r="O155" s="21"/>
      <c r="P155" s="21" t="s">
        <v>31</v>
      </c>
      <c r="Q155" s="9" t="s">
        <v>32</v>
      </c>
      <c r="R155" s="18" t="s">
        <v>17</v>
      </c>
      <c r="S155" s="25" t="s">
        <v>1645</v>
      </c>
      <c r="T155" s="27">
        <v>27918</v>
      </c>
      <c r="U155" s="25" t="s">
        <v>1644</v>
      </c>
      <c r="V155" s="25" t="s">
        <v>154</v>
      </c>
      <c r="W155" s="25"/>
    </row>
    <row r="156" spans="1:23" ht="22.5" customHeight="1">
      <c r="A156" s="46">
        <v>46023.142557870371</v>
      </c>
      <c r="B156" s="47" t="s">
        <v>1675</v>
      </c>
      <c r="C156" s="48"/>
      <c r="D156" s="47" t="s">
        <v>24</v>
      </c>
      <c r="E156" s="49">
        <v>28817</v>
      </c>
      <c r="F156" s="21" t="s">
        <v>208</v>
      </c>
      <c r="G156" s="47" t="s">
        <v>1676</v>
      </c>
      <c r="H156" s="47" t="s">
        <v>1677</v>
      </c>
      <c r="I156" s="6" t="str">
        <f>VLOOKUP(CLEAN(F156),'World Bank Categories'!$B$4:$C$220,2,FALSE)</f>
        <v>Low income</v>
      </c>
      <c r="J156" s="47" t="s">
        <v>1678</v>
      </c>
      <c r="K156" s="47" t="s">
        <v>39</v>
      </c>
      <c r="L156" s="47" t="s">
        <v>152</v>
      </c>
      <c r="M156" s="47"/>
      <c r="N156" s="47"/>
      <c r="O156" s="47"/>
      <c r="P156" s="47" t="s">
        <v>31</v>
      </c>
      <c r="Q156" s="9" t="s">
        <v>32</v>
      </c>
      <c r="R156" s="10" t="s">
        <v>33</v>
      </c>
      <c r="S156" s="25" t="s">
        <v>1679</v>
      </c>
      <c r="T156" s="27">
        <v>28817</v>
      </c>
      <c r="U156" s="25" t="s">
        <v>1678</v>
      </c>
      <c r="V156" s="25" t="s">
        <v>154</v>
      </c>
      <c r="W156" s="25"/>
    </row>
    <row r="157" spans="1:23" ht="22.5" customHeight="1">
      <c r="A157" s="28">
        <v>46023.200138888889</v>
      </c>
      <c r="B157" s="29" t="s">
        <v>1692</v>
      </c>
      <c r="C157" s="29" t="s">
        <v>1693</v>
      </c>
      <c r="D157" s="29" t="s">
        <v>24</v>
      </c>
      <c r="E157" s="30">
        <v>30682</v>
      </c>
      <c r="F157" s="21" t="s">
        <v>1690</v>
      </c>
      <c r="G157" s="29" t="s">
        <v>1694</v>
      </c>
      <c r="H157" s="29" t="s">
        <v>1695</v>
      </c>
      <c r="I157" s="6" t="str">
        <f>VLOOKUP(CLEAN(F157),'World Bank Categories'!$B$4:$C$220,2,FALSE)</f>
        <v>Middle income</v>
      </c>
      <c r="J157" s="29" t="s">
        <v>1696</v>
      </c>
      <c r="K157" s="29" t="s">
        <v>39</v>
      </c>
      <c r="L157" s="29" t="s">
        <v>30</v>
      </c>
      <c r="M157" s="29"/>
      <c r="N157" s="29"/>
      <c r="O157" s="29"/>
      <c r="P157" s="29" t="s">
        <v>31</v>
      </c>
      <c r="Q157" s="9" t="s">
        <v>32</v>
      </c>
      <c r="R157" s="10" t="s">
        <v>33</v>
      </c>
      <c r="S157" s="25" t="s">
        <v>1697</v>
      </c>
      <c r="T157" s="27">
        <v>30682</v>
      </c>
      <c r="U157" s="25" t="s">
        <v>1696</v>
      </c>
      <c r="V157" s="25" t="s">
        <v>154</v>
      </c>
      <c r="W157" s="25"/>
    </row>
    <row r="158" spans="1:23" ht="22.5" customHeight="1">
      <c r="A158" s="20">
        <v>46024.641712962963</v>
      </c>
      <c r="B158" s="21" t="s">
        <v>1707</v>
      </c>
      <c r="C158" s="38"/>
      <c r="D158" s="21" t="s">
        <v>24</v>
      </c>
      <c r="E158" s="22">
        <v>36513</v>
      </c>
      <c r="F158" s="21" t="s">
        <v>227</v>
      </c>
      <c r="G158" s="21" t="s">
        <v>1708</v>
      </c>
      <c r="H158" s="21" t="s">
        <v>1709</v>
      </c>
      <c r="I158" s="6" t="str">
        <f>VLOOKUP(CLEAN(F158),'World Bank Categories'!$B$4:$C$220,2,FALSE)</f>
        <v>Middle income</v>
      </c>
      <c r="J158" s="21" t="s">
        <v>1710</v>
      </c>
      <c r="K158" s="21" t="s">
        <v>29</v>
      </c>
      <c r="L158" s="21" t="s">
        <v>152</v>
      </c>
      <c r="M158" s="21"/>
      <c r="N158" s="21"/>
      <c r="O158" s="21"/>
      <c r="P158" s="21" t="s">
        <v>31</v>
      </c>
      <c r="Q158" s="9" t="s">
        <v>32</v>
      </c>
      <c r="R158" s="10" t="s">
        <v>43</v>
      </c>
      <c r="S158" s="25" t="s">
        <v>1711</v>
      </c>
      <c r="T158" s="27">
        <v>36513</v>
      </c>
      <c r="U158" s="25" t="s">
        <v>1710</v>
      </c>
      <c r="V158" s="25" t="s">
        <v>80</v>
      </c>
      <c r="W158" s="25"/>
    </row>
    <row r="159" spans="1:23" ht="22.5" customHeight="1">
      <c r="A159" s="50">
        <v>46024.920520833337</v>
      </c>
      <c r="B159" s="51" t="s">
        <v>1712</v>
      </c>
      <c r="C159" s="52"/>
      <c r="D159" s="51" t="s">
        <v>24</v>
      </c>
      <c r="E159" s="53">
        <v>37639</v>
      </c>
      <c r="F159" s="51" t="s">
        <v>64</v>
      </c>
      <c r="G159" s="51" t="s">
        <v>1713</v>
      </c>
      <c r="H159" s="51" t="s">
        <v>160</v>
      </c>
      <c r="I159" s="6" t="str">
        <f>VLOOKUP(CLEAN(F159),'World Bank Categories'!$B$4:$C$220,2,FALSE)</f>
        <v>Middle income</v>
      </c>
      <c r="J159" s="51" t="s">
        <v>1714</v>
      </c>
      <c r="K159" s="51" t="s">
        <v>29</v>
      </c>
      <c r="L159" s="51" t="s">
        <v>30</v>
      </c>
      <c r="M159" s="51"/>
      <c r="N159" s="51"/>
      <c r="O159" s="51"/>
      <c r="P159" s="51" t="s">
        <v>31</v>
      </c>
      <c r="Q159" s="9" t="s">
        <v>32</v>
      </c>
      <c r="R159" s="10" t="s">
        <v>43</v>
      </c>
      <c r="S159" s="25" t="s">
        <v>1712</v>
      </c>
      <c r="T159" s="27">
        <v>37639</v>
      </c>
      <c r="U159" s="25" t="s">
        <v>1714</v>
      </c>
      <c r="V159" s="25" t="s">
        <v>80</v>
      </c>
      <c r="W159" s="25"/>
    </row>
    <row r="160" spans="1:23" ht="22.5" customHeight="1">
      <c r="A160" s="20">
        <v>46027.786365740743</v>
      </c>
      <c r="B160" s="21" t="s">
        <v>1738</v>
      </c>
      <c r="C160" s="38"/>
      <c r="D160" s="21" t="s">
        <v>24</v>
      </c>
      <c r="E160" s="22">
        <v>28601</v>
      </c>
      <c r="F160" s="21" t="s">
        <v>245</v>
      </c>
      <c r="G160" s="21" t="s">
        <v>1739</v>
      </c>
      <c r="H160" s="21" t="s">
        <v>1740</v>
      </c>
      <c r="I160" s="6" t="str">
        <f>VLOOKUP(CLEAN(F160),'World Bank Categories'!$B$4:$C$220,2,FALSE)</f>
        <v>Middle income</v>
      </c>
      <c r="J160" s="21" t="s">
        <v>1741</v>
      </c>
      <c r="K160" s="21" t="s">
        <v>29</v>
      </c>
      <c r="L160" s="21" t="s">
        <v>30</v>
      </c>
      <c r="M160" s="21" t="s">
        <v>1742</v>
      </c>
      <c r="N160" s="21"/>
      <c r="O160" s="21"/>
      <c r="P160" s="21" t="s">
        <v>31</v>
      </c>
      <c r="Q160" s="9" t="s">
        <v>32</v>
      </c>
      <c r="R160" s="18" t="s">
        <v>43</v>
      </c>
      <c r="S160" s="25" t="s">
        <v>1743</v>
      </c>
      <c r="T160" s="27">
        <v>28601</v>
      </c>
      <c r="U160" s="25" t="s">
        <v>1741</v>
      </c>
      <c r="V160" s="25" t="s">
        <v>154</v>
      </c>
      <c r="W160" s="25"/>
    </row>
    <row r="161" spans="1:23" ht="22.5" customHeight="1">
      <c r="A161" s="20">
        <v>46027.909479166665</v>
      </c>
      <c r="B161" s="21" t="s">
        <v>1744</v>
      </c>
      <c r="C161" s="38"/>
      <c r="D161" s="21" t="s">
        <v>24</v>
      </c>
      <c r="E161" s="22">
        <v>36703</v>
      </c>
      <c r="F161" s="21" t="s">
        <v>1745</v>
      </c>
      <c r="G161" s="21" t="s">
        <v>1746</v>
      </c>
      <c r="H161" s="21" t="s">
        <v>1747</v>
      </c>
      <c r="I161" s="6" t="str">
        <f>VLOOKUP(CLEAN(F161),'World Bank Categories'!$B$4:$C$220,2,FALSE)</f>
        <v>High income</v>
      </c>
      <c r="J161" s="21" t="s">
        <v>1748</v>
      </c>
      <c r="K161" s="21" t="s">
        <v>29</v>
      </c>
      <c r="L161" s="21" t="s">
        <v>30</v>
      </c>
      <c r="M161" s="21"/>
      <c r="N161" s="21"/>
      <c r="O161" s="21"/>
      <c r="P161" s="21" t="s">
        <v>31</v>
      </c>
      <c r="Q161" s="9" t="s">
        <v>32</v>
      </c>
      <c r="R161" s="10" t="s">
        <v>33</v>
      </c>
      <c r="S161" s="25" t="s">
        <v>1749</v>
      </c>
      <c r="T161" s="27">
        <v>36703</v>
      </c>
      <c r="U161" s="25" t="s">
        <v>1748</v>
      </c>
      <c r="V161" s="25" t="s">
        <v>80</v>
      </c>
      <c r="W161" s="25"/>
    </row>
    <row r="162" spans="1:23" ht="22.5" customHeight="1">
      <c r="A162" s="20">
        <v>46028.649305555555</v>
      </c>
      <c r="B162" s="21" t="s">
        <v>1760</v>
      </c>
      <c r="C162" s="21" t="s">
        <v>1761</v>
      </c>
      <c r="D162" s="21" t="s">
        <v>24</v>
      </c>
      <c r="E162" s="22">
        <v>30817</v>
      </c>
      <c r="F162" s="21" t="s">
        <v>416</v>
      </c>
      <c r="G162" s="21" t="s">
        <v>1762</v>
      </c>
      <c r="H162" s="21" t="s">
        <v>1763</v>
      </c>
      <c r="I162" s="6" t="str">
        <f>VLOOKUP(CLEAN(F162),'World Bank Categories'!$B$4:$C$220,2,FALSE)</f>
        <v>Middle income</v>
      </c>
      <c r="J162" s="21" t="s">
        <v>1764</v>
      </c>
      <c r="K162" s="21" t="s">
        <v>39</v>
      </c>
      <c r="L162" s="21" t="s">
        <v>162</v>
      </c>
      <c r="M162" s="21"/>
      <c r="N162" s="21"/>
      <c r="O162" s="21"/>
      <c r="P162" s="21" t="s">
        <v>31</v>
      </c>
      <c r="Q162" s="9" t="s">
        <v>32</v>
      </c>
      <c r="R162" s="60" t="s">
        <v>33</v>
      </c>
      <c r="S162" s="25" t="s">
        <v>1765</v>
      </c>
      <c r="T162" s="27">
        <v>30817</v>
      </c>
      <c r="U162" s="61" t="s">
        <v>1766</v>
      </c>
      <c r="V162" s="25" t="s">
        <v>1767</v>
      </c>
      <c r="W162" s="25"/>
    </row>
    <row r="163" spans="1:23" ht="22.5" customHeight="1">
      <c r="A163" s="20">
        <v>46029.174733796295</v>
      </c>
      <c r="B163" s="21" t="s">
        <v>1774</v>
      </c>
      <c r="C163" s="38"/>
      <c r="D163" s="21" t="s">
        <v>45</v>
      </c>
      <c r="E163" s="22">
        <v>34179</v>
      </c>
      <c r="F163" s="21" t="s">
        <v>232</v>
      </c>
      <c r="G163" s="21" t="s">
        <v>1775</v>
      </c>
      <c r="H163" s="21" t="s">
        <v>186</v>
      </c>
      <c r="I163" s="6" t="str">
        <f>VLOOKUP(CLEAN(F163),'World Bank Categories'!$B$4:$C$220,2,FALSE)</f>
        <v>Middle income</v>
      </c>
      <c r="J163" s="21" t="s">
        <v>1776</v>
      </c>
      <c r="K163" s="21" t="s">
        <v>39</v>
      </c>
      <c r="L163" s="21" t="s">
        <v>621</v>
      </c>
      <c r="M163" s="21" t="s">
        <v>1777</v>
      </c>
      <c r="N163" s="21"/>
      <c r="O163" s="21"/>
      <c r="P163" s="21" t="s">
        <v>31</v>
      </c>
      <c r="Q163" s="9" t="s">
        <v>32</v>
      </c>
      <c r="R163" s="10" t="s">
        <v>43</v>
      </c>
      <c r="S163" s="25" t="s">
        <v>1774</v>
      </c>
      <c r="T163" s="27">
        <v>34179</v>
      </c>
      <c r="U163" s="25" t="s">
        <v>1776</v>
      </c>
      <c r="V163" s="25" t="s">
        <v>80</v>
      </c>
      <c r="W163" s="25"/>
    </row>
    <row r="164" spans="1:23" ht="22.5" customHeight="1">
      <c r="A164" s="20">
        <v>46030.285532407404</v>
      </c>
      <c r="B164" s="21" t="s">
        <v>1784</v>
      </c>
      <c r="C164" s="38"/>
      <c r="D164" s="21" t="s">
        <v>24</v>
      </c>
      <c r="E164" s="22">
        <v>31724</v>
      </c>
      <c r="F164" s="21" t="s">
        <v>227</v>
      </c>
      <c r="G164" s="21" t="s">
        <v>1785</v>
      </c>
      <c r="H164" s="21" t="s">
        <v>66</v>
      </c>
      <c r="I164" s="6" t="str">
        <f>VLOOKUP(CLEAN(F164),'World Bank Categories'!$B$4:$C$220,2,FALSE)</f>
        <v>Middle income</v>
      </c>
      <c r="J164" s="21" t="s">
        <v>1786</v>
      </c>
      <c r="K164" s="21" t="s">
        <v>29</v>
      </c>
      <c r="L164" s="21" t="s">
        <v>30</v>
      </c>
      <c r="M164" s="21"/>
      <c r="N164" s="21"/>
      <c r="O164" s="21"/>
      <c r="P164" s="21" t="s">
        <v>31</v>
      </c>
      <c r="Q164" s="9" t="s">
        <v>32</v>
      </c>
      <c r="R164" s="18" t="s">
        <v>43</v>
      </c>
      <c r="S164" s="25" t="s">
        <v>1784</v>
      </c>
      <c r="T164" s="27">
        <v>31724</v>
      </c>
      <c r="U164" s="25" t="s">
        <v>1786</v>
      </c>
      <c r="V164" s="25" t="s">
        <v>80</v>
      </c>
      <c r="W164" s="25"/>
    </row>
    <row r="165" spans="1:23" ht="22.5" customHeight="1">
      <c r="A165" s="20">
        <v>46030.645844907405</v>
      </c>
      <c r="B165" s="21" t="s">
        <v>1787</v>
      </c>
      <c r="C165" s="38"/>
      <c r="D165" s="21" t="s">
        <v>45</v>
      </c>
      <c r="E165" s="22">
        <v>33521</v>
      </c>
      <c r="F165" s="21" t="s">
        <v>1788</v>
      </c>
      <c r="G165" s="21" t="s">
        <v>1789</v>
      </c>
      <c r="H165" s="21" t="s">
        <v>1790</v>
      </c>
      <c r="I165" s="6" t="str">
        <f>VLOOKUP(CLEAN(F165),'World Bank Categories'!$B$4:$C$220,2,FALSE)</f>
        <v>Low income</v>
      </c>
      <c r="J165" s="21" t="s">
        <v>1791</v>
      </c>
      <c r="K165" s="21" t="s">
        <v>29</v>
      </c>
      <c r="L165" s="32">
        <v>46202</v>
      </c>
      <c r="M165" s="21"/>
      <c r="N165" s="21"/>
      <c r="O165" s="21"/>
      <c r="P165" s="21" t="s">
        <v>31</v>
      </c>
      <c r="Q165" s="9" t="s">
        <v>32</v>
      </c>
      <c r="R165" s="10" t="s">
        <v>33</v>
      </c>
      <c r="S165" s="25" t="s">
        <v>1787</v>
      </c>
      <c r="T165" s="27">
        <v>33521</v>
      </c>
      <c r="U165" s="25" t="s">
        <v>1791</v>
      </c>
      <c r="V165" s="25" t="s">
        <v>80</v>
      </c>
      <c r="W165" s="25"/>
    </row>
    <row r="166" spans="1:23" ht="22.5" customHeight="1">
      <c r="A166" s="28">
        <v>46031.707824074074</v>
      </c>
      <c r="B166" s="29" t="s">
        <v>1792</v>
      </c>
      <c r="C166" s="29" t="s">
        <v>871</v>
      </c>
      <c r="D166" s="29" t="s">
        <v>45</v>
      </c>
      <c r="E166" s="30">
        <v>28098</v>
      </c>
      <c r="F166" s="29" t="s">
        <v>1793</v>
      </c>
      <c r="G166" s="29" t="s">
        <v>1794</v>
      </c>
      <c r="H166" s="29" t="s">
        <v>111</v>
      </c>
      <c r="I166" s="6" t="str">
        <f>VLOOKUP(CLEAN(F166),'World Bank Categories'!$B$4:$C$220,2,FALSE)</f>
        <v>Middle income</v>
      </c>
      <c r="J166" s="29" t="s">
        <v>1795</v>
      </c>
      <c r="K166" s="29" t="s">
        <v>29</v>
      </c>
      <c r="L166" s="29" t="s">
        <v>30</v>
      </c>
      <c r="M166" s="29" t="s">
        <v>1796</v>
      </c>
      <c r="N166" s="29"/>
      <c r="O166" s="29"/>
      <c r="P166" s="29" t="s">
        <v>31</v>
      </c>
      <c r="Q166" s="9" t="s">
        <v>32</v>
      </c>
      <c r="R166" s="18" t="s">
        <v>33</v>
      </c>
      <c r="S166" s="25" t="s">
        <v>1797</v>
      </c>
      <c r="T166" s="27">
        <v>28098</v>
      </c>
      <c r="U166" s="25" t="s">
        <v>1795</v>
      </c>
      <c r="V166" s="25" t="s">
        <v>80</v>
      </c>
      <c r="W166" s="25"/>
    </row>
    <row r="167" spans="1:23" ht="22.5" customHeight="1">
      <c r="A167" s="20">
        <v>46034.835868055554</v>
      </c>
      <c r="B167" s="21" t="s">
        <v>1804</v>
      </c>
      <c r="C167" s="21" t="s">
        <v>1805</v>
      </c>
      <c r="D167" s="21" t="s">
        <v>45</v>
      </c>
      <c r="E167" s="22">
        <v>34308</v>
      </c>
      <c r="F167" s="21" t="s">
        <v>88</v>
      </c>
      <c r="G167" s="21" t="s">
        <v>1806</v>
      </c>
      <c r="H167" s="21" t="s">
        <v>738</v>
      </c>
      <c r="I167" s="6" t="str">
        <f>VLOOKUP(CLEAN(F167),'World Bank Categories'!$B$4:$C$220,2,FALSE)</f>
        <v>Low income</v>
      </c>
      <c r="J167" s="21" t="s">
        <v>1807</v>
      </c>
      <c r="K167" s="21" t="s">
        <v>29</v>
      </c>
      <c r="L167" s="21" t="s">
        <v>241</v>
      </c>
      <c r="M167" s="21"/>
      <c r="N167" s="21"/>
      <c r="O167" s="21"/>
      <c r="P167" s="21" t="s">
        <v>31</v>
      </c>
      <c r="Q167" s="9" t="s">
        <v>32</v>
      </c>
      <c r="R167" s="10" t="s">
        <v>43</v>
      </c>
      <c r="S167" s="25" t="s">
        <v>1804</v>
      </c>
      <c r="T167" s="27">
        <v>34308</v>
      </c>
      <c r="U167" s="25" t="s">
        <v>1807</v>
      </c>
      <c r="V167" s="25" t="s">
        <v>80</v>
      </c>
      <c r="W167" s="25"/>
    </row>
    <row r="168" spans="1:23" ht="22.5" customHeight="1">
      <c r="A168" s="50">
        <v>46036.194340277776</v>
      </c>
      <c r="B168" s="51" t="s">
        <v>1811</v>
      </c>
      <c r="C168" s="52"/>
      <c r="D168" s="51" t="s">
        <v>45</v>
      </c>
      <c r="E168" s="53">
        <v>37541</v>
      </c>
      <c r="F168" s="51" t="s">
        <v>310</v>
      </c>
      <c r="G168" s="51" t="s">
        <v>1812</v>
      </c>
      <c r="H168" s="51" t="s">
        <v>160</v>
      </c>
      <c r="I168" s="6" t="str">
        <f>VLOOKUP(CLEAN(F168),'World Bank Categories'!$B$4:$C$220,2,FALSE)</f>
        <v>High income</v>
      </c>
      <c r="J168" s="51" t="s">
        <v>1813</v>
      </c>
      <c r="K168" s="51" t="s">
        <v>29</v>
      </c>
      <c r="L168" s="51" t="s">
        <v>30</v>
      </c>
      <c r="M168" s="51"/>
      <c r="N168" s="51"/>
      <c r="O168" s="51"/>
      <c r="P168" s="51" t="s">
        <v>31</v>
      </c>
      <c r="Q168" s="9" t="s">
        <v>32</v>
      </c>
      <c r="R168" s="18" t="s">
        <v>33</v>
      </c>
      <c r="S168" s="25" t="s">
        <v>1814</v>
      </c>
      <c r="T168" s="27">
        <v>37541</v>
      </c>
      <c r="U168" s="25" t="s">
        <v>1813</v>
      </c>
      <c r="V168" s="25" t="s">
        <v>1815</v>
      </c>
      <c r="W168" s="25"/>
    </row>
    <row r="169" spans="1:23" ht="22.5" customHeight="1">
      <c r="A169" s="20">
        <v>46036.462164351855</v>
      </c>
      <c r="B169" s="21" t="s">
        <v>1816</v>
      </c>
      <c r="C169" s="38"/>
      <c r="D169" s="21" t="s">
        <v>45</v>
      </c>
      <c r="E169" s="22">
        <v>38177</v>
      </c>
      <c r="F169" s="21" t="s">
        <v>198</v>
      </c>
      <c r="G169" s="21" t="s">
        <v>1817</v>
      </c>
      <c r="H169" s="21" t="s">
        <v>1818</v>
      </c>
      <c r="I169" s="6" t="str">
        <f>VLOOKUP(CLEAN(F169),'World Bank Categories'!$B$4:$C$220,2,FALSE)</f>
        <v>Middle income</v>
      </c>
      <c r="J169" s="21" t="s">
        <v>1819</v>
      </c>
      <c r="K169" s="21" t="s">
        <v>29</v>
      </c>
      <c r="L169" s="21" t="s">
        <v>30</v>
      </c>
      <c r="M169" s="21"/>
      <c r="N169" s="21"/>
      <c r="O169" s="21"/>
      <c r="P169" s="21" t="s">
        <v>31</v>
      </c>
      <c r="Q169" s="9" t="s">
        <v>32</v>
      </c>
      <c r="R169" s="18" t="s">
        <v>33</v>
      </c>
      <c r="S169" s="25" t="s">
        <v>1816</v>
      </c>
      <c r="T169" s="27">
        <v>38177</v>
      </c>
      <c r="U169" s="25" t="s">
        <v>1819</v>
      </c>
      <c r="V169" s="25" t="s">
        <v>80</v>
      </c>
      <c r="W169" s="25"/>
    </row>
    <row r="170" spans="1:23" ht="22.5" customHeight="1">
      <c r="A170" s="20">
        <v>46036.474131944444</v>
      </c>
      <c r="B170" s="21" t="s">
        <v>1820</v>
      </c>
      <c r="C170" s="38"/>
      <c r="D170" s="21" t="s">
        <v>45</v>
      </c>
      <c r="E170" s="22">
        <v>34163</v>
      </c>
      <c r="F170" s="21" t="s">
        <v>198</v>
      </c>
      <c r="G170" s="21" t="s">
        <v>1821</v>
      </c>
      <c r="H170" s="21" t="s">
        <v>111</v>
      </c>
      <c r="I170" s="6" t="str">
        <f>VLOOKUP(CLEAN(F170),'World Bank Categories'!$B$4:$C$220,2,FALSE)</f>
        <v>Middle income</v>
      </c>
      <c r="J170" s="21" t="s">
        <v>1822</v>
      </c>
      <c r="K170" s="21" t="s">
        <v>29</v>
      </c>
      <c r="L170" s="21" t="s">
        <v>30</v>
      </c>
      <c r="M170" s="21"/>
      <c r="N170" s="21"/>
      <c r="O170" s="21"/>
      <c r="P170" s="21" t="s">
        <v>31</v>
      </c>
      <c r="Q170" s="9" t="s">
        <v>32</v>
      </c>
      <c r="R170" s="10" t="s">
        <v>33</v>
      </c>
      <c r="S170" s="25" t="s">
        <v>1823</v>
      </c>
      <c r="T170" s="27">
        <v>34163</v>
      </c>
      <c r="U170" s="25" t="s">
        <v>1822</v>
      </c>
      <c r="V170" s="25" t="s">
        <v>80</v>
      </c>
      <c r="W170" s="25"/>
    </row>
    <row r="171" spans="1:23" ht="22.5" customHeight="1">
      <c r="A171" s="20">
        <v>46037.537766203706</v>
      </c>
      <c r="B171" s="21" t="s">
        <v>1827</v>
      </c>
      <c r="C171" s="38"/>
      <c r="D171" s="21" t="s">
        <v>45</v>
      </c>
      <c r="E171" s="22">
        <v>27957</v>
      </c>
      <c r="F171" s="21" t="s">
        <v>416</v>
      </c>
      <c r="G171" s="21" t="s">
        <v>1828</v>
      </c>
      <c r="H171" s="21" t="s">
        <v>1829</v>
      </c>
      <c r="I171" s="6" t="str">
        <f>VLOOKUP(CLEAN(F171),'World Bank Categories'!$B$4:$C$220,2,FALSE)</f>
        <v>Middle income</v>
      </c>
      <c r="J171" s="21" t="s">
        <v>1830</v>
      </c>
      <c r="K171" s="21" t="s">
        <v>29</v>
      </c>
      <c r="L171" s="21" t="s">
        <v>30</v>
      </c>
      <c r="M171" s="21"/>
      <c r="N171" s="21"/>
      <c r="O171" s="21"/>
      <c r="P171" s="21" t="s">
        <v>31</v>
      </c>
      <c r="Q171" s="9" t="s">
        <v>32</v>
      </c>
      <c r="R171" s="10" t="s">
        <v>33</v>
      </c>
      <c r="S171" s="25" t="s">
        <v>1831</v>
      </c>
      <c r="T171" s="27">
        <v>27957</v>
      </c>
      <c r="U171" s="25" t="s">
        <v>1832</v>
      </c>
      <c r="V171" s="25" t="s">
        <v>80</v>
      </c>
      <c r="W171" s="25"/>
    </row>
    <row r="172" spans="1:23" ht="22.5" customHeight="1">
      <c r="A172" s="20">
        <v>46038.401076388887</v>
      </c>
      <c r="B172" s="21" t="s">
        <v>1833</v>
      </c>
      <c r="C172" s="38"/>
      <c r="D172" s="21" t="s">
        <v>24</v>
      </c>
      <c r="E172" s="22">
        <v>22296</v>
      </c>
      <c r="F172" s="21" t="s">
        <v>1834</v>
      </c>
      <c r="G172" s="21" t="s">
        <v>1835</v>
      </c>
      <c r="H172" s="21" t="s">
        <v>1836</v>
      </c>
      <c r="I172" s="6" t="str">
        <f>VLOOKUP(CLEAN(F172),'World Bank Categories'!$B$4:$C$220,2,FALSE)</f>
        <v>Middle income</v>
      </c>
      <c r="J172" s="21" t="s">
        <v>1837</v>
      </c>
      <c r="K172" s="21" t="s">
        <v>29</v>
      </c>
      <c r="L172" s="21" t="s">
        <v>162</v>
      </c>
      <c r="M172" s="21"/>
      <c r="N172" s="21"/>
      <c r="O172" s="21"/>
      <c r="P172" s="21" t="s">
        <v>31</v>
      </c>
      <c r="Q172" s="9" t="s">
        <v>32</v>
      </c>
      <c r="R172" s="18" t="s">
        <v>33</v>
      </c>
      <c r="S172" s="25" t="s">
        <v>1838</v>
      </c>
      <c r="T172" s="27">
        <v>22296</v>
      </c>
      <c r="U172" s="25" t="s">
        <v>1837</v>
      </c>
      <c r="V172" s="25" t="s">
        <v>154</v>
      </c>
      <c r="W172" s="25"/>
    </row>
    <row r="173" spans="1:23" ht="22.5" customHeight="1">
      <c r="A173" s="20">
        <v>46038.503981481481</v>
      </c>
      <c r="B173" s="21" t="s">
        <v>1839</v>
      </c>
      <c r="C173" s="38"/>
      <c r="D173" s="21" t="s">
        <v>24</v>
      </c>
      <c r="E173" s="22">
        <v>36205</v>
      </c>
      <c r="F173" s="21" t="s">
        <v>198</v>
      </c>
      <c r="G173" s="21" t="s">
        <v>1840</v>
      </c>
      <c r="H173" s="21" t="s">
        <v>1841</v>
      </c>
      <c r="I173" s="6" t="str">
        <f>VLOOKUP(CLEAN(F173),'World Bank Categories'!$B$4:$C$220,2,FALSE)</f>
        <v>Middle income</v>
      </c>
      <c r="J173" s="21" t="s">
        <v>1842</v>
      </c>
      <c r="K173" s="21" t="s">
        <v>29</v>
      </c>
      <c r="L173" s="21" t="s">
        <v>30</v>
      </c>
      <c r="M173" s="21"/>
      <c r="N173" s="21"/>
      <c r="O173" s="21"/>
      <c r="P173" s="21" t="s">
        <v>31</v>
      </c>
      <c r="Q173" s="9" t="s">
        <v>32</v>
      </c>
      <c r="R173" s="10" t="s">
        <v>33</v>
      </c>
      <c r="S173" s="25" t="s">
        <v>1843</v>
      </c>
      <c r="T173" s="27">
        <v>36205</v>
      </c>
      <c r="U173" s="25" t="s">
        <v>1842</v>
      </c>
      <c r="V173" s="25" t="s">
        <v>80</v>
      </c>
      <c r="W173" s="25"/>
    </row>
    <row r="174" spans="1:23" ht="22.5" customHeight="1">
      <c r="A174" s="13">
        <v>46039.934555925924</v>
      </c>
      <c r="B174" s="14" t="s">
        <v>1844</v>
      </c>
      <c r="C174" s="15"/>
      <c r="D174" s="14" t="s">
        <v>24</v>
      </c>
      <c r="E174" s="16">
        <v>30243</v>
      </c>
      <c r="F174" s="14" t="s">
        <v>227</v>
      </c>
      <c r="G174" s="14" t="s">
        <v>1845</v>
      </c>
      <c r="H174" s="14" t="s">
        <v>1756</v>
      </c>
      <c r="I174" s="6" t="str">
        <f>VLOOKUP(CLEAN(F174),'World Bank Categories'!$B$4:$C$220,2,FALSE)</f>
        <v>Middle income</v>
      </c>
      <c r="J174" s="14" t="s">
        <v>1846</v>
      </c>
      <c r="K174" s="14" t="s">
        <v>29</v>
      </c>
      <c r="L174" s="14" t="s">
        <v>30</v>
      </c>
      <c r="M174" s="15"/>
      <c r="N174" s="14"/>
      <c r="O174" s="14"/>
      <c r="P174" s="14" t="s">
        <v>31</v>
      </c>
      <c r="Q174" s="9" t="s">
        <v>32</v>
      </c>
      <c r="R174" s="18" t="s">
        <v>43</v>
      </c>
      <c r="S174" s="19" t="s">
        <v>1847</v>
      </c>
      <c r="T174" s="12"/>
      <c r="U174" s="12"/>
      <c r="V174" s="12"/>
      <c r="W174" s="12"/>
    </row>
    <row r="175" spans="1:23" ht="22.5" customHeight="1">
      <c r="A175" s="28">
        <v>46040.917222222219</v>
      </c>
      <c r="B175" s="29" t="s">
        <v>1857</v>
      </c>
      <c r="C175" s="29" t="s">
        <v>1858</v>
      </c>
      <c r="D175" s="29" t="s">
        <v>24</v>
      </c>
      <c r="E175" s="30">
        <v>36056</v>
      </c>
      <c r="F175" s="29" t="s">
        <v>198</v>
      </c>
      <c r="G175" s="29" t="s">
        <v>1859</v>
      </c>
      <c r="H175" s="29" t="s">
        <v>111</v>
      </c>
      <c r="I175" s="6" t="str">
        <f>VLOOKUP(CLEAN(F175),'World Bank Categories'!$B$4:$C$220,2,FALSE)</f>
        <v>Middle income</v>
      </c>
      <c r="J175" s="29" t="s">
        <v>1860</v>
      </c>
      <c r="K175" s="29" t="s">
        <v>29</v>
      </c>
      <c r="L175" s="29" t="s">
        <v>162</v>
      </c>
      <c r="M175" s="29"/>
      <c r="N175" s="29"/>
      <c r="O175" s="29"/>
      <c r="P175" s="29" t="s">
        <v>31</v>
      </c>
      <c r="Q175" s="9" t="s">
        <v>32</v>
      </c>
      <c r="R175" s="10" t="s">
        <v>43</v>
      </c>
      <c r="S175" s="25" t="s">
        <v>1861</v>
      </c>
      <c r="T175" s="27">
        <v>36056</v>
      </c>
      <c r="U175" s="25" t="s">
        <v>1860</v>
      </c>
      <c r="V175" s="25" t="s">
        <v>80</v>
      </c>
      <c r="W175" s="25"/>
    </row>
    <row r="176" spans="1:23" ht="22.5" customHeight="1">
      <c r="A176" s="20">
        <v>46042.005740740744</v>
      </c>
      <c r="B176" s="21" t="s">
        <v>1873</v>
      </c>
      <c r="C176" s="38"/>
      <c r="D176" s="21" t="s">
        <v>24</v>
      </c>
      <c r="E176" s="22">
        <v>37259</v>
      </c>
      <c r="F176" s="21" t="s">
        <v>198</v>
      </c>
      <c r="G176" s="21" t="s">
        <v>1874</v>
      </c>
      <c r="H176" s="21" t="s">
        <v>1875</v>
      </c>
      <c r="I176" s="6" t="str">
        <f>VLOOKUP(CLEAN(F176),'World Bank Categories'!$B$4:$C$220,2,FALSE)</f>
        <v>Middle income</v>
      </c>
      <c r="J176" s="21" t="s">
        <v>1876</v>
      </c>
      <c r="K176" s="21" t="s">
        <v>29</v>
      </c>
      <c r="L176" s="21" t="s">
        <v>30</v>
      </c>
      <c r="M176" s="21" t="s">
        <v>1877</v>
      </c>
      <c r="N176" s="21"/>
      <c r="O176" s="21"/>
      <c r="P176" s="21" t="s">
        <v>31</v>
      </c>
      <c r="Q176" s="9" t="s">
        <v>32</v>
      </c>
      <c r="R176" s="10" t="s">
        <v>1878</v>
      </c>
      <c r="S176" s="25" t="s">
        <v>1873</v>
      </c>
      <c r="T176" s="27">
        <v>37259</v>
      </c>
      <c r="U176" s="25" t="s">
        <v>1876</v>
      </c>
      <c r="V176" s="25" t="s">
        <v>80</v>
      </c>
      <c r="W176" s="25"/>
    </row>
    <row r="177" spans="1:23" ht="22.5" customHeight="1">
      <c r="A177" s="20">
        <v>46042.882222222222</v>
      </c>
      <c r="B177" s="21" t="s">
        <v>1895</v>
      </c>
      <c r="C177" s="38"/>
      <c r="D177" s="21" t="s">
        <v>45</v>
      </c>
      <c r="E177" s="22">
        <v>33142</v>
      </c>
      <c r="F177" s="21" t="s">
        <v>227</v>
      </c>
      <c r="G177" s="21" t="s">
        <v>1896</v>
      </c>
      <c r="H177" s="21" t="s">
        <v>1897</v>
      </c>
      <c r="I177" s="6" t="str">
        <f>VLOOKUP(CLEAN(F177),'World Bank Categories'!$B$4:$C$220,2,FALSE)</f>
        <v>Middle income</v>
      </c>
      <c r="J177" s="21" t="s">
        <v>1898</v>
      </c>
      <c r="K177" s="21" t="s">
        <v>29</v>
      </c>
      <c r="L177" s="21" t="s">
        <v>30</v>
      </c>
      <c r="M177" s="21"/>
      <c r="N177" s="21"/>
      <c r="O177" s="21"/>
      <c r="P177" s="21" t="s">
        <v>31</v>
      </c>
      <c r="Q177" s="9" t="s">
        <v>32</v>
      </c>
      <c r="R177" s="18" t="s">
        <v>33</v>
      </c>
      <c r="S177" s="25" t="s">
        <v>1895</v>
      </c>
      <c r="T177" s="27">
        <v>33142</v>
      </c>
      <c r="U177" s="25" t="s">
        <v>1898</v>
      </c>
      <c r="V177" s="25" t="s">
        <v>80</v>
      </c>
      <c r="W177" s="25"/>
    </row>
    <row r="178" spans="1:23" ht="22.5" customHeight="1">
      <c r="A178" s="20">
        <v>46044.714733796296</v>
      </c>
      <c r="B178" s="21" t="s">
        <v>1899</v>
      </c>
      <c r="C178" s="21"/>
      <c r="D178" s="21" t="s">
        <v>24</v>
      </c>
      <c r="E178" s="22">
        <v>31420</v>
      </c>
      <c r="F178" s="21" t="s">
        <v>1900</v>
      </c>
      <c r="G178" s="21" t="s">
        <v>1901</v>
      </c>
      <c r="H178" s="21" t="s">
        <v>1902</v>
      </c>
      <c r="I178" s="6" t="str">
        <f>VLOOKUP(CLEAN(F178),'World Bank Categories'!$B$4:$C$220,2,FALSE)</f>
        <v>Middle income</v>
      </c>
      <c r="J178" s="21" t="s">
        <v>1903</v>
      </c>
      <c r="K178" s="21" t="s">
        <v>29</v>
      </c>
      <c r="L178" s="21" t="s">
        <v>162</v>
      </c>
      <c r="M178" s="21"/>
      <c r="N178" s="21"/>
      <c r="O178" s="21"/>
      <c r="P178" s="21" t="s">
        <v>31</v>
      </c>
      <c r="Q178" s="9" t="s">
        <v>32</v>
      </c>
      <c r="R178" s="10" t="s">
        <v>33</v>
      </c>
      <c r="S178" s="25" t="s">
        <v>1899</v>
      </c>
      <c r="T178" s="27">
        <v>31420</v>
      </c>
      <c r="U178" s="25" t="s">
        <v>1903</v>
      </c>
      <c r="V178" s="25" t="s">
        <v>80</v>
      </c>
      <c r="W178" s="25"/>
    </row>
    <row r="179" spans="1:23" ht="22.5" customHeight="1">
      <c r="A179" s="20">
        <v>46044.941377314812</v>
      </c>
      <c r="B179" s="21" t="s">
        <v>1904</v>
      </c>
      <c r="C179" s="21"/>
      <c r="D179" s="21" t="s">
        <v>24</v>
      </c>
      <c r="E179" s="22">
        <v>28919</v>
      </c>
      <c r="F179" s="21" t="s">
        <v>1905</v>
      </c>
      <c r="G179" s="21" t="s">
        <v>1906</v>
      </c>
      <c r="H179" s="21" t="s">
        <v>186</v>
      </c>
      <c r="I179" s="6" t="str">
        <f>VLOOKUP(CLEAN(F179),'World Bank Categories'!$B$4:$C$220,2,FALSE)</f>
        <v>Low income</v>
      </c>
      <c r="J179" s="21" t="s">
        <v>1907</v>
      </c>
      <c r="K179" s="21" t="s">
        <v>29</v>
      </c>
      <c r="L179" s="21" t="s">
        <v>30</v>
      </c>
      <c r="M179" s="21"/>
      <c r="N179" s="21"/>
      <c r="O179" s="21"/>
      <c r="P179" s="21" t="s">
        <v>31</v>
      </c>
      <c r="Q179" s="9" t="s">
        <v>32</v>
      </c>
      <c r="R179" s="18" t="s">
        <v>33</v>
      </c>
      <c r="S179" s="25" t="s">
        <v>1904</v>
      </c>
      <c r="T179" s="27">
        <v>28919</v>
      </c>
      <c r="U179" s="25" t="s">
        <v>1907</v>
      </c>
      <c r="V179" s="25" t="s">
        <v>80</v>
      </c>
      <c r="W179" s="25"/>
    </row>
    <row r="180" spans="1:23" ht="22.5" customHeight="1">
      <c r="A180" s="20">
        <v>46046.196261574078</v>
      </c>
      <c r="B180" s="21" t="s">
        <v>1914</v>
      </c>
      <c r="C180" s="38"/>
      <c r="D180" s="21" t="s">
        <v>45</v>
      </c>
      <c r="E180" s="22">
        <v>21506</v>
      </c>
      <c r="F180" s="21" t="s">
        <v>332</v>
      </c>
      <c r="G180" s="21" t="s">
        <v>1915</v>
      </c>
      <c r="H180" s="21" t="s">
        <v>1655</v>
      </c>
      <c r="I180" s="6" t="str">
        <f>VLOOKUP(CLEAN(F180),'World Bank Categories'!$B$4:$C$220,2,FALSE)</f>
        <v>High income</v>
      </c>
      <c r="J180" s="21" t="s">
        <v>1916</v>
      </c>
      <c r="K180" s="21" t="s">
        <v>39</v>
      </c>
      <c r="L180" s="21" t="s">
        <v>621</v>
      </c>
      <c r="M180" s="21"/>
      <c r="N180" s="21"/>
      <c r="O180" s="21"/>
      <c r="P180" s="21" t="s">
        <v>31</v>
      </c>
      <c r="Q180" s="9" t="s">
        <v>32</v>
      </c>
      <c r="R180" s="18" t="s">
        <v>33</v>
      </c>
      <c r="S180" s="25" t="s">
        <v>1917</v>
      </c>
      <c r="T180" s="27">
        <v>21506</v>
      </c>
      <c r="U180" s="25" t="s">
        <v>1916</v>
      </c>
      <c r="V180" s="25" t="s">
        <v>154</v>
      </c>
      <c r="W180" s="25"/>
    </row>
    <row r="181" spans="1:23" ht="22.5" customHeight="1">
      <c r="A181" s="46">
        <v>46046.811539351853</v>
      </c>
      <c r="B181" s="47" t="s">
        <v>1918</v>
      </c>
      <c r="C181" s="48"/>
      <c r="D181" s="47" t="s">
        <v>24</v>
      </c>
      <c r="E181" s="49">
        <v>36581</v>
      </c>
      <c r="F181" s="47" t="s">
        <v>470</v>
      </c>
      <c r="G181" s="47" t="s">
        <v>1918</v>
      </c>
      <c r="H181" s="47" t="s">
        <v>1919</v>
      </c>
      <c r="I181" s="6" t="str">
        <f>VLOOKUP(CLEAN(F181),'World Bank Categories'!$B$4:$C$220,2,FALSE)</f>
        <v>Middle income</v>
      </c>
      <c r="J181" s="47" t="s">
        <v>1920</v>
      </c>
      <c r="K181" s="47" t="s">
        <v>39</v>
      </c>
      <c r="L181" s="47" t="s">
        <v>30</v>
      </c>
      <c r="M181" s="47"/>
      <c r="N181" s="47"/>
      <c r="O181" s="47"/>
      <c r="P181" s="47" t="s">
        <v>31</v>
      </c>
      <c r="Q181" s="9" t="s">
        <v>32</v>
      </c>
      <c r="R181" s="10" t="s">
        <v>33</v>
      </c>
      <c r="S181" s="25" t="s">
        <v>1918</v>
      </c>
      <c r="T181" s="27">
        <v>36581</v>
      </c>
      <c r="U181" s="25" t="s">
        <v>1920</v>
      </c>
      <c r="V181" s="25" t="s">
        <v>80</v>
      </c>
      <c r="W181" s="25"/>
    </row>
    <row r="182" spans="1:23" ht="22.5" customHeight="1">
      <c r="A182" s="20">
        <v>46048.291168981479</v>
      </c>
      <c r="B182" s="21" t="s">
        <v>1927</v>
      </c>
      <c r="C182" s="38"/>
      <c r="D182" s="21" t="s">
        <v>24</v>
      </c>
      <c r="E182" s="22">
        <v>35532</v>
      </c>
      <c r="F182" s="21" t="s">
        <v>52</v>
      </c>
      <c r="G182" s="21" t="s">
        <v>1044</v>
      </c>
      <c r="H182" s="21" t="s">
        <v>90</v>
      </c>
      <c r="I182" s="6" t="str">
        <f>VLOOKUP(CLEAN(F182),'World Bank Categories'!$B$4:$C$220,2,FALSE)</f>
        <v>Middle income</v>
      </c>
      <c r="J182" s="21" t="s">
        <v>1928</v>
      </c>
      <c r="K182" s="21" t="s">
        <v>29</v>
      </c>
      <c r="L182" s="21" t="s">
        <v>30</v>
      </c>
      <c r="M182" s="21"/>
      <c r="N182" s="21"/>
      <c r="O182" s="21"/>
      <c r="P182" s="21" t="s">
        <v>31</v>
      </c>
      <c r="Q182" s="9" t="s">
        <v>32</v>
      </c>
      <c r="R182" s="10" t="s">
        <v>17</v>
      </c>
      <c r="S182" s="25" t="s">
        <v>1929</v>
      </c>
      <c r="T182" s="27">
        <v>35532</v>
      </c>
      <c r="U182" s="25" t="s">
        <v>1928</v>
      </c>
      <c r="V182" s="25" t="s">
        <v>154</v>
      </c>
      <c r="W182" s="25"/>
    </row>
    <row r="183" spans="1:23" ht="22.5" customHeight="1">
      <c r="A183" s="20">
        <v>46049.217256944445</v>
      </c>
      <c r="B183" s="21" t="s">
        <v>1939</v>
      </c>
      <c r="C183" s="38"/>
      <c r="D183" s="21" t="s">
        <v>24</v>
      </c>
      <c r="E183" s="22">
        <v>37378</v>
      </c>
      <c r="F183" s="21" t="s">
        <v>64</v>
      </c>
      <c r="G183" s="21" t="s">
        <v>1940</v>
      </c>
      <c r="H183" s="21" t="s">
        <v>1941</v>
      </c>
      <c r="I183" s="6" t="str">
        <f>VLOOKUP(CLEAN(F183),'World Bank Categories'!$B$4:$C$220,2,FALSE)</f>
        <v>Middle income</v>
      </c>
      <c r="J183" s="21" t="s">
        <v>1942</v>
      </c>
      <c r="K183" s="21" t="s">
        <v>29</v>
      </c>
      <c r="L183" s="21" t="s">
        <v>30</v>
      </c>
      <c r="M183" s="21"/>
      <c r="N183" s="21"/>
      <c r="O183" s="21"/>
      <c r="P183" s="21" t="s">
        <v>31</v>
      </c>
      <c r="Q183" s="9" t="s">
        <v>32</v>
      </c>
      <c r="R183" s="18" t="s">
        <v>33</v>
      </c>
      <c r="S183" s="25" t="s">
        <v>1943</v>
      </c>
      <c r="T183" s="27">
        <v>37378</v>
      </c>
      <c r="U183" s="25" t="s">
        <v>1942</v>
      </c>
      <c r="V183" s="25" t="s">
        <v>154</v>
      </c>
      <c r="W183" s="25"/>
    </row>
    <row r="184" spans="1:23" ht="22.5" customHeight="1">
      <c r="A184" s="20">
        <v>46050.183344907404</v>
      </c>
      <c r="B184" s="21" t="s">
        <v>1956</v>
      </c>
      <c r="C184" s="21" t="s">
        <v>1957</v>
      </c>
      <c r="D184" s="21" t="s">
        <v>24</v>
      </c>
      <c r="E184" s="22">
        <v>30192</v>
      </c>
      <c r="F184" s="21" t="s">
        <v>1958</v>
      </c>
      <c r="G184" s="21" t="s">
        <v>209</v>
      </c>
      <c r="H184" s="21" t="s">
        <v>1959</v>
      </c>
      <c r="I184" s="6" t="str">
        <f>VLOOKUP(CLEAN(F184),'World Bank Categories'!$B$4:$C$220,2,FALSE)</f>
        <v>Middle income</v>
      </c>
      <c r="J184" s="21" t="s">
        <v>1960</v>
      </c>
      <c r="K184" s="21" t="s">
        <v>29</v>
      </c>
      <c r="L184" s="21" t="s">
        <v>30</v>
      </c>
      <c r="M184" s="21"/>
      <c r="N184" s="21"/>
      <c r="O184" s="21"/>
      <c r="P184" s="21" t="s">
        <v>31</v>
      </c>
      <c r="Q184" s="9" t="s">
        <v>32</v>
      </c>
      <c r="R184" s="10" t="s">
        <v>33</v>
      </c>
      <c r="S184" s="25" t="s">
        <v>1961</v>
      </c>
      <c r="T184" s="27">
        <v>30192</v>
      </c>
      <c r="U184" s="25" t="s">
        <v>1960</v>
      </c>
      <c r="V184" s="25" t="s">
        <v>463</v>
      </c>
      <c r="W184" s="25"/>
    </row>
    <row r="185" spans="1:23" ht="22.5" customHeight="1">
      <c r="A185" s="20">
        <v>46050.300057870372</v>
      </c>
      <c r="B185" s="21" t="s">
        <v>1962</v>
      </c>
      <c r="C185" s="38"/>
      <c r="D185" s="21" t="s">
        <v>24</v>
      </c>
      <c r="E185" s="22">
        <v>35839</v>
      </c>
      <c r="F185" s="21" t="s">
        <v>1112</v>
      </c>
      <c r="G185" s="21" t="s">
        <v>1963</v>
      </c>
      <c r="H185" s="21" t="s">
        <v>66</v>
      </c>
      <c r="I185" s="6" t="str">
        <f>VLOOKUP(CLEAN(F185),'World Bank Categories'!$B$4:$C$220,2,FALSE)</f>
        <v>Low income</v>
      </c>
      <c r="J185" s="21" t="s">
        <v>1964</v>
      </c>
      <c r="K185" s="21" t="s">
        <v>29</v>
      </c>
      <c r="L185" s="21" t="s">
        <v>30</v>
      </c>
      <c r="M185" s="21"/>
      <c r="N185" s="21"/>
      <c r="O185" s="21"/>
      <c r="P185" s="21" t="s">
        <v>31</v>
      </c>
      <c r="Q185" s="9" t="s">
        <v>32</v>
      </c>
      <c r="R185" s="18" t="s">
        <v>33</v>
      </c>
      <c r="S185" s="25" t="s">
        <v>1965</v>
      </c>
      <c r="T185" s="27">
        <v>35839</v>
      </c>
      <c r="U185" s="25" t="s">
        <v>1966</v>
      </c>
      <c r="V185" s="25" t="s">
        <v>1967</v>
      </c>
      <c r="W185" s="25"/>
    </row>
    <row r="186" spans="1:23" ht="22.5" customHeight="1">
      <c r="A186" s="20">
        <v>46050.632569444446</v>
      </c>
      <c r="B186" s="21" t="s">
        <v>1974</v>
      </c>
      <c r="C186" s="38"/>
      <c r="D186" s="21" t="s">
        <v>45</v>
      </c>
      <c r="E186" s="22">
        <v>37487</v>
      </c>
      <c r="F186" s="21" t="s">
        <v>227</v>
      </c>
      <c r="G186" s="21" t="s">
        <v>1975</v>
      </c>
      <c r="H186" s="21" t="s">
        <v>368</v>
      </c>
      <c r="I186" s="6" t="str">
        <f>VLOOKUP(CLEAN(F186),'World Bank Categories'!$B$4:$C$220,2,FALSE)</f>
        <v>Middle income</v>
      </c>
      <c r="J186" s="21" t="s">
        <v>1976</v>
      </c>
      <c r="K186" s="21" t="s">
        <v>29</v>
      </c>
      <c r="L186" s="32">
        <v>46202</v>
      </c>
      <c r="M186" s="21"/>
      <c r="N186" s="21"/>
      <c r="O186" s="21"/>
      <c r="P186" s="21" t="s">
        <v>31</v>
      </c>
      <c r="Q186" s="9" t="s">
        <v>32</v>
      </c>
      <c r="R186" s="18" t="s">
        <v>43</v>
      </c>
      <c r="S186" s="25" t="s">
        <v>1974</v>
      </c>
      <c r="T186" s="27">
        <v>37487</v>
      </c>
      <c r="U186" s="25" t="s">
        <v>1976</v>
      </c>
      <c r="V186" s="25" t="s">
        <v>80</v>
      </c>
      <c r="W186" s="25"/>
    </row>
    <row r="187" spans="1:23" ht="22.5" customHeight="1">
      <c r="A187" s="28">
        <v>46051.205057870371</v>
      </c>
      <c r="B187" s="29" t="s">
        <v>1982</v>
      </c>
      <c r="C187" s="45"/>
      <c r="D187" s="29" t="s">
        <v>24</v>
      </c>
      <c r="E187" s="30">
        <v>37090</v>
      </c>
      <c r="F187" s="29" t="s">
        <v>1983</v>
      </c>
      <c r="G187" s="29" t="s">
        <v>1984</v>
      </c>
      <c r="H187" s="29" t="s">
        <v>138</v>
      </c>
      <c r="I187" s="6" t="str">
        <f>VLOOKUP(CLEAN(F187),'World Bank Categories'!$B$4:$C$220,2,FALSE)</f>
        <v>High income</v>
      </c>
      <c r="J187" s="29" t="s">
        <v>1985</v>
      </c>
      <c r="K187" s="29" t="s">
        <v>29</v>
      </c>
      <c r="L187" s="29" t="s">
        <v>30</v>
      </c>
      <c r="M187" s="29"/>
      <c r="N187" s="29"/>
      <c r="O187" s="29"/>
      <c r="P187" s="29" t="s">
        <v>31</v>
      </c>
      <c r="Q187" s="9" t="s">
        <v>32</v>
      </c>
      <c r="R187" s="18" t="s">
        <v>43</v>
      </c>
      <c r="S187" s="25" t="s">
        <v>1986</v>
      </c>
      <c r="T187" s="27">
        <v>37090</v>
      </c>
      <c r="U187" s="25" t="s">
        <v>1985</v>
      </c>
      <c r="V187" s="25" t="s">
        <v>80</v>
      </c>
      <c r="W187" s="25"/>
    </row>
    <row r="188" spans="1:23" ht="22.5" customHeight="1">
      <c r="A188" s="20">
        <v>46051.657500000001</v>
      </c>
      <c r="B188" s="21" t="s">
        <v>1987</v>
      </c>
      <c r="C188" s="21" t="s">
        <v>1988</v>
      </c>
      <c r="D188" s="21" t="s">
        <v>24</v>
      </c>
      <c r="E188" s="22">
        <v>38406</v>
      </c>
      <c r="F188" s="21" t="s">
        <v>1053</v>
      </c>
      <c r="G188" s="21" t="s">
        <v>1989</v>
      </c>
      <c r="H188" s="21" t="s">
        <v>66</v>
      </c>
      <c r="I188" s="6" t="str">
        <f>VLOOKUP(CLEAN(F188),'World Bank Categories'!$B$4:$C$220,2,FALSE)</f>
        <v>High income</v>
      </c>
      <c r="J188" s="21" t="s">
        <v>1990</v>
      </c>
      <c r="K188" s="21" t="s">
        <v>39</v>
      </c>
      <c r="L188" s="21" t="s">
        <v>1991</v>
      </c>
      <c r="M188" s="21"/>
      <c r="N188" s="21"/>
      <c r="O188" s="21"/>
      <c r="P188" s="21" t="s">
        <v>31</v>
      </c>
      <c r="Q188" s="9" t="s">
        <v>32</v>
      </c>
      <c r="R188" s="10" t="s">
        <v>43</v>
      </c>
      <c r="S188" s="25" t="s">
        <v>1987</v>
      </c>
      <c r="T188" s="27">
        <v>38406</v>
      </c>
      <c r="U188" s="25" t="s">
        <v>1990</v>
      </c>
      <c r="V188" s="25" t="s">
        <v>80</v>
      </c>
      <c r="W188" s="25"/>
    </row>
    <row r="189" spans="1:23" ht="22.5" customHeight="1">
      <c r="A189" s="20">
        <v>46051.683333333334</v>
      </c>
      <c r="B189" s="21" t="s">
        <v>1992</v>
      </c>
      <c r="C189" s="21" t="s">
        <v>1993</v>
      </c>
      <c r="D189" s="21" t="s">
        <v>24</v>
      </c>
      <c r="E189" s="22">
        <v>38440</v>
      </c>
      <c r="F189" s="21" t="s">
        <v>1053</v>
      </c>
      <c r="G189" s="21" t="s">
        <v>1994</v>
      </c>
      <c r="H189" s="21" t="s">
        <v>1995</v>
      </c>
      <c r="I189" s="6" t="str">
        <f>VLOOKUP(CLEAN(F189),'World Bank Categories'!$B$4:$C$220,2,FALSE)</f>
        <v>High income</v>
      </c>
      <c r="J189" s="21" t="s">
        <v>1996</v>
      </c>
      <c r="K189" s="21" t="s">
        <v>29</v>
      </c>
      <c r="L189" s="21" t="s">
        <v>30</v>
      </c>
      <c r="M189" s="21"/>
      <c r="N189" s="21"/>
      <c r="O189" s="21"/>
      <c r="P189" s="21" t="s">
        <v>31</v>
      </c>
      <c r="Q189" s="9" t="s">
        <v>32</v>
      </c>
      <c r="R189" s="18" t="s">
        <v>43</v>
      </c>
      <c r="S189" s="25" t="s">
        <v>1997</v>
      </c>
      <c r="T189" s="27">
        <v>38439</v>
      </c>
      <c r="U189" s="25" t="s">
        <v>1996</v>
      </c>
      <c r="V189" s="25" t="s">
        <v>114</v>
      </c>
      <c r="W189" s="25"/>
    </row>
    <row r="190" spans="1:23" ht="22.5" customHeight="1">
      <c r="A190" s="20">
        <v>46051.695625</v>
      </c>
      <c r="B190" s="21" t="s">
        <v>1998</v>
      </c>
      <c r="C190" s="21" t="s">
        <v>1999</v>
      </c>
      <c r="D190" s="21" t="s">
        <v>45</v>
      </c>
      <c r="E190" s="22">
        <v>38279</v>
      </c>
      <c r="F190" s="21" t="s">
        <v>1053</v>
      </c>
      <c r="G190" s="21" t="s">
        <v>2000</v>
      </c>
      <c r="H190" s="21" t="s">
        <v>160</v>
      </c>
      <c r="I190" s="6" t="str">
        <f>VLOOKUP(CLEAN(F190),'World Bank Categories'!$B$4:$C$220,2,FALSE)</f>
        <v>High income</v>
      </c>
      <c r="J190" s="21" t="s">
        <v>2001</v>
      </c>
      <c r="K190" s="21" t="s">
        <v>29</v>
      </c>
      <c r="L190" s="21" t="s">
        <v>30</v>
      </c>
      <c r="M190" s="21"/>
      <c r="N190" s="21"/>
      <c r="O190" s="21"/>
      <c r="P190" s="21" t="s">
        <v>31</v>
      </c>
      <c r="Q190" s="9" t="s">
        <v>32</v>
      </c>
      <c r="R190" s="10" t="s">
        <v>43</v>
      </c>
      <c r="S190" s="25" t="s">
        <v>1998</v>
      </c>
      <c r="T190" s="27">
        <v>38279</v>
      </c>
      <c r="U190" s="25" t="s">
        <v>2001</v>
      </c>
      <c r="V190" s="25" t="s">
        <v>80</v>
      </c>
      <c r="W190" s="25"/>
    </row>
    <row r="191" spans="1:23" ht="22.5" customHeight="1">
      <c r="A191" s="20">
        <v>46051.713055555556</v>
      </c>
      <c r="B191" s="21" t="s">
        <v>2002</v>
      </c>
      <c r="C191" s="21" t="s">
        <v>2003</v>
      </c>
      <c r="D191" s="21" t="s">
        <v>24</v>
      </c>
      <c r="E191" s="22">
        <v>36813</v>
      </c>
      <c r="F191" s="21" t="s">
        <v>1053</v>
      </c>
      <c r="G191" s="21" t="s">
        <v>1258</v>
      </c>
      <c r="H191" s="21" t="s">
        <v>2004</v>
      </c>
      <c r="I191" s="6" t="str">
        <f>VLOOKUP(CLEAN(F191),'World Bank Categories'!$B$4:$C$220,2,FALSE)</f>
        <v>High income</v>
      </c>
      <c r="J191" s="21" t="s">
        <v>2005</v>
      </c>
      <c r="K191" s="21" t="s">
        <v>29</v>
      </c>
      <c r="L191" s="21" t="s">
        <v>30</v>
      </c>
      <c r="M191" s="21"/>
      <c r="N191" s="21"/>
      <c r="O191" s="21"/>
      <c r="P191" s="21" t="s">
        <v>31</v>
      </c>
      <c r="Q191" s="9" t="s">
        <v>32</v>
      </c>
      <c r="R191" s="18" t="s">
        <v>43</v>
      </c>
      <c r="S191" s="25" t="s">
        <v>2002</v>
      </c>
      <c r="T191" s="27">
        <v>36813</v>
      </c>
      <c r="U191" s="25" t="s">
        <v>2005</v>
      </c>
      <c r="V191" s="25" t="s">
        <v>80</v>
      </c>
      <c r="W191" s="25"/>
    </row>
    <row r="192" spans="1:23" ht="22.5" customHeight="1">
      <c r="A192" s="20">
        <v>46051.749722222223</v>
      </c>
      <c r="B192" s="21" t="s">
        <v>2006</v>
      </c>
      <c r="C192" s="21" t="s">
        <v>2007</v>
      </c>
      <c r="D192" s="21" t="s">
        <v>24</v>
      </c>
      <c r="E192" s="22">
        <v>38157</v>
      </c>
      <c r="F192" s="21" t="s">
        <v>1053</v>
      </c>
      <c r="G192" s="21" t="s">
        <v>2008</v>
      </c>
      <c r="H192" s="21" t="s">
        <v>66</v>
      </c>
      <c r="I192" s="6" t="str">
        <f>VLOOKUP(CLEAN(F192),'World Bank Categories'!$B$4:$C$220,2,FALSE)</f>
        <v>High income</v>
      </c>
      <c r="J192" s="21" t="s">
        <v>2009</v>
      </c>
      <c r="K192" s="21" t="s">
        <v>29</v>
      </c>
      <c r="L192" s="21" t="s">
        <v>30</v>
      </c>
      <c r="M192" s="21"/>
      <c r="N192" s="21"/>
      <c r="O192" s="21"/>
      <c r="P192" s="21" t="s">
        <v>31</v>
      </c>
      <c r="Q192" s="9" t="s">
        <v>32</v>
      </c>
      <c r="R192" s="10" t="s">
        <v>43</v>
      </c>
      <c r="S192" s="25" t="s">
        <v>2010</v>
      </c>
      <c r="T192" s="27">
        <v>38157</v>
      </c>
      <c r="U192" s="25" t="s">
        <v>2009</v>
      </c>
      <c r="V192" s="25" t="s">
        <v>80</v>
      </c>
      <c r="W192" s="25"/>
    </row>
    <row r="193" spans="1:23" ht="22.5" customHeight="1">
      <c r="A193" s="20">
        <v>46051.760891203703</v>
      </c>
      <c r="B193" s="21" t="s">
        <v>2011</v>
      </c>
      <c r="C193" s="21" t="s">
        <v>2012</v>
      </c>
      <c r="D193" s="21" t="s">
        <v>24</v>
      </c>
      <c r="E193" s="22">
        <v>37912</v>
      </c>
      <c r="F193" s="21" t="s">
        <v>1053</v>
      </c>
      <c r="G193" s="21" t="s">
        <v>2008</v>
      </c>
      <c r="H193" s="21" t="s">
        <v>2013</v>
      </c>
      <c r="I193" s="6" t="str">
        <f>VLOOKUP(CLEAN(F193),'World Bank Categories'!$B$4:$C$220,2,FALSE)</f>
        <v>High income</v>
      </c>
      <c r="J193" s="21" t="s">
        <v>2014</v>
      </c>
      <c r="K193" s="21" t="s">
        <v>29</v>
      </c>
      <c r="L193" s="21" t="s">
        <v>30</v>
      </c>
      <c r="M193" s="21"/>
      <c r="N193" s="21"/>
      <c r="O193" s="21"/>
      <c r="P193" s="21" t="s">
        <v>31</v>
      </c>
      <c r="Q193" s="9" t="s">
        <v>32</v>
      </c>
      <c r="R193" s="18" t="s">
        <v>43</v>
      </c>
      <c r="S193" s="25" t="s">
        <v>2015</v>
      </c>
      <c r="T193" s="27">
        <v>37912</v>
      </c>
      <c r="U193" s="25" t="s">
        <v>2014</v>
      </c>
      <c r="V193" s="25" t="s">
        <v>80</v>
      </c>
      <c r="W193" s="25"/>
    </row>
    <row r="194" spans="1:23" ht="22.5" customHeight="1">
      <c r="A194" s="5">
        <v>46051.763829930554</v>
      </c>
      <c r="B194" s="6" t="s">
        <v>2016</v>
      </c>
      <c r="C194" s="7"/>
      <c r="D194" s="6" t="s">
        <v>24</v>
      </c>
      <c r="E194" s="8">
        <v>35622</v>
      </c>
      <c r="F194" s="6" t="s">
        <v>58</v>
      </c>
      <c r="G194" s="6" t="s">
        <v>2017</v>
      </c>
      <c r="H194" s="6" t="s">
        <v>2018</v>
      </c>
      <c r="I194" s="6" t="str">
        <f>VLOOKUP(CLEAN(F194),'World Bank Categories'!$B$4:$C$220,2,FALSE)</f>
        <v>Middle income</v>
      </c>
      <c r="J194" s="6" t="s">
        <v>2019</v>
      </c>
      <c r="K194" s="6" t="s">
        <v>39</v>
      </c>
      <c r="L194" s="6" t="s">
        <v>30</v>
      </c>
      <c r="M194" s="7"/>
      <c r="N194" s="6"/>
      <c r="O194" s="6"/>
      <c r="P194" s="6" t="s">
        <v>31</v>
      </c>
      <c r="Q194" s="9" t="s">
        <v>32</v>
      </c>
      <c r="R194" s="10" t="s">
        <v>33</v>
      </c>
      <c r="S194" s="11" t="s">
        <v>2020</v>
      </c>
      <c r="T194" s="12"/>
      <c r="U194" s="12"/>
      <c r="V194" s="12"/>
      <c r="W194" s="12"/>
    </row>
    <row r="195" spans="1:23" ht="22.5" customHeight="1">
      <c r="A195" s="20">
        <v>46051.773541666669</v>
      </c>
      <c r="B195" s="21" t="s">
        <v>2021</v>
      </c>
      <c r="C195" s="21" t="s">
        <v>2022</v>
      </c>
      <c r="D195" s="21" t="s">
        <v>45</v>
      </c>
      <c r="E195" s="22">
        <v>30047</v>
      </c>
      <c r="F195" s="21" t="s">
        <v>1053</v>
      </c>
      <c r="G195" s="21" t="s">
        <v>2023</v>
      </c>
      <c r="H195" s="21" t="s">
        <v>2024</v>
      </c>
      <c r="I195" s="6" t="str">
        <f>VLOOKUP(CLEAN(F195),'World Bank Categories'!$B$4:$C$220,2,FALSE)</f>
        <v>High income</v>
      </c>
      <c r="J195" s="21" t="s">
        <v>2025</v>
      </c>
      <c r="K195" s="21" t="s">
        <v>29</v>
      </c>
      <c r="L195" s="21" t="s">
        <v>30</v>
      </c>
      <c r="M195" s="21"/>
      <c r="N195" s="21"/>
      <c r="O195" s="21"/>
      <c r="P195" s="21" t="s">
        <v>31</v>
      </c>
      <c r="Q195" s="9" t="s">
        <v>32</v>
      </c>
      <c r="R195" s="18" t="s">
        <v>43</v>
      </c>
      <c r="S195" s="25" t="s">
        <v>2021</v>
      </c>
      <c r="T195" s="27">
        <v>30047</v>
      </c>
      <c r="U195" s="25" t="s">
        <v>2025</v>
      </c>
      <c r="V195" s="25" t="s">
        <v>80</v>
      </c>
      <c r="W195" s="25"/>
    </row>
    <row r="196" spans="1:23" ht="22.5" customHeight="1">
      <c r="A196" s="20">
        <v>46051.834907407407</v>
      </c>
      <c r="B196" s="21" t="s">
        <v>2028</v>
      </c>
      <c r="C196" s="21" t="s">
        <v>2029</v>
      </c>
      <c r="D196" s="21" t="s">
        <v>24</v>
      </c>
      <c r="E196" s="22">
        <v>38121</v>
      </c>
      <c r="F196" s="21" t="s">
        <v>1053</v>
      </c>
      <c r="G196" s="21" t="s">
        <v>2030</v>
      </c>
      <c r="H196" s="21" t="s">
        <v>66</v>
      </c>
      <c r="I196" s="6" t="str">
        <f>VLOOKUP(CLEAN(F196),'World Bank Categories'!$B$4:$C$220,2,FALSE)</f>
        <v>High income</v>
      </c>
      <c r="J196" s="21" t="s">
        <v>2031</v>
      </c>
      <c r="K196" s="21" t="s">
        <v>29</v>
      </c>
      <c r="L196" s="21" t="s">
        <v>30</v>
      </c>
      <c r="M196" s="21"/>
      <c r="N196" s="21"/>
      <c r="O196" s="21"/>
      <c r="P196" s="21" t="s">
        <v>31</v>
      </c>
      <c r="Q196" s="9" t="s">
        <v>32</v>
      </c>
      <c r="R196" s="18" t="s">
        <v>43</v>
      </c>
      <c r="S196" s="25" t="s">
        <v>2028</v>
      </c>
      <c r="T196" s="27">
        <v>38121</v>
      </c>
      <c r="U196" s="25" t="s">
        <v>2031</v>
      </c>
      <c r="V196" s="25" t="s">
        <v>80</v>
      </c>
      <c r="W196" s="25"/>
    </row>
    <row r="197" spans="1:23" ht="22.5" customHeight="1">
      <c r="A197" s="20">
        <v>46052.001377314817</v>
      </c>
      <c r="B197" s="21" t="s">
        <v>2032</v>
      </c>
      <c r="C197" s="38"/>
      <c r="D197" s="21" t="s">
        <v>45</v>
      </c>
      <c r="E197" s="22">
        <v>31681</v>
      </c>
      <c r="F197" s="21" t="s">
        <v>1932</v>
      </c>
      <c r="G197" s="21" t="s">
        <v>2033</v>
      </c>
      <c r="H197" s="21" t="s">
        <v>111</v>
      </c>
      <c r="I197" s="6" t="str">
        <f>VLOOKUP(CLEAN(F197),'World Bank Categories'!$B$4:$C$220,2,FALSE)</f>
        <v>Middle income</v>
      </c>
      <c r="J197" s="21" t="s">
        <v>2034</v>
      </c>
      <c r="K197" s="21" t="s">
        <v>39</v>
      </c>
      <c r="L197" s="21" t="s">
        <v>621</v>
      </c>
      <c r="M197" s="41"/>
      <c r="N197" s="21"/>
      <c r="O197" s="21"/>
      <c r="P197" s="21" t="s">
        <v>31</v>
      </c>
      <c r="Q197" s="9" t="s">
        <v>32</v>
      </c>
      <c r="R197" s="10" t="s">
        <v>33</v>
      </c>
      <c r="S197" s="25" t="s">
        <v>2035</v>
      </c>
      <c r="T197" s="27">
        <v>31316</v>
      </c>
      <c r="U197" s="25" t="s">
        <v>2034</v>
      </c>
      <c r="V197" s="25" t="s">
        <v>236</v>
      </c>
      <c r="W197" s="25"/>
    </row>
    <row r="198" spans="1:23" ht="22.5" customHeight="1">
      <c r="A198" s="46">
        <v>46052.021180555559</v>
      </c>
      <c r="B198" s="47" t="s">
        <v>2036</v>
      </c>
      <c r="C198" s="47" t="s">
        <v>2037</v>
      </c>
      <c r="D198" s="47" t="s">
        <v>45</v>
      </c>
      <c r="E198" s="49">
        <v>38244</v>
      </c>
      <c r="F198" s="47" t="s">
        <v>1053</v>
      </c>
      <c r="G198" s="47" t="s">
        <v>2038</v>
      </c>
      <c r="H198" s="47" t="s">
        <v>2039</v>
      </c>
      <c r="I198" s="6" t="str">
        <f>VLOOKUP(CLEAN(F198),'World Bank Categories'!$B$4:$C$220,2,FALSE)</f>
        <v>High income</v>
      </c>
      <c r="J198" s="47" t="s">
        <v>2040</v>
      </c>
      <c r="K198" s="47" t="s">
        <v>29</v>
      </c>
      <c r="L198" s="47" t="s">
        <v>162</v>
      </c>
      <c r="M198" s="47"/>
      <c r="N198" s="47"/>
      <c r="O198" s="47"/>
      <c r="P198" s="47" t="s">
        <v>31</v>
      </c>
      <c r="Q198" s="9" t="s">
        <v>32</v>
      </c>
      <c r="R198" s="18" t="s">
        <v>43</v>
      </c>
      <c r="S198" s="25" t="s">
        <v>2041</v>
      </c>
      <c r="T198" s="27">
        <v>38244</v>
      </c>
      <c r="U198" s="25" t="s">
        <v>2040</v>
      </c>
      <c r="V198" s="25" t="s">
        <v>154</v>
      </c>
      <c r="W198" s="25"/>
    </row>
    <row r="199" spans="1:23" ht="22.5" customHeight="1">
      <c r="A199" s="20">
        <v>46052.660381944443</v>
      </c>
      <c r="B199" s="21" t="s">
        <v>2052</v>
      </c>
      <c r="C199" s="38"/>
      <c r="D199" s="21" t="s">
        <v>45</v>
      </c>
      <c r="E199" s="22">
        <v>33592</v>
      </c>
      <c r="F199" s="21" t="s">
        <v>2053</v>
      </c>
      <c r="G199" s="21" t="s">
        <v>2054</v>
      </c>
      <c r="H199" s="21" t="s">
        <v>2055</v>
      </c>
      <c r="I199" s="6" t="str">
        <f>VLOOKUP(CLEAN(F199),'World Bank Categories'!$B$4:$C$220,2,FALSE)</f>
        <v>Middle income</v>
      </c>
      <c r="J199" s="21" t="s">
        <v>2056</v>
      </c>
      <c r="K199" s="21" t="s">
        <v>29</v>
      </c>
      <c r="L199" s="21" t="s">
        <v>30</v>
      </c>
      <c r="M199" s="21"/>
      <c r="N199" s="21"/>
      <c r="O199" s="21"/>
      <c r="P199" s="21" t="s">
        <v>31</v>
      </c>
      <c r="Q199" s="9" t="s">
        <v>32</v>
      </c>
      <c r="R199" s="18" t="s">
        <v>43</v>
      </c>
      <c r="S199" s="25" t="s">
        <v>2052</v>
      </c>
      <c r="T199" s="27">
        <v>33592</v>
      </c>
      <c r="U199" s="25" t="s">
        <v>2056</v>
      </c>
      <c r="V199" s="25" t="s">
        <v>80</v>
      </c>
      <c r="W199" s="25"/>
    </row>
    <row r="200" spans="1:23" ht="22.5" customHeight="1">
      <c r="A200" s="20">
        <v>46052.886030092595</v>
      </c>
      <c r="B200" s="21" t="s">
        <v>2061</v>
      </c>
      <c r="C200" s="21" t="s">
        <v>2062</v>
      </c>
      <c r="D200" s="21" t="s">
        <v>24</v>
      </c>
      <c r="E200" s="22">
        <v>38231</v>
      </c>
      <c r="F200" s="21" t="s">
        <v>1053</v>
      </c>
      <c r="G200" s="21" t="s">
        <v>2063</v>
      </c>
      <c r="H200" s="21" t="s">
        <v>66</v>
      </c>
      <c r="I200" s="6" t="str">
        <f>VLOOKUP(CLEAN(F200),'World Bank Categories'!$B$4:$C$220,2,FALSE)</f>
        <v>High income</v>
      </c>
      <c r="J200" s="21" t="s">
        <v>2064</v>
      </c>
      <c r="K200" s="21" t="s">
        <v>29</v>
      </c>
      <c r="L200" s="21" t="s">
        <v>30</v>
      </c>
      <c r="M200" s="21"/>
      <c r="N200" s="21"/>
      <c r="O200" s="21"/>
      <c r="P200" s="21" t="s">
        <v>31</v>
      </c>
      <c r="Q200" s="9" t="s">
        <v>32</v>
      </c>
      <c r="R200" s="10" t="s">
        <v>43</v>
      </c>
      <c r="S200" s="25" t="s">
        <v>2061</v>
      </c>
      <c r="T200" s="27">
        <v>38231</v>
      </c>
      <c r="U200" s="25" t="s">
        <v>2064</v>
      </c>
      <c r="V200" s="25" t="s">
        <v>80</v>
      </c>
      <c r="W200" s="25"/>
    </row>
    <row r="201" spans="1:23" ht="22.5" customHeight="1">
      <c r="A201" s="20">
        <v>46052.905624999999</v>
      </c>
      <c r="B201" s="21" t="s">
        <v>2065</v>
      </c>
      <c r="C201" s="38"/>
      <c r="D201" s="21" t="s">
        <v>45</v>
      </c>
      <c r="E201" s="22">
        <v>28783</v>
      </c>
      <c r="F201" s="21" t="s">
        <v>2066</v>
      </c>
      <c r="G201" s="21" t="s">
        <v>2067</v>
      </c>
      <c r="H201" s="21" t="s">
        <v>2068</v>
      </c>
      <c r="I201" s="6" t="str">
        <f>VLOOKUP(CLEAN(F201),'World Bank Categories'!$B$4:$C$220,2,FALSE)</f>
        <v>High income</v>
      </c>
      <c r="J201" s="21" t="s">
        <v>2069</v>
      </c>
      <c r="K201" s="21" t="s">
        <v>29</v>
      </c>
      <c r="L201" s="21" t="s">
        <v>30</v>
      </c>
      <c r="M201" s="21"/>
      <c r="N201" s="21"/>
      <c r="O201" s="21"/>
      <c r="P201" s="21" t="s">
        <v>31</v>
      </c>
      <c r="Q201" s="9" t="s">
        <v>32</v>
      </c>
      <c r="R201" s="18" t="s">
        <v>33</v>
      </c>
      <c r="S201" s="25" t="s">
        <v>2065</v>
      </c>
      <c r="T201" s="27">
        <v>28783</v>
      </c>
      <c r="U201" s="25" t="s">
        <v>2069</v>
      </c>
      <c r="V201" s="25" t="s">
        <v>80</v>
      </c>
      <c r="W201" s="25"/>
    </row>
    <row r="202" spans="1:23" ht="22.5" customHeight="1">
      <c r="A202" s="20">
        <v>46052.908622685187</v>
      </c>
      <c r="B202" s="21" t="s">
        <v>2077</v>
      </c>
      <c r="C202" s="21" t="s">
        <v>2078</v>
      </c>
      <c r="D202" s="21" t="s">
        <v>24</v>
      </c>
      <c r="E202" s="22">
        <v>37775</v>
      </c>
      <c r="F202" s="21" t="s">
        <v>1053</v>
      </c>
      <c r="G202" s="21" t="s">
        <v>2063</v>
      </c>
      <c r="H202" s="21" t="s">
        <v>2079</v>
      </c>
      <c r="I202" s="6" t="str">
        <f>VLOOKUP(CLEAN(F202),'World Bank Categories'!$B$4:$C$220,2,FALSE)</f>
        <v>High income</v>
      </c>
      <c r="J202" s="21" t="s">
        <v>2080</v>
      </c>
      <c r="K202" s="21" t="s">
        <v>29</v>
      </c>
      <c r="L202" s="21" t="s">
        <v>30</v>
      </c>
      <c r="M202" s="41"/>
      <c r="N202" s="21"/>
      <c r="O202" s="21"/>
      <c r="P202" s="21" t="s">
        <v>31</v>
      </c>
      <c r="Q202" s="9" t="s">
        <v>32</v>
      </c>
      <c r="R202" s="18" t="s">
        <v>43</v>
      </c>
      <c r="S202" s="25" t="s">
        <v>2081</v>
      </c>
      <c r="T202" s="27">
        <v>37775</v>
      </c>
      <c r="U202" s="25" t="s">
        <v>2080</v>
      </c>
      <c r="V202" s="25" t="s">
        <v>154</v>
      </c>
      <c r="W202" s="25"/>
    </row>
    <row r="203" spans="1:23" ht="22.5" customHeight="1">
      <c r="A203" s="20">
        <v>46052.942743055559</v>
      </c>
      <c r="B203" s="21" t="s">
        <v>2082</v>
      </c>
      <c r="C203" s="21" t="s">
        <v>2083</v>
      </c>
      <c r="D203" s="21" t="s">
        <v>45</v>
      </c>
      <c r="E203" s="22">
        <v>37230</v>
      </c>
      <c r="F203" s="21" t="s">
        <v>1053</v>
      </c>
      <c r="G203" s="21" t="s">
        <v>2084</v>
      </c>
      <c r="H203" s="21" t="s">
        <v>66</v>
      </c>
      <c r="I203" s="6" t="str">
        <f>VLOOKUP(CLEAN(F203),'World Bank Categories'!$B$4:$C$220,2,FALSE)</f>
        <v>High income</v>
      </c>
      <c r="J203" s="21" t="s">
        <v>2085</v>
      </c>
      <c r="K203" s="21" t="s">
        <v>29</v>
      </c>
      <c r="L203" s="21" t="s">
        <v>30</v>
      </c>
      <c r="M203" s="21"/>
      <c r="N203" s="21"/>
      <c r="O203" s="21"/>
      <c r="P203" s="21" t="s">
        <v>31</v>
      </c>
      <c r="Q203" s="9" t="s">
        <v>32</v>
      </c>
      <c r="R203" s="10" t="s">
        <v>43</v>
      </c>
      <c r="S203" s="25" t="s">
        <v>2086</v>
      </c>
      <c r="T203" s="27">
        <v>37230</v>
      </c>
      <c r="U203" s="25" t="s">
        <v>2085</v>
      </c>
      <c r="V203" s="25" t="s">
        <v>154</v>
      </c>
      <c r="W203" s="25"/>
    </row>
    <row r="204" spans="1:23" ht="22.5" customHeight="1">
      <c r="A204" s="20">
        <v>46052.955891203703</v>
      </c>
      <c r="B204" s="21" t="s">
        <v>2087</v>
      </c>
      <c r="C204" s="21" t="s">
        <v>2088</v>
      </c>
      <c r="D204" s="21" t="s">
        <v>24</v>
      </c>
      <c r="E204" s="22">
        <v>38616</v>
      </c>
      <c r="F204" s="21" t="s">
        <v>1053</v>
      </c>
      <c r="G204" s="21" t="s">
        <v>2089</v>
      </c>
      <c r="H204" s="21" t="s">
        <v>66</v>
      </c>
      <c r="I204" s="6" t="str">
        <f>VLOOKUP(CLEAN(F204),'World Bank Categories'!$B$4:$C$220,2,FALSE)</f>
        <v>High income</v>
      </c>
      <c r="J204" s="21" t="s">
        <v>2090</v>
      </c>
      <c r="K204" s="21" t="s">
        <v>29</v>
      </c>
      <c r="L204" s="21" t="s">
        <v>30</v>
      </c>
      <c r="M204" s="21"/>
      <c r="N204" s="21"/>
      <c r="O204" s="21"/>
      <c r="P204" s="21" t="s">
        <v>31</v>
      </c>
      <c r="Q204" s="9" t="s">
        <v>32</v>
      </c>
      <c r="R204" s="18" t="s">
        <v>43</v>
      </c>
      <c r="S204" s="25" t="s">
        <v>2091</v>
      </c>
      <c r="T204" s="27">
        <v>38616</v>
      </c>
      <c r="U204" s="25" t="s">
        <v>2090</v>
      </c>
      <c r="V204" s="25" t="s">
        <v>80</v>
      </c>
      <c r="W204" s="25"/>
    </row>
    <row r="205" spans="1:23" ht="22.5" customHeight="1">
      <c r="A205" s="20">
        <v>46052.968506944446</v>
      </c>
      <c r="B205" s="21" t="s">
        <v>2100</v>
      </c>
      <c r="C205" s="21" t="s">
        <v>2101</v>
      </c>
      <c r="D205" s="21" t="s">
        <v>24</v>
      </c>
      <c r="E205" s="22">
        <v>37548</v>
      </c>
      <c r="F205" s="21" t="s">
        <v>1053</v>
      </c>
      <c r="G205" s="21" t="s">
        <v>2102</v>
      </c>
      <c r="H205" s="21" t="s">
        <v>2103</v>
      </c>
      <c r="I205" s="6" t="str">
        <f>VLOOKUP(CLEAN(F205),'World Bank Categories'!$B$4:$C$220,2,FALSE)</f>
        <v>High income</v>
      </c>
      <c r="J205" s="21" t="s">
        <v>2104</v>
      </c>
      <c r="K205" s="21" t="s">
        <v>29</v>
      </c>
      <c r="L205" s="21" t="s">
        <v>162</v>
      </c>
      <c r="M205" s="21"/>
      <c r="N205" s="21"/>
      <c r="O205" s="21"/>
      <c r="P205" s="21" t="s">
        <v>31</v>
      </c>
      <c r="Q205" s="9" t="s">
        <v>32</v>
      </c>
      <c r="R205" s="18" t="s">
        <v>43</v>
      </c>
      <c r="S205" s="25" t="s">
        <v>2105</v>
      </c>
      <c r="T205" s="27">
        <v>37548</v>
      </c>
      <c r="U205" s="25" t="s">
        <v>2104</v>
      </c>
      <c r="V205" s="25" t="s">
        <v>154</v>
      </c>
      <c r="W205" s="25"/>
    </row>
    <row r="206" spans="1:23" ht="22.5" customHeight="1">
      <c r="A206" s="20">
        <v>46053.112071759257</v>
      </c>
      <c r="B206" s="21" t="s">
        <v>2106</v>
      </c>
      <c r="C206" s="38"/>
      <c r="D206" s="21" t="s">
        <v>45</v>
      </c>
      <c r="E206" s="22">
        <v>32247</v>
      </c>
      <c r="F206" s="21" t="s">
        <v>1387</v>
      </c>
      <c r="G206" s="21" t="s">
        <v>2107</v>
      </c>
      <c r="H206" s="21" t="s">
        <v>90</v>
      </c>
      <c r="I206" s="6" t="str">
        <f>VLOOKUP(CLEAN(F206),'World Bank Categories'!$B$4:$C$220,2,FALSE)</f>
        <v>Middle income</v>
      </c>
      <c r="J206" s="21" t="s">
        <v>2108</v>
      </c>
      <c r="K206" s="21" t="s">
        <v>29</v>
      </c>
      <c r="L206" s="21" t="s">
        <v>30</v>
      </c>
      <c r="M206" s="21"/>
      <c r="N206" s="21"/>
      <c r="O206" s="21"/>
      <c r="P206" s="21" t="s">
        <v>31</v>
      </c>
      <c r="Q206" s="9" t="s">
        <v>32</v>
      </c>
      <c r="R206" s="10" t="s">
        <v>33</v>
      </c>
      <c r="S206" s="25" t="s">
        <v>2106</v>
      </c>
      <c r="T206" s="27">
        <v>32247</v>
      </c>
      <c r="U206" s="25" t="s">
        <v>2108</v>
      </c>
      <c r="V206" s="25" t="s">
        <v>80</v>
      </c>
      <c r="W206" s="25"/>
    </row>
    <row r="207" spans="1:23" ht="22.5" customHeight="1">
      <c r="A207" s="20">
        <v>46053.123240740744</v>
      </c>
      <c r="B207" s="21" t="s">
        <v>2113</v>
      </c>
      <c r="C207" s="38"/>
      <c r="D207" s="21" t="s">
        <v>24</v>
      </c>
      <c r="E207" s="22">
        <v>34897</v>
      </c>
      <c r="F207" s="21" t="s">
        <v>2114</v>
      </c>
      <c r="G207" s="21" t="s">
        <v>2115</v>
      </c>
      <c r="H207" s="21" t="s">
        <v>2116</v>
      </c>
      <c r="I207" s="6" t="str">
        <f>VLOOKUP(CLEAN(F207),'World Bank Categories'!$B$4:$C$220,2,FALSE)</f>
        <v>Middle income</v>
      </c>
      <c r="J207" s="21" t="s">
        <v>2117</v>
      </c>
      <c r="K207" s="21" t="s">
        <v>39</v>
      </c>
      <c r="L207" s="21" t="s">
        <v>30</v>
      </c>
      <c r="M207" s="21"/>
      <c r="N207" s="21"/>
      <c r="O207" s="21"/>
      <c r="P207" s="21" t="s">
        <v>31</v>
      </c>
      <c r="Q207" s="9" t="s">
        <v>32</v>
      </c>
      <c r="R207" s="10" t="s">
        <v>33</v>
      </c>
      <c r="S207" s="25" t="s">
        <v>2118</v>
      </c>
      <c r="T207" s="27">
        <v>34897</v>
      </c>
      <c r="U207" s="25" t="s">
        <v>2117</v>
      </c>
      <c r="V207" s="25" t="s">
        <v>80</v>
      </c>
      <c r="W207" s="25"/>
    </row>
    <row r="208" spans="1:23" ht="22.5" customHeight="1">
      <c r="A208" s="20">
        <v>46053.191458333335</v>
      </c>
      <c r="B208" s="21" t="s">
        <v>2124</v>
      </c>
      <c r="C208" s="38"/>
      <c r="D208" s="21" t="s">
        <v>45</v>
      </c>
      <c r="E208" s="22">
        <v>26066</v>
      </c>
      <c r="F208" s="21" t="s">
        <v>198</v>
      </c>
      <c r="G208" s="21" t="s">
        <v>2125</v>
      </c>
      <c r="H208" s="21" t="s">
        <v>933</v>
      </c>
      <c r="I208" s="6" t="str">
        <f>VLOOKUP(CLEAN(F208),'World Bank Categories'!$B$4:$C$220,2,FALSE)</f>
        <v>Middle income</v>
      </c>
      <c r="J208" s="21" t="s">
        <v>2126</v>
      </c>
      <c r="K208" s="21" t="s">
        <v>39</v>
      </c>
      <c r="L208" s="21" t="s">
        <v>621</v>
      </c>
      <c r="M208" s="21" t="s">
        <v>2127</v>
      </c>
      <c r="N208" s="21"/>
      <c r="O208" s="21"/>
      <c r="P208" s="21" t="s">
        <v>31</v>
      </c>
      <c r="Q208" s="9" t="s">
        <v>32</v>
      </c>
      <c r="R208" s="10" t="s">
        <v>43</v>
      </c>
      <c r="S208" s="25" t="s">
        <v>2128</v>
      </c>
      <c r="T208" s="27">
        <v>26066</v>
      </c>
      <c r="U208" s="25" t="s">
        <v>2126</v>
      </c>
      <c r="V208" s="25" t="s">
        <v>80</v>
      </c>
      <c r="W208" s="25"/>
    </row>
    <row r="209" spans="1:23" ht="22.5" customHeight="1">
      <c r="A209" s="20">
        <v>46053.413263888891</v>
      </c>
      <c r="B209" s="21" t="s">
        <v>2133</v>
      </c>
      <c r="C209" s="21" t="s">
        <v>2134</v>
      </c>
      <c r="D209" s="21" t="s">
        <v>45</v>
      </c>
      <c r="E209" s="22">
        <v>35811</v>
      </c>
      <c r="F209" s="21" t="s">
        <v>1053</v>
      </c>
      <c r="G209" s="21" t="s">
        <v>2135</v>
      </c>
      <c r="H209" s="21" t="s">
        <v>2136</v>
      </c>
      <c r="I209" s="6" t="str">
        <f>VLOOKUP(CLEAN(F209),'World Bank Categories'!$B$4:$C$220,2,FALSE)</f>
        <v>High income</v>
      </c>
      <c r="J209" s="21" t="s">
        <v>2137</v>
      </c>
      <c r="K209" s="21" t="s">
        <v>29</v>
      </c>
      <c r="L209" s="21" t="s">
        <v>30</v>
      </c>
      <c r="M209" s="41"/>
      <c r="N209" s="21"/>
      <c r="O209" s="21"/>
      <c r="P209" s="21" t="s">
        <v>31</v>
      </c>
      <c r="Q209" s="9" t="s">
        <v>32</v>
      </c>
      <c r="R209" s="10" t="s">
        <v>43</v>
      </c>
      <c r="S209" s="25" t="s">
        <v>2133</v>
      </c>
      <c r="T209" s="27">
        <v>35811</v>
      </c>
      <c r="U209" s="25" t="s">
        <v>2137</v>
      </c>
      <c r="V209" s="25" t="s">
        <v>80</v>
      </c>
      <c r="W209" s="25"/>
    </row>
    <row r="210" spans="1:23" ht="22.5" customHeight="1">
      <c r="A210" s="20">
        <v>46053.440127314818</v>
      </c>
      <c r="B210" s="21" t="s">
        <v>2138</v>
      </c>
      <c r="C210" s="38"/>
      <c r="D210" s="21" t="s">
        <v>45</v>
      </c>
      <c r="E210" s="22">
        <v>29980</v>
      </c>
      <c r="F210" s="21" t="s">
        <v>2139</v>
      </c>
      <c r="G210" s="21" t="s">
        <v>2140</v>
      </c>
      <c r="H210" s="21" t="s">
        <v>2141</v>
      </c>
      <c r="I210" s="6" t="e">
        <f>VLOOKUP(CLEAN(F210),'World Bank Categories'!$B$4:$C$220,2,FALSE)</f>
        <v>#N/A</v>
      </c>
      <c r="J210" s="21" t="s">
        <v>2142</v>
      </c>
      <c r="K210" s="21" t="s">
        <v>29</v>
      </c>
      <c r="L210" s="21" t="s">
        <v>524</v>
      </c>
      <c r="M210" s="21"/>
      <c r="N210" s="21"/>
      <c r="O210" s="21"/>
      <c r="P210" s="21" t="s">
        <v>31</v>
      </c>
      <c r="Q210" s="9" t="s">
        <v>32</v>
      </c>
      <c r="R210" s="18" t="s">
        <v>33</v>
      </c>
      <c r="S210" s="25" t="s">
        <v>2138</v>
      </c>
      <c r="T210" s="27">
        <v>29980</v>
      </c>
      <c r="U210" s="25" t="s">
        <v>2142</v>
      </c>
      <c r="V210" s="25" t="s">
        <v>80</v>
      </c>
      <c r="W210" s="25"/>
    </row>
    <row r="211" spans="1:23" ht="22.5" customHeight="1">
      <c r="A211" s="20">
        <v>46053.442442129628</v>
      </c>
      <c r="B211" s="21" t="s">
        <v>2143</v>
      </c>
      <c r="C211" s="21" t="s">
        <v>2144</v>
      </c>
      <c r="D211" s="21" t="s">
        <v>24</v>
      </c>
      <c r="E211" s="22">
        <v>34618</v>
      </c>
      <c r="F211" s="21" t="s">
        <v>1053</v>
      </c>
      <c r="G211" s="21" t="s">
        <v>2145</v>
      </c>
      <c r="H211" s="21" t="s">
        <v>2146</v>
      </c>
      <c r="I211" s="6" t="str">
        <f>VLOOKUP(CLEAN(F211),'World Bank Categories'!$B$4:$C$220,2,FALSE)</f>
        <v>High income</v>
      </c>
      <c r="J211" s="21" t="s">
        <v>2147</v>
      </c>
      <c r="K211" s="21" t="s">
        <v>39</v>
      </c>
      <c r="L211" s="21" t="s">
        <v>621</v>
      </c>
      <c r="M211" s="21"/>
      <c r="N211" s="21"/>
      <c r="O211" s="21"/>
      <c r="P211" s="21" t="s">
        <v>31</v>
      </c>
      <c r="Q211" s="9" t="s">
        <v>32</v>
      </c>
      <c r="R211" s="10" t="s">
        <v>43</v>
      </c>
      <c r="S211" s="25" t="s">
        <v>2143</v>
      </c>
      <c r="T211" s="27">
        <v>34618</v>
      </c>
      <c r="U211" s="25" t="s">
        <v>2147</v>
      </c>
      <c r="V211" s="25" t="s">
        <v>80</v>
      </c>
      <c r="W211" s="25"/>
    </row>
    <row r="212" spans="1:23" ht="22.5" customHeight="1">
      <c r="A212" s="20">
        <v>46053.45</v>
      </c>
      <c r="B212" s="21" t="s">
        <v>2148</v>
      </c>
      <c r="C212" s="21" t="s">
        <v>2149</v>
      </c>
      <c r="D212" s="21" t="s">
        <v>45</v>
      </c>
      <c r="E212" s="22">
        <v>36814</v>
      </c>
      <c r="F212" s="21" t="s">
        <v>1053</v>
      </c>
      <c r="G212" s="21" t="s">
        <v>2150</v>
      </c>
      <c r="H212" s="21" t="s">
        <v>66</v>
      </c>
      <c r="I212" s="6" t="str">
        <f>VLOOKUP(CLEAN(F212),'World Bank Categories'!$B$4:$C$220,2,FALSE)</f>
        <v>High income</v>
      </c>
      <c r="J212" s="21" t="s">
        <v>2151</v>
      </c>
      <c r="K212" s="21" t="s">
        <v>29</v>
      </c>
      <c r="L212" s="21" t="s">
        <v>30</v>
      </c>
      <c r="M212" s="21"/>
      <c r="N212" s="21"/>
      <c r="O212" s="21"/>
      <c r="P212" s="21" t="s">
        <v>31</v>
      </c>
      <c r="Q212" s="9" t="s">
        <v>32</v>
      </c>
      <c r="R212" s="18" t="s">
        <v>43</v>
      </c>
      <c r="S212" s="25" t="s">
        <v>2152</v>
      </c>
      <c r="T212" s="27">
        <v>36814</v>
      </c>
      <c r="U212" s="25" t="s">
        <v>2151</v>
      </c>
      <c r="V212" s="25" t="s">
        <v>80</v>
      </c>
      <c r="W212" s="25"/>
    </row>
    <row r="213" spans="1:23" ht="22.5" customHeight="1">
      <c r="A213" s="20">
        <v>46053.453703703701</v>
      </c>
      <c r="B213" s="21" t="s">
        <v>2153</v>
      </c>
      <c r="C213" s="38"/>
      <c r="D213" s="21" t="s">
        <v>45</v>
      </c>
      <c r="E213" s="22">
        <v>28108</v>
      </c>
      <c r="F213" s="21" t="s">
        <v>2154</v>
      </c>
      <c r="G213" s="21" t="s">
        <v>2155</v>
      </c>
      <c r="H213" s="21" t="s">
        <v>111</v>
      </c>
      <c r="I213" s="6" t="str">
        <f>VLOOKUP(CLEAN(F213),'World Bank Categories'!$B$4:$C$220,2,FALSE)</f>
        <v>Middle income</v>
      </c>
      <c r="J213" s="21" t="s">
        <v>2156</v>
      </c>
      <c r="K213" s="21" t="s">
        <v>29</v>
      </c>
      <c r="L213" s="21" t="s">
        <v>30</v>
      </c>
      <c r="M213" s="21"/>
      <c r="N213" s="21"/>
      <c r="O213" s="21"/>
      <c r="P213" s="21" t="s">
        <v>31</v>
      </c>
      <c r="Q213" s="9" t="s">
        <v>32</v>
      </c>
      <c r="R213" s="10" t="s">
        <v>33</v>
      </c>
      <c r="S213" s="25" t="s">
        <v>2153</v>
      </c>
      <c r="T213" s="27">
        <v>28108</v>
      </c>
      <c r="U213" s="25" t="s">
        <v>2156</v>
      </c>
      <c r="V213" s="25" t="s">
        <v>80</v>
      </c>
      <c r="W213" s="25"/>
    </row>
    <row r="214" spans="1:23" ht="22.5" customHeight="1">
      <c r="A214" s="20">
        <v>46053.615833333337</v>
      </c>
      <c r="B214" s="21" t="s">
        <v>2157</v>
      </c>
      <c r="C214" s="38"/>
      <c r="D214" s="21" t="s">
        <v>45</v>
      </c>
      <c r="E214" s="22">
        <v>36770</v>
      </c>
      <c r="F214" s="21" t="s">
        <v>198</v>
      </c>
      <c r="G214" s="21" t="s">
        <v>1859</v>
      </c>
      <c r="H214" s="21" t="s">
        <v>2158</v>
      </c>
      <c r="I214" s="6" t="str">
        <f>VLOOKUP(CLEAN(F214),'World Bank Categories'!$B$4:$C$220,2,FALSE)</f>
        <v>Middle income</v>
      </c>
      <c r="J214" s="21" t="s">
        <v>2159</v>
      </c>
      <c r="K214" s="21" t="s">
        <v>29</v>
      </c>
      <c r="L214" s="21" t="s">
        <v>30</v>
      </c>
      <c r="M214" s="21"/>
      <c r="N214" s="21"/>
      <c r="O214" s="21"/>
      <c r="P214" s="21" t="s">
        <v>31</v>
      </c>
      <c r="Q214" s="9" t="s">
        <v>32</v>
      </c>
      <c r="R214" s="18" t="s">
        <v>33</v>
      </c>
      <c r="S214" s="25" t="s">
        <v>2157</v>
      </c>
      <c r="T214" s="27">
        <v>36770</v>
      </c>
      <c r="U214" s="25" t="s">
        <v>2159</v>
      </c>
      <c r="V214" s="25" t="s">
        <v>80</v>
      </c>
      <c r="W214" s="25"/>
    </row>
    <row r="215" spans="1:23" ht="22.5" customHeight="1">
      <c r="A215" s="13">
        <v>46053.667214155095</v>
      </c>
      <c r="B215" s="14" t="s">
        <v>2160</v>
      </c>
      <c r="C215" s="15"/>
      <c r="D215" s="14" t="s">
        <v>24</v>
      </c>
      <c r="E215" s="16">
        <v>35521</v>
      </c>
      <c r="F215" s="14" t="s">
        <v>652</v>
      </c>
      <c r="G215" s="14" t="s">
        <v>2161</v>
      </c>
      <c r="H215" s="14" t="s">
        <v>2162</v>
      </c>
      <c r="I215" s="6" t="str">
        <f>VLOOKUP(CLEAN(F215),'World Bank Categories'!$B$4:$C$220,2,FALSE)</f>
        <v>Middle income</v>
      </c>
      <c r="J215" s="14" t="s">
        <v>2163</v>
      </c>
      <c r="K215" s="14" t="s">
        <v>29</v>
      </c>
      <c r="L215" s="14" t="s">
        <v>30</v>
      </c>
      <c r="M215" s="15"/>
      <c r="N215" s="14"/>
      <c r="O215" s="14"/>
      <c r="P215" s="14" t="s">
        <v>31</v>
      </c>
      <c r="Q215" s="9" t="s">
        <v>32</v>
      </c>
      <c r="R215" s="10" t="s">
        <v>33</v>
      </c>
      <c r="S215" s="19" t="s">
        <v>2160</v>
      </c>
      <c r="T215" s="12"/>
      <c r="U215" s="12"/>
      <c r="V215" s="12"/>
      <c r="W215" s="12"/>
    </row>
    <row r="216" spans="1:23" ht="22.5" customHeight="1">
      <c r="A216" s="20">
        <v>46053.789826388886</v>
      </c>
      <c r="B216" s="21" t="s">
        <v>2168</v>
      </c>
      <c r="C216" s="21" t="s">
        <v>2169</v>
      </c>
      <c r="D216" s="21" t="s">
        <v>24</v>
      </c>
      <c r="E216" s="22">
        <v>38497</v>
      </c>
      <c r="F216" s="21" t="s">
        <v>1053</v>
      </c>
      <c r="G216" s="21" t="s">
        <v>2170</v>
      </c>
      <c r="H216" s="21" t="s">
        <v>66</v>
      </c>
      <c r="I216" s="6" t="str">
        <f>VLOOKUP(CLEAN(F216),'World Bank Categories'!$B$4:$C$220,2,FALSE)</f>
        <v>High income</v>
      </c>
      <c r="J216" s="21" t="s">
        <v>2171</v>
      </c>
      <c r="K216" s="21" t="s">
        <v>29</v>
      </c>
      <c r="L216" s="21" t="s">
        <v>30</v>
      </c>
      <c r="M216" s="21"/>
      <c r="N216" s="21"/>
      <c r="O216" s="21"/>
      <c r="P216" s="21" t="s">
        <v>31</v>
      </c>
      <c r="Q216" s="9" t="s">
        <v>32</v>
      </c>
      <c r="R216" s="10" t="s">
        <v>43</v>
      </c>
      <c r="S216" s="25" t="s">
        <v>2168</v>
      </c>
      <c r="T216" s="27">
        <v>38497</v>
      </c>
      <c r="U216" s="25" t="s">
        <v>2171</v>
      </c>
      <c r="V216" s="25" t="s">
        <v>80</v>
      </c>
      <c r="W216" s="25"/>
    </row>
    <row r="217" spans="1:23" ht="22.5" customHeight="1">
      <c r="A217" s="20">
        <v>46053.805567129632</v>
      </c>
      <c r="B217" s="21" t="s">
        <v>2172</v>
      </c>
      <c r="C217" s="21" t="s">
        <v>2173</v>
      </c>
      <c r="D217" s="21" t="s">
        <v>24</v>
      </c>
      <c r="E217" s="22">
        <v>38478</v>
      </c>
      <c r="F217" s="21" t="s">
        <v>1053</v>
      </c>
      <c r="G217" s="21" t="s">
        <v>2174</v>
      </c>
      <c r="H217" s="21" t="s">
        <v>2175</v>
      </c>
      <c r="I217" s="6" t="str">
        <f>VLOOKUP(CLEAN(F217),'World Bank Categories'!$B$4:$C$220,2,FALSE)</f>
        <v>High income</v>
      </c>
      <c r="J217" s="21" t="s">
        <v>2176</v>
      </c>
      <c r="K217" s="21" t="s">
        <v>29</v>
      </c>
      <c r="L217" s="21" t="s">
        <v>30</v>
      </c>
      <c r="M217" s="21" t="s">
        <v>2177</v>
      </c>
      <c r="N217" s="21"/>
      <c r="O217" s="21"/>
      <c r="P217" s="21" t="s">
        <v>31</v>
      </c>
      <c r="Q217" s="9" t="s">
        <v>32</v>
      </c>
      <c r="R217" s="18" t="s">
        <v>43</v>
      </c>
      <c r="S217" s="25" t="s">
        <v>2172</v>
      </c>
      <c r="T217" s="27">
        <v>38478</v>
      </c>
      <c r="U217" s="25" t="s">
        <v>2176</v>
      </c>
      <c r="V217" s="25" t="s">
        <v>80</v>
      </c>
      <c r="W217" s="25"/>
    </row>
    <row r="218" spans="1:23" ht="22.5" customHeight="1">
      <c r="A218" s="20">
        <v>46053.809155092589</v>
      </c>
      <c r="B218" s="21" t="s">
        <v>2178</v>
      </c>
      <c r="C218" s="21" t="s">
        <v>2179</v>
      </c>
      <c r="D218" s="21" t="s">
        <v>24</v>
      </c>
      <c r="E218" s="22">
        <v>36567</v>
      </c>
      <c r="F218" s="21" t="s">
        <v>1053</v>
      </c>
      <c r="G218" s="21" t="s">
        <v>2180</v>
      </c>
      <c r="H218" s="21" t="s">
        <v>160</v>
      </c>
      <c r="I218" s="6" t="str">
        <f>VLOOKUP(CLEAN(F218),'World Bank Categories'!$B$4:$C$220,2,FALSE)</f>
        <v>High income</v>
      </c>
      <c r="J218" s="21" t="s">
        <v>2181</v>
      </c>
      <c r="K218" s="21" t="s">
        <v>29</v>
      </c>
      <c r="L218" s="21" t="s">
        <v>30</v>
      </c>
      <c r="M218" s="21" t="s">
        <v>2182</v>
      </c>
      <c r="N218" s="21"/>
      <c r="O218" s="21"/>
      <c r="P218" s="21" t="s">
        <v>31</v>
      </c>
      <c r="Q218" s="9" t="s">
        <v>32</v>
      </c>
      <c r="R218" s="10" t="s">
        <v>43</v>
      </c>
      <c r="S218" s="25" t="s">
        <v>2183</v>
      </c>
      <c r="T218" s="27">
        <v>36567</v>
      </c>
      <c r="U218" s="25" t="s">
        <v>2181</v>
      </c>
      <c r="V218" s="25" t="s">
        <v>80</v>
      </c>
      <c r="W218" s="25"/>
    </row>
    <row r="219" spans="1:23" ht="22.5" customHeight="1">
      <c r="A219" s="20">
        <v>46053.813171296293</v>
      </c>
      <c r="B219" s="21" t="s">
        <v>2184</v>
      </c>
      <c r="C219" s="38"/>
      <c r="D219" s="21" t="s">
        <v>24</v>
      </c>
      <c r="E219" s="22">
        <v>25892</v>
      </c>
      <c r="F219" s="21" t="s">
        <v>1932</v>
      </c>
      <c r="G219" s="21" t="s">
        <v>2185</v>
      </c>
      <c r="H219" s="21" t="s">
        <v>2186</v>
      </c>
      <c r="I219" s="6" t="str">
        <f>VLOOKUP(CLEAN(F219),'World Bank Categories'!$B$4:$C$220,2,FALSE)</f>
        <v>Middle income</v>
      </c>
      <c r="J219" s="21" t="s">
        <v>2187</v>
      </c>
      <c r="K219" s="21" t="s">
        <v>39</v>
      </c>
      <c r="L219" s="21" t="s">
        <v>621</v>
      </c>
      <c r="M219" s="41"/>
      <c r="N219" s="21"/>
      <c r="O219" s="21"/>
      <c r="P219" s="21" t="s">
        <v>31</v>
      </c>
      <c r="Q219" s="9" t="s">
        <v>32</v>
      </c>
      <c r="R219" s="18" t="s">
        <v>43</v>
      </c>
      <c r="S219" s="25" t="s">
        <v>2184</v>
      </c>
      <c r="T219" s="27">
        <v>25892</v>
      </c>
      <c r="U219" s="25" t="s">
        <v>2187</v>
      </c>
      <c r="V219" s="25" t="s">
        <v>80</v>
      </c>
      <c r="W219" s="25"/>
    </row>
    <row r="220" spans="1:23" ht="22.5" customHeight="1">
      <c r="A220" s="20">
        <v>46053.818842592591</v>
      </c>
      <c r="B220" s="21" t="s">
        <v>2188</v>
      </c>
      <c r="C220" s="38"/>
      <c r="D220" s="21" t="s">
        <v>45</v>
      </c>
      <c r="E220" s="22">
        <v>28800</v>
      </c>
      <c r="F220" s="21" t="s">
        <v>1932</v>
      </c>
      <c r="G220" s="21" t="s">
        <v>2185</v>
      </c>
      <c r="H220" s="21" t="s">
        <v>2189</v>
      </c>
      <c r="I220" s="6" t="str">
        <f>VLOOKUP(CLEAN(F220),'World Bank Categories'!$B$4:$C$220,2,FALSE)</f>
        <v>Middle income</v>
      </c>
      <c r="J220" s="21" t="s">
        <v>2190</v>
      </c>
      <c r="K220" s="21" t="s">
        <v>39</v>
      </c>
      <c r="L220" s="21" t="s">
        <v>621</v>
      </c>
      <c r="M220" s="41"/>
      <c r="N220" s="21"/>
      <c r="O220" s="21"/>
      <c r="P220" s="21" t="s">
        <v>31</v>
      </c>
      <c r="Q220" s="9" t="s">
        <v>32</v>
      </c>
      <c r="R220" s="10" t="s">
        <v>43</v>
      </c>
      <c r="S220" s="25" t="s">
        <v>2188</v>
      </c>
      <c r="T220" s="27">
        <v>28800</v>
      </c>
      <c r="U220" s="25" t="s">
        <v>2190</v>
      </c>
      <c r="V220" s="25" t="s">
        <v>80</v>
      </c>
      <c r="W220" s="25"/>
    </row>
    <row r="221" spans="1:23" ht="22.5" customHeight="1">
      <c r="A221" s="20">
        <v>46053.861030092594</v>
      </c>
      <c r="B221" s="21" t="s">
        <v>2197</v>
      </c>
      <c r="C221" s="21" t="s">
        <v>2198</v>
      </c>
      <c r="D221" s="21" t="s">
        <v>24</v>
      </c>
      <c r="E221" s="22">
        <v>35060</v>
      </c>
      <c r="F221" s="21" t="s">
        <v>1053</v>
      </c>
      <c r="G221" s="21" t="s">
        <v>2199</v>
      </c>
      <c r="H221" s="21" t="s">
        <v>1109</v>
      </c>
      <c r="I221" s="6" t="str">
        <f>VLOOKUP(CLEAN(F221),'World Bank Categories'!$B$4:$C$220,2,FALSE)</f>
        <v>High income</v>
      </c>
      <c r="J221" s="21" t="s">
        <v>2200</v>
      </c>
      <c r="K221" s="21" t="s">
        <v>29</v>
      </c>
      <c r="L221" s="21" t="s">
        <v>30</v>
      </c>
      <c r="M221" s="21"/>
      <c r="N221" s="21"/>
      <c r="O221" s="21"/>
      <c r="P221" s="21" t="s">
        <v>31</v>
      </c>
      <c r="Q221" s="9" t="s">
        <v>32</v>
      </c>
      <c r="R221" s="10" t="s">
        <v>43</v>
      </c>
      <c r="S221" s="25" t="s">
        <v>2197</v>
      </c>
      <c r="T221" s="27">
        <v>35060</v>
      </c>
      <c r="U221" s="25" t="s">
        <v>2201</v>
      </c>
      <c r="V221" s="25" t="s">
        <v>80</v>
      </c>
      <c r="W221" s="25"/>
    </row>
    <row r="222" spans="1:23" ht="22.5" customHeight="1">
      <c r="A222" s="28">
        <v>46053.871388888889</v>
      </c>
      <c r="B222" s="29" t="s">
        <v>2204</v>
      </c>
      <c r="C222" s="45"/>
      <c r="D222" s="29" t="s">
        <v>24</v>
      </c>
      <c r="E222" s="30">
        <v>28629</v>
      </c>
      <c r="F222" s="29" t="s">
        <v>1932</v>
      </c>
      <c r="G222" s="29" t="s">
        <v>2205</v>
      </c>
      <c r="H222" s="29" t="s">
        <v>2206</v>
      </c>
      <c r="I222" s="6" t="str">
        <f>VLOOKUP(CLEAN(F222),'World Bank Categories'!$B$4:$C$220,2,FALSE)</f>
        <v>Middle income</v>
      </c>
      <c r="J222" s="29" t="s">
        <v>2207</v>
      </c>
      <c r="K222" s="29" t="s">
        <v>39</v>
      </c>
      <c r="L222" s="29" t="s">
        <v>621</v>
      </c>
      <c r="M222" s="62"/>
      <c r="N222" s="29"/>
      <c r="O222" s="29"/>
      <c r="P222" s="29" t="s">
        <v>31</v>
      </c>
      <c r="Q222" s="9" t="s">
        <v>32</v>
      </c>
      <c r="R222" s="10" t="s">
        <v>33</v>
      </c>
      <c r="S222" s="25" t="s">
        <v>2208</v>
      </c>
      <c r="T222" s="27">
        <v>28629</v>
      </c>
      <c r="U222" s="25" t="s">
        <v>2207</v>
      </c>
      <c r="V222" s="25" t="s">
        <v>80</v>
      </c>
      <c r="W222" s="25"/>
    </row>
    <row r="223" spans="1:23" ht="22.5" customHeight="1">
      <c r="A223" s="20">
        <v>46053.900381944448</v>
      </c>
      <c r="B223" s="21" t="s">
        <v>2213</v>
      </c>
      <c r="C223" s="38"/>
      <c r="D223" s="21" t="s">
        <v>24</v>
      </c>
      <c r="E223" s="22">
        <v>31511</v>
      </c>
      <c r="F223" s="21" t="s">
        <v>1932</v>
      </c>
      <c r="G223" s="21" t="s">
        <v>2205</v>
      </c>
      <c r="H223" s="21" t="s">
        <v>2214</v>
      </c>
      <c r="I223" s="6" t="str">
        <f>VLOOKUP(CLEAN(F223),'World Bank Categories'!$B$4:$C$220,2,FALSE)</f>
        <v>Middle income</v>
      </c>
      <c r="J223" s="21" t="s">
        <v>2215</v>
      </c>
      <c r="K223" s="21" t="s">
        <v>39</v>
      </c>
      <c r="L223" s="21" t="s">
        <v>621</v>
      </c>
      <c r="M223" s="21" t="s">
        <v>2216</v>
      </c>
      <c r="N223" s="21"/>
      <c r="O223" s="21"/>
      <c r="P223" s="21" t="s">
        <v>31</v>
      </c>
      <c r="Q223" s="9" t="s">
        <v>32</v>
      </c>
      <c r="R223" s="10" t="s">
        <v>33</v>
      </c>
      <c r="S223" s="25" t="s">
        <v>2213</v>
      </c>
      <c r="T223" s="27">
        <v>31511</v>
      </c>
      <c r="U223" s="25" t="s">
        <v>2215</v>
      </c>
      <c r="V223" s="25" t="s">
        <v>80</v>
      </c>
      <c r="W223" s="25"/>
    </row>
    <row r="224" spans="1:23" ht="22.5" customHeight="1">
      <c r="A224" s="20">
        <v>46053.917199074072</v>
      </c>
      <c r="B224" s="21" t="s">
        <v>2217</v>
      </c>
      <c r="C224" s="38"/>
      <c r="D224" s="21" t="s">
        <v>24</v>
      </c>
      <c r="E224" s="22">
        <v>24884</v>
      </c>
      <c r="F224" s="21" t="s">
        <v>1834</v>
      </c>
      <c r="G224" s="21" t="s">
        <v>2218</v>
      </c>
      <c r="H224" s="21" t="s">
        <v>2219</v>
      </c>
      <c r="I224" s="6" t="str">
        <f>VLOOKUP(CLEAN(F224),'World Bank Categories'!$B$4:$C$220,2,FALSE)</f>
        <v>Middle income</v>
      </c>
      <c r="J224" s="21" t="s">
        <v>2220</v>
      </c>
      <c r="K224" s="21" t="s">
        <v>39</v>
      </c>
      <c r="L224" s="32">
        <v>46204</v>
      </c>
      <c r="M224" s="21"/>
      <c r="N224" s="21"/>
      <c r="O224" s="21"/>
      <c r="P224" s="21" t="s">
        <v>31</v>
      </c>
      <c r="Q224" s="9" t="s">
        <v>32</v>
      </c>
      <c r="R224" s="18" t="s">
        <v>33</v>
      </c>
      <c r="S224" s="25" t="s">
        <v>2217</v>
      </c>
      <c r="T224" s="27">
        <v>24884</v>
      </c>
      <c r="U224" s="25" t="s">
        <v>2220</v>
      </c>
      <c r="V224" s="25" t="s">
        <v>80</v>
      </c>
      <c r="W224" s="25"/>
    </row>
    <row r="225" spans="1:23" ht="22.5" customHeight="1">
      <c r="A225" s="20">
        <v>46053.917384259257</v>
      </c>
      <c r="B225" s="21" t="s">
        <v>2221</v>
      </c>
      <c r="C225" s="38"/>
      <c r="D225" s="21" t="s">
        <v>24</v>
      </c>
      <c r="E225" s="22">
        <v>21638</v>
      </c>
      <c r="F225" s="21" t="s">
        <v>1834</v>
      </c>
      <c r="G225" s="21" t="s">
        <v>2222</v>
      </c>
      <c r="H225" s="21" t="s">
        <v>2223</v>
      </c>
      <c r="I225" s="6" t="str">
        <f>VLOOKUP(CLEAN(F225),'World Bank Categories'!$B$4:$C$220,2,FALSE)</f>
        <v>Middle income</v>
      </c>
      <c r="J225" s="21" t="s">
        <v>2224</v>
      </c>
      <c r="K225" s="21" t="s">
        <v>39</v>
      </c>
      <c r="L225" s="21" t="s">
        <v>2225</v>
      </c>
      <c r="M225" s="21"/>
      <c r="N225" s="21"/>
      <c r="O225" s="21"/>
      <c r="P225" s="21" t="s">
        <v>31</v>
      </c>
      <c r="Q225" s="9" t="s">
        <v>32</v>
      </c>
      <c r="R225" s="10" t="s">
        <v>33</v>
      </c>
      <c r="S225" s="25" t="s">
        <v>2226</v>
      </c>
      <c r="T225" s="27">
        <v>21638</v>
      </c>
      <c r="U225" s="25" t="s">
        <v>2227</v>
      </c>
      <c r="V225" s="25" t="s">
        <v>101</v>
      </c>
      <c r="W225" s="25"/>
    </row>
    <row r="226" spans="1:23" ht="22.5" customHeight="1">
      <c r="A226" s="20">
        <v>46053.936944444446</v>
      </c>
      <c r="B226" s="21" t="s">
        <v>2228</v>
      </c>
      <c r="C226" s="21" t="s">
        <v>2228</v>
      </c>
      <c r="D226" s="21" t="s">
        <v>45</v>
      </c>
      <c r="E226" s="22">
        <v>38427</v>
      </c>
      <c r="F226" s="21" t="s">
        <v>1932</v>
      </c>
      <c r="G226" s="21" t="s">
        <v>2229</v>
      </c>
      <c r="H226" s="21" t="s">
        <v>2230</v>
      </c>
      <c r="I226" s="6" t="str">
        <f>VLOOKUP(CLEAN(F226),'World Bank Categories'!$B$4:$C$220,2,FALSE)</f>
        <v>Middle income</v>
      </c>
      <c r="J226" s="21" t="s">
        <v>2231</v>
      </c>
      <c r="K226" s="21" t="s">
        <v>39</v>
      </c>
      <c r="L226" s="21" t="s">
        <v>152</v>
      </c>
      <c r="M226" s="21"/>
      <c r="N226" s="21"/>
      <c r="O226" s="21"/>
      <c r="P226" s="21" t="s">
        <v>31</v>
      </c>
      <c r="Q226" s="9" t="s">
        <v>32</v>
      </c>
      <c r="R226" s="18" t="s">
        <v>33</v>
      </c>
      <c r="S226" s="25" t="s">
        <v>2228</v>
      </c>
      <c r="T226" s="27">
        <v>38427</v>
      </c>
      <c r="U226" s="25" t="s">
        <v>2231</v>
      </c>
      <c r="V226" s="25" t="s">
        <v>80</v>
      </c>
      <c r="W226" s="25"/>
    </row>
    <row r="227" spans="1:23" ht="22.5" customHeight="1">
      <c r="A227" s="20">
        <v>46053.996701388889</v>
      </c>
      <c r="B227" s="21" t="s">
        <v>2235</v>
      </c>
      <c r="C227" s="38"/>
      <c r="D227" s="21" t="s">
        <v>24</v>
      </c>
      <c r="E227" s="22">
        <v>24315</v>
      </c>
      <c r="F227" s="21" t="s">
        <v>1932</v>
      </c>
      <c r="G227" s="21" t="s">
        <v>2236</v>
      </c>
      <c r="H227" s="21" t="s">
        <v>2237</v>
      </c>
      <c r="I227" s="6" t="str">
        <f>VLOOKUP(CLEAN(F227),'World Bank Categories'!$B$4:$C$220,2,FALSE)</f>
        <v>Middle income</v>
      </c>
      <c r="J227" s="21" t="s">
        <v>2238</v>
      </c>
      <c r="K227" s="21" t="s">
        <v>39</v>
      </c>
      <c r="L227" s="21" t="s">
        <v>152</v>
      </c>
      <c r="M227" s="41"/>
      <c r="N227" s="21"/>
      <c r="O227" s="21"/>
      <c r="P227" s="21" t="s">
        <v>31</v>
      </c>
      <c r="Q227" s="9" t="s">
        <v>32</v>
      </c>
      <c r="R227" s="18" t="s">
        <v>33</v>
      </c>
      <c r="S227" s="25" t="s">
        <v>2235</v>
      </c>
      <c r="T227" s="27">
        <v>24315</v>
      </c>
      <c r="U227" s="25" t="s">
        <v>2238</v>
      </c>
      <c r="V227" s="25" t="s">
        <v>80</v>
      </c>
      <c r="W227" s="25"/>
    </row>
    <row r="228" spans="1:23" ht="22.5" customHeight="1">
      <c r="A228" s="20">
        <v>46054.065555555557</v>
      </c>
      <c r="B228" s="21" t="s">
        <v>2239</v>
      </c>
      <c r="C228" s="38"/>
      <c r="D228" s="21" t="s">
        <v>24</v>
      </c>
      <c r="E228" s="22">
        <v>34968</v>
      </c>
      <c r="F228" s="21" t="s">
        <v>227</v>
      </c>
      <c r="G228" s="21" t="s">
        <v>2240</v>
      </c>
      <c r="H228" s="21" t="s">
        <v>2241</v>
      </c>
      <c r="I228" s="6" t="str">
        <f>VLOOKUP(CLEAN(F228),'World Bank Categories'!$B$4:$C$220,2,FALSE)</f>
        <v>Middle income</v>
      </c>
      <c r="J228" s="21" t="s">
        <v>2242</v>
      </c>
      <c r="K228" s="21" t="s">
        <v>29</v>
      </c>
      <c r="L228" s="21" t="s">
        <v>30</v>
      </c>
      <c r="M228" s="41"/>
      <c r="N228" s="21"/>
      <c r="O228" s="21"/>
      <c r="P228" s="21" t="s">
        <v>31</v>
      </c>
      <c r="Q228" s="9" t="s">
        <v>32</v>
      </c>
      <c r="R228" s="10" t="s">
        <v>33</v>
      </c>
      <c r="S228" s="25" t="s">
        <v>2239</v>
      </c>
      <c r="T228" s="27">
        <v>34968</v>
      </c>
      <c r="U228" s="25" t="s">
        <v>2242</v>
      </c>
      <c r="V228" s="25" t="s">
        <v>80</v>
      </c>
      <c r="W228" s="25"/>
    </row>
    <row r="229" spans="1:23" ht="22.5" customHeight="1">
      <c r="A229" s="28">
        <v>46054.067453703705</v>
      </c>
      <c r="B229" s="29" t="s">
        <v>2243</v>
      </c>
      <c r="C229" s="29" t="s">
        <v>2243</v>
      </c>
      <c r="D229" s="29" t="s">
        <v>45</v>
      </c>
      <c r="E229" s="30">
        <v>35182</v>
      </c>
      <c r="F229" s="29" t="s">
        <v>227</v>
      </c>
      <c r="G229" s="29" t="s">
        <v>2240</v>
      </c>
      <c r="H229" s="29" t="s">
        <v>2241</v>
      </c>
      <c r="I229" s="6" t="str">
        <f>VLOOKUP(CLEAN(F229),'World Bank Categories'!$B$4:$C$220,2,FALSE)</f>
        <v>Middle income</v>
      </c>
      <c r="J229" s="29" t="s">
        <v>2244</v>
      </c>
      <c r="K229" s="29" t="s">
        <v>29</v>
      </c>
      <c r="L229" s="29" t="s">
        <v>30</v>
      </c>
      <c r="M229" s="62"/>
      <c r="N229" s="29"/>
      <c r="O229" s="29"/>
      <c r="P229" s="29" t="s">
        <v>31</v>
      </c>
      <c r="Q229" s="9" t="s">
        <v>32</v>
      </c>
      <c r="R229" s="18" t="s">
        <v>33</v>
      </c>
      <c r="S229" s="25" t="s">
        <v>2243</v>
      </c>
      <c r="T229" s="27">
        <v>35182</v>
      </c>
      <c r="U229" s="25" t="s">
        <v>2244</v>
      </c>
      <c r="V229" s="25" t="s">
        <v>80</v>
      </c>
      <c r="W229" s="25"/>
    </row>
    <row r="230" spans="1:23" ht="22.5" customHeight="1">
      <c r="A230" s="20">
        <v>46054.117303240739</v>
      </c>
      <c r="B230" s="21" t="s">
        <v>2251</v>
      </c>
      <c r="C230" s="21" t="s">
        <v>2252</v>
      </c>
      <c r="D230" s="21" t="s">
        <v>24</v>
      </c>
      <c r="E230" s="22">
        <v>31552</v>
      </c>
      <c r="F230" s="21" t="s">
        <v>2066</v>
      </c>
      <c r="G230" s="21" t="s">
        <v>2253</v>
      </c>
      <c r="H230" s="21" t="s">
        <v>2254</v>
      </c>
      <c r="I230" s="6" t="str">
        <f>VLOOKUP(CLEAN(F230),'World Bank Categories'!$B$4:$C$220,2,FALSE)</f>
        <v>High income</v>
      </c>
      <c r="J230" s="21" t="s">
        <v>2255</v>
      </c>
      <c r="K230" s="21" t="s">
        <v>29</v>
      </c>
      <c r="L230" s="21" t="s">
        <v>30</v>
      </c>
      <c r="M230" s="21"/>
      <c r="N230" s="21"/>
      <c r="O230" s="21"/>
      <c r="P230" s="21" t="s">
        <v>31</v>
      </c>
      <c r="Q230" s="9" t="s">
        <v>32</v>
      </c>
      <c r="R230" s="18" t="s">
        <v>33</v>
      </c>
      <c r="S230" s="25" t="s">
        <v>2256</v>
      </c>
      <c r="T230" s="27">
        <v>31552</v>
      </c>
      <c r="U230" s="25" t="s">
        <v>2255</v>
      </c>
      <c r="V230" s="25" t="s">
        <v>154</v>
      </c>
      <c r="W230" s="25"/>
    </row>
    <row r="231" spans="1:23" ht="22.5" customHeight="1">
      <c r="A231" s="20">
        <v>46055.474780092591</v>
      </c>
      <c r="B231" s="21" t="s">
        <v>2288</v>
      </c>
      <c r="C231" s="38"/>
      <c r="D231" s="21" t="s">
        <v>24</v>
      </c>
      <c r="E231" s="22">
        <v>35005</v>
      </c>
      <c r="F231" s="21" t="s">
        <v>1932</v>
      </c>
      <c r="G231" s="21" t="s">
        <v>2289</v>
      </c>
      <c r="H231" s="21" t="s">
        <v>640</v>
      </c>
      <c r="I231" s="6" t="str">
        <f>VLOOKUP(CLEAN(F231),'World Bank Categories'!$B$4:$C$220,2,FALSE)</f>
        <v>Middle income</v>
      </c>
      <c r="J231" s="21" t="s">
        <v>2290</v>
      </c>
      <c r="K231" s="21" t="s">
        <v>29</v>
      </c>
      <c r="L231" s="21" t="s">
        <v>30</v>
      </c>
      <c r="M231" s="21"/>
      <c r="N231" s="21"/>
      <c r="O231" s="21"/>
      <c r="P231" s="21" t="s">
        <v>31</v>
      </c>
      <c r="Q231" s="9" t="s">
        <v>32</v>
      </c>
      <c r="R231" s="18" t="s">
        <v>33</v>
      </c>
      <c r="S231" s="25" t="s">
        <v>2288</v>
      </c>
      <c r="T231" s="27">
        <v>35005</v>
      </c>
      <c r="U231" s="25" t="s">
        <v>2290</v>
      </c>
      <c r="V231" s="25" t="s">
        <v>80</v>
      </c>
      <c r="W231" s="25"/>
    </row>
    <row r="232" spans="1:23" ht="22.5" customHeight="1">
      <c r="A232" s="5">
        <v>46055.537247627319</v>
      </c>
      <c r="B232" s="6" t="s">
        <v>2291</v>
      </c>
      <c r="C232" s="7"/>
      <c r="D232" s="6" t="s">
        <v>24</v>
      </c>
      <c r="E232" s="8">
        <v>32052</v>
      </c>
      <c r="F232" s="6" t="s">
        <v>1179</v>
      </c>
      <c r="G232" s="6" t="s">
        <v>1665</v>
      </c>
      <c r="H232" s="6" t="s">
        <v>186</v>
      </c>
      <c r="I232" s="6" t="str">
        <f>VLOOKUP(CLEAN(F232),'World Bank Categories'!$B$4:$C$220,2,FALSE)</f>
        <v>High income</v>
      </c>
      <c r="J232" s="6" t="s">
        <v>2292</v>
      </c>
      <c r="K232" s="6" t="s">
        <v>39</v>
      </c>
      <c r="L232" s="6" t="s">
        <v>162</v>
      </c>
      <c r="M232" s="7"/>
      <c r="N232" s="6"/>
      <c r="O232" s="6"/>
      <c r="P232" s="6" t="s">
        <v>2293</v>
      </c>
      <c r="Q232" s="9" t="s">
        <v>32</v>
      </c>
      <c r="R232" s="10" t="s">
        <v>43</v>
      </c>
      <c r="S232" s="11" t="s">
        <v>2294</v>
      </c>
      <c r="T232" s="12"/>
      <c r="U232" s="12"/>
      <c r="V232" s="12"/>
      <c r="W232" s="12"/>
    </row>
    <row r="233" spans="1:23" ht="22.5" customHeight="1">
      <c r="A233" s="20">
        <v>46057.974895833337</v>
      </c>
      <c r="B233" s="21" t="s">
        <v>2295</v>
      </c>
      <c r="C233" s="21" t="s">
        <v>2296</v>
      </c>
      <c r="D233" s="21" t="s">
        <v>45</v>
      </c>
      <c r="E233" s="22">
        <v>37881</v>
      </c>
      <c r="F233" s="21" t="s">
        <v>1053</v>
      </c>
      <c r="G233" s="21" t="s">
        <v>2297</v>
      </c>
      <c r="H233" s="21" t="s">
        <v>66</v>
      </c>
      <c r="I233" s="6" t="str">
        <f>VLOOKUP(CLEAN(F233),'World Bank Categories'!$B$4:$C$220,2,FALSE)</f>
        <v>High income</v>
      </c>
      <c r="J233" s="21" t="s">
        <v>2298</v>
      </c>
      <c r="K233" s="21" t="s">
        <v>29</v>
      </c>
      <c r="L233" s="21" t="s">
        <v>30</v>
      </c>
      <c r="M233" s="21"/>
      <c r="N233" s="21"/>
      <c r="O233" s="21"/>
      <c r="P233" s="21" t="s">
        <v>31</v>
      </c>
      <c r="Q233" s="9" t="s">
        <v>32</v>
      </c>
      <c r="R233" s="10" t="s">
        <v>43</v>
      </c>
      <c r="S233" s="25" t="s">
        <v>2295</v>
      </c>
      <c r="T233" s="27">
        <v>37881</v>
      </c>
      <c r="U233" s="25" t="s">
        <v>2298</v>
      </c>
      <c r="V233" s="25" t="s">
        <v>80</v>
      </c>
      <c r="W233" s="25"/>
    </row>
    <row r="234" spans="1:23" ht="22.5" customHeight="1">
      <c r="A234" s="20">
        <v>46059.140752314815</v>
      </c>
      <c r="B234" s="21" t="s">
        <v>2301</v>
      </c>
      <c r="C234" s="38"/>
      <c r="D234" s="21" t="s">
        <v>24</v>
      </c>
      <c r="E234" s="22">
        <v>35691</v>
      </c>
      <c r="F234" s="21" t="s">
        <v>208</v>
      </c>
      <c r="G234" s="21" t="s">
        <v>2302</v>
      </c>
      <c r="H234" s="21" t="s">
        <v>2303</v>
      </c>
      <c r="I234" s="6" t="str">
        <f>VLOOKUP(CLEAN(F234),'World Bank Categories'!$B$4:$C$220,2,FALSE)</f>
        <v>Low income</v>
      </c>
      <c r="J234" s="21" t="s">
        <v>2304</v>
      </c>
      <c r="K234" s="21" t="s">
        <v>29</v>
      </c>
      <c r="L234" s="21" t="s">
        <v>30</v>
      </c>
      <c r="M234" s="21"/>
      <c r="N234" s="21"/>
      <c r="O234" s="21"/>
      <c r="P234" s="21" t="s">
        <v>31</v>
      </c>
      <c r="Q234" s="9" t="s">
        <v>32</v>
      </c>
      <c r="R234" s="10" t="s">
        <v>33</v>
      </c>
      <c r="S234" s="25" t="s">
        <v>2301</v>
      </c>
      <c r="T234" s="27">
        <v>35691</v>
      </c>
      <c r="U234" s="25" t="s">
        <v>2304</v>
      </c>
      <c r="V234" s="25" t="s">
        <v>80</v>
      </c>
      <c r="W234" s="25"/>
    </row>
    <row r="235" spans="1:23" ht="22.5" customHeight="1">
      <c r="A235" s="13">
        <v>46059.665206921301</v>
      </c>
      <c r="B235" s="14" t="s">
        <v>2305</v>
      </c>
      <c r="C235" s="14" t="s">
        <v>2306</v>
      </c>
      <c r="D235" s="14" t="s">
        <v>45</v>
      </c>
      <c r="E235" s="16">
        <v>36206</v>
      </c>
      <c r="F235" s="14" t="s">
        <v>208</v>
      </c>
      <c r="G235" s="14" t="s">
        <v>2307</v>
      </c>
      <c r="H235" s="14" t="s">
        <v>66</v>
      </c>
      <c r="I235" s="6" t="str">
        <f>VLOOKUP(CLEAN(F235),'World Bank Categories'!$B$4:$C$220,2,FALSE)</f>
        <v>Low income</v>
      </c>
      <c r="J235" s="14" t="s">
        <v>2308</v>
      </c>
      <c r="K235" s="14" t="s">
        <v>29</v>
      </c>
      <c r="L235" s="14" t="s">
        <v>162</v>
      </c>
      <c r="M235" s="15"/>
      <c r="N235" s="14"/>
      <c r="O235" s="14"/>
      <c r="P235" s="14" t="s">
        <v>31</v>
      </c>
      <c r="Q235" s="9" t="s">
        <v>32</v>
      </c>
      <c r="R235" s="18" t="s">
        <v>33</v>
      </c>
      <c r="S235" s="19">
        <v>256759021143</v>
      </c>
      <c r="T235" s="12"/>
      <c r="U235" s="12"/>
      <c r="V235" s="12"/>
      <c r="W235" s="12"/>
    </row>
    <row r="236" spans="1:23" ht="22.5" customHeight="1">
      <c r="A236" s="20">
        <v>46062.000092592592</v>
      </c>
      <c r="B236" s="21" t="s">
        <v>2331</v>
      </c>
      <c r="C236" s="38"/>
      <c r="D236" s="21" t="s">
        <v>24</v>
      </c>
      <c r="E236" s="22">
        <v>37860</v>
      </c>
      <c r="F236" s="21" t="s">
        <v>2332</v>
      </c>
      <c r="G236" s="21" t="s">
        <v>2333</v>
      </c>
      <c r="H236" s="21" t="s">
        <v>2334</v>
      </c>
      <c r="I236" s="6" t="str">
        <f>VLOOKUP(CLEAN(F236),'World Bank Categories'!$B$4:$C$220,2,FALSE)</f>
        <v>High income</v>
      </c>
      <c r="J236" s="21" t="s">
        <v>2335</v>
      </c>
      <c r="K236" s="21" t="s">
        <v>29</v>
      </c>
      <c r="L236" s="21" t="s">
        <v>30</v>
      </c>
      <c r="M236" s="21" t="s">
        <v>2336</v>
      </c>
      <c r="N236" s="21"/>
      <c r="O236" s="21"/>
      <c r="P236" s="21" t="s">
        <v>31</v>
      </c>
      <c r="Q236" s="9" t="s">
        <v>32</v>
      </c>
      <c r="R236" s="18" t="s">
        <v>43</v>
      </c>
      <c r="S236" s="25" t="s">
        <v>2337</v>
      </c>
      <c r="T236" s="27">
        <v>37860</v>
      </c>
      <c r="U236" s="25" t="s">
        <v>2335</v>
      </c>
      <c r="V236" s="25" t="s">
        <v>154</v>
      </c>
      <c r="W236" s="25"/>
    </row>
    <row r="237" spans="1:23" ht="22.5" customHeight="1">
      <c r="A237" s="20">
        <v>46062.387488425928</v>
      </c>
      <c r="B237" s="21" t="s">
        <v>2338</v>
      </c>
      <c r="C237" s="21" t="s">
        <v>2339</v>
      </c>
      <c r="D237" s="21" t="s">
        <v>45</v>
      </c>
      <c r="E237" s="22">
        <v>38768</v>
      </c>
      <c r="F237" s="21" t="s">
        <v>1053</v>
      </c>
      <c r="G237" s="21" t="s">
        <v>2340</v>
      </c>
      <c r="H237" s="21" t="s">
        <v>66</v>
      </c>
      <c r="I237" s="6" t="str">
        <f>VLOOKUP(CLEAN(F237),'World Bank Categories'!$B$4:$C$220,2,FALSE)</f>
        <v>High income</v>
      </c>
      <c r="J237" s="21" t="s">
        <v>2341</v>
      </c>
      <c r="K237" s="21" t="s">
        <v>39</v>
      </c>
      <c r="L237" s="21" t="s">
        <v>1991</v>
      </c>
      <c r="M237" s="21"/>
      <c r="N237" s="21"/>
      <c r="O237" s="21"/>
      <c r="P237" s="21" t="s">
        <v>31</v>
      </c>
      <c r="Q237" s="9" t="s">
        <v>32</v>
      </c>
      <c r="R237" s="10" t="s">
        <v>43</v>
      </c>
      <c r="S237" s="25" t="s">
        <v>2342</v>
      </c>
      <c r="T237" s="27">
        <v>38768</v>
      </c>
      <c r="U237" s="25" t="s">
        <v>2341</v>
      </c>
      <c r="V237" s="25" t="s">
        <v>154</v>
      </c>
      <c r="W237" s="25"/>
    </row>
    <row r="238" spans="1:23" ht="22.5" customHeight="1">
      <c r="A238" s="20">
        <v>46063.252685185187</v>
      </c>
      <c r="B238" s="21" t="s">
        <v>2343</v>
      </c>
      <c r="C238" s="38"/>
      <c r="D238" s="21" t="s">
        <v>24</v>
      </c>
      <c r="E238" s="22">
        <v>36639</v>
      </c>
      <c r="F238" s="21" t="s">
        <v>2344</v>
      </c>
      <c r="G238" s="21" t="s">
        <v>2345</v>
      </c>
      <c r="H238" s="21" t="s">
        <v>66</v>
      </c>
      <c r="I238" s="6" t="str">
        <f>VLOOKUP(CLEAN(F238),'World Bank Categories'!$B$4:$C$220,2,FALSE)</f>
        <v>High income</v>
      </c>
      <c r="J238" s="21" t="s">
        <v>2346</v>
      </c>
      <c r="K238" s="21" t="s">
        <v>29</v>
      </c>
      <c r="L238" s="21" t="s">
        <v>30</v>
      </c>
      <c r="M238" s="21"/>
      <c r="N238" s="21"/>
      <c r="O238" s="21"/>
      <c r="P238" s="21" t="s">
        <v>31</v>
      </c>
      <c r="Q238" s="9" t="s">
        <v>32</v>
      </c>
      <c r="R238" s="18" t="s">
        <v>43</v>
      </c>
      <c r="S238" s="25" t="s">
        <v>2343</v>
      </c>
      <c r="T238" s="27">
        <v>36639</v>
      </c>
      <c r="U238" s="25" t="s">
        <v>2346</v>
      </c>
      <c r="V238" s="25" t="s">
        <v>80</v>
      </c>
      <c r="W238" s="25"/>
    </row>
    <row r="239" spans="1:23" ht="22.5" customHeight="1">
      <c r="A239" s="46">
        <v>46063.824826388889</v>
      </c>
      <c r="B239" s="47" t="s">
        <v>2347</v>
      </c>
      <c r="C239" s="48"/>
      <c r="D239" s="47" t="s">
        <v>24</v>
      </c>
      <c r="E239" s="49">
        <v>36791</v>
      </c>
      <c r="F239" s="21" t="s">
        <v>208</v>
      </c>
      <c r="G239" s="47" t="s">
        <v>2348</v>
      </c>
      <c r="H239" s="47" t="s">
        <v>2349</v>
      </c>
      <c r="I239" s="6" t="str">
        <f>VLOOKUP(CLEAN(F239),'World Bank Categories'!$B$4:$C$220,2,FALSE)</f>
        <v>Low income</v>
      </c>
      <c r="J239" s="47" t="s">
        <v>2350</v>
      </c>
      <c r="K239" s="47" t="s">
        <v>39</v>
      </c>
      <c r="L239" s="47" t="s">
        <v>30</v>
      </c>
      <c r="M239" s="47"/>
      <c r="N239" s="47"/>
      <c r="O239" s="47"/>
      <c r="P239" s="47" t="s">
        <v>31</v>
      </c>
      <c r="Q239" s="9" t="s">
        <v>32</v>
      </c>
      <c r="R239" s="10" t="s">
        <v>33</v>
      </c>
      <c r="S239" s="25" t="s">
        <v>2347</v>
      </c>
      <c r="T239" s="27">
        <v>36791</v>
      </c>
      <c r="U239" s="25" t="s">
        <v>2350</v>
      </c>
      <c r="V239" s="25" t="s">
        <v>80</v>
      </c>
      <c r="W239" s="25"/>
    </row>
    <row r="240" spans="1:23" ht="22.5" customHeight="1">
      <c r="A240" s="20">
        <v>46064.68949074074</v>
      </c>
      <c r="B240" s="21" t="s">
        <v>2351</v>
      </c>
      <c r="C240" s="21" t="s">
        <v>2352</v>
      </c>
      <c r="D240" s="21" t="s">
        <v>24</v>
      </c>
      <c r="E240" s="22">
        <v>38027</v>
      </c>
      <c r="F240" s="21" t="s">
        <v>1053</v>
      </c>
      <c r="G240" s="21" t="s">
        <v>2353</v>
      </c>
      <c r="H240" s="21" t="s">
        <v>2354</v>
      </c>
      <c r="I240" s="6" t="str">
        <f>VLOOKUP(CLEAN(F240),'World Bank Categories'!$B$4:$C$220,2,FALSE)</f>
        <v>High income</v>
      </c>
      <c r="J240" s="21" t="s">
        <v>2355</v>
      </c>
      <c r="K240" s="21" t="s">
        <v>29</v>
      </c>
      <c r="L240" s="21" t="s">
        <v>30</v>
      </c>
      <c r="M240" s="41"/>
      <c r="N240" s="21"/>
      <c r="O240" s="21"/>
      <c r="P240" s="21" t="s">
        <v>31</v>
      </c>
      <c r="Q240" s="9" t="s">
        <v>32</v>
      </c>
      <c r="R240" s="18" t="s">
        <v>43</v>
      </c>
      <c r="S240" s="25" t="s">
        <v>2351</v>
      </c>
      <c r="T240" s="27">
        <v>38027</v>
      </c>
      <c r="U240" s="25" t="s">
        <v>2355</v>
      </c>
      <c r="V240" s="25" t="s">
        <v>80</v>
      </c>
      <c r="W240" s="25"/>
    </row>
    <row r="241" spans="1:23" ht="22.5" customHeight="1">
      <c r="A241" s="5">
        <v>46065.836202812498</v>
      </c>
      <c r="B241" s="6" t="s">
        <v>2360</v>
      </c>
      <c r="C241" s="7"/>
      <c r="D241" s="6" t="s">
        <v>24</v>
      </c>
      <c r="E241" s="8">
        <v>37501</v>
      </c>
      <c r="F241" s="6" t="s">
        <v>2344</v>
      </c>
      <c r="G241" s="6" t="s">
        <v>2361</v>
      </c>
      <c r="H241" s="14" t="s">
        <v>66</v>
      </c>
      <c r="I241" s="6" t="str">
        <f>VLOOKUP(CLEAN(F241),'World Bank Categories'!$B$4:$C$220,2,FALSE)</f>
        <v>High income</v>
      </c>
      <c r="J241" s="14" t="s">
        <v>2362</v>
      </c>
      <c r="K241" s="14" t="s">
        <v>29</v>
      </c>
      <c r="L241" s="14" t="s">
        <v>162</v>
      </c>
      <c r="M241" s="15"/>
      <c r="N241" s="14"/>
      <c r="O241" s="14"/>
      <c r="P241" s="14" t="s">
        <v>31</v>
      </c>
      <c r="Q241" s="9" t="s">
        <v>32</v>
      </c>
      <c r="R241" s="10" t="s">
        <v>43</v>
      </c>
      <c r="S241" s="19" t="s">
        <v>2360</v>
      </c>
      <c r="T241" s="12"/>
      <c r="U241" s="12"/>
      <c r="V241" s="12"/>
      <c r="W241" s="12"/>
    </row>
    <row r="242" spans="1:23" ht="22.5" customHeight="1">
      <c r="A242" s="20">
        <v>46072.009606481479</v>
      </c>
      <c r="B242" s="21" t="s">
        <v>2382</v>
      </c>
      <c r="C242" s="38"/>
      <c r="D242" s="21" t="s">
        <v>45</v>
      </c>
      <c r="E242" s="22">
        <v>35333</v>
      </c>
      <c r="F242" s="21" t="s">
        <v>2378</v>
      </c>
      <c r="G242" s="21" t="s">
        <v>2383</v>
      </c>
      <c r="H242" s="21" t="s">
        <v>2384</v>
      </c>
      <c r="I242" s="6" t="str">
        <f>VLOOKUP(CLEAN(F242),'World Bank Categories'!$B$4:$C$220,2,FALSE)</f>
        <v>Middle income</v>
      </c>
      <c r="J242" s="21" t="s">
        <v>2385</v>
      </c>
      <c r="K242" s="21" t="s">
        <v>29</v>
      </c>
      <c r="L242" s="21" t="s">
        <v>30</v>
      </c>
      <c r="M242" s="21"/>
      <c r="N242" s="21"/>
      <c r="O242" s="21"/>
      <c r="P242" s="21" t="s">
        <v>31</v>
      </c>
      <c r="Q242" s="9" t="s">
        <v>32</v>
      </c>
      <c r="R242" s="10" t="s">
        <v>33</v>
      </c>
      <c r="S242" s="25" t="s">
        <v>2382</v>
      </c>
      <c r="T242" s="27">
        <v>35333</v>
      </c>
      <c r="U242" s="25" t="s">
        <v>2385</v>
      </c>
      <c r="V242" s="25" t="s">
        <v>80</v>
      </c>
      <c r="W242" s="25"/>
    </row>
    <row r="243" spans="1:23" ht="22.5" customHeight="1">
      <c r="A243" s="20">
        <v>46074.745497685188</v>
      </c>
      <c r="B243" s="21" t="s">
        <v>2386</v>
      </c>
      <c r="C243" s="21" t="s">
        <v>2387</v>
      </c>
      <c r="D243" s="21" t="s">
        <v>24</v>
      </c>
      <c r="E243" s="22">
        <v>36615</v>
      </c>
      <c r="F243" s="21" t="s">
        <v>1053</v>
      </c>
      <c r="G243" s="21" t="s">
        <v>2388</v>
      </c>
      <c r="H243" s="21" t="s">
        <v>160</v>
      </c>
      <c r="I243" s="6" t="str">
        <f>VLOOKUP(CLEAN(F243),'World Bank Categories'!$B$4:$C$220,2,FALSE)</f>
        <v>High income</v>
      </c>
      <c r="J243" s="21" t="s">
        <v>2389</v>
      </c>
      <c r="K243" s="21" t="s">
        <v>29</v>
      </c>
      <c r="L243" s="21" t="s">
        <v>30</v>
      </c>
      <c r="M243" s="21"/>
      <c r="N243" s="21"/>
      <c r="O243" s="21"/>
      <c r="P243" s="21" t="s">
        <v>31</v>
      </c>
      <c r="Q243" s="9" t="s">
        <v>32</v>
      </c>
      <c r="R243" s="18" t="s">
        <v>43</v>
      </c>
      <c r="S243" s="25"/>
      <c r="T243" s="26"/>
      <c r="U243" s="25"/>
      <c r="V243" s="25"/>
      <c r="W243" s="25"/>
    </row>
    <row r="244" spans="1:23" ht="22.5" customHeight="1">
      <c r="A244" s="20">
        <v>46074.767384259256</v>
      </c>
      <c r="B244" s="21" t="s">
        <v>2390</v>
      </c>
      <c r="C244" s="21" t="s">
        <v>2391</v>
      </c>
      <c r="D244" s="21" t="s">
        <v>24</v>
      </c>
      <c r="E244" s="22">
        <v>37797</v>
      </c>
      <c r="F244" s="21" t="s">
        <v>1053</v>
      </c>
      <c r="G244" s="21" t="s">
        <v>2392</v>
      </c>
      <c r="H244" s="21" t="s">
        <v>160</v>
      </c>
      <c r="I244" s="6" t="str">
        <f>VLOOKUP(CLEAN(F244),'World Bank Categories'!$B$4:$C$220,2,FALSE)</f>
        <v>High income</v>
      </c>
      <c r="J244" s="21" t="s">
        <v>2393</v>
      </c>
      <c r="K244" s="21" t="s">
        <v>29</v>
      </c>
      <c r="L244" s="21" t="s">
        <v>30</v>
      </c>
      <c r="M244" s="21"/>
      <c r="N244" s="21"/>
      <c r="O244" s="21"/>
      <c r="P244" s="21" t="s">
        <v>31</v>
      </c>
      <c r="Q244" s="9" t="s">
        <v>32</v>
      </c>
      <c r="R244" s="10" t="s">
        <v>43</v>
      </c>
      <c r="S244" s="25" t="s">
        <v>2390</v>
      </c>
      <c r="T244" s="27">
        <v>37797</v>
      </c>
      <c r="U244" s="25" t="s">
        <v>2393</v>
      </c>
      <c r="V244" s="25" t="s">
        <v>80</v>
      </c>
      <c r="W244" s="25"/>
    </row>
    <row r="245" spans="1:23" ht="22.5" customHeight="1">
      <c r="A245" s="20">
        <v>46076.793553240743</v>
      </c>
      <c r="B245" s="21" t="s">
        <v>2394</v>
      </c>
      <c r="C245" s="38"/>
      <c r="D245" s="21" t="s">
        <v>24</v>
      </c>
      <c r="E245" s="22">
        <v>36175</v>
      </c>
      <c r="F245" s="21" t="s">
        <v>52</v>
      </c>
      <c r="G245" s="21" t="s">
        <v>2395</v>
      </c>
      <c r="H245" s="21" t="s">
        <v>2396</v>
      </c>
      <c r="I245" s="6" t="str">
        <f>VLOOKUP(CLEAN(F245),'World Bank Categories'!$B$4:$C$220,2,FALSE)</f>
        <v>Middle income</v>
      </c>
      <c r="J245" s="21" t="s">
        <v>2397</v>
      </c>
      <c r="K245" s="21" t="s">
        <v>29</v>
      </c>
      <c r="L245" s="21" t="s">
        <v>30</v>
      </c>
      <c r="M245" s="21"/>
      <c r="N245" s="21"/>
      <c r="O245" s="21"/>
      <c r="P245" s="21" t="s">
        <v>31</v>
      </c>
      <c r="Q245" s="9" t="s">
        <v>32</v>
      </c>
      <c r="R245" s="10" t="s">
        <v>43</v>
      </c>
      <c r="S245" s="25" t="s">
        <v>2398</v>
      </c>
      <c r="T245" s="26"/>
      <c r="U245" s="25"/>
      <c r="V245" s="25"/>
      <c r="W245" s="25"/>
    </row>
    <row r="246" spans="1:23" ht="22.5" customHeight="1">
      <c r="A246" s="20">
        <v>46078.314074074071</v>
      </c>
      <c r="B246" s="21" t="s">
        <v>2399</v>
      </c>
      <c r="C246" s="21" t="s">
        <v>2400</v>
      </c>
      <c r="D246" s="21" t="s">
        <v>24</v>
      </c>
      <c r="E246" s="22">
        <v>37677</v>
      </c>
      <c r="F246" s="21" t="s">
        <v>955</v>
      </c>
      <c r="G246" s="21" t="s">
        <v>2401</v>
      </c>
      <c r="H246" s="21" t="s">
        <v>2402</v>
      </c>
      <c r="I246" s="6" t="str">
        <f>VLOOKUP(CLEAN(F246),'World Bank Categories'!$B$4:$C$220,2,FALSE)</f>
        <v>High income</v>
      </c>
      <c r="J246" s="21" t="s">
        <v>2403</v>
      </c>
      <c r="K246" s="21" t="s">
        <v>29</v>
      </c>
      <c r="L246" s="21" t="s">
        <v>30</v>
      </c>
      <c r="M246" s="21"/>
      <c r="N246" s="21"/>
      <c r="O246" s="21"/>
      <c r="P246" s="21" t="s">
        <v>31</v>
      </c>
      <c r="Q246" s="9" t="s">
        <v>32</v>
      </c>
      <c r="R246" s="18" t="s">
        <v>43</v>
      </c>
      <c r="S246" s="25" t="s">
        <v>2399</v>
      </c>
      <c r="T246" s="27">
        <v>45713</v>
      </c>
      <c r="U246" s="25" t="s">
        <v>2404</v>
      </c>
      <c r="V246" s="25" t="s">
        <v>236</v>
      </c>
      <c r="W246" s="25"/>
    </row>
    <row r="247" spans="1:23" ht="22.5" customHeight="1">
      <c r="A247" s="20">
        <v>46078.314976851849</v>
      </c>
      <c r="B247" s="21" t="s">
        <v>2405</v>
      </c>
      <c r="C247" s="38"/>
      <c r="D247" s="21" t="s">
        <v>24</v>
      </c>
      <c r="E247" s="22">
        <v>37871</v>
      </c>
      <c r="F247" s="21" t="s">
        <v>955</v>
      </c>
      <c r="G247" s="21" t="s">
        <v>2406</v>
      </c>
      <c r="H247" s="21" t="s">
        <v>2407</v>
      </c>
      <c r="I247" s="6" t="str">
        <f>VLOOKUP(CLEAN(F247),'World Bank Categories'!$B$4:$C$220,2,FALSE)</f>
        <v>High income</v>
      </c>
      <c r="J247" s="21" t="s">
        <v>2408</v>
      </c>
      <c r="K247" s="21" t="s">
        <v>29</v>
      </c>
      <c r="L247" s="21" t="s">
        <v>30</v>
      </c>
      <c r="M247" s="21"/>
      <c r="N247" s="21"/>
      <c r="O247" s="21"/>
      <c r="P247" s="21" t="s">
        <v>31</v>
      </c>
      <c r="Q247" s="9" t="s">
        <v>32</v>
      </c>
      <c r="R247" s="10" t="s">
        <v>43</v>
      </c>
      <c r="S247" s="25" t="s">
        <v>2405</v>
      </c>
      <c r="T247" s="27">
        <v>37871</v>
      </c>
      <c r="U247" s="25" t="s">
        <v>2408</v>
      </c>
      <c r="V247" s="25" t="s">
        <v>80</v>
      </c>
      <c r="W247" s="25"/>
    </row>
    <row r="248" spans="1:23" ht="22.5" customHeight="1">
      <c r="A248" s="5">
        <v>46078.702383587966</v>
      </c>
      <c r="B248" s="6" t="s">
        <v>2409</v>
      </c>
      <c r="C248" s="6" t="s">
        <v>2410</v>
      </c>
      <c r="D248" s="6" t="s">
        <v>24</v>
      </c>
      <c r="E248" s="8">
        <v>39050</v>
      </c>
      <c r="F248" s="6" t="s">
        <v>1053</v>
      </c>
      <c r="G248" s="6" t="s">
        <v>2411</v>
      </c>
      <c r="H248" s="6" t="s">
        <v>66</v>
      </c>
      <c r="I248" s="6" t="str">
        <f>VLOOKUP(CLEAN(F248),'World Bank Categories'!$B$4:$C$220,2,FALSE)</f>
        <v>High income</v>
      </c>
      <c r="J248" s="6" t="s">
        <v>2412</v>
      </c>
      <c r="K248" s="6" t="s">
        <v>29</v>
      </c>
      <c r="L248" s="6" t="s">
        <v>30</v>
      </c>
      <c r="M248" s="7"/>
      <c r="N248" s="6"/>
      <c r="O248" s="6"/>
      <c r="P248" s="6" t="s">
        <v>31</v>
      </c>
      <c r="Q248" s="9" t="s">
        <v>32</v>
      </c>
      <c r="R248" s="18" t="s">
        <v>43</v>
      </c>
      <c r="S248" s="11" t="s">
        <v>2413</v>
      </c>
      <c r="T248" s="12"/>
      <c r="U248" s="12"/>
      <c r="V248" s="12"/>
      <c r="W248" s="12"/>
    </row>
    <row r="249" spans="1:23" ht="22.5" customHeight="1">
      <c r="A249" s="28">
        <v>46078.702731481484</v>
      </c>
      <c r="B249" s="29" t="s">
        <v>2414</v>
      </c>
      <c r="C249" s="29" t="s">
        <v>2415</v>
      </c>
      <c r="D249" s="29" t="s">
        <v>24</v>
      </c>
      <c r="E249" s="30">
        <v>35435</v>
      </c>
      <c r="F249" s="29" t="s">
        <v>1053</v>
      </c>
      <c r="G249" s="29" t="s">
        <v>2416</v>
      </c>
      <c r="H249" s="29" t="s">
        <v>160</v>
      </c>
      <c r="I249" s="6" t="str">
        <f>VLOOKUP(CLEAN(F249),'World Bank Categories'!$B$4:$C$220,2,FALSE)</f>
        <v>High income</v>
      </c>
      <c r="J249" s="29" t="s">
        <v>2417</v>
      </c>
      <c r="K249" s="29" t="s">
        <v>29</v>
      </c>
      <c r="L249" s="29" t="s">
        <v>30</v>
      </c>
      <c r="M249" s="29"/>
      <c r="N249" s="29"/>
      <c r="O249" s="29"/>
      <c r="P249" s="29" t="s">
        <v>31</v>
      </c>
      <c r="Q249" s="9" t="s">
        <v>32</v>
      </c>
      <c r="R249" s="10" t="s">
        <v>43</v>
      </c>
      <c r="S249" s="25" t="s">
        <v>2418</v>
      </c>
      <c r="T249" s="27">
        <v>35435</v>
      </c>
      <c r="U249" s="25" t="s">
        <v>2417</v>
      </c>
      <c r="V249" s="25" t="s">
        <v>154</v>
      </c>
      <c r="W249" s="25"/>
    </row>
    <row r="250" spans="1:23" ht="22.5" customHeight="1">
      <c r="A250" s="20">
        <v>46078.702835648146</v>
      </c>
      <c r="B250" s="21" t="s">
        <v>2419</v>
      </c>
      <c r="C250" s="21" t="s">
        <v>2420</v>
      </c>
      <c r="D250" s="21" t="s">
        <v>24</v>
      </c>
      <c r="E250" s="22">
        <v>37575</v>
      </c>
      <c r="F250" s="21" t="s">
        <v>1053</v>
      </c>
      <c r="G250" s="21" t="s">
        <v>2421</v>
      </c>
      <c r="H250" s="21" t="s">
        <v>66</v>
      </c>
      <c r="I250" s="6" t="str">
        <f>VLOOKUP(CLEAN(F250),'World Bank Categories'!$B$4:$C$220,2,FALSE)</f>
        <v>High income</v>
      </c>
      <c r="J250" s="21" t="s">
        <v>2422</v>
      </c>
      <c r="K250" s="21" t="s">
        <v>39</v>
      </c>
      <c r="L250" s="21" t="s">
        <v>162</v>
      </c>
      <c r="M250" s="21"/>
      <c r="N250" s="21"/>
      <c r="O250" s="21"/>
      <c r="P250" s="21" t="s">
        <v>31</v>
      </c>
      <c r="Q250" s="9" t="s">
        <v>32</v>
      </c>
      <c r="R250" s="18" t="s">
        <v>43</v>
      </c>
      <c r="S250" s="25" t="s">
        <v>2420</v>
      </c>
      <c r="T250" s="27">
        <v>37575</v>
      </c>
      <c r="U250" s="25" t="s">
        <v>2422</v>
      </c>
      <c r="V250" s="25" t="s">
        <v>463</v>
      </c>
      <c r="W250" s="25"/>
    </row>
    <row r="251" spans="1:23" ht="22.5" customHeight="1">
      <c r="A251" s="46">
        <v>46078.703460648147</v>
      </c>
      <c r="B251" s="47" t="s">
        <v>2423</v>
      </c>
      <c r="C251" s="47" t="s">
        <v>2424</v>
      </c>
      <c r="D251" s="47" t="s">
        <v>24</v>
      </c>
      <c r="E251" s="49">
        <v>38292</v>
      </c>
      <c r="F251" s="47" t="s">
        <v>1053</v>
      </c>
      <c r="G251" s="47" t="s">
        <v>2425</v>
      </c>
      <c r="H251" s="47" t="s">
        <v>66</v>
      </c>
      <c r="I251" s="6" t="str">
        <f>VLOOKUP(CLEAN(F251),'World Bank Categories'!$B$4:$C$220,2,FALSE)</f>
        <v>High income</v>
      </c>
      <c r="J251" s="47" t="s">
        <v>2426</v>
      </c>
      <c r="K251" s="47" t="s">
        <v>29</v>
      </c>
      <c r="L251" s="47" t="s">
        <v>30</v>
      </c>
      <c r="M251" s="47"/>
      <c r="N251" s="47"/>
      <c r="O251" s="47"/>
      <c r="P251" s="47" t="s">
        <v>31</v>
      </c>
      <c r="Q251" s="9" t="s">
        <v>32</v>
      </c>
      <c r="R251" s="10" t="s">
        <v>43</v>
      </c>
      <c r="S251" s="25" t="s">
        <v>2423</v>
      </c>
      <c r="T251" s="27">
        <v>38292</v>
      </c>
      <c r="U251" s="25" t="s">
        <v>2426</v>
      </c>
      <c r="V251" s="25" t="s">
        <v>80</v>
      </c>
      <c r="W251" s="25"/>
    </row>
    <row r="252" spans="1:23" ht="22.5" customHeight="1">
      <c r="A252" s="20">
        <v>46078.705289351848</v>
      </c>
      <c r="B252" s="21" t="s">
        <v>2427</v>
      </c>
      <c r="C252" s="21" t="s">
        <v>2428</v>
      </c>
      <c r="D252" s="21" t="s">
        <v>24</v>
      </c>
      <c r="E252" s="22">
        <v>38464</v>
      </c>
      <c r="F252" s="21" t="s">
        <v>1053</v>
      </c>
      <c r="G252" s="21" t="s">
        <v>2429</v>
      </c>
      <c r="H252" s="21" t="s">
        <v>160</v>
      </c>
      <c r="I252" s="6" t="str">
        <f>VLOOKUP(CLEAN(F252),'World Bank Categories'!$B$4:$C$220,2,FALSE)</f>
        <v>High income</v>
      </c>
      <c r="J252" s="21" t="s">
        <v>2430</v>
      </c>
      <c r="K252" s="21" t="s">
        <v>39</v>
      </c>
      <c r="L252" s="21" t="s">
        <v>621</v>
      </c>
      <c r="M252" s="21"/>
      <c r="N252" s="21"/>
      <c r="O252" s="21"/>
      <c r="P252" s="21" t="s">
        <v>31</v>
      </c>
      <c r="Q252" s="9" t="s">
        <v>32</v>
      </c>
      <c r="R252" s="18" t="s">
        <v>43</v>
      </c>
      <c r="S252" s="25" t="s">
        <v>2431</v>
      </c>
      <c r="T252" s="27">
        <v>38464</v>
      </c>
      <c r="U252" s="25" t="s">
        <v>2430</v>
      </c>
      <c r="V252" s="25" t="s">
        <v>154</v>
      </c>
      <c r="W252" s="25"/>
    </row>
    <row r="253" spans="1:23" ht="22.5" customHeight="1">
      <c r="A253" s="20">
        <v>46078.706226851849</v>
      </c>
      <c r="B253" s="21" t="s">
        <v>2432</v>
      </c>
      <c r="C253" s="21" t="s">
        <v>2433</v>
      </c>
      <c r="D253" s="21" t="s">
        <v>24</v>
      </c>
      <c r="E253" s="22">
        <v>38386</v>
      </c>
      <c r="F253" s="21" t="s">
        <v>1053</v>
      </c>
      <c r="G253" s="21" t="s">
        <v>2434</v>
      </c>
      <c r="H253" s="21" t="s">
        <v>160</v>
      </c>
      <c r="I253" s="6" t="str">
        <f>VLOOKUP(CLEAN(F253),'World Bank Categories'!$B$4:$C$220,2,FALSE)</f>
        <v>High income</v>
      </c>
      <c r="J253" s="21" t="s">
        <v>2435</v>
      </c>
      <c r="K253" s="21" t="s">
        <v>39</v>
      </c>
      <c r="L253" s="21" t="s">
        <v>152</v>
      </c>
      <c r="M253" s="21"/>
      <c r="N253" s="21"/>
      <c r="O253" s="21"/>
      <c r="P253" s="21" t="s">
        <v>31</v>
      </c>
      <c r="Q253" s="9" t="s">
        <v>32</v>
      </c>
      <c r="R253" s="10" t="s">
        <v>43</v>
      </c>
      <c r="S253" s="25" t="s">
        <v>2436</v>
      </c>
      <c r="T253" s="27">
        <v>38386</v>
      </c>
      <c r="U253" s="25" t="s">
        <v>2435</v>
      </c>
      <c r="V253" s="25" t="s">
        <v>154</v>
      </c>
      <c r="W253" s="25"/>
    </row>
    <row r="254" spans="1:23" ht="22.5" customHeight="1">
      <c r="A254" s="20">
        <v>46078.710069444445</v>
      </c>
      <c r="B254" s="21" t="s">
        <v>2437</v>
      </c>
      <c r="C254" s="21" t="s">
        <v>2438</v>
      </c>
      <c r="D254" s="21" t="s">
        <v>24</v>
      </c>
      <c r="E254" s="22">
        <v>37657</v>
      </c>
      <c r="F254" s="21" t="s">
        <v>1053</v>
      </c>
      <c r="G254" s="21" t="s">
        <v>2439</v>
      </c>
      <c r="H254" s="21" t="s">
        <v>368</v>
      </c>
      <c r="I254" s="6" t="str">
        <f>VLOOKUP(CLEAN(F254),'World Bank Categories'!$B$4:$C$220,2,FALSE)</f>
        <v>High income</v>
      </c>
      <c r="J254" s="21" t="s">
        <v>2440</v>
      </c>
      <c r="K254" s="21" t="s">
        <v>39</v>
      </c>
      <c r="L254" s="21" t="s">
        <v>1991</v>
      </c>
      <c r="M254" s="21"/>
      <c r="N254" s="21"/>
      <c r="O254" s="21"/>
      <c r="P254" s="21" t="s">
        <v>31</v>
      </c>
      <c r="Q254" s="9" t="s">
        <v>32</v>
      </c>
      <c r="R254" s="18" t="s">
        <v>43</v>
      </c>
      <c r="S254" s="25" t="s">
        <v>2441</v>
      </c>
      <c r="T254" s="27">
        <v>37657</v>
      </c>
      <c r="U254" s="25" t="s">
        <v>2440</v>
      </c>
      <c r="V254" s="25" t="s">
        <v>154</v>
      </c>
      <c r="W254" s="25"/>
    </row>
    <row r="255" spans="1:23" ht="22.5" customHeight="1">
      <c r="A255" s="20">
        <v>46078.7109837963</v>
      </c>
      <c r="B255" s="21" t="s">
        <v>2442</v>
      </c>
      <c r="C255" s="21" t="s">
        <v>2443</v>
      </c>
      <c r="D255" s="21" t="s">
        <v>24</v>
      </c>
      <c r="E255" s="22">
        <v>36664</v>
      </c>
      <c r="F255" s="21" t="s">
        <v>1053</v>
      </c>
      <c r="G255" s="21" t="s">
        <v>2444</v>
      </c>
      <c r="H255" s="21" t="s">
        <v>160</v>
      </c>
      <c r="I255" s="6" t="str">
        <f>VLOOKUP(CLEAN(F255),'World Bank Categories'!$B$4:$C$220,2,FALSE)</f>
        <v>High income</v>
      </c>
      <c r="J255" s="21" t="s">
        <v>2445</v>
      </c>
      <c r="K255" s="21" t="s">
        <v>39</v>
      </c>
      <c r="L255" s="21" t="s">
        <v>621</v>
      </c>
      <c r="M255" s="21"/>
      <c r="N255" s="21"/>
      <c r="O255" s="21"/>
      <c r="P255" s="21" t="s">
        <v>31</v>
      </c>
      <c r="Q255" s="9" t="s">
        <v>32</v>
      </c>
      <c r="R255" s="10" t="s">
        <v>43</v>
      </c>
      <c r="S255" s="25" t="s">
        <v>2446</v>
      </c>
      <c r="T255" s="27">
        <v>36664</v>
      </c>
      <c r="U255" s="25" t="s">
        <v>2445</v>
      </c>
      <c r="V255" s="25" t="s">
        <v>80</v>
      </c>
      <c r="W255" s="25"/>
    </row>
    <row r="256" spans="1:23" ht="22.5" customHeight="1">
      <c r="A256" s="28">
        <v>46078.711527777778</v>
      </c>
      <c r="B256" s="29" t="s">
        <v>2447</v>
      </c>
      <c r="C256" s="29" t="s">
        <v>2448</v>
      </c>
      <c r="D256" s="29" t="s">
        <v>24</v>
      </c>
      <c r="E256" s="30">
        <v>37132</v>
      </c>
      <c r="F256" s="29" t="s">
        <v>1053</v>
      </c>
      <c r="G256" s="29" t="s">
        <v>2449</v>
      </c>
      <c r="H256" s="29" t="s">
        <v>66</v>
      </c>
      <c r="I256" s="6" t="str">
        <f>VLOOKUP(CLEAN(F256),'World Bank Categories'!$B$4:$C$220,2,FALSE)</f>
        <v>High income</v>
      </c>
      <c r="J256" s="29" t="s">
        <v>2450</v>
      </c>
      <c r="K256" s="29" t="s">
        <v>29</v>
      </c>
      <c r="L256" s="29" t="s">
        <v>30</v>
      </c>
      <c r="M256" s="29"/>
      <c r="N256" s="29"/>
      <c r="O256" s="29"/>
      <c r="P256" s="29" t="s">
        <v>31</v>
      </c>
      <c r="Q256" s="9" t="s">
        <v>32</v>
      </c>
      <c r="R256" s="18" t="s">
        <v>43</v>
      </c>
      <c r="S256" s="25" t="s">
        <v>2451</v>
      </c>
      <c r="T256" s="27">
        <v>37132</v>
      </c>
      <c r="U256" s="25" t="s">
        <v>2450</v>
      </c>
      <c r="V256" s="25" t="s">
        <v>1192</v>
      </c>
      <c r="W256" s="25"/>
    </row>
    <row r="257" spans="1:23" ht="22.5" customHeight="1">
      <c r="A257" s="28">
        <v>46078.712523148148</v>
      </c>
      <c r="B257" s="29" t="s">
        <v>2452</v>
      </c>
      <c r="C257" s="29" t="s">
        <v>2453</v>
      </c>
      <c r="D257" s="29" t="s">
        <v>45</v>
      </c>
      <c r="E257" s="30">
        <v>37221</v>
      </c>
      <c r="F257" s="29" t="s">
        <v>1053</v>
      </c>
      <c r="G257" s="29" t="s">
        <v>2454</v>
      </c>
      <c r="H257" s="29" t="s">
        <v>66</v>
      </c>
      <c r="I257" s="6" t="str">
        <f>VLOOKUP(CLEAN(F257),'World Bank Categories'!$B$4:$C$220,2,FALSE)</f>
        <v>High income</v>
      </c>
      <c r="J257" s="29" t="s">
        <v>2455</v>
      </c>
      <c r="K257" s="29" t="s">
        <v>29</v>
      </c>
      <c r="L257" s="29" t="s">
        <v>30</v>
      </c>
      <c r="M257" s="29"/>
      <c r="N257" s="29"/>
      <c r="O257" s="29"/>
      <c r="P257" s="29" t="s">
        <v>31</v>
      </c>
      <c r="Q257" s="9" t="s">
        <v>32</v>
      </c>
      <c r="R257" s="10" t="s">
        <v>43</v>
      </c>
      <c r="S257" s="25" t="s">
        <v>2456</v>
      </c>
      <c r="T257" s="27">
        <v>37221</v>
      </c>
      <c r="U257" s="25" t="s">
        <v>2455</v>
      </c>
      <c r="V257" s="25" t="s">
        <v>154</v>
      </c>
      <c r="W257" s="25"/>
    </row>
    <row r="258" spans="1:23" ht="22.5" customHeight="1">
      <c r="A258" s="20">
        <v>46078.715509259258</v>
      </c>
      <c r="B258" s="21" t="s">
        <v>2457</v>
      </c>
      <c r="C258" s="21" t="s">
        <v>2458</v>
      </c>
      <c r="D258" s="21" t="s">
        <v>24</v>
      </c>
      <c r="E258" s="22">
        <v>38323</v>
      </c>
      <c r="F258" s="21" t="s">
        <v>1053</v>
      </c>
      <c r="G258" s="21" t="s">
        <v>2459</v>
      </c>
      <c r="H258" s="21" t="s">
        <v>66</v>
      </c>
      <c r="I258" s="6" t="str">
        <f>VLOOKUP(CLEAN(F258),'World Bank Categories'!$B$4:$C$220,2,FALSE)</f>
        <v>High income</v>
      </c>
      <c r="J258" s="21" t="s">
        <v>2460</v>
      </c>
      <c r="K258" s="21" t="s">
        <v>29</v>
      </c>
      <c r="L258" s="21" t="s">
        <v>30</v>
      </c>
      <c r="M258" s="21"/>
      <c r="N258" s="21"/>
      <c r="O258" s="21"/>
      <c r="P258" s="21" t="s">
        <v>31</v>
      </c>
      <c r="Q258" s="9" t="s">
        <v>32</v>
      </c>
      <c r="R258" s="18" t="s">
        <v>43</v>
      </c>
      <c r="S258" s="25" t="s">
        <v>2461</v>
      </c>
      <c r="T258" s="27">
        <v>38323</v>
      </c>
      <c r="U258" s="25" t="s">
        <v>2460</v>
      </c>
      <c r="V258" s="25" t="s">
        <v>154</v>
      </c>
      <c r="W258" s="25"/>
    </row>
    <row r="259" spans="1:23" ht="22.5" customHeight="1">
      <c r="A259" s="20">
        <v>46078.716423611113</v>
      </c>
      <c r="B259" s="21" t="s">
        <v>2462</v>
      </c>
      <c r="C259" s="21" t="s">
        <v>2463</v>
      </c>
      <c r="D259" s="21" t="s">
        <v>24</v>
      </c>
      <c r="E259" s="22">
        <v>35839</v>
      </c>
      <c r="F259" s="21" t="s">
        <v>1053</v>
      </c>
      <c r="G259" s="21" t="s">
        <v>2464</v>
      </c>
      <c r="H259" s="21" t="s">
        <v>2465</v>
      </c>
      <c r="I259" s="6" t="str">
        <f>VLOOKUP(CLEAN(F259),'World Bank Categories'!$B$4:$C$220,2,FALSE)</f>
        <v>High income</v>
      </c>
      <c r="J259" s="21" t="s">
        <v>2466</v>
      </c>
      <c r="K259" s="21" t="s">
        <v>29</v>
      </c>
      <c r="L259" s="21" t="s">
        <v>30</v>
      </c>
      <c r="M259" s="21"/>
      <c r="N259" s="21"/>
      <c r="O259" s="21"/>
      <c r="P259" s="21" t="s">
        <v>31</v>
      </c>
      <c r="Q259" s="9" t="s">
        <v>32</v>
      </c>
      <c r="R259" s="10" t="s">
        <v>43</v>
      </c>
      <c r="S259" s="25" t="s">
        <v>2462</v>
      </c>
      <c r="T259" s="27">
        <v>35839</v>
      </c>
      <c r="U259" s="25" t="s">
        <v>2466</v>
      </c>
      <c r="V259" s="25" t="s">
        <v>80</v>
      </c>
      <c r="W259" s="25"/>
    </row>
    <row r="260" spans="1:23" ht="22.5" customHeight="1">
      <c r="A260" s="20">
        <v>46078.719583333332</v>
      </c>
      <c r="B260" s="21" t="s">
        <v>2467</v>
      </c>
      <c r="C260" s="21" t="s">
        <v>2468</v>
      </c>
      <c r="D260" s="21" t="s">
        <v>24</v>
      </c>
      <c r="E260" s="22">
        <v>37390</v>
      </c>
      <c r="F260" s="21" t="s">
        <v>1053</v>
      </c>
      <c r="G260" s="21" t="s">
        <v>2469</v>
      </c>
      <c r="H260" s="21" t="s">
        <v>66</v>
      </c>
      <c r="I260" s="6" t="str">
        <f>VLOOKUP(CLEAN(F260),'World Bank Categories'!$B$4:$C$220,2,FALSE)</f>
        <v>High income</v>
      </c>
      <c r="J260" s="21" t="s">
        <v>2470</v>
      </c>
      <c r="K260" s="21" t="s">
        <v>29</v>
      </c>
      <c r="L260" s="21" t="s">
        <v>30</v>
      </c>
      <c r="M260" s="21"/>
      <c r="N260" s="21"/>
      <c r="O260" s="21"/>
      <c r="P260" s="21" t="s">
        <v>31</v>
      </c>
      <c r="Q260" s="9" t="s">
        <v>32</v>
      </c>
      <c r="R260" s="18" t="s">
        <v>43</v>
      </c>
      <c r="S260" s="25" t="s">
        <v>2467</v>
      </c>
      <c r="T260" s="27">
        <v>37390</v>
      </c>
      <c r="U260" s="25" t="s">
        <v>2470</v>
      </c>
      <c r="V260" s="25" t="s">
        <v>80</v>
      </c>
      <c r="W260" s="25"/>
    </row>
    <row r="261" spans="1:23" ht="22.5" customHeight="1">
      <c r="A261" s="20">
        <v>46078.739004629628</v>
      </c>
      <c r="B261" s="21" t="s">
        <v>2471</v>
      </c>
      <c r="C261" s="21" t="s">
        <v>2472</v>
      </c>
      <c r="D261" s="21" t="s">
        <v>45</v>
      </c>
      <c r="E261" s="22">
        <v>36540</v>
      </c>
      <c r="F261" s="21" t="s">
        <v>1053</v>
      </c>
      <c r="G261" s="21" t="s">
        <v>2473</v>
      </c>
      <c r="H261" s="21" t="s">
        <v>276</v>
      </c>
      <c r="I261" s="6" t="str">
        <f>VLOOKUP(CLEAN(F261),'World Bank Categories'!$B$4:$C$220,2,FALSE)</f>
        <v>High income</v>
      </c>
      <c r="J261" s="21" t="s">
        <v>2474</v>
      </c>
      <c r="K261" s="21" t="s">
        <v>39</v>
      </c>
      <c r="L261" s="21" t="s">
        <v>2475</v>
      </c>
      <c r="M261" s="21"/>
      <c r="N261" s="21"/>
      <c r="O261" s="21"/>
      <c r="P261" s="21" t="s">
        <v>31</v>
      </c>
      <c r="Q261" s="9" t="s">
        <v>32</v>
      </c>
      <c r="R261" s="10" t="s">
        <v>43</v>
      </c>
      <c r="S261" s="25" t="s">
        <v>2476</v>
      </c>
      <c r="T261" s="27">
        <v>36540</v>
      </c>
      <c r="U261" s="25" t="s">
        <v>2474</v>
      </c>
      <c r="V261" s="25" t="s">
        <v>80</v>
      </c>
      <c r="W261" s="25"/>
    </row>
    <row r="262" spans="1:23" ht="22.5" customHeight="1">
      <c r="A262" s="20">
        <v>46078.742581018516</v>
      </c>
      <c r="B262" s="21" t="s">
        <v>2477</v>
      </c>
      <c r="C262" s="21" t="s">
        <v>2478</v>
      </c>
      <c r="D262" s="21" t="s">
        <v>24</v>
      </c>
      <c r="E262" s="22">
        <v>38593</v>
      </c>
      <c r="F262" s="21" t="s">
        <v>1053</v>
      </c>
      <c r="G262" s="21" t="s">
        <v>2479</v>
      </c>
      <c r="H262" s="21" t="s">
        <v>66</v>
      </c>
      <c r="I262" s="6" t="str">
        <f>VLOOKUP(CLEAN(F262),'World Bank Categories'!$B$4:$C$220,2,FALSE)</f>
        <v>High income</v>
      </c>
      <c r="J262" s="21" t="s">
        <v>2480</v>
      </c>
      <c r="K262" s="21" t="s">
        <v>29</v>
      </c>
      <c r="L262" s="21" t="s">
        <v>30</v>
      </c>
      <c r="M262" s="21"/>
      <c r="N262" s="21"/>
      <c r="O262" s="21"/>
      <c r="P262" s="21" t="s">
        <v>31</v>
      </c>
      <c r="Q262" s="9" t="s">
        <v>32</v>
      </c>
      <c r="R262" s="18" t="s">
        <v>43</v>
      </c>
      <c r="S262" s="25" t="s">
        <v>2481</v>
      </c>
      <c r="T262" s="27">
        <v>38593</v>
      </c>
      <c r="U262" s="25" t="s">
        <v>2480</v>
      </c>
      <c r="V262" s="25" t="s">
        <v>154</v>
      </c>
      <c r="W262" s="25"/>
    </row>
    <row r="263" spans="1:23" ht="47.25" customHeight="1">
      <c r="A263" s="20">
        <v>46078.750011574077</v>
      </c>
      <c r="B263" s="21" t="s">
        <v>2482</v>
      </c>
      <c r="C263" s="21" t="s">
        <v>2483</v>
      </c>
      <c r="D263" s="21" t="s">
        <v>24</v>
      </c>
      <c r="E263" s="22">
        <v>34396</v>
      </c>
      <c r="F263" s="21" t="s">
        <v>1053</v>
      </c>
      <c r="G263" s="21" t="s">
        <v>1258</v>
      </c>
      <c r="H263" s="21" t="s">
        <v>2024</v>
      </c>
      <c r="I263" s="6" t="str">
        <f>VLOOKUP(CLEAN(F263),'World Bank Categories'!$B$4:$C$220,2,FALSE)</f>
        <v>High income</v>
      </c>
      <c r="J263" s="21" t="s">
        <v>2484</v>
      </c>
      <c r="K263" s="21" t="s">
        <v>39</v>
      </c>
      <c r="L263" s="21" t="s">
        <v>152</v>
      </c>
      <c r="M263" s="21"/>
      <c r="N263" s="21"/>
      <c r="O263" s="21"/>
      <c r="P263" s="21" t="s">
        <v>31</v>
      </c>
      <c r="Q263" s="9" t="s">
        <v>32</v>
      </c>
      <c r="R263" s="10" t="s">
        <v>43</v>
      </c>
      <c r="S263" s="25" t="s">
        <v>2482</v>
      </c>
      <c r="T263" s="27">
        <v>34396</v>
      </c>
      <c r="U263" s="25" t="s">
        <v>2484</v>
      </c>
      <c r="V263" s="25" t="s">
        <v>80</v>
      </c>
      <c r="W263" s="25"/>
    </row>
    <row r="264" spans="1:23" ht="22.5" customHeight="1">
      <c r="A264" s="20">
        <v>46078.758993055555</v>
      </c>
      <c r="B264" s="21" t="s">
        <v>2485</v>
      </c>
      <c r="C264" s="21" t="s">
        <v>2486</v>
      </c>
      <c r="D264" s="21" t="s">
        <v>24</v>
      </c>
      <c r="E264" s="22">
        <v>36963</v>
      </c>
      <c r="F264" s="21" t="s">
        <v>1053</v>
      </c>
      <c r="G264" s="21" t="s">
        <v>2487</v>
      </c>
      <c r="H264" s="21" t="s">
        <v>66</v>
      </c>
      <c r="I264" s="6" t="str">
        <f>VLOOKUP(CLEAN(F264),'World Bank Categories'!$B$4:$C$220,2,FALSE)</f>
        <v>High income</v>
      </c>
      <c r="J264" s="21" t="s">
        <v>2488</v>
      </c>
      <c r="K264" s="21" t="s">
        <v>39</v>
      </c>
      <c r="L264" s="21" t="s">
        <v>621</v>
      </c>
      <c r="M264" s="21"/>
      <c r="N264" s="21"/>
      <c r="O264" s="21"/>
      <c r="P264" s="21" t="s">
        <v>31</v>
      </c>
      <c r="Q264" s="9" t="s">
        <v>32</v>
      </c>
      <c r="R264" s="18" t="s">
        <v>43</v>
      </c>
      <c r="S264" s="25" t="s">
        <v>2485</v>
      </c>
      <c r="T264" s="27">
        <v>36963</v>
      </c>
      <c r="U264" s="25" t="s">
        <v>2488</v>
      </c>
      <c r="V264" s="25" t="s">
        <v>80</v>
      </c>
      <c r="W264" s="25"/>
    </row>
    <row r="265" spans="1:23" ht="22.5" customHeight="1">
      <c r="A265" s="20">
        <v>46078.983784722222</v>
      </c>
      <c r="B265" s="21" t="s">
        <v>2489</v>
      </c>
      <c r="C265" s="21" t="s">
        <v>2490</v>
      </c>
      <c r="D265" s="21" t="s">
        <v>24</v>
      </c>
      <c r="E265" s="22">
        <v>36641</v>
      </c>
      <c r="F265" s="21" t="s">
        <v>1053</v>
      </c>
      <c r="G265" s="21" t="s">
        <v>2353</v>
      </c>
      <c r="H265" s="21" t="s">
        <v>66</v>
      </c>
      <c r="I265" s="6" t="str">
        <f>VLOOKUP(CLEAN(F265),'World Bank Categories'!$B$4:$C$220,2,FALSE)</f>
        <v>High income</v>
      </c>
      <c r="J265" s="21" t="s">
        <v>2491</v>
      </c>
      <c r="K265" s="21" t="s">
        <v>29</v>
      </c>
      <c r="L265" s="21" t="s">
        <v>30</v>
      </c>
      <c r="M265" s="21"/>
      <c r="N265" s="21"/>
      <c r="O265" s="21"/>
      <c r="P265" s="21" t="s">
        <v>31</v>
      </c>
      <c r="Q265" s="9" t="s">
        <v>32</v>
      </c>
      <c r="R265" s="10" t="s">
        <v>43</v>
      </c>
      <c r="S265" s="25" t="s">
        <v>2492</v>
      </c>
      <c r="T265" s="27">
        <v>36641</v>
      </c>
      <c r="U265" s="25" t="s">
        <v>2491</v>
      </c>
      <c r="V265" s="25" t="s">
        <v>1967</v>
      </c>
      <c r="W265" s="25"/>
    </row>
    <row r="266" spans="1:23" ht="22.5" customHeight="1">
      <c r="A266" s="20">
        <v>46079.008171296293</v>
      </c>
      <c r="B266" s="21" t="s">
        <v>2493</v>
      </c>
      <c r="C266" s="21" t="s">
        <v>2494</v>
      </c>
      <c r="D266" s="21" t="s">
        <v>24</v>
      </c>
      <c r="E266" s="22">
        <v>38277</v>
      </c>
      <c r="F266" s="21" t="s">
        <v>1053</v>
      </c>
      <c r="G266" s="21" t="s">
        <v>2495</v>
      </c>
      <c r="H266" s="21" t="s">
        <v>66</v>
      </c>
      <c r="I266" s="6" t="str">
        <f>VLOOKUP(CLEAN(F266),'World Bank Categories'!$B$4:$C$220,2,FALSE)</f>
        <v>High income</v>
      </c>
      <c r="J266" s="21" t="s">
        <v>2496</v>
      </c>
      <c r="K266" s="21" t="s">
        <v>39</v>
      </c>
      <c r="L266" s="21" t="s">
        <v>152</v>
      </c>
      <c r="M266" s="21"/>
      <c r="N266" s="21"/>
      <c r="O266" s="21"/>
      <c r="P266" s="21" t="s">
        <v>31</v>
      </c>
      <c r="Q266" s="9" t="s">
        <v>32</v>
      </c>
      <c r="R266" s="18" t="s">
        <v>43</v>
      </c>
      <c r="S266" s="25" t="s">
        <v>2493</v>
      </c>
      <c r="T266" s="27">
        <v>38277</v>
      </c>
      <c r="U266" s="25" t="s">
        <v>2496</v>
      </c>
      <c r="V266" s="25" t="s">
        <v>80</v>
      </c>
      <c r="W266" s="25"/>
    </row>
    <row r="267" spans="1:23" ht="22.5" customHeight="1">
      <c r="A267" s="28">
        <v>46079.036712962959</v>
      </c>
      <c r="B267" s="29" t="s">
        <v>2497</v>
      </c>
      <c r="C267" s="29" t="s">
        <v>2498</v>
      </c>
      <c r="D267" s="29" t="s">
        <v>24</v>
      </c>
      <c r="E267" s="30">
        <v>38253</v>
      </c>
      <c r="F267" s="29" t="s">
        <v>1053</v>
      </c>
      <c r="G267" s="29" t="s">
        <v>2499</v>
      </c>
      <c r="H267" s="29" t="s">
        <v>578</v>
      </c>
      <c r="I267" s="6" t="str">
        <f>VLOOKUP(CLEAN(F267),'World Bank Categories'!$B$4:$C$220,2,FALSE)</f>
        <v>High income</v>
      </c>
      <c r="J267" s="29" t="s">
        <v>2500</v>
      </c>
      <c r="K267" s="29" t="s">
        <v>29</v>
      </c>
      <c r="L267" s="29" t="s">
        <v>30</v>
      </c>
      <c r="M267" s="29"/>
      <c r="N267" s="29"/>
      <c r="O267" s="29"/>
      <c r="P267" s="29" t="s">
        <v>31</v>
      </c>
      <c r="Q267" s="9" t="s">
        <v>32</v>
      </c>
      <c r="R267" s="10" t="s">
        <v>43</v>
      </c>
      <c r="S267" s="25" t="s">
        <v>2498</v>
      </c>
      <c r="T267" s="27">
        <v>38253</v>
      </c>
      <c r="U267" s="25" t="s">
        <v>2500</v>
      </c>
      <c r="V267" s="25" t="s">
        <v>463</v>
      </c>
      <c r="W267" s="25"/>
    </row>
    <row r="268" spans="1:23" ht="22.5" customHeight="1">
      <c r="A268" s="20">
        <v>46079.341226851851</v>
      </c>
      <c r="B268" s="21" t="s">
        <v>2501</v>
      </c>
      <c r="C268" s="38"/>
      <c r="D268" s="21" t="s">
        <v>24</v>
      </c>
      <c r="E268" s="22">
        <v>34944</v>
      </c>
      <c r="F268" s="21" t="s">
        <v>486</v>
      </c>
      <c r="G268" s="21" t="s">
        <v>2502</v>
      </c>
      <c r="H268" s="21" t="s">
        <v>2503</v>
      </c>
      <c r="I268" s="6" t="str">
        <f>VLOOKUP(CLEAN(F268),'World Bank Categories'!$B$4:$C$220,2,FALSE)</f>
        <v>High income</v>
      </c>
      <c r="J268" s="21" t="s">
        <v>2504</v>
      </c>
      <c r="K268" s="21" t="s">
        <v>29</v>
      </c>
      <c r="L268" s="21" t="s">
        <v>30</v>
      </c>
      <c r="M268" s="21"/>
      <c r="N268" s="21"/>
      <c r="O268" s="21"/>
      <c r="P268" s="21" t="s">
        <v>31</v>
      </c>
      <c r="Q268" s="9" t="s">
        <v>32</v>
      </c>
      <c r="R268" s="18" t="s">
        <v>33</v>
      </c>
      <c r="S268" s="25" t="s">
        <v>2505</v>
      </c>
      <c r="T268" s="27">
        <v>34944</v>
      </c>
      <c r="U268" s="25" t="s">
        <v>2504</v>
      </c>
      <c r="V268" s="25" t="s">
        <v>154</v>
      </c>
      <c r="W268" s="25"/>
    </row>
    <row r="269" spans="1:23" ht="22.5" customHeight="1">
      <c r="A269" s="20">
        <v>46080.035925925928</v>
      </c>
      <c r="B269" s="21" t="s">
        <v>2506</v>
      </c>
      <c r="C269" s="21" t="s">
        <v>2144</v>
      </c>
      <c r="D269" s="21" t="s">
        <v>24</v>
      </c>
      <c r="E269" s="22">
        <v>38604</v>
      </c>
      <c r="F269" s="21" t="s">
        <v>1053</v>
      </c>
      <c r="G269" s="21" t="s">
        <v>1258</v>
      </c>
      <c r="H269" s="21" t="s">
        <v>66</v>
      </c>
      <c r="I269" s="6" t="str">
        <f>VLOOKUP(CLEAN(F269),'World Bank Categories'!$B$4:$C$220,2,FALSE)</f>
        <v>High income</v>
      </c>
      <c r="J269" s="21" t="s">
        <v>2507</v>
      </c>
      <c r="K269" s="21" t="s">
        <v>39</v>
      </c>
      <c r="L269" s="21" t="s">
        <v>152</v>
      </c>
      <c r="M269" s="21"/>
      <c r="N269" s="21"/>
      <c r="O269" s="21"/>
      <c r="P269" s="21" t="s">
        <v>31</v>
      </c>
      <c r="Q269" s="9" t="s">
        <v>32</v>
      </c>
      <c r="R269" s="10" t="s">
        <v>43</v>
      </c>
      <c r="S269" s="25" t="s">
        <v>2506</v>
      </c>
      <c r="T269" s="27">
        <v>38604</v>
      </c>
      <c r="U269" s="25" t="s">
        <v>2507</v>
      </c>
      <c r="V269" s="25" t="s">
        <v>80</v>
      </c>
      <c r="W269" s="25"/>
    </row>
    <row r="270" spans="1:23" ht="22.5" customHeight="1">
      <c r="A270" s="20">
        <v>46080.037997685184</v>
      </c>
      <c r="B270" s="21" t="s">
        <v>2508</v>
      </c>
      <c r="C270" s="21" t="s">
        <v>2509</v>
      </c>
      <c r="D270" s="21" t="s">
        <v>45</v>
      </c>
      <c r="E270" s="22">
        <v>38670</v>
      </c>
      <c r="F270" s="21" t="s">
        <v>1053</v>
      </c>
      <c r="G270" s="21" t="s">
        <v>1258</v>
      </c>
      <c r="H270" s="21" t="s">
        <v>66</v>
      </c>
      <c r="I270" s="6" t="str">
        <f>VLOOKUP(CLEAN(F270),'World Bank Categories'!$B$4:$C$220,2,FALSE)</f>
        <v>High income</v>
      </c>
      <c r="J270" s="21" t="s">
        <v>2510</v>
      </c>
      <c r="K270" s="21" t="s">
        <v>39</v>
      </c>
      <c r="L270" s="21" t="s">
        <v>152</v>
      </c>
      <c r="M270" s="21"/>
      <c r="N270" s="21"/>
      <c r="O270" s="21"/>
      <c r="P270" s="21" t="s">
        <v>31</v>
      </c>
      <c r="Q270" s="9" t="s">
        <v>32</v>
      </c>
      <c r="R270" s="18" t="s">
        <v>43</v>
      </c>
      <c r="S270" s="25" t="s">
        <v>2511</v>
      </c>
      <c r="T270" s="27">
        <v>38670</v>
      </c>
      <c r="U270" s="25" t="s">
        <v>2510</v>
      </c>
      <c r="V270" s="25" t="s">
        <v>154</v>
      </c>
      <c r="W270" s="25"/>
    </row>
    <row r="271" spans="1:23" ht="22.5" customHeight="1">
      <c r="A271" s="28">
        <v>46080.042060185187</v>
      </c>
      <c r="B271" s="29" t="s">
        <v>2512</v>
      </c>
      <c r="C271" s="29" t="s">
        <v>2513</v>
      </c>
      <c r="D271" s="29" t="s">
        <v>24</v>
      </c>
      <c r="E271" s="30">
        <v>38524</v>
      </c>
      <c r="F271" s="29" t="s">
        <v>1053</v>
      </c>
      <c r="G271" s="29" t="s">
        <v>1258</v>
      </c>
      <c r="H271" s="29" t="s">
        <v>66</v>
      </c>
      <c r="I271" s="6" t="str">
        <f>VLOOKUP(CLEAN(F271),'World Bank Categories'!$B$4:$C$220,2,FALSE)</f>
        <v>High income</v>
      </c>
      <c r="J271" s="29" t="s">
        <v>2514</v>
      </c>
      <c r="K271" s="29" t="s">
        <v>39</v>
      </c>
      <c r="L271" s="29" t="s">
        <v>152</v>
      </c>
      <c r="M271" s="29" t="s">
        <v>2515</v>
      </c>
      <c r="N271" s="29"/>
      <c r="O271" s="29"/>
      <c r="P271" s="29" t="s">
        <v>31</v>
      </c>
      <c r="Q271" s="9" t="s">
        <v>32</v>
      </c>
      <c r="R271" s="10" t="s">
        <v>43</v>
      </c>
      <c r="S271" s="25" t="s">
        <v>2512</v>
      </c>
      <c r="T271" s="27">
        <v>38524</v>
      </c>
      <c r="U271" s="25" t="s">
        <v>2514</v>
      </c>
      <c r="V271" s="25" t="s">
        <v>80</v>
      </c>
      <c r="W271" s="25"/>
    </row>
    <row r="272" spans="1:23" ht="22.5" customHeight="1">
      <c r="A272" s="20">
        <v>46080.042071759257</v>
      </c>
      <c r="B272" s="21" t="s">
        <v>2516</v>
      </c>
      <c r="C272" s="21" t="s">
        <v>2517</v>
      </c>
      <c r="D272" s="21" t="s">
        <v>45</v>
      </c>
      <c r="E272" s="22">
        <v>38764</v>
      </c>
      <c r="F272" s="21" t="s">
        <v>1053</v>
      </c>
      <c r="G272" s="21" t="s">
        <v>1258</v>
      </c>
      <c r="H272" s="21" t="s">
        <v>160</v>
      </c>
      <c r="I272" s="6" t="str">
        <f>VLOOKUP(CLEAN(F272),'World Bank Categories'!$B$4:$C$220,2,FALSE)</f>
        <v>High income</v>
      </c>
      <c r="J272" s="21" t="s">
        <v>2518</v>
      </c>
      <c r="K272" s="21" t="s">
        <v>39</v>
      </c>
      <c r="L272" s="21" t="s">
        <v>152</v>
      </c>
      <c r="M272" s="21"/>
      <c r="N272" s="21"/>
      <c r="O272" s="21"/>
      <c r="P272" s="21" t="s">
        <v>31</v>
      </c>
      <c r="Q272" s="9" t="s">
        <v>32</v>
      </c>
      <c r="R272" s="18" t="s">
        <v>43</v>
      </c>
      <c r="S272" s="25" t="s">
        <v>2519</v>
      </c>
      <c r="T272" s="27">
        <v>38764</v>
      </c>
      <c r="U272" s="25" t="s">
        <v>2518</v>
      </c>
      <c r="V272" s="25" t="s">
        <v>1815</v>
      </c>
      <c r="W272" s="25"/>
    </row>
    <row r="273" spans="1:23" ht="22.5" customHeight="1">
      <c r="A273" s="20">
        <v>46080.053159722222</v>
      </c>
      <c r="B273" s="21" t="s">
        <v>2520</v>
      </c>
      <c r="C273" s="21" t="s">
        <v>2521</v>
      </c>
      <c r="D273" s="21" t="s">
        <v>24</v>
      </c>
      <c r="E273" s="22">
        <v>38723</v>
      </c>
      <c r="F273" s="21" t="s">
        <v>1053</v>
      </c>
      <c r="G273" s="21" t="s">
        <v>2522</v>
      </c>
      <c r="H273" s="21" t="s">
        <v>160</v>
      </c>
      <c r="I273" s="6" t="str">
        <f>VLOOKUP(CLEAN(F273),'World Bank Categories'!$B$4:$C$220,2,FALSE)</f>
        <v>High income</v>
      </c>
      <c r="J273" s="21" t="s">
        <v>2523</v>
      </c>
      <c r="K273" s="21" t="s">
        <v>29</v>
      </c>
      <c r="L273" s="21" t="s">
        <v>30</v>
      </c>
      <c r="M273" s="41"/>
      <c r="N273" s="21"/>
      <c r="O273" s="21"/>
      <c r="P273" s="21" t="s">
        <v>31</v>
      </c>
      <c r="Q273" s="9" t="s">
        <v>32</v>
      </c>
      <c r="R273" s="10" t="s">
        <v>43</v>
      </c>
      <c r="S273" s="25" t="s">
        <v>2524</v>
      </c>
      <c r="T273" s="27">
        <v>38723</v>
      </c>
      <c r="U273" s="25" t="s">
        <v>2523</v>
      </c>
      <c r="V273" s="25" t="s">
        <v>154</v>
      </c>
      <c r="W273" s="25"/>
    </row>
    <row r="274" spans="1:23" ht="22.5" customHeight="1">
      <c r="A274" s="20">
        <v>46080.209050925929</v>
      </c>
      <c r="B274" s="21" t="s">
        <v>2525</v>
      </c>
      <c r="C274" s="38"/>
      <c r="D274" s="21" t="s">
        <v>24</v>
      </c>
      <c r="E274" s="22">
        <v>36526</v>
      </c>
      <c r="F274" s="21" t="s">
        <v>1179</v>
      </c>
      <c r="G274" s="21" t="s">
        <v>2526</v>
      </c>
      <c r="H274" s="21" t="s">
        <v>138</v>
      </c>
      <c r="I274" s="6" t="str">
        <f>VLOOKUP(CLEAN(F274),'World Bank Categories'!$B$4:$C$220,2,FALSE)</f>
        <v>High income</v>
      </c>
      <c r="J274" s="21" t="s">
        <v>2527</v>
      </c>
      <c r="K274" s="21" t="s">
        <v>29</v>
      </c>
      <c r="L274" s="21" t="s">
        <v>30</v>
      </c>
      <c r="M274" s="21"/>
      <c r="N274" s="21"/>
      <c r="O274" s="21"/>
      <c r="P274" s="21" t="s">
        <v>31</v>
      </c>
      <c r="Q274" s="9" t="s">
        <v>32</v>
      </c>
      <c r="R274" s="18" t="s">
        <v>43</v>
      </c>
      <c r="S274" s="25" t="s">
        <v>2525</v>
      </c>
      <c r="T274" s="27">
        <v>36526</v>
      </c>
      <c r="U274" s="25" t="s">
        <v>2527</v>
      </c>
      <c r="V274" s="25" t="s">
        <v>80</v>
      </c>
      <c r="W274" s="25"/>
    </row>
    <row r="275" spans="1:23" ht="22.5" customHeight="1">
      <c r="A275" s="20">
        <v>46080.859664351854</v>
      </c>
      <c r="B275" s="21" t="s">
        <v>2528</v>
      </c>
      <c r="C275" s="38"/>
      <c r="D275" s="21" t="s">
        <v>24</v>
      </c>
      <c r="E275" s="22">
        <v>36108</v>
      </c>
      <c r="F275" s="21" t="s">
        <v>2529</v>
      </c>
      <c r="G275" s="21" t="s">
        <v>2530</v>
      </c>
      <c r="H275" s="21" t="s">
        <v>66</v>
      </c>
      <c r="I275" s="6" t="str">
        <f>VLOOKUP(CLEAN(F275),'World Bank Categories'!$B$4:$C$220,2,FALSE)</f>
        <v>Middle income</v>
      </c>
      <c r="J275" s="21" t="s">
        <v>2531</v>
      </c>
      <c r="K275" s="21" t="s">
        <v>29</v>
      </c>
      <c r="L275" s="21" t="s">
        <v>30</v>
      </c>
      <c r="M275" s="21"/>
      <c r="N275" s="21"/>
      <c r="O275" s="21"/>
      <c r="P275" s="21" t="s">
        <v>31</v>
      </c>
      <c r="Q275" s="9" t="s">
        <v>32</v>
      </c>
      <c r="R275" s="10" t="s">
        <v>33</v>
      </c>
      <c r="S275" s="25" t="s">
        <v>2532</v>
      </c>
      <c r="T275" s="27">
        <v>36108</v>
      </c>
      <c r="U275" s="25" t="s">
        <v>2531</v>
      </c>
      <c r="V275" s="25" t="s">
        <v>80</v>
      </c>
      <c r="W275" s="25"/>
    </row>
    <row r="276" spans="1:23" ht="22.5" customHeight="1">
      <c r="A276" s="46">
        <v>46080.868171296293</v>
      </c>
      <c r="B276" s="47" t="s">
        <v>2533</v>
      </c>
      <c r="C276" s="48"/>
      <c r="D276" s="47" t="s">
        <v>45</v>
      </c>
      <c r="E276" s="49">
        <v>36879</v>
      </c>
      <c r="F276" s="47" t="s">
        <v>52</v>
      </c>
      <c r="G276" s="47" t="s">
        <v>2534</v>
      </c>
      <c r="H276" s="47" t="s">
        <v>2535</v>
      </c>
      <c r="I276" s="6" t="str">
        <f>VLOOKUP(CLEAN(F276),'World Bank Categories'!$B$4:$C$220,2,FALSE)</f>
        <v>Middle income</v>
      </c>
      <c r="J276" s="47" t="s">
        <v>2536</v>
      </c>
      <c r="K276" s="47" t="s">
        <v>29</v>
      </c>
      <c r="L276" s="47" t="s">
        <v>30</v>
      </c>
      <c r="M276" s="47"/>
      <c r="N276" s="47"/>
      <c r="O276" s="47"/>
      <c r="P276" s="47" t="s">
        <v>31</v>
      </c>
      <c r="Q276" s="9" t="s">
        <v>32</v>
      </c>
      <c r="R276" s="18" t="s">
        <v>33</v>
      </c>
      <c r="S276" s="25" t="s">
        <v>2537</v>
      </c>
      <c r="T276" s="27">
        <v>36879</v>
      </c>
      <c r="U276" s="25" t="s">
        <v>2536</v>
      </c>
      <c r="V276" s="25" t="s">
        <v>154</v>
      </c>
      <c r="W276" s="25"/>
    </row>
    <row r="277" spans="1:23" ht="22.5" customHeight="1">
      <c r="A277" s="46">
        <v>46080.875451388885</v>
      </c>
      <c r="B277" s="47" t="s">
        <v>2540</v>
      </c>
      <c r="C277" s="48"/>
      <c r="D277" s="47" t="s">
        <v>45</v>
      </c>
      <c r="E277" s="49">
        <v>24098</v>
      </c>
      <c r="F277" s="47" t="s">
        <v>64</v>
      </c>
      <c r="G277" s="47" t="s">
        <v>2541</v>
      </c>
      <c r="H277" s="47" t="s">
        <v>2542</v>
      </c>
      <c r="I277" s="6" t="str">
        <f>VLOOKUP(CLEAN(F277),'World Bank Categories'!$B$4:$C$220,2,FALSE)</f>
        <v>Middle income</v>
      </c>
      <c r="J277" s="47" t="s">
        <v>2543</v>
      </c>
      <c r="K277" s="47" t="s">
        <v>29</v>
      </c>
      <c r="L277" s="47" t="s">
        <v>30</v>
      </c>
      <c r="M277" s="47"/>
      <c r="N277" s="47"/>
      <c r="O277" s="47"/>
      <c r="P277" s="47" t="s">
        <v>31</v>
      </c>
      <c r="Q277" s="9" t="s">
        <v>32</v>
      </c>
      <c r="R277" s="18" t="s">
        <v>33</v>
      </c>
      <c r="S277" s="25" t="s">
        <v>2544</v>
      </c>
      <c r="T277" s="27">
        <v>24098</v>
      </c>
      <c r="U277" s="25" t="s">
        <v>2543</v>
      </c>
      <c r="V277" s="25" t="s">
        <v>154</v>
      </c>
      <c r="W277" s="25"/>
    </row>
    <row r="278" spans="1:23" ht="22.5" customHeight="1">
      <c r="A278" s="20">
        <v>46080.878599537034</v>
      </c>
      <c r="B278" s="21" t="s">
        <v>2555</v>
      </c>
      <c r="C278" s="38"/>
      <c r="D278" s="21" t="s">
        <v>24</v>
      </c>
      <c r="E278" s="22">
        <v>35342</v>
      </c>
      <c r="F278" s="21" t="s">
        <v>2556</v>
      </c>
      <c r="G278" s="21" t="s">
        <v>2557</v>
      </c>
      <c r="H278" s="21" t="s">
        <v>2558</v>
      </c>
      <c r="I278" s="6" t="str">
        <f>VLOOKUP(CLEAN(F278),'World Bank Categories'!$B$4:$C$220,2,FALSE)</f>
        <v>Middle income</v>
      </c>
      <c r="J278" s="21" t="s">
        <v>2559</v>
      </c>
      <c r="K278" s="21" t="s">
        <v>29</v>
      </c>
      <c r="L278" s="21" t="s">
        <v>30</v>
      </c>
      <c r="M278" s="41"/>
      <c r="N278" s="21"/>
      <c r="O278" s="21"/>
      <c r="P278" s="21" t="s">
        <v>31</v>
      </c>
      <c r="Q278" s="9" t="s">
        <v>32</v>
      </c>
      <c r="R278" s="18" t="s">
        <v>33</v>
      </c>
      <c r="S278" s="25" t="s">
        <v>2555</v>
      </c>
      <c r="T278" s="27">
        <v>35342</v>
      </c>
      <c r="U278" s="25" t="s">
        <v>2559</v>
      </c>
      <c r="V278" s="25" t="s">
        <v>80</v>
      </c>
      <c r="W278" s="25"/>
    </row>
    <row r="279" spans="1:23" ht="22.5" customHeight="1">
      <c r="A279" s="50">
        <v>46080.885729166665</v>
      </c>
      <c r="B279" s="51" t="s">
        <v>2560</v>
      </c>
      <c r="C279" s="52"/>
      <c r="D279" s="51" t="s">
        <v>45</v>
      </c>
      <c r="E279" s="53">
        <v>36433</v>
      </c>
      <c r="F279" s="51" t="s">
        <v>652</v>
      </c>
      <c r="G279" s="51" t="s">
        <v>2561</v>
      </c>
      <c r="H279" s="51" t="s">
        <v>2562</v>
      </c>
      <c r="I279" s="6" t="str">
        <f>VLOOKUP(CLEAN(F279),'World Bank Categories'!$B$4:$C$220,2,FALSE)</f>
        <v>Middle income</v>
      </c>
      <c r="J279" s="51" t="s">
        <v>2563</v>
      </c>
      <c r="K279" s="51" t="s">
        <v>39</v>
      </c>
      <c r="L279" s="51" t="s">
        <v>152</v>
      </c>
      <c r="M279" s="51"/>
      <c r="N279" s="51"/>
      <c r="O279" s="51"/>
      <c r="P279" s="51" t="s">
        <v>31</v>
      </c>
      <c r="Q279" s="9" t="s">
        <v>32</v>
      </c>
      <c r="R279" s="10" t="s">
        <v>33</v>
      </c>
      <c r="S279" s="25" t="s">
        <v>2564</v>
      </c>
      <c r="T279" s="27">
        <v>36524</v>
      </c>
      <c r="U279" s="25" t="s">
        <v>2563</v>
      </c>
      <c r="V279" s="25" t="s">
        <v>2565</v>
      </c>
      <c r="W279" s="25"/>
    </row>
    <row r="280" spans="1:23" ht="22.5" customHeight="1">
      <c r="A280" s="20">
        <v>46080.886435185188</v>
      </c>
      <c r="B280" s="21" t="s">
        <v>2566</v>
      </c>
      <c r="C280" s="38"/>
      <c r="D280" s="21" t="s">
        <v>45</v>
      </c>
      <c r="E280" s="22">
        <v>27845</v>
      </c>
      <c r="F280" s="21" t="s">
        <v>416</v>
      </c>
      <c r="G280" s="21" t="s">
        <v>2567</v>
      </c>
      <c r="H280" s="21" t="s">
        <v>2568</v>
      </c>
      <c r="I280" s="6" t="str">
        <f>VLOOKUP(CLEAN(F280),'World Bank Categories'!$B$4:$C$220,2,FALSE)</f>
        <v>Middle income</v>
      </c>
      <c r="J280" s="21" t="s">
        <v>2569</v>
      </c>
      <c r="K280" s="21" t="s">
        <v>29</v>
      </c>
      <c r="L280" s="21" t="s">
        <v>30</v>
      </c>
      <c r="M280" s="21"/>
      <c r="N280" s="21"/>
      <c r="O280" s="21"/>
      <c r="P280" s="21" t="s">
        <v>31</v>
      </c>
      <c r="Q280" s="9" t="s">
        <v>32</v>
      </c>
      <c r="R280" s="18" t="s">
        <v>33</v>
      </c>
      <c r="S280" s="25" t="s">
        <v>2566</v>
      </c>
      <c r="T280" s="27">
        <v>27845</v>
      </c>
      <c r="U280" s="25" t="s">
        <v>2570</v>
      </c>
      <c r="V280" s="25" t="s">
        <v>80</v>
      </c>
      <c r="W280" s="25"/>
    </row>
    <row r="281" spans="1:23" ht="22.5" customHeight="1">
      <c r="A281" s="20">
        <v>46080.913981481484</v>
      </c>
      <c r="B281" s="21" t="s">
        <v>2577</v>
      </c>
      <c r="C281" s="21" t="s">
        <v>2578</v>
      </c>
      <c r="D281" s="21" t="s">
        <v>24</v>
      </c>
      <c r="E281" s="22">
        <v>34500</v>
      </c>
      <c r="F281" s="21" t="s">
        <v>52</v>
      </c>
      <c r="G281" s="21" t="s">
        <v>2579</v>
      </c>
      <c r="H281" s="21" t="s">
        <v>2580</v>
      </c>
      <c r="I281" s="6" t="str">
        <f>VLOOKUP(CLEAN(F281),'World Bank Categories'!$B$4:$C$220,2,FALSE)</f>
        <v>Middle income</v>
      </c>
      <c r="J281" s="21" t="s">
        <v>2581</v>
      </c>
      <c r="K281" s="21" t="s">
        <v>29</v>
      </c>
      <c r="L281" s="21" t="s">
        <v>30</v>
      </c>
      <c r="M281" s="21" t="s">
        <v>2582</v>
      </c>
      <c r="N281" s="21"/>
      <c r="O281" s="21"/>
      <c r="P281" s="21" t="s">
        <v>31</v>
      </c>
      <c r="Q281" s="9" t="s">
        <v>32</v>
      </c>
      <c r="R281" s="18" t="s">
        <v>33</v>
      </c>
      <c r="S281" s="25" t="s">
        <v>2577</v>
      </c>
      <c r="T281" s="27">
        <v>34500</v>
      </c>
      <c r="U281" s="25" t="s">
        <v>2581</v>
      </c>
      <c r="V281" s="25" t="s">
        <v>80</v>
      </c>
      <c r="W281" s="25"/>
    </row>
    <row r="282" spans="1:23" ht="22.5" customHeight="1">
      <c r="A282" s="20">
        <v>46080.932673611111</v>
      </c>
      <c r="B282" s="21" t="s">
        <v>2587</v>
      </c>
      <c r="C282" s="21" t="s">
        <v>2587</v>
      </c>
      <c r="D282" s="21" t="s">
        <v>45</v>
      </c>
      <c r="E282" s="22">
        <v>35634</v>
      </c>
      <c r="F282" s="21" t="s">
        <v>208</v>
      </c>
      <c r="G282" s="21" t="s">
        <v>2588</v>
      </c>
      <c r="H282" s="21" t="s">
        <v>2589</v>
      </c>
      <c r="I282" s="6" t="str">
        <f>VLOOKUP(CLEAN(F282),'World Bank Categories'!$B$4:$C$220,2,FALSE)</f>
        <v>Low income</v>
      </c>
      <c r="J282" s="21" t="s">
        <v>2590</v>
      </c>
      <c r="K282" s="21" t="s">
        <v>29</v>
      </c>
      <c r="L282" s="32">
        <v>46202</v>
      </c>
      <c r="M282" s="21"/>
      <c r="N282" s="21"/>
      <c r="O282" s="21"/>
      <c r="P282" s="21" t="s">
        <v>31</v>
      </c>
      <c r="Q282" s="9" t="s">
        <v>32</v>
      </c>
      <c r="R282" s="18" t="s">
        <v>33</v>
      </c>
      <c r="S282" s="25" t="s">
        <v>2587</v>
      </c>
      <c r="T282" s="27">
        <v>35634</v>
      </c>
      <c r="U282" s="25" t="s">
        <v>2590</v>
      </c>
      <c r="V282" s="25" t="s">
        <v>80</v>
      </c>
      <c r="W282" s="25"/>
    </row>
    <row r="283" spans="1:23" ht="22.5" customHeight="1">
      <c r="A283" s="28">
        <v>46080.938287037039</v>
      </c>
      <c r="B283" s="29" t="s">
        <v>2591</v>
      </c>
      <c r="C283" s="45"/>
      <c r="D283" s="29" t="s">
        <v>24</v>
      </c>
      <c r="E283" s="30">
        <v>35302</v>
      </c>
      <c r="F283" s="29" t="s">
        <v>475</v>
      </c>
      <c r="G283" s="29" t="s">
        <v>2592</v>
      </c>
      <c r="H283" s="29" t="s">
        <v>2593</v>
      </c>
      <c r="I283" s="6" t="str">
        <f>VLOOKUP(CLEAN(F283),'World Bank Categories'!$B$4:$C$220,2,FALSE)</f>
        <v>Middle income</v>
      </c>
      <c r="J283" s="29" t="s">
        <v>2594</v>
      </c>
      <c r="K283" s="29" t="s">
        <v>39</v>
      </c>
      <c r="L283" s="29" t="s">
        <v>30</v>
      </c>
      <c r="M283" s="29"/>
      <c r="N283" s="29"/>
      <c r="O283" s="29"/>
      <c r="P283" s="29" t="s">
        <v>31</v>
      </c>
      <c r="Q283" s="9" t="s">
        <v>32</v>
      </c>
      <c r="R283" s="10" t="s">
        <v>33</v>
      </c>
      <c r="S283" s="25" t="s">
        <v>2591</v>
      </c>
      <c r="T283" s="27">
        <v>35302</v>
      </c>
      <c r="U283" s="25" t="s">
        <v>2594</v>
      </c>
      <c r="V283" s="25" t="s">
        <v>80</v>
      </c>
      <c r="W283" s="25"/>
    </row>
    <row r="284" spans="1:23" ht="22.5" customHeight="1">
      <c r="A284" s="46">
        <v>46080.945185185185</v>
      </c>
      <c r="B284" s="47" t="s">
        <v>2595</v>
      </c>
      <c r="C284" s="48"/>
      <c r="D284" s="47" t="s">
        <v>45</v>
      </c>
      <c r="E284" s="49">
        <v>33632</v>
      </c>
      <c r="F284" s="47" t="s">
        <v>2596</v>
      </c>
      <c r="G284" s="47" t="s">
        <v>2597</v>
      </c>
      <c r="H284" s="47" t="s">
        <v>111</v>
      </c>
      <c r="I284" s="6" t="str">
        <f>VLOOKUP(CLEAN(F284),'World Bank Categories'!$B$4:$C$220,2,FALSE)</f>
        <v>Middle income</v>
      </c>
      <c r="J284" s="47" t="s">
        <v>2598</v>
      </c>
      <c r="K284" s="47" t="s">
        <v>39</v>
      </c>
      <c r="L284" s="47" t="s">
        <v>162</v>
      </c>
      <c r="M284" s="47"/>
      <c r="N284" s="47"/>
      <c r="O284" s="47"/>
      <c r="P284" s="47" t="s">
        <v>31</v>
      </c>
      <c r="Q284" s="9" t="s">
        <v>32</v>
      </c>
      <c r="R284" s="18" t="s">
        <v>33</v>
      </c>
      <c r="S284" s="25" t="s">
        <v>2595</v>
      </c>
      <c r="T284" s="27">
        <v>33632</v>
      </c>
      <c r="U284" s="25" t="s">
        <v>2598</v>
      </c>
      <c r="V284" s="25" t="s">
        <v>80</v>
      </c>
      <c r="W284" s="25"/>
    </row>
    <row r="285" spans="1:23" ht="22.5" customHeight="1">
      <c r="A285" s="28">
        <v>46080.951956018522</v>
      </c>
      <c r="B285" s="29" t="s">
        <v>2599</v>
      </c>
      <c r="C285" s="45"/>
      <c r="D285" s="29" t="s">
        <v>24</v>
      </c>
      <c r="E285" s="30">
        <v>46200</v>
      </c>
      <c r="F285" s="29" t="s">
        <v>470</v>
      </c>
      <c r="G285" s="29" t="s">
        <v>2600</v>
      </c>
      <c r="H285" s="29" t="s">
        <v>2601</v>
      </c>
      <c r="I285" s="6" t="str">
        <f>VLOOKUP(CLEAN(F285),'World Bank Categories'!$B$4:$C$220,2,FALSE)</f>
        <v>Middle income</v>
      </c>
      <c r="J285" s="29" t="s">
        <v>2602</v>
      </c>
      <c r="K285" s="29" t="s">
        <v>29</v>
      </c>
      <c r="L285" s="29" t="s">
        <v>30</v>
      </c>
      <c r="M285" s="29"/>
      <c r="N285" s="29"/>
      <c r="O285" s="29"/>
      <c r="P285" s="29" t="s">
        <v>31</v>
      </c>
      <c r="Q285" s="9" t="s">
        <v>32</v>
      </c>
      <c r="R285" s="10" t="s">
        <v>33</v>
      </c>
      <c r="S285" s="25" t="s">
        <v>2603</v>
      </c>
      <c r="T285" s="27">
        <v>37065</v>
      </c>
      <c r="U285" s="25" t="s">
        <v>2602</v>
      </c>
      <c r="V285" s="25" t="s">
        <v>114</v>
      </c>
      <c r="W285" s="25"/>
    </row>
    <row r="286" spans="1:23" ht="22.5" customHeight="1">
      <c r="A286" s="28">
        <v>46080.955277777779</v>
      </c>
      <c r="B286" s="29" t="s">
        <v>2604</v>
      </c>
      <c r="C286" s="45"/>
      <c r="D286" s="29" t="s">
        <v>24</v>
      </c>
      <c r="E286" s="30">
        <v>28446</v>
      </c>
      <c r="F286" s="29" t="s">
        <v>1063</v>
      </c>
      <c r="G286" s="29" t="s">
        <v>2605</v>
      </c>
      <c r="H286" s="29" t="s">
        <v>2606</v>
      </c>
      <c r="I286" s="6" t="str">
        <f>VLOOKUP(CLEAN(F286),'World Bank Categories'!$B$4:$C$220,2,FALSE)</f>
        <v>Middle income</v>
      </c>
      <c r="J286" s="29" t="s">
        <v>2607</v>
      </c>
      <c r="K286" s="29" t="s">
        <v>39</v>
      </c>
      <c r="L286" s="29" t="s">
        <v>30</v>
      </c>
      <c r="M286" s="29"/>
      <c r="N286" s="29"/>
      <c r="O286" s="29"/>
      <c r="P286" s="29" t="s">
        <v>31</v>
      </c>
      <c r="Q286" s="9" t="s">
        <v>32</v>
      </c>
      <c r="R286" s="18" t="s">
        <v>33</v>
      </c>
      <c r="S286" s="25" t="s">
        <v>2604</v>
      </c>
      <c r="T286" s="27">
        <v>28446</v>
      </c>
      <c r="U286" s="25" t="s">
        <v>2607</v>
      </c>
      <c r="V286" s="25" t="s">
        <v>80</v>
      </c>
      <c r="W286" s="25"/>
    </row>
    <row r="287" spans="1:23" ht="22.5" customHeight="1">
      <c r="A287" s="28">
        <v>46081.001759259256</v>
      </c>
      <c r="B287" s="29" t="s">
        <v>2608</v>
      </c>
      <c r="C287" s="45"/>
      <c r="D287" s="29" t="s">
        <v>45</v>
      </c>
      <c r="E287" s="30">
        <v>34121</v>
      </c>
      <c r="F287" s="21" t="s">
        <v>980</v>
      </c>
      <c r="G287" s="29" t="s">
        <v>2609</v>
      </c>
      <c r="H287" s="29" t="s">
        <v>111</v>
      </c>
      <c r="I287" s="6" t="str">
        <f>VLOOKUP(CLEAN(F287),'World Bank Categories'!$B$4:$C$220,2,FALSE)</f>
        <v>Middle income</v>
      </c>
      <c r="J287" s="29" t="s">
        <v>2610</v>
      </c>
      <c r="K287" s="29" t="s">
        <v>29</v>
      </c>
      <c r="L287" s="29" t="s">
        <v>152</v>
      </c>
      <c r="M287" s="29"/>
      <c r="N287" s="29"/>
      <c r="O287" s="29"/>
      <c r="P287" s="29" t="s">
        <v>31</v>
      </c>
      <c r="Q287" s="9" t="s">
        <v>32</v>
      </c>
      <c r="R287" s="10" t="s">
        <v>33</v>
      </c>
      <c r="S287" s="25" t="s">
        <v>2608</v>
      </c>
      <c r="T287" s="27">
        <v>34121</v>
      </c>
      <c r="U287" s="25" t="s">
        <v>2611</v>
      </c>
      <c r="V287" s="25" t="s">
        <v>80</v>
      </c>
      <c r="W287" s="25"/>
    </row>
    <row r="288" spans="1:23" ht="22.5" customHeight="1">
      <c r="A288" s="28">
        <v>46081.022592592592</v>
      </c>
      <c r="B288" s="29" t="s">
        <v>2612</v>
      </c>
      <c r="C288" s="45"/>
      <c r="D288" s="29" t="s">
        <v>45</v>
      </c>
      <c r="E288" s="30">
        <v>28807</v>
      </c>
      <c r="F288" s="29" t="s">
        <v>1316</v>
      </c>
      <c r="G288" s="29" t="s">
        <v>2613</v>
      </c>
      <c r="H288" s="29" t="s">
        <v>738</v>
      </c>
      <c r="I288" s="6" t="str">
        <f>VLOOKUP(CLEAN(F288),'World Bank Categories'!$B$4:$C$220,2,FALSE)</f>
        <v>Low income</v>
      </c>
      <c r="J288" s="29" t="s">
        <v>2614</v>
      </c>
      <c r="K288" s="29" t="s">
        <v>39</v>
      </c>
      <c r="L288" s="29" t="s">
        <v>162</v>
      </c>
      <c r="M288" s="29"/>
      <c r="N288" s="29"/>
      <c r="O288" s="29"/>
      <c r="P288" s="29" t="s">
        <v>31</v>
      </c>
      <c r="Q288" s="9" t="s">
        <v>32</v>
      </c>
      <c r="R288" s="18" t="s">
        <v>33</v>
      </c>
      <c r="S288" s="25" t="s">
        <v>2615</v>
      </c>
      <c r="T288" s="27">
        <v>28807</v>
      </c>
      <c r="U288" s="25" t="s">
        <v>2614</v>
      </c>
      <c r="V288" s="25" t="s">
        <v>80</v>
      </c>
      <c r="W288" s="25"/>
    </row>
    <row r="289" spans="1:23" ht="22.5" customHeight="1">
      <c r="A289" s="46">
        <v>46081.028078703705</v>
      </c>
      <c r="B289" s="47" t="s">
        <v>2616</v>
      </c>
      <c r="C289" s="48"/>
      <c r="D289" s="47" t="s">
        <v>24</v>
      </c>
      <c r="E289" s="49">
        <v>24960</v>
      </c>
      <c r="F289" s="47" t="s">
        <v>1179</v>
      </c>
      <c r="G289" s="47" t="s">
        <v>2617</v>
      </c>
      <c r="H289" s="47" t="s">
        <v>66</v>
      </c>
      <c r="I289" s="6" t="str">
        <f>VLOOKUP(CLEAN(F289),'World Bank Categories'!$B$4:$C$220,2,FALSE)</f>
        <v>High income</v>
      </c>
      <c r="J289" s="47" t="s">
        <v>2618</v>
      </c>
      <c r="K289" s="47" t="s">
        <v>29</v>
      </c>
      <c r="L289" s="47" t="s">
        <v>30</v>
      </c>
      <c r="M289" s="47" t="s">
        <v>2619</v>
      </c>
      <c r="N289" s="47"/>
      <c r="O289" s="47"/>
      <c r="P289" s="47" t="s">
        <v>31</v>
      </c>
      <c r="Q289" s="9" t="s">
        <v>32</v>
      </c>
      <c r="R289" s="10" t="s">
        <v>33</v>
      </c>
      <c r="S289" s="25" t="s">
        <v>2616</v>
      </c>
      <c r="T289" s="27">
        <v>46052</v>
      </c>
      <c r="U289" s="25" t="s">
        <v>2618</v>
      </c>
      <c r="V289" s="25" t="s">
        <v>236</v>
      </c>
      <c r="W289" s="25"/>
    </row>
    <row r="290" spans="1:23" ht="22.5" customHeight="1">
      <c r="A290" s="20">
        <v>46081.049039351848</v>
      </c>
      <c r="B290" s="21" t="s">
        <v>2620</v>
      </c>
      <c r="C290" s="38"/>
      <c r="D290" s="21" t="s">
        <v>24</v>
      </c>
      <c r="E290" s="22">
        <v>33387</v>
      </c>
      <c r="F290" s="21" t="s">
        <v>438</v>
      </c>
      <c r="G290" s="21" t="s">
        <v>2621</v>
      </c>
      <c r="H290" s="21" t="s">
        <v>2622</v>
      </c>
      <c r="I290" s="6" t="str">
        <f>VLOOKUP(CLEAN(F290),'World Bank Categories'!$B$4:$C$220,2,FALSE)</f>
        <v>Middle income</v>
      </c>
      <c r="J290" s="21" t="s">
        <v>2623</v>
      </c>
      <c r="K290" s="21" t="s">
        <v>39</v>
      </c>
      <c r="L290" s="21" t="s">
        <v>30</v>
      </c>
      <c r="M290" s="21"/>
      <c r="N290" s="21"/>
      <c r="O290" s="21"/>
      <c r="P290" s="21" t="s">
        <v>31</v>
      </c>
      <c r="Q290" s="9" t="s">
        <v>32</v>
      </c>
      <c r="R290" s="18" t="s">
        <v>33</v>
      </c>
      <c r="S290" s="25" t="s">
        <v>2624</v>
      </c>
      <c r="T290" s="27">
        <v>33387</v>
      </c>
      <c r="U290" s="25" t="s">
        <v>2623</v>
      </c>
      <c r="V290" s="25" t="s">
        <v>80</v>
      </c>
      <c r="W290" s="25"/>
    </row>
    <row r="291" spans="1:23" ht="22.5" customHeight="1">
      <c r="A291" s="28">
        <v>46081.069374999999</v>
      </c>
      <c r="B291" s="29" t="s">
        <v>2625</v>
      </c>
      <c r="C291" s="45"/>
      <c r="D291" s="29" t="s">
        <v>24</v>
      </c>
      <c r="E291" s="30">
        <v>33925</v>
      </c>
      <c r="F291" s="29" t="s">
        <v>438</v>
      </c>
      <c r="G291" s="29" t="s">
        <v>1068</v>
      </c>
      <c r="H291" s="29" t="s">
        <v>957</v>
      </c>
      <c r="I291" s="6" t="str">
        <f>VLOOKUP(CLEAN(F291),'World Bank Categories'!$B$4:$C$220,2,FALSE)</f>
        <v>Middle income</v>
      </c>
      <c r="J291" s="29" t="s">
        <v>2626</v>
      </c>
      <c r="K291" s="29" t="s">
        <v>39</v>
      </c>
      <c r="L291" s="29" t="s">
        <v>30</v>
      </c>
      <c r="M291" s="29"/>
      <c r="N291" s="29"/>
      <c r="O291" s="29"/>
      <c r="P291" s="29" t="s">
        <v>31</v>
      </c>
      <c r="Q291" s="9" t="s">
        <v>32</v>
      </c>
      <c r="R291" s="10" t="s">
        <v>33</v>
      </c>
      <c r="S291" s="25" t="s">
        <v>2627</v>
      </c>
      <c r="T291" s="27">
        <v>33925</v>
      </c>
      <c r="U291" s="25" t="s">
        <v>2626</v>
      </c>
      <c r="V291" s="25" t="s">
        <v>1670</v>
      </c>
      <c r="W291" s="25"/>
    </row>
    <row r="292" spans="1:23" ht="22.5" customHeight="1">
      <c r="A292" s="28">
        <v>46081.076956018522</v>
      </c>
      <c r="B292" s="29" t="s">
        <v>2628</v>
      </c>
      <c r="C292" s="45"/>
      <c r="D292" s="29" t="s">
        <v>24</v>
      </c>
      <c r="E292" s="30">
        <v>19023</v>
      </c>
      <c r="F292" s="29" t="s">
        <v>1316</v>
      </c>
      <c r="G292" s="29" t="s">
        <v>2629</v>
      </c>
      <c r="H292" s="29" t="s">
        <v>2630</v>
      </c>
      <c r="I292" s="6" t="str">
        <f>VLOOKUP(CLEAN(F292),'World Bank Categories'!$B$4:$C$220,2,FALSE)</f>
        <v>Low income</v>
      </c>
      <c r="J292" s="29" t="s">
        <v>2631</v>
      </c>
      <c r="K292" s="29" t="s">
        <v>39</v>
      </c>
      <c r="L292" s="29" t="s">
        <v>152</v>
      </c>
      <c r="M292" s="29"/>
      <c r="N292" s="29"/>
      <c r="O292" s="29"/>
      <c r="P292" s="29" t="s">
        <v>31</v>
      </c>
      <c r="Q292" s="9" t="s">
        <v>32</v>
      </c>
      <c r="R292" s="18" t="s">
        <v>33</v>
      </c>
      <c r="S292" s="25" t="s">
        <v>2632</v>
      </c>
      <c r="T292" s="27">
        <v>19023</v>
      </c>
      <c r="U292" s="25" t="s">
        <v>2631</v>
      </c>
      <c r="V292" s="25" t="s">
        <v>80</v>
      </c>
      <c r="W292" s="25"/>
    </row>
    <row r="293" spans="1:23" ht="22.5" customHeight="1">
      <c r="A293" s="28">
        <v>46081.111898148149</v>
      </c>
      <c r="B293" s="29" t="s">
        <v>2633</v>
      </c>
      <c r="C293" s="29" t="s">
        <v>2634</v>
      </c>
      <c r="D293" s="29" t="s">
        <v>45</v>
      </c>
      <c r="E293" s="30">
        <v>28090</v>
      </c>
      <c r="F293" s="29" t="s">
        <v>1316</v>
      </c>
      <c r="G293" s="29" t="s">
        <v>2613</v>
      </c>
      <c r="H293" s="29" t="s">
        <v>2635</v>
      </c>
      <c r="I293" s="6" t="str">
        <f>VLOOKUP(CLEAN(F293),'World Bank Categories'!$B$4:$C$220,2,FALSE)</f>
        <v>Low income</v>
      </c>
      <c r="J293" s="29" t="s">
        <v>2636</v>
      </c>
      <c r="K293" s="29" t="s">
        <v>39</v>
      </c>
      <c r="L293" s="29" t="s">
        <v>30</v>
      </c>
      <c r="M293" s="29"/>
      <c r="N293" s="29"/>
      <c r="O293" s="29"/>
      <c r="P293" s="29" t="s">
        <v>31</v>
      </c>
      <c r="Q293" s="9" t="s">
        <v>32</v>
      </c>
      <c r="R293" s="10" t="s">
        <v>33</v>
      </c>
      <c r="S293" s="25" t="s">
        <v>2633</v>
      </c>
      <c r="T293" s="27">
        <v>28090</v>
      </c>
      <c r="U293" s="25" t="s">
        <v>2636</v>
      </c>
      <c r="V293" s="25" t="s">
        <v>80</v>
      </c>
      <c r="W293" s="25"/>
    </row>
    <row r="294" spans="1:23" ht="22.5" customHeight="1">
      <c r="A294" s="46">
        <v>46081.14634259259</v>
      </c>
      <c r="B294" s="47" t="s">
        <v>2641</v>
      </c>
      <c r="C294" s="48"/>
      <c r="D294" s="47" t="s">
        <v>24</v>
      </c>
      <c r="E294" s="49">
        <v>37659</v>
      </c>
      <c r="F294" s="21" t="s">
        <v>208</v>
      </c>
      <c r="G294" s="47" t="s">
        <v>2642</v>
      </c>
      <c r="H294" s="47" t="s">
        <v>66</v>
      </c>
      <c r="I294" s="6" t="str">
        <f>VLOOKUP(CLEAN(F294),'World Bank Categories'!$B$4:$C$220,2,FALSE)</f>
        <v>Low income</v>
      </c>
      <c r="J294" s="47" t="s">
        <v>2643</v>
      </c>
      <c r="K294" s="47" t="s">
        <v>39</v>
      </c>
      <c r="L294" s="47" t="s">
        <v>30</v>
      </c>
      <c r="M294" s="47"/>
      <c r="N294" s="47"/>
      <c r="O294" s="47"/>
      <c r="P294" s="47" t="s">
        <v>31</v>
      </c>
      <c r="Q294" s="9" t="s">
        <v>32</v>
      </c>
      <c r="R294" s="18" t="s">
        <v>33</v>
      </c>
      <c r="S294" s="25" t="s">
        <v>2641</v>
      </c>
      <c r="T294" s="27">
        <v>37659</v>
      </c>
      <c r="U294" s="25" t="s">
        <v>2643</v>
      </c>
      <c r="V294" s="25" t="s">
        <v>80</v>
      </c>
      <c r="W294" s="25"/>
    </row>
    <row r="295" spans="1:23" ht="22.5" customHeight="1">
      <c r="A295" s="28">
        <v>46081.1641087963</v>
      </c>
      <c r="B295" s="29" t="s">
        <v>2644</v>
      </c>
      <c r="C295" s="45"/>
      <c r="D295" s="29" t="s">
        <v>45</v>
      </c>
      <c r="E295" s="30">
        <v>36941</v>
      </c>
      <c r="F295" s="21" t="s">
        <v>208</v>
      </c>
      <c r="G295" s="29" t="s">
        <v>2645</v>
      </c>
      <c r="H295" s="29" t="s">
        <v>2646</v>
      </c>
      <c r="I295" s="6" t="str">
        <f>VLOOKUP(CLEAN(F295),'World Bank Categories'!$B$4:$C$220,2,FALSE)</f>
        <v>Low income</v>
      </c>
      <c r="J295" s="29" t="s">
        <v>2647</v>
      </c>
      <c r="K295" s="29" t="s">
        <v>39</v>
      </c>
      <c r="L295" s="29" t="s">
        <v>30</v>
      </c>
      <c r="M295" s="29"/>
      <c r="N295" s="29"/>
      <c r="O295" s="29"/>
      <c r="P295" s="29" t="s">
        <v>31</v>
      </c>
      <c r="Q295" s="9" t="s">
        <v>32</v>
      </c>
      <c r="R295" s="10" t="s">
        <v>2648</v>
      </c>
      <c r="S295" s="25" t="s">
        <v>2644</v>
      </c>
      <c r="T295" s="27">
        <v>36941</v>
      </c>
      <c r="U295" s="25" t="s">
        <v>2649</v>
      </c>
      <c r="V295" s="25" t="s">
        <v>101</v>
      </c>
      <c r="W295" s="25"/>
    </row>
    <row r="296" spans="1:23" ht="22.5" customHeight="1">
      <c r="A296" s="35">
        <v>46081.198796296296</v>
      </c>
      <c r="B296" s="36" t="s">
        <v>2653</v>
      </c>
      <c r="C296" s="55"/>
      <c r="D296" s="36" t="s">
        <v>24</v>
      </c>
      <c r="E296" s="37">
        <v>33190</v>
      </c>
      <c r="F296" s="36" t="s">
        <v>623</v>
      </c>
      <c r="G296" s="36" t="s">
        <v>2654</v>
      </c>
      <c r="H296" s="36" t="s">
        <v>2655</v>
      </c>
      <c r="I296" s="6" t="str">
        <f>VLOOKUP(CLEAN(F296),'World Bank Categories'!$B$4:$C$220,2,FALSE)</f>
        <v>Middle income</v>
      </c>
      <c r="J296" s="36" t="s">
        <v>2656</v>
      </c>
      <c r="K296" s="36" t="s">
        <v>29</v>
      </c>
      <c r="L296" s="36" t="s">
        <v>30</v>
      </c>
      <c r="M296" s="36"/>
      <c r="N296" s="36"/>
      <c r="O296" s="36"/>
      <c r="P296" s="36" t="s">
        <v>31</v>
      </c>
      <c r="Q296" s="9" t="s">
        <v>32</v>
      </c>
      <c r="R296" s="10" t="s">
        <v>33</v>
      </c>
      <c r="S296" s="25" t="s">
        <v>2653</v>
      </c>
      <c r="T296" s="27">
        <v>33190</v>
      </c>
      <c r="U296" s="25" t="s">
        <v>2656</v>
      </c>
      <c r="V296" s="25" t="s">
        <v>80</v>
      </c>
      <c r="W296" s="25"/>
    </row>
    <row r="297" spans="1:23" ht="22.5" customHeight="1">
      <c r="A297" s="20">
        <v>46081.22179398148</v>
      </c>
      <c r="B297" s="21" t="s">
        <v>2657</v>
      </c>
      <c r="C297" s="38"/>
      <c r="D297" s="21" t="s">
        <v>24</v>
      </c>
      <c r="E297" s="22">
        <v>30314</v>
      </c>
      <c r="F297" s="21" t="s">
        <v>198</v>
      </c>
      <c r="G297" s="21" t="s">
        <v>586</v>
      </c>
      <c r="H297" s="21" t="s">
        <v>882</v>
      </c>
      <c r="I297" s="6" t="str">
        <f>VLOOKUP(CLEAN(F297),'World Bank Categories'!$B$4:$C$220,2,FALSE)</f>
        <v>Middle income</v>
      </c>
      <c r="J297" s="21" t="s">
        <v>2658</v>
      </c>
      <c r="K297" s="21" t="s">
        <v>29</v>
      </c>
      <c r="L297" s="21" t="s">
        <v>30</v>
      </c>
      <c r="M297" s="21" t="s">
        <v>2659</v>
      </c>
      <c r="N297" s="21"/>
      <c r="O297" s="21"/>
      <c r="P297" s="21" t="s">
        <v>31</v>
      </c>
      <c r="Q297" s="9" t="s">
        <v>32</v>
      </c>
      <c r="R297" s="18" t="s">
        <v>43</v>
      </c>
      <c r="S297" s="25" t="s">
        <v>2657</v>
      </c>
      <c r="T297" s="27">
        <v>30314</v>
      </c>
      <c r="U297" s="25" t="s">
        <v>2658</v>
      </c>
      <c r="V297" s="25" t="s">
        <v>80</v>
      </c>
      <c r="W297" s="25"/>
    </row>
    <row r="298" spans="1:23" ht="22.5" customHeight="1">
      <c r="A298" s="46">
        <v>46081.269328703704</v>
      </c>
      <c r="B298" s="47" t="s">
        <v>2663</v>
      </c>
      <c r="C298" s="48"/>
      <c r="D298" s="47" t="s">
        <v>24</v>
      </c>
      <c r="E298" s="49">
        <v>36397</v>
      </c>
      <c r="F298" s="21" t="s">
        <v>208</v>
      </c>
      <c r="G298" s="47" t="s">
        <v>2664</v>
      </c>
      <c r="H298" s="47" t="s">
        <v>2665</v>
      </c>
      <c r="I298" s="6" t="str">
        <f>VLOOKUP(CLEAN(F298),'World Bank Categories'!$B$4:$C$220,2,FALSE)</f>
        <v>Low income</v>
      </c>
      <c r="J298" s="47" t="s">
        <v>2666</v>
      </c>
      <c r="K298" s="47" t="s">
        <v>29</v>
      </c>
      <c r="L298" s="47" t="s">
        <v>30</v>
      </c>
      <c r="M298" s="47"/>
      <c r="N298" s="47"/>
      <c r="O298" s="47"/>
      <c r="P298" s="47" t="s">
        <v>31</v>
      </c>
      <c r="Q298" s="9" t="s">
        <v>32</v>
      </c>
      <c r="R298" s="18" t="s">
        <v>33</v>
      </c>
      <c r="S298" s="25" t="s">
        <v>2663</v>
      </c>
      <c r="T298" s="27">
        <v>36397</v>
      </c>
      <c r="U298" s="25" t="s">
        <v>2666</v>
      </c>
      <c r="V298" s="25" t="s">
        <v>80</v>
      </c>
      <c r="W298" s="25"/>
    </row>
    <row r="299" spans="1:23" ht="22.5" customHeight="1">
      <c r="A299" s="28">
        <v>46081.352256944447</v>
      </c>
      <c r="B299" s="29" t="s">
        <v>2667</v>
      </c>
      <c r="C299" s="45"/>
      <c r="D299" s="29" t="s">
        <v>45</v>
      </c>
      <c r="E299" s="30">
        <v>19426</v>
      </c>
      <c r="F299" s="29" t="s">
        <v>203</v>
      </c>
      <c r="G299" s="29" t="s">
        <v>2668</v>
      </c>
      <c r="H299" s="29" t="s">
        <v>1891</v>
      </c>
      <c r="I299" s="6" t="str">
        <f>VLOOKUP(CLEAN(F299),'World Bank Categories'!$B$4:$C$220,2,FALSE)</f>
        <v>Middle income</v>
      </c>
      <c r="J299" s="29" t="s">
        <v>2669</v>
      </c>
      <c r="K299" s="29" t="s">
        <v>39</v>
      </c>
      <c r="L299" s="29" t="s">
        <v>162</v>
      </c>
      <c r="M299" s="29"/>
      <c r="N299" s="29"/>
      <c r="O299" s="29"/>
      <c r="P299" s="29" t="s">
        <v>31</v>
      </c>
      <c r="Q299" s="9" t="s">
        <v>32</v>
      </c>
      <c r="R299" s="10" t="s">
        <v>33</v>
      </c>
      <c r="S299" s="25" t="s">
        <v>2667</v>
      </c>
      <c r="T299" s="27">
        <v>19426</v>
      </c>
      <c r="U299" s="25" t="s">
        <v>2669</v>
      </c>
      <c r="V299" s="25" t="s">
        <v>80</v>
      </c>
      <c r="W299" s="25"/>
    </row>
    <row r="300" spans="1:23" ht="22.5" customHeight="1">
      <c r="A300" s="20">
        <v>46081.476782407408</v>
      </c>
      <c r="B300" s="21" t="s">
        <v>2670</v>
      </c>
      <c r="C300" s="21" t="s">
        <v>2671</v>
      </c>
      <c r="D300" s="21" t="s">
        <v>24</v>
      </c>
      <c r="E300" s="22">
        <v>27686</v>
      </c>
      <c r="F300" s="21" t="s">
        <v>1063</v>
      </c>
      <c r="G300" s="21" t="s">
        <v>2672</v>
      </c>
      <c r="H300" s="21" t="s">
        <v>2673</v>
      </c>
      <c r="I300" s="6" t="str">
        <f>VLOOKUP(CLEAN(F300),'World Bank Categories'!$B$4:$C$220,2,FALSE)</f>
        <v>Middle income</v>
      </c>
      <c r="J300" s="21" t="s">
        <v>2674</v>
      </c>
      <c r="K300" s="21" t="s">
        <v>29</v>
      </c>
      <c r="L300" s="21" t="s">
        <v>30</v>
      </c>
      <c r="M300" s="21" t="s">
        <v>2675</v>
      </c>
      <c r="N300" s="21"/>
      <c r="O300" s="21"/>
      <c r="P300" s="21" t="s">
        <v>31</v>
      </c>
      <c r="Q300" s="9" t="s">
        <v>32</v>
      </c>
      <c r="R300" s="18" t="s">
        <v>33</v>
      </c>
      <c r="S300" s="25" t="s">
        <v>2676</v>
      </c>
      <c r="T300" s="27">
        <v>27686</v>
      </c>
      <c r="U300" s="25" t="s">
        <v>2674</v>
      </c>
      <c r="V300" s="25" t="s">
        <v>1159</v>
      </c>
      <c r="W300" s="25"/>
    </row>
    <row r="301" spans="1:23" ht="22.5" customHeight="1">
      <c r="A301" s="50">
        <v>46081.571921296294</v>
      </c>
      <c r="B301" s="51" t="s">
        <v>2677</v>
      </c>
      <c r="C301" s="52"/>
      <c r="D301" s="51" t="s">
        <v>24</v>
      </c>
      <c r="E301" s="53">
        <v>25411</v>
      </c>
      <c r="F301" s="51" t="s">
        <v>416</v>
      </c>
      <c r="G301" s="51" t="s">
        <v>209</v>
      </c>
      <c r="H301" s="51" t="s">
        <v>2678</v>
      </c>
      <c r="I301" s="6" t="str">
        <f>VLOOKUP(CLEAN(F301),'World Bank Categories'!$B$4:$C$220,2,FALSE)</f>
        <v>Middle income</v>
      </c>
      <c r="J301" s="51" t="s">
        <v>2679</v>
      </c>
      <c r="K301" s="51" t="s">
        <v>29</v>
      </c>
      <c r="L301" s="51" t="s">
        <v>30</v>
      </c>
      <c r="M301" s="63"/>
      <c r="N301" s="51"/>
      <c r="O301" s="51"/>
      <c r="P301" s="51" t="s">
        <v>31</v>
      </c>
      <c r="Q301" s="9" t="s">
        <v>32</v>
      </c>
      <c r="R301" s="10" t="s">
        <v>33</v>
      </c>
      <c r="S301" s="25" t="s">
        <v>2677</v>
      </c>
      <c r="T301" s="27">
        <v>25411</v>
      </c>
      <c r="U301" s="25" t="s">
        <v>2679</v>
      </c>
      <c r="V301" s="25" t="s">
        <v>80</v>
      </c>
      <c r="W301" s="25"/>
    </row>
    <row r="302" spans="1:23" ht="22.5" customHeight="1">
      <c r="A302" s="46">
        <v>46081.582303240742</v>
      </c>
      <c r="B302" s="47" t="s">
        <v>2680</v>
      </c>
      <c r="C302" s="48"/>
      <c r="D302" s="47" t="s">
        <v>45</v>
      </c>
      <c r="E302" s="49">
        <v>33509</v>
      </c>
      <c r="F302" s="47" t="s">
        <v>475</v>
      </c>
      <c r="G302" s="47" t="s">
        <v>2681</v>
      </c>
      <c r="H302" s="47" t="s">
        <v>2682</v>
      </c>
      <c r="I302" s="6" t="str">
        <f>VLOOKUP(CLEAN(F302),'World Bank Categories'!$B$4:$C$220,2,FALSE)</f>
        <v>Middle income</v>
      </c>
      <c r="J302" s="47" t="s">
        <v>2683</v>
      </c>
      <c r="K302" s="47" t="s">
        <v>29</v>
      </c>
      <c r="L302" s="47" t="s">
        <v>30</v>
      </c>
      <c r="M302" s="47"/>
      <c r="N302" s="47"/>
      <c r="O302" s="47"/>
      <c r="P302" s="47" t="s">
        <v>31</v>
      </c>
      <c r="Q302" s="9" t="s">
        <v>32</v>
      </c>
      <c r="R302" s="18" t="s">
        <v>33</v>
      </c>
      <c r="S302" s="25" t="s">
        <v>2684</v>
      </c>
      <c r="T302" s="27">
        <v>33509</v>
      </c>
      <c r="U302" s="25" t="s">
        <v>2683</v>
      </c>
      <c r="V302" s="25" t="s">
        <v>154</v>
      </c>
      <c r="W302" s="25"/>
    </row>
    <row r="303" spans="1:23" ht="22.5" customHeight="1">
      <c r="A303" s="28">
        <v>46081.624062499999</v>
      </c>
      <c r="B303" s="29" t="s">
        <v>2685</v>
      </c>
      <c r="C303" s="29" t="s">
        <v>941</v>
      </c>
      <c r="D303" s="29" t="s">
        <v>45</v>
      </c>
      <c r="E303" s="30">
        <v>34242</v>
      </c>
      <c r="F303" s="29" t="s">
        <v>2378</v>
      </c>
      <c r="G303" s="29" t="s">
        <v>2686</v>
      </c>
      <c r="H303" s="29" t="s">
        <v>418</v>
      </c>
      <c r="I303" s="6" t="str">
        <f>VLOOKUP(CLEAN(F303),'World Bank Categories'!$B$4:$C$220,2,FALSE)</f>
        <v>Middle income</v>
      </c>
      <c r="J303" s="29" t="s">
        <v>2687</v>
      </c>
      <c r="K303" s="29" t="s">
        <v>39</v>
      </c>
      <c r="L303" s="29" t="s">
        <v>30</v>
      </c>
      <c r="M303" s="29"/>
      <c r="N303" s="29"/>
      <c r="O303" s="29"/>
      <c r="P303" s="29" t="s">
        <v>31</v>
      </c>
      <c r="Q303" s="9" t="s">
        <v>32</v>
      </c>
      <c r="R303" s="10" t="s">
        <v>33</v>
      </c>
      <c r="S303" s="25" t="s">
        <v>2685</v>
      </c>
      <c r="T303" s="27">
        <v>34242</v>
      </c>
      <c r="U303" s="25" t="s">
        <v>2688</v>
      </c>
      <c r="V303" s="25" t="s">
        <v>80</v>
      </c>
      <c r="W303" s="25"/>
    </row>
    <row r="304" spans="1:23" ht="22.5" customHeight="1">
      <c r="A304" s="20">
        <v>46081.648831018516</v>
      </c>
      <c r="B304" s="21" t="s">
        <v>2689</v>
      </c>
      <c r="C304" s="38"/>
      <c r="D304" s="21" t="s">
        <v>45</v>
      </c>
      <c r="E304" s="22">
        <v>28388</v>
      </c>
      <c r="F304" s="21" t="s">
        <v>732</v>
      </c>
      <c r="G304" s="21" t="s">
        <v>2690</v>
      </c>
      <c r="H304" s="21" t="s">
        <v>2691</v>
      </c>
      <c r="I304" s="6" t="str">
        <f>VLOOKUP(CLEAN(F304),'World Bank Categories'!$B$4:$C$220,2,FALSE)</f>
        <v>Middle income</v>
      </c>
      <c r="J304" s="21" t="s">
        <v>2692</v>
      </c>
      <c r="K304" s="21" t="s">
        <v>29</v>
      </c>
      <c r="L304" s="32">
        <v>46202</v>
      </c>
      <c r="M304" s="21"/>
      <c r="N304" s="21"/>
      <c r="O304" s="21"/>
      <c r="P304" s="21" t="s">
        <v>31</v>
      </c>
      <c r="Q304" s="9" t="s">
        <v>32</v>
      </c>
      <c r="R304" s="18" t="s">
        <v>33</v>
      </c>
      <c r="S304" s="25" t="s">
        <v>2693</v>
      </c>
      <c r="T304" s="27">
        <v>28388</v>
      </c>
      <c r="U304" s="25" t="s">
        <v>2692</v>
      </c>
      <c r="V304" s="25" t="s">
        <v>1670</v>
      </c>
      <c r="W304" s="25"/>
    </row>
    <row r="305" spans="1:23" ht="22.5" customHeight="1">
      <c r="A305" s="28">
        <v>46081.65861111111</v>
      </c>
      <c r="B305" s="29" t="s">
        <v>2694</v>
      </c>
      <c r="C305" s="45"/>
      <c r="D305" s="29" t="s">
        <v>45</v>
      </c>
      <c r="E305" s="30">
        <v>34879</v>
      </c>
      <c r="F305" s="29" t="s">
        <v>416</v>
      </c>
      <c r="G305" s="29" t="s">
        <v>2695</v>
      </c>
      <c r="H305" s="29" t="s">
        <v>1049</v>
      </c>
      <c r="I305" s="6" t="str">
        <f>VLOOKUP(CLEAN(F305),'World Bank Categories'!$B$4:$C$220,2,FALSE)</f>
        <v>Middle income</v>
      </c>
      <c r="J305" s="29" t="s">
        <v>2696</v>
      </c>
      <c r="K305" s="29" t="s">
        <v>29</v>
      </c>
      <c r="L305" s="29" t="s">
        <v>30</v>
      </c>
      <c r="M305" s="62"/>
      <c r="N305" s="29"/>
      <c r="O305" s="29"/>
      <c r="P305" s="29" t="s">
        <v>31</v>
      </c>
      <c r="Q305" s="9" t="s">
        <v>32</v>
      </c>
      <c r="R305" s="10" t="s">
        <v>33</v>
      </c>
      <c r="S305" s="25" t="s">
        <v>2694</v>
      </c>
      <c r="T305" s="27">
        <v>34879</v>
      </c>
      <c r="U305" s="25" t="s">
        <v>2696</v>
      </c>
      <c r="V305" s="25" t="s">
        <v>80</v>
      </c>
      <c r="W305" s="25"/>
    </row>
    <row r="306" spans="1:23" ht="22.5" customHeight="1">
      <c r="A306" s="28">
        <v>46081.65861111111</v>
      </c>
      <c r="B306" s="29" t="s">
        <v>2697</v>
      </c>
      <c r="C306" s="29" t="s">
        <v>2698</v>
      </c>
      <c r="D306" s="29" t="s">
        <v>45</v>
      </c>
      <c r="E306" s="30">
        <v>35854</v>
      </c>
      <c r="F306" s="29" t="s">
        <v>416</v>
      </c>
      <c r="G306" s="29" t="s">
        <v>2699</v>
      </c>
      <c r="H306" s="29" t="s">
        <v>418</v>
      </c>
      <c r="I306" s="6" t="str">
        <f>VLOOKUP(CLEAN(F306),'World Bank Categories'!$B$4:$C$220,2,FALSE)</f>
        <v>Middle income</v>
      </c>
      <c r="J306" s="29" t="s">
        <v>2700</v>
      </c>
      <c r="K306" s="29" t="s">
        <v>29</v>
      </c>
      <c r="L306" s="29" t="s">
        <v>30</v>
      </c>
      <c r="M306" s="62"/>
      <c r="N306" s="29"/>
      <c r="O306" s="29"/>
      <c r="P306" s="29" t="s">
        <v>31</v>
      </c>
      <c r="Q306" s="9" t="s">
        <v>32</v>
      </c>
      <c r="R306" s="18" t="s">
        <v>33</v>
      </c>
      <c r="S306" s="25" t="s">
        <v>2697</v>
      </c>
      <c r="T306" s="27">
        <v>35854</v>
      </c>
      <c r="U306" s="25" t="s">
        <v>2701</v>
      </c>
      <c r="V306" s="25" t="s">
        <v>101</v>
      </c>
      <c r="W306" s="25"/>
    </row>
    <row r="307" spans="1:23" ht="22.5" customHeight="1">
      <c r="A307" s="50">
        <v>46081.71802083333</v>
      </c>
      <c r="B307" s="51" t="s">
        <v>2702</v>
      </c>
      <c r="C307" s="52"/>
      <c r="D307" s="51" t="s">
        <v>24</v>
      </c>
      <c r="E307" s="53">
        <v>28127</v>
      </c>
      <c r="F307" s="51" t="s">
        <v>2703</v>
      </c>
      <c r="G307" s="51" t="s">
        <v>2704</v>
      </c>
      <c r="H307" s="51" t="s">
        <v>2705</v>
      </c>
      <c r="I307" s="6" t="str">
        <f>VLOOKUP(CLEAN(F307),'World Bank Categories'!$B$4:$C$220,2,FALSE)</f>
        <v>High income</v>
      </c>
      <c r="J307" s="51" t="s">
        <v>2706</v>
      </c>
      <c r="K307" s="51" t="s">
        <v>29</v>
      </c>
      <c r="L307" s="51" t="s">
        <v>30</v>
      </c>
      <c r="M307" s="51" t="s">
        <v>2707</v>
      </c>
      <c r="N307" s="51"/>
      <c r="O307" s="51"/>
      <c r="P307" s="51" t="s">
        <v>31</v>
      </c>
      <c r="Q307" s="9" t="s">
        <v>32</v>
      </c>
      <c r="R307" s="10" t="s">
        <v>33</v>
      </c>
      <c r="S307" s="25" t="s">
        <v>2708</v>
      </c>
      <c r="T307" s="27">
        <v>28127</v>
      </c>
      <c r="U307" s="25" t="s">
        <v>2706</v>
      </c>
      <c r="V307" s="25" t="s">
        <v>154</v>
      </c>
      <c r="W307" s="25"/>
    </row>
    <row r="308" spans="1:23" ht="22.5" customHeight="1">
      <c r="A308" s="20">
        <v>46081.857997685183</v>
      </c>
      <c r="B308" s="21" t="s">
        <v>2709</v>
      </c>
      <c r="C308" s="21" t="s">
        <v>2709</v>
      </c>
      <c r="D308" s="21" t="s">
        <v>24</v>
      </c>
      <c r="E308" s="22">
        <v>37748</v>
      </c>
      <c r="F308" s="21" t="s">
        <v>1053</v>
      </c>
      <c r="G308" s="21" t="s">
        <v>2710</v>
      </c>
      <c r="H308" s="21" t="s">
        <v>1995</v>
      </c>
      <c r="I308" s="6" t="str">
        <f>VLOOKUP(CLEAN(F308),'World Bank Categories'!$B$4:$C$220,2,FALSE)</f>
        <v>High income</v>
      </c>
      <c r="J308" s="21" t="s">
        <v>2711</v>
      </c>
      <c r="K308" s="21" t="s">
        <v>29</v>
      </c>
      <c r="L308" s="21" t="s">
        <v>30</v>
      </c>
      <c r="M308" s="21"/>
      <c r="N308" s="21"/>
      <c r="O308" s="21"/>
      <c r="P308" s="21" t="s">
        <v>31</v>
      </c>
      <c r="Q308" s="9" t="s">
        <v>32</v>
      </c>
      <c r="R308" s="18" t="s">
        <v>43</v>
      </c>
      <c r="S308" s="25" t="s">
        <v>2709</v>
      </c>
      <c r="T308" s="27">
        <v>37748</v>
      </c>
      <c r="U308" s="25" t="s">
        <v>2711</v>
      </c>
      <c r="V308" s="25" t="s">
        <v>80</v>
      </c>
      <c r="W308" s="25"/>
    </row>
    <row r="309" spans="1:23" ht="22.5" customHeight="1">
      <c r="A309" s="20">
        <v>46081.903368055559</v>
      </c>
      <c r="B309" s="21" t="s">
        <v>2712</v>
      </c>
      <c r="C309" s="38"/>
      <c r="D309" s="21" t="s">
        <v>24</v>
      </c>
      <c r="E309" s="22">
        <v>37171</v>
      </c>
      <c r="F309" s="21" t="s">
        <v>2713</v>
      </c>
      <c r="G309" s="21" t="s">
        <v>2714</v>
      </c>
      <c r="H309" s="21" t="s">
        <v>368</v>
      </c>
      <c r="I309" s="6" t="str">
        <f>VLOOKUP(CLEAN(F309),'World Bank Categories'!$B$4:$C$220,2,FALSE)</f>
        <v>High income</v>
      </c>
      <c r="J309" s="21" t="s">
        <v>2715</v>
      </c>
      <c r="K309" s="21" t="s">
        <v>29</v>
      </c>
      <c r="L309" s="21" t="s">
        <v>30</v>
      </c>
      <c r="M309" s="21" t="s">
        <v>2716</v>
      </c>
      <c r="N309" s="21"/>
      <c r="O309" s="21"/>
      <c r="P309" s="21" t="s">
        <v>31</v>
      </c>
      <c r="Q309" s="9" t="s">
        <v>32</v>
      </c>
      <c r="R309" s="10" t="s">
        <v>43</v>
      </c>
      <c r="S309" s="25" t="s">
        <v>2712</v>
      </c>
      <c r="T309" s="27">
        <v>37171</v>
      </c>
      <c r="U309" s="25" t="s">
        <v>2715</v>
      </c>
      <c r="V309" s="25" t="s">
        <v>80</v>
      </c>
      <c r="W309" s="25"/>
    </row>
    <row r="310" spans="1:23" ht="22.5" customHeight="1">
      <c r="A310" s="20">
        <v>46082.065625000003</v>
      </c>
      <c r="B310" s="21" t="s">
        <v>2717</v>
      </c>
      <c r="C310" s="21" t="s">
        <v>2717</v>
      </c>
      <c r="D310" s="21" t="s">
        <v>24</v>
      </c>
      <c r="E310" s="22">
        <v>34422</v>
      </c>
      <c r="F310" s="21" t="s">
        <v>416</v>
      </c>
      <c r="G310" s="21" t="s">
        <v>417</v>
      </c>
      <c r="H310" s="21" t="s">
        <v>111</v>
      </c>
      <c r="I310" s="6" t="str">
        <f>VLOOKUP(CLEAN(F310),'World Bank Categories'!$B$4:$C$220,2,FALSE)</f>
        <v>Middle income</v>
      </c>
      <c r="J310" s="21" t="s">
        <v>2718</v>
      </c>
      <c r="K310" s="21" t="s">
        <v>29</v>
      </c>
      <c r="L310" s="21" t="s">
        <v>30</v>
      </c>
      <c r="M310" s="21"/>
      <c r="N310" s="21"/>
      <c r="O310" s="21"/>
      <c r="P310" s="21" t="s">
        <v>31</v>
      </c>
      <c r="Q310" s="9" t="s">
        <v>32</v>
      </c>
      <c r="R310" s="18" t="s">
        <v>33</v>
      </c>
      <c r="S310" s="25" t="s">
        <v>2717</v>
      </c>
      <c r="T310" s="27">
        <v>34422</v>
      </c>
      <c r="U310" s="25" t="s">
        <v>2718</v>
      </c>
      <c r="V310" s="25" t="s">
        <v>80</v>
      </c>
      <c r="W310" s="25"/>
    </row>
    <row r="311" spans="1:23" ht="22.5" customHeight="1">
      <c r="A311" s="46">
        <v>46082.537951388891</v>
      </c>
      <c r="B311" s="47" t="s">
        <v>2719</v>
      </c>
      <c r="C311" s="48"/>
      <c r="D311" s="47" t="s">
        <v>24</v>
      </c>
      <c r="E311" s="49">
        <v>29158</v>
      </c>
      <c r="F311" s="47" t="s">
        <v>2720</v>
      </c>
      <c r="G311" s="47" t="s">
        <v>2721</v>
      </c>
      <c r="H311" s="47" t="s">
        <v>2722</v>
      </c>
      <c r="I311" s="6" t="str">
        <f>VLOOKUP(CLEAN(F311),'World Bank Categories'!$B$4:$C$220,2,FALSE)</f>
        <v>Middle income</v>
      </c>
      <c r="J311" s="47" t="s">
        <v>2723</v>
      </c>
      <c r="K311" s="47" t="s">
        <v>39</v>
      </c>
      <c r="L311" s="47" t="s">
        <v>1991</v>
      </c>
      <c r="M311" s="47"/>
      <c r="N311" s="47"/>
      <c r="O311" s="47"/>
      <c r="P311" s="47" t="s">
        <v>31</v>
      </c>
      <c r="Q311" s="9" t="s">
        <v>32</v>
      </c>
      <c r="R311" s="10" t="s">
        <v>33</v>
      </c>
      <c r="S311" s="25" t="s">
        <v>2724</v>
      </c>
      <c r="T311" s="27">
        <v>29158</v>
      </c>
      <c r="U311" s="25" t="s">
        <v>2725</v>
      </c>
      <c r="V311" s="25" t="s">
        <v>154</v>
      </c>
      <c r="W311" s="25"/>
    </row>
    <row r="312" spans="1:23" ht="22.5" customHeight="1">
      <c r="A312" s="20">
        <v>46082.558865740742</v>
      </c>
      <c r="B312" s="21" t="s">
        <v>2726</v>
      </c>
      <c r="C312" s="21" t="s">
        <v>2727</v>
      </c>
      <c r="D312" s="21" t="s">
        <v>24</v>
      </c>
      <c r="E312" s="22">
        <v>38621</v>
      </c>
      <c r="F312" s="21" t="s">
        <v>1053</v>
      </c>
      <c r="G312" s="21" t="s">
        <v>2728</v>
      </c>
      <c r="H312" s="21" t="s">
        <v>66</v>
      </c>
      <c r="I312" s="6" t="str">
        <f>VLOOKUP(CLEAN(F312),'World Bank Categories'!$B$4:$C$220,2,FALSE)</f>
        <v>High income</v>
      </c>
      <c r="J312" s="21" t="s">
        <v>2729</v>
      </c>
      <c r="K312" s="21" t="s">
        <v>39</v>
      </c>
      <c r="L312" s="21" t="s">
        <v>621</v>
      </c>
      <c r="M312" s="21"/>
      <c r="N312" s="21"/>
      <c r="O312" s="21"/>
      <c r="P312" s="21" t="s">
        <v>31</v>
      </c>
      <c r="Q312" s="9" t="s">
        <v>32</v>
      </c>
      <c r="R312" s="18" t="s">
        <v>43</v>
      </c>
      <c r="S312" s="25" t="s">
        <v>2730</v>
      </c>
      <c r="T312" s="27">
        <v>38621</v>
      </c>
      <c r="U312" s="25" t="s">
        <v>2731</v>
      </c>
      <c r="V312" s="25" t="s">
        <v>101</v>
      </c>
      <c r="W312" s="25"/>
    </row>
    <row r="313" spans="1:23" ht="22.5" customHeight="1">
      <c r="A313" s="50">
        <v>46082.645868055559</v>
      </c>
      <c r="B313" s="51" t="s">
        <v>2732</v>
      </c>
      <c r="C313" s="52"/>
      <c r="D313" s="51" t="s">
        <v>24</v>
      </c>
      <c r="E313" s="53">
        <v>29018</v>
      </c>
      <c r="F313" s="51" t="s">
        <v>380</v>
      </c>
      <c r="G313" s="51" t="s">
        <v>2733</v>
      </c>
      <c r="H313" s="51" t="s">
        <v>2734</v>
      </c>
      <c r="I313" s="6" t="str">
        <f>VLOOKUP(CLEAN(F313),'World Bank Categories'!$B$4:$C$220,2,FALSE)</f>
        <v>Low income</v>
      </c>
      <c r="J313" s="51" t="s">
        <v>2735</v>
      </c>
      <c r="K313" s="51" t="s">
        <v>29</v>
      </c>
      <c r="L313" s="51" t="s">
        <v>30</v>
      </c>
      <c r="M313" s="51"/>
      <c r="N313" s="51"/>
      <c r="O313" s="51"/>
      <c r="P313" s="51" t="s">
        <v>31</v>
      </c>
      <c r="Q313" s="9" t="s">
        <v>32</v>
      </c>
      <c r="R313" s="10" t="s">
        <v>33</v>
      </c>
      <c r="S313" s="25" t="s">
        <v>2736</v>
      </c>
      <c r="T313" s="27">
        <v>29018</v>
      </c>
      <c r="U313" s="25" t="s">
        <v>2735</v>
      </c>
      <c r="V313" s="25" t="s">
        <v>154</v>
      </c>
      <c r="W313" s="25"/>
    </row>
    <row r="314" spans="1:23" ht="22.5" customHeight="1">
      <c r="A314" s="20">
        <v>46082.772592592592</v>
      </c>
      <c r="B314" s="21" t="s">
        <v>2737</v>
      </c>
      <c r="C314" s="38"/>
      <c r="D314" s="21" t="s">
        <v>45</v>
      </c>
      <c r="E314" s="22">
        <v>37058</v>
      </c>
      <c r="F314" s="21" t="s">
        <v>2738</v>
      </c>
      <c r="G314" s="21" t="s">
        <v>2739</v>
      </c>
      <c r="H314" s="21" t="s">
        <v>2740</v>
      </c>
      <c r="I314" s="6" t="str">
        <f>VLOOKUP(CLEAN(F314),'World Bank Categories'!$B$4:$C$220,2,FALSE)</f>
        <v>High income</v>
      </c>
      <c r="J314" s="21" t="s">
        <v>2741</v>
      </c>
      <c r="K314" s="21" t="s">
        <v>29</v>
      </c>
      <c r="L314" s="21" t="s">
        <v>30</v>
      </c>
      <c r="M314" s="21"/>
      <c r="N314" s="21"/>
      <c r="O314" s="21"/>
      <c r="P314" s="21" t="s">
        <v>31</v>
      </c>
      <c r="Q314" s="9" t="s">
        <v>32</v>
      </c>
      <c r="R314" s="18" t="s">
        <v>33</v>
      </c>
      <c r="S314" s="25" t="s">
        <v>2737</v>
      </c>
      <c r="T314" s="27">
        <v>37058</v>
      </c>
      <c r="U314" s="25" t="s">
        <v>2741</v>
      </c>
      <c r="V314" s="25" t="s">
        <v>80</v>
      </c>
      <c r="W314" s="25"/>
    </row>
    <row r="315" spans="1:23" ht="22.5" customHeight="1">
      <c r="A315" s="28">
        <v>46082.823206018518</v>
      </c>
      <c r="B315" s="29" t="s">
        <v>2742</v>
      </c>
      <c r="C315" s="45"/>
      <c r="D315" s="29" t="s">
        <v>24</v>
      </c>
      <c r="E315" s="30">
        <v>31078</v>
      </c>
      <c r="F315" s="29" t="s">
        <v>380</v>
      </c>
      <c r="G315" s="29" t="s">
        <v>2743</v>
      </c>
      <c r="H315" s="29" t="s">
        <v>72</v>
      </c>
      <c r="I315" s="6" t="str">
        <f>VLOOKUP(CLEAN(F315),'World Bank Categories'!$B$4:$C$220,2,FALSE)</f>
        <v>Low income</v>
      </c>
      <c r="J315" s="29" t="s">
        <v>2744</v>
      </c>
      <c r="K315" s="29" t="s">
        <v>29</v>
      </c>
      <c r="L315" s="29" t="s">
        <v>30</v>
      </c>
      <c r="M315" s="29"/>
      <c r="N315" s="29"/>
      <c r="O315" s="29"/>
      <c r="P315" s="29" t="s">
        <v>31</v>
      </c>
      <c r="Q315" s="9" t="s">
        <v>32</v>
      </c>
      <c r="R315" s="10" t="s">
        <v>33</v>
      </c>
      <c r="S315" s="25" t="s">
        <v>2745</v>
      </c>
      <c r="T315" s="27">
        <v>31078</v>
      </c>
      <c r="U315" s="25" t="s">
        <v>2744</v>
      </c>
      <c r="V315" s="25" t="s">
        <v>80</v>
      </c>
      <c r="W315" s="25"/>
    </row>
    <row r="316" spans="1:23" ht="22.5" customHeight="1">
      <c r="A316" s="20">
        <v>46082.846666666665</v>
      </c>
      <c r="B316" s="21" t="s">
        <v>2746</v>
      </c>
      <c r="C316" s="38"/>
      <c r="D316" s="21" t="s">
        <v>24</v>
      </c>
      <c r="E316" s="57">
        <v>32331</v>
      </c>
      <c r="F316" s="21" t="s">
        <v>1277</v>
      </c>
      <c r="G316" s="21" t="s">
        <v>1278</v>
      </c>
      <c r="H316" s="21" t="s">
        <v>98</v>
      </c>
      <c r="I316" s="6" t="str">
        <f>VLOOKUP(CLEAN(F316),'World Bank Categories'!$B$4:$C$220,2,FALSE)</f>
        <v>Middle income</v>
      </c>
      <c r="J316" s="21" t="s">
        <v>2747</v>
      </c>
      <c r="K316" s="21" t="s">
        <v>39</v>
      </c>
      <c r="L316" s="21" t="s">
        <v>30</v>
      </c>
      <c r="M316" s="21"/>
      <c r="N316" s="21"/>
      <c r="O316" s="21"/>
      <c r="P316" s="21" t="s">
        <v>31</v>
      </c>
      <c r="Q316" s="9" t="s">
        <v>32</v>
      </c>
      <c r="R316" s="18" t="s">
        <v>33</v>
      </c>
      <c r="S316" s="25" t="s">
        <v>2746</v>
      </c>
      <c r="T316" s="27">
        <v>32331</v>
      </c>
      <c r="U316" s="25" t="s">
        <v>2747</v>
      </c>
      <c r="V316" s="25" t="s">
        <v>80</v>
      </c>
      <c r="W316" s="25"/>
    </row>
    <row r="317" spans="1:23" ht="22.5" customHeight="1">
      <c r="A317" s="20">
        <v>46082.891967592594</v>
      </c>
      <c r="B317" s="21" t="s">
        <v>2748</v>
      </c>
      <c r="C317" s="21" t="s">
        <v>2749</v>
      </c>
      <c r="D317" s="21" t="s">
        <v>24</v>
      </c>
      <c r="E317" s="22">
        <v>37373</v>
      </c>
      <c r="F317" s="21" t="s">
        <v>332</v>
      </c>
      <c r="G317" s="21" t="s">
        <v>2750</v>
      </c>
      <c r="H317" s="21" t="s">
        <v>66</v>
      </c>
      <c r="I317" s="6" t="str">
        <f>VLOOKUP(CLEAN(F317),'World Bank Categories'!$B$4:$C$220,2,FALSE)</f>
        <v>High income</v>
      </c>
      <c r="J317" s="21" t="s">
        <v>2751</v>
      </c>
      <c r="K317" s="21" t="s">
        <v>39</v>
      </c>
      <c r="L317" s="21" t="s">
        <v>162</v>
      </c>
      <c r="M317" s="21"/>
      <c r="N317" s="21"/>
      <c r="O317" s="21"/>
      <c r="P317" s="21" t="s">
        <v>31</v>
      </c>
      <c r="Q317" s="9" t="s">
        <v>32</v>
      </c>
      <c r="R317" s="10" t="s">
        <v>43</v>
      </c>
      <c r="S317" s="25" t="s">
        <v>2748</v>
      </c>
      <c r="T317" s="27">
        <v>37373</v>
      </c>
      <c r="U317" s="25" t="s">
        <v>2751</v>
      </c>
      <c r="V317" s="25" t="s">
        <v>80</v>
      </c>
      <c r="W317" s="25"/>
    </row>
    <row r="318" spans="1:23" ht="22.5" customHeight="1">
      <c r="A318" s="20">
        <v>46082.918946759259</v>
      </c>
      <c r="B318" s="21" t="s">
        <v>2752</v>
      </c>
      <c r="C318" s="21" t="s">
        <v>2753</v>
      </c>
      <c r="D318" s="21" t="s">
        <v>24</v>
      </c>
      <c r="E318" s="22">
        <v>38572</v>
      </c>
      <c r="F318" s="21" t="s">
        <v>1053</v>
      </c>
      <c r="G318" s="21" t="s">
        <v>2754</v>
      </c>
      <c r="H318" s="21" t="s">
        <v>66</v>
      </c>
      <c r="I318" s="6" t="str">
        <f>VLOOKUP(CLEAN(F318),'World Bank Categories'!$B$4:$C$220,2,FALSE)</f>
        <v>High income</v>
      </c>
      <c r="J318" s="21" t="s">
        <v>2755</v>
      </c>
      <c r="K318" s="21" t="s">
        <v>29</v>
      </c>
      <c r="L318" s="21" t="s">
        <v>30</v>
      </c>
      <c r="M318" s="41"/>
      <c r="N318" s="21"/>
      <c r="O318" s="21"/>
      <c r="P318" s="21" t="s">
        <v>31</v>
      </c>
      <c r="Q318" s="9" t="s">
        <v>32</v>
      </c>
      <c r="R318" s="18" t="s">
        <v>43</v>
      </c>
      <c r="S318" s="25" t="s">
        <v>2756</v>
      </c>
      <c r="T318" s="27">
        <v>38572</v>
      </c>
      <c r="U318" s="25" t="s">
        <v>2755</v>
      </c>
      <c r="V318" s="25" t="s">
        <v>463</v>
      </c>
      <c r="W318" s="25"/>
    </row>
    <row r="319" spans="1:23" ht="22.5" customHeight="1">
      <c r="A319" s="20">
        <v>46082.927511574075</v>
      </c>
      <c r="B319" s="21" t="s">
        <v>2757</v>
      </c>
      <c r="C319" s="38"/>
      <c r="D319" s="21" t="s">
        <v>24</v>
      </c>
      <c r="E319" s="22">
        <v>34892</v>
      </c>
      <c r="F319" s="21" t="s">
        <v>2378</v>
      </c>
      <c r="G319" s="21" t="s">
        <v>2758</v>
      </c>
      <c r="H319" s="21" t="s">
        <v>2759</v>
      </c>
      <c r="I319" s="6" t="str">
        <f>VLOOKUP(CLEAN(F319),'World Bank Categories'!$B$4:$C$220,2,FALSE)</f>
        <v>Middle income</v>
      </c>
      <c r="J319" s="21" t="s">
        <v>2760</v>
      </c>
      <c r="K319" s="21" t="s">
        <v>39</v>
      </c>
      <c r="L319" s="21" t="s">
        <v>621</v>
      </c>
      <c r="M319" s="21" t="s">
        <v>2761</v>
      </c>
      <c r="N319" s="21"/>
      <c r="O319" s="21"/>
      <c r="P319" s="21" t="s">
        <v>31</v>
      </c>
      <c r="Q319" s="9" t="s">
        <v>32</v>
      </c>
      <c r="R319" s="10" t="s">
        <v>33</v>
      </c>
      <c r="S319" s="25" t="s">
        <v>2762</v>
      </c>
      <c r="T319" s="27">
        <v>34892</v>
      </c>
      <c r="U319" s="25" t="s">
        <v>2763</v>
      </c>
      <c r="V319" s="25" t="s">
        <v>80</v>
      </c>
      <c r="W319" s="25"/>
    </row>
    <row r="320" spans="1:23" ht="22.5" customHeight="1">
      <c r="A320" s="20">
        <v>46082.942025462966</v>
      </c>
      <c r="B320" s="21" t="s">
        <v>2764</v>
      </c>
      <c r="C320" s="38"/>
      <c r="D320" s="21" t="s">
        <v>45</v>
      </c>
      <c r="E320" s="22">
        <v>34188</v>
      </c>
      <c r="F320" s="21" t="s">
        <v>52</v>
      </c>
      <c r="G320" s="21" t="s">
        <v>209</v>
      </c>
      <c r="H320" s="21" t="s">
        <v>2765</v>
      </c>
      <c r="I320" s="6" t="str">
        <f>VLOOKUP(CLEAN(F320),'World Bank Categories'!$B$4:$C$220,2,FALSE)</f>
        <v>Middle income</v>
      </c>
      <c r="J320" s="21" t="s">
        <v>2766</v>
      </c>
      <c r="K320" s="21" t="s">
        <v>29</v>
      </c>
      <c r="L320" s="21" t="s">
        <v>30</v>
      </c>
      <c r="M320" s="21"/>
      <c r="N320" s="21"/>
      <c r="O320" s="21"/>
      <c r="P320" s="21" t="s">
        <v>31</v>
      </c>
      <c r="Q320" s="9" t="s">
        <v>32</v>
      </c>
      <c r="R320" s="18" t="s">
        <v>33</v>
      </c>
      <c r="S320" s="25" t="s">
        <v>2767</v>
      </c>
      <c r="T320" s="27">
        <v>34188</v>
      </c>
      <c r="U320" s="25" t="s">
        <v>2766</v>
      </c>
      <c r="V320" s="25" t="s">
        <v>154</v>
      </c>
      <c r="W320" s="25"/>
    </row>
    <row r="321" spans="1:23" ht="22.5" customHeight="1">
      <c r="A321" s="20">
        <v>46082.943784722222</v>
      </c>
      <c r="B321" s="21" t="s">
        <v>2768</v>
      </c>
      <c r="C321" s="21" t="s">
        <v>2769</v>
      </c>
      <c r="D321" s="21" t="s">
        <v>45</v>
      </c>
      <c r="E321" s="22">
        <v>20073</v>
      </c>
      <c r="F321" s="21" t="s">
        <v>1745</v>
      </c>
      <c r="G321" s="21" t="s">
        <v>2770</v>
      </c>
      <c r="H321" s="21" t="s">
        <v>1655</v>
      </c>
      <c r="I321" s="6" t="str">
        <f>VLOOKUP(CLEAN(F321),'World Bank Categories'!$B$4:$C$220,2,FALSE)</f>
        <v>High income</v>
      </c>
      <c r="J321" s="21" t="s">
        <v>2771</v>
      </c>
      <c r="K321" s="21" t="s">
        <v>39</v>
      </c>
      <c r="L321" s="21" t="s">
        <v>621</v>
      </c>
      <c r="M321" s="21" t="s">
        <v>2772</v>
      </c>
      <c r="N321" s="21"/>
      <c r="O321" s="21"/>
      <c r="P321" s="21" t="s">
        <v>31</v>
      </c>
      <c r="Q321" s="9" t="s">
        <v>32</v>
      </c>
      <c r="R321" s="10" t="s">
        <v>43</v>
      </c>
      <c r="S321" s="25" t="s">
        <v>2773</v>
      </c>
      <c r="T321" s="27">
        <v>20073</v>
      </c>
      <c r="U321" s="25" t="s">
        <v>2774</v>
      </c>
      <c r="V321" s="25" t="s">
        <v>129</v>
      </c>
      <c r="W321" s="25"/>
    </row>
    <row r="322" spans="1:23" ht="22.5" customHeight="1">
      <c r="A322" s="20">
        <v>46083.003923611112</v>
      </c>
      <c r="B322" s="21" t="s">
        <v>2775</v>
      </c>
      <c r="C322" s="21" t="s">
        <v>2776</v>
      </c>
      <c r="D322" s="21" t="s">
        <v>24</v>
      </c>
      <c r="E322" s="22">
        <v>21255</v>
      </c>
      <c r="F322" s="21" t="s">
        <v>2777</v>
      </c>
      <c r="G322" s="21" t="s">
        <v>2770</v>
      </c>
      <c r="H322" s="21" t="s">
        <v>2778</v>
      </c>
      <c r="I322" s="6" t="str">
        <f>VLOOKUP(CLEAN(F322),'World Bank Categories'!$B$4:$C$220,2,FALSE)</f>
        <v>High income</v>
      </c>
      <c r="J322" s="21" t="s">
        <v>2779</v>
      </c>
      <c r="K322" s="21" t="s">
        <v>39</v>
      </c>
      <c r="L322" s="21" t="s">
        <v>621</v>
      </c>
      <c r="M322" s="21" t="s">
        <v>2780</v>
      </c>
      <c r="N322" s="21"/>
      <c r="O322" s="21"/>
      <c r="P322" s="21" t="s">
        <v>31</v>
      </c>
      <c r="Q322" s="9" t="s">
        <v>32</v>
      </c>
      <c r="R322" s="18" t="s">
        <v>43</v>
      </c>
      <c r="S322" s="25" t="s">
        <v>2781</v>
      </c>
      <c r="T322" s="27">
        <v>21255</v>
      </c>
      <c r="U322" s="25" t="s">
        <v>2774</v>
      </c>
      <c r="V322" s="25" t="s">
        <v>129</v>
      </c>
      <c r="W322" s="25"/>
    </row>
    <row r="323" spans="1:23" ht="22.5" customHeight="1">
      <c r="A323" s="20">
        <v>46083.169641203705</v>
      </c>
      <c r="B323" s="21" t="s">
        <v>2782</v>
      </c>
      <c r="C323" s="38"/>
      <c r="D323" s="21" t="s">
        <v>24</v>
      </c>
      <c r="E323" s="22">
        <v>27382</v>
      </c>
      <c r="F323" s="21" t="s">
        <v>416</v>
      </c>
      <c r="G323" s="21" t="s">
        <v>2783</v>
      </c>
      <c r="H323" s="21" t="s">
        <v>2784</v>
      </c>
      <c r="I323" s="6" t="str">
        <f>VLOOKUP(CLEAN(F323),'World Bank Categories'!$B$4:$C$220,2,FALSE)</f>
        <v>Middle income</v>
      </c>
      <c r="J323" s="21" t="s">
        <v>2785</v>
      </c>
      <c r="K323" s="21" t="s">
        <v>39</v>
      </c>
      <c r="L323" s="21" t="s">
        <v>30</v>
      </c>
      <c r="M323" s="21"/>
      <c r="N323" s="21"/>
      <c r="O323" s="21"/>
      <c r="P323" s="21" t="s">
        <v>31</v>
      </c>
      <c r="Q323" s="9" t="s">
        <v>32</v>
      </c>
      <c r="R323" s="10" t="s">
        <v>43</v>
      </c>
      <c r="S323" s="25" t="s">
        <v>2786</v>
      </c>
      <c r="T323" s="27">
        <v>27382</v>
      </c>
      <c r="U323" s="25" t="s">
        <v>2785</v>
      </c>
      <c r="V323" s="25" t="s">
        <v>154</v>
      </c>
      <c r="W323" s="25"/>
    </row>
    <row r="324" spans="1:23" ht="22.5" customHeight="1">
      <c r="A324" s="46">
        <v>46083.199374999997</v>
      </c>
      <c r="B324" s="47" t="s">
        <v>2787</v>
      </c>
      <c r="C324" s="47" t="s">
        <v>2788</v>
      </c>
      <c r="D324" s="47" t="s">
        <v>45</v>
      </c>
      <c r="E324" s="49">
        <v>28232</v>
      </c>
      <c r="F324" s="47" t="s">
        <v>380</v>
      </c>
      <c r="G324" s="47" t="s">
        <v>2789</v>
      </c>
      <c r="H324" s="47" t="s">
        <v>2790</v>
      </c>
      <c r="I324" s="6" t="str">
        <f>VLOOKUP(CLEAN(F324),'World Bank Categories'!$B$4:$C$220,2,FALSE)</f>
        <v>Low income</v>
      </c>
      <c r="J324" s="47" t="s">
        <v>2791</v>
      </c>
      <c r="K324" s="47" t="s">
        <v>29</v>
      </c>
      <c r="L324" s="47" t="s">
        <v>241</v>
      </c>
      <c r="M324" s="47"/>
      <c r="N324" s="47"/>
      <c r="O324" s="47"/>
      <c r="P324" s="47" t="s">
        <v>31</v>
      </c>
      <c r="Q324" s="9" t="s">
        <v>32</v>
      </c>
      <c r="R324" s="18" t="s">
        <v>33</v>
      </c>
      <c r="S324" s="25" t="s">
        <v>2792</v>
      </c>
      <c r="T324" s="27">
        <v>28232</v>
      </c>
      <c r="U324" s="25" t="s">
        <v>2791</v>
      </c>
      <c r="V324" s="25" t="s">
        <v>316</v>
      </c>
      <c r="W324" s="25"/>
    </row>
    <row r="325" spans="1:23" ht="22.5" customHeight="1">
      <c r="A325" s="20">
        <v>46083.303900462961</v>
      </c>
      <c r="B325" s="21" t="s">
        <v>2793</v>
      </c>
      <c r="C325" s="38"/>
      <c r="D325" s="21" t="s">
        <v>45</v>
      </c>
      <c r="E325" s="22">
        <v>28061</v>
      </c>
      <c r="F325" s="21" t="s">
        <v>35</v>
      </c>
      <c r="G325" s="21" t="s">
        <v>2794</v>
      </c>
      <c r="H325" s="21" t="s">
        <v>2795</v>
      </c>
      <c r="I325" s="6" t="str">
        <f>VLOOKUP(CLEAN(F325),'World Bank Categories'!$B$4:$C$220,2,FALSE)</f>
        <v>Middle income</v>
      </c>
      <c r="J325" s="21" t="s">
        <v>2796</v>
      </c>
      <c r="K325" s="21" t="s">
        <v>39</v>
      </c>
      <c r="L325" s="21" t="s">
        <v>30</v>
      </c>
      <c r="M325" s="21"/>
      <c r="N325" s="21"/>
      <c r="O325" s="21"/>
      <c r="P325" s="21" t="s">
        <v>31</v>
      </c>
      <c r="Q325" s="9" t="s">
        <v>32</v>
      </c>
      <c r="R325" s="18" t="s">
        <v>33</v>
      </c>
      <c r="S325" s="25" t="s">
        <v>2793</v>
      </c>
      <c r="T325" s="27">
        <v>28061</v>
      </c>
      <c r="U325" s="25" t="s">
        <v>2796</v>
      </c>
      <c r="V325" s="25" t="s">
        <v>80</v>
      </c>
      <c r="W325" s="25"/>
    </row>
    <row r="326" spans="1:23" ht="22.5" customHeight="1">
      <c r="A326" s="28">
        <v>46083.525185185186</v>
      </c>
      <c r="B326" s="29" t="s">
        <v>2797</v>
      </c>
      <c r="C326" s="29" t="s">
        <v>2798</v>
      </c>
      <c r="D326" s="29" t="s">
        <v>45</v>
      </c>
      <c r="E326" s="30">
        <v>24860</v>
      </c>
      <c r="F326" s="29" t="s">
        <v>1932</v>
      </c>
      <c r="G326" s="29" t="s">
        <v>2799</v>
      </c>
      <c r="H326" s="29" t="s">
        <v>276</v>
      </c>
      <c r="I326" s="6" t="str">
        <f>VLOOKUP(CLEAN(F326),'World Bank Categories'!$B$4:$C$220,2,FALSE)</f>
        <v>Middle income</v>
      </c>
      <c r="J326" s="29" t="s">
        <v>2800</v>
      </c>
      <c r="K326" s="29" t="s">
        <v>29</v>
      </c>
      <c r="L326" s="29" t="s">
        <v>30</v>
      </c>
      <c r="M326" s="62"/>
      <c r="N326" s="29"/>
      <c r="O326" s="29"/>
      <c r="P326" s="29" t="s">
        <v>31</v>
      </c>
      <c r="Q326" s="9" t="s">
        <v>32</v>
      </c>
      <c r="R326" s="10" t="s">
        <v>33</v>
      </c>
      <c r="S326" s="25" t="s">
        <v>2801</v>
      </c>
      <c r="T326" s="27">
        <v>24860</v>
      </c>
      <c r="U326" s="25" t="s">
        <v>2802</v>
      </c>
      <c r="V326" s="25" t="s">
        <v>154</v>
      </c>
      <c r="W326" s="25"/>
    </row>
    <row r="327" spans="1:23" ht="22.5" customHeight="1">
      <c r="A327" s="64">
        <v>46083.629594907405</v>
      </c>
      <c r="B327" s="65" t="s">
        <v>2803</v>
      </c>
      <c r="C327" s="66"/>
      <c r="D327" s="65" t="s">
        <v>24</v>
      </c>
      <c r="E327" s="67">
        <v>29258</v>
      </c>
      <c r="F327" s="65" t="s">
        <v>245</v>
      </c>
      <c r="G327" s="65" t="s">
        <v>2804</v>
      </c>
      <c r="H327" s="65" t="s">
        <v>933</v>
      </c>
      <c r="I327" s="6" t="str">
        <f>VLOOKUP(CLEAN(F327),'World Bank Categories'!$B$4:$C$220,2,FALSE)</f>
        <v>Middle income</v>
      </c>
      <c r="J327" s="65" t="s">
        <v>2805</v>
      </c>
      <c r="K327" s="65" t="s">
        <v>29</v>
      </c>
      <c r="L327" s="65" t="s">
        <v>162</v>
      </c>
      <c r="M327" s="65"/>
      <c r="N327" s="65"/>
      <c r="O327" s="65"/>
      <c r="P327" s="65" t="s">
        <v>31</v>
      </c>
      <c r="Q327" s="68" t="s">
        <v>32</v>
      </c>
      <c r="R327" s="18" t="s">
        <v>33</v>
      </c>
      <c r="S327" s="69" t="s">
        <v>2806</v>
      </c>
      <c r="T327" s="27">
        <v>29258</v>
      </c>
      <c r="U327" s="25" t="s">
        <v>2807</v>
      </c>
      <c r="V327" s="25" t="s">
        <v>80</v>
      </c>
      <c r="W327" s="25"/>
    </row>
    <row r="328" spans="1:23" ht="22.5" customHeight="1">
      <c r="A328" s="70">
        <v>46083.690393518518</v>
      </c>
      <c r="B328" s="71" t="s">
        <v>2808</v>
      </c>
      <c r="C328" s="72"/>
      <c r="D328" s="71" t="s">
        <v>45</v>
      </c>
      <c r="E328" s="73">
        <v>36377</v>
      </c>
      <c r="F328" s="71" t="s">
        <v>2529</v>
      </c>
      <c r="G328" s="71" t="s">
        <v>2809</v>
      </c>
      <c r="H328" s="71" t="s">
        <v>2810</v>
      </c>
      <c r="I328" s="6" t="str">
        <f>VLOOKUP(CLEAN(F328),'World Bank Categories'!$B$4:$C$220,2,FALSE)</f>
        <v>Middle income</v>
      </c>
      <c r="J328" s="71" t="s">
        <v>2811</v>
      </c>
      <c r="K328" s="71" t="s">
        <v>29</v>
      </c>
      <c r="L328" s="71" t="s">
        <v>30</v>
      </c>
      <c r="M328" s="71"/>
      <c r="N328" s="71"/>
      <c r="O328" s="71"/>
      <c r="P328" s="71" t="s">
        <v>31</v>
      </c>
      <c r="Q328" s="68" t="s">
        <v>32</v>
      </c>
      <c r="R328" s="10" t="s">
        <v>33</v>
      </c>
      <c r="S328" s="74" t="s">
        <v>2808</v>
      </c>
      <c r="T328" s="27">
        <v>36377</v>
      </c>
      <c r="U328" s="25" t="s">
        <v>2811</v>
      </c>
      <c r="V328" s="25" t="s">
        <v>80</v>
      </c>
      <c r="W328" s="25"/>
    </row>
    <row r="329" spans="1:23" ht="22.5" customHeight="1">
      <c r="A329" s="75">
        <v>46083.699548611112</v>
      </c>
      <c r="B329" s="76" t="s">
        <v>2812</v>
      </c>
      <c r="C329" s="77"/>
      <c r="D329" s="76" t="s">
        <v>24</v>
      </c>
      <c r="E329" s="78">
        <v>20765</v>
      </c>
      <c r="F329" s="76" t="s">
        <v>2556</v>
      </c>
      <c r="G329" s="76" t="s">
        <v>2813</v>
      </c>
      <c r="H329" s="76" t="s">
        <v>2558</v>
      </c>
      <c r="I329" s="6" t="str">
        <f>VLOOKUP(CLEAN(F329),'World Bank Categories'!$B$4:$C$220,2,FALSE)</f>
        <v>Middle income</v>
      </c>
      <c r="J329" s="76" t="s">
        <v>2814</v>
      </c>
      <c r="K329" s="76" t="s">
        <v>39</v>
      </c>
      <c r="L329" s="76" t="s">
        <v>30</v>
      </c>
      <c r="M329" s="76"/>
      <c r="N329" s="76"/>
      <c r="O329" s="76"/>
      <c r="P329" s="76" t="s">
        <v>31</v>
      </c>
      <c r="Q329" s="68" t="s">
        <v>32</v>
      </c>
      <c r="R329" s="18" t="s">
        <v>33</v>
      </c>
      <c r="S329" s="69" t="s">
        <v>2812</v>
      </c>
      <c r="T329" s="27">
        <v>20765</v>
      </c>
      <c r="U329" s="25" t="s">
        <v>2815</v>
      </c>
      <c r="V329" s="25" t="s">
        <v>80</v>
      </c>
      <c r="W329" s="25"/>
    </row>
    <row r="330" spans="1:23" ht="22.5" customHeight="1">
      <c r="A330" s="70">
        <v>46084.088391203702</v>
      </c>
      <c r="B330" s="71" t="s">
        <v>2822</v>
      </c>
      <c r="C330" s="71" t="s">
        <v>2822</v>
      </c>
      <c r="D330" s="71" t="s">
        <v>24</v>
      </c>
      <c r="E330" s="73">
        <v>37798</v>
      </c>
      <c r="F330" s="71" t="s">
        <v>83</v>
      </c>
      <c r="G330" s="71" t="s">
        <v>2823</v>
      </c>
      <c r="H330" s="71" t="s">
        <v>66</v>
      </c>
      <c r="I330" s="6" t="str">
        <f>VLOOKUP(CLEAN(F330),'World Bank Categories'!$B$4:$C$220,2,FALSE)</f>
        <v>Low income</v>
      </c>
      <c r="J330" s="71" t="s">
        <v>2824</v>
      </c>
      <c r="K330" s="71" t="s">
        <v>29</v>
      </c>
      <c r="L330" s="71" t="s">
        <v>30</v>
      </c>
      <c r="M330" s="71"/>
      <c r="N330" s="71"/>
      <c r="O330" s="71"/>
      <c r="P330" s="71" t="s">
        <v>31</v>
      </c>
      <c r="Q330" s="68" t="s">
        <v>32</v>
      </c>
      <c r="R330" s="18" t="s">
        <v>33</v>
      </c>
      <c r="S330" s="74" t="s">
        <v>2822</v>
      </c>
      <c r="T330" s="27">
        <v>37798</v>
      </c>
      <c r="U330" s="25" t="s">
        <v>2824</v>
      </c>
      <c r="V330" s="25" t="s">
        <v>80</v>
      </c>
      <c r="W330" s="25"/>
    </row>
    <row r="331" spans="1:23" ht="22.5" customHeight="1">
      <c r="A331" s="64">
        <v>46084.189768518518</v>
      </c>
      <c r="B331" s="65" t="s">
        <v>2825</v>
      </c>
      <c r="C331" s="66"/>
      <c r="D331" s="65" t="s">
        <v>45</v>
      </c>
      <c r="E331" s="67">
        <v>31765</v>
      </c>
      <c r="F331" s="65" t="s">
        <v>2596</v>
      </c>
      <c r="G331" s="65" t="s">
        <v>2826</v>
      </c>
      <c r="H331" s="65" t="s">
        <v>2827</v>
      </c>
      <c r="I331" s="6" t="str">
        <f>VLOOKUP(CLEAN(F331),'World Bank Categories'!$B$4:$C$220,2,FALSE)</f>
        <v>Middle income</v>
      </c>
      <c r="J331" s="65" t="s">
        <v>2828</v>
      </c>
      <c r="K331" s="65" t="s">
        <v>39</v>
      </c>
      <c r="L331" s="65" t="s">
        <v>152</v>
      </c>
      <c r="M331" s="65"/>
      <c r="N331" s="65"/>
      <c r="O331" s="65"/>
      <c r="P331" s="65" t="s">
        <v>31</v>
      </c>
      <c r="Q331" s="68" t="s">
        <v>32</v>
      </c>
      <c r="R331" s="10" t="s">
        <v>33</v>
      </c>
      <c r="S331" s="69" t="s">
        <v>2825</v>
      </c>
      <c r="T331" s="27">
        <v>31765</v>
      </c>
      <c r="U331" s="25" t="s">
        <v>2828</v>
      </c>
      <c r="V331" s="25" t="s">
        <v>80</v>
      </c>
      <c r="W331" s="25"/>
    </row>
    <row r="332" spans="1:23" ht="22.5" customHeight="1">
      <c r="A332" s="64">
        <v>46084.255891203706</v>
      </c>
      <c r="B332" s="65" t="s">
        <v>2829</v>
      </c>
      <c r="C332" s="65" t="s">
        <v>1238</v>
      </c>
      <c r="D332" s="65" t="s">
        <v>24</v>
      </c>
      <c r="E332" s="67">
        <v>22439</v>
      </c>
      <c r="F332" s="65" t="s">
        <v>623</v>
      </c>
      <c r="G332" s="65" t="s">
        <v>2830</v>
      </c>
      <c r="H332" s="65" t="s">
        <v>111</v>
      </c>
      <c r="I332" s="6" t="str">
        <f>VLOOKUP(CLEAN(F332),'World Bank Categories'!$B$4:$C$220,2,FALSE)</f>
        <v>Middle income</v>
      </c>
      <c r="J332" s="65" t="s">
        <v>2831</v>
      </c>
      <c r="K332" s="65" t="s">
        <v>29</v>
      </c>
      <c r="L332" s="65" t="s">
        <v>30</v>
      </c>
      <c r="M332" s="65"/>
      <c r="N332" s="65"/>
      <c r="O332" s="65"/>
      <c r="P332" s="65" t="s">
        <v>31</v>
      </c>
      <c r="Q332" s="68" t="s">
        <v>32</v>
      </c>
      <c r="R332" s="10" t="s">
        <v>33</v>
      </c>
      <c r="S332" s="69" t="s">
        <v>2829</v>
      </c>
      <c r="T332" s="27">
        <v>22439</v>
      </c>
      <c r="U332" s="25" t="s">
        <v>2831</v>
      </c>
      <c r="V332" s="25" t="s">
        <v>80</v>
      </c>
      <c r="W332" s="25"/>
    </row>
    <row r="333" spans="1:23" ht="22.5" customHeight="1">
      <c r="A333" s="70">
        <v>46084.361712962964</v>
      </c>
      <c r="B333" s="71" t="s">
        <v>2832</v>
      </c>
      <c r="C333" s="72"/>
      <c r="D333" s="71" t="s">
        <v>24</v>
      </c>
      <c r="E333" s="73">
        <v>36059</v>
      </c>
      <c r="F333" s="71" t="s">
        <v>310</v>
      </c>
      <c r="G333" s="71" t="s">
        <v>2833</v>
      </c>
      <c r="H333" s="71" t="s">
        <v>2834</v>
      </c>
      <c r="I333" s="6" t="str">
        <f>VLOOKUP(CLEAN(F333),'World Bank Categories'!$B$4:$C$220,2,FALSE)</f>
        <v>High income</v>
      </c>
      <c r="J333" s="71" t="s">
        <v>2835</v>
      </c>
      <c r="K333" s="71" t="s">
        <v>39</v>
      </c>
      <c r="L333" s="71" t="s">
        <v>621</v>
      </c>
      <c r="M333" s="71"/>
      <c r="N333" s="71"/>
      <c r="O333" s="71"/>
      <c r="P333" s="71" t="s">
        <v>31</v>
      </c>
      <c r="Q333" s="68" t="s">
        <v>32</v>
      </c>
      <c r="R333" s="18" t="s">
        <v>33</v>
      </c>
      <c r="S333" s="74" t="s">
        <v>2836</v>
      </c>
      <c r="T333" s="27">
        <v>36059</v>
      </c>
      <c r="U333" s="25" t="s">
        <v>2837</v>
      </c>
      <c r="V333" s="25" t="s">
        <v>463</v>
      </c>
      <c r="W333" s="25"/>
    </row>
    <row r="334" spans="1:23" ht="22.5" customHeight="1">
      <c r="A334" s="75">
        <v>46084.374386574076</v>
      </c>
      <c r="B334" s="76" t="s">
        <v>2838</v>
      </c>
      <c r="C334" s="77"/>
      <c r="D334" s="76" t="s">
        <v>24</v>
      </c>
      <c r="E334" s="78">
        <v>30208</v>
      </c>
      <c r="F334" s="76" t="s">
        <v>245</v>
      </c>
      <c r="G334" s="76" t="s">
        <v>2839</v>
      </c>
      <c r="H334" s="76" t="s">
        <v>2840</v>
      </c>
      <c r="I334" s="6" t="str">
        <f>VLOOKUP(CLEAN(F334),'World Bank Categories'!$B$4:$C$220,2,FALSE)</f>
        <v>Middle income</v>
      </c>
      <c r="J334" s="76" t="s">
        <v>2841</v>
      </c>
      <c r="K334" s="76" t="s">
        <v>29</v>
      </c>
      <c r="L334" s="76" t="s">
        <v>30</v>
      </c>
      <c r="M334" s="76" t="s">
        <v>2842</v>
      </c>
      <c r="N334" s="76"/>
      <c r="O334" s="76"/>
      <c r="P334" s="76" t="s">
        <v>31</v>
      </c>
      <c r="Q334" s="68" t="s">
        <v>32</v>
      </c>
      <c r="R334" s="10" t="s">
        <v>43</v>
      </c>
      <c r="S334" s="69" t="s">
        <v>2838</v>
      </c>
      <c r="T334" s="27">
        <v>30208</v>
      </c>
      <c r="U334" s="25" t="s">
        <v>2841</v>
      </c>
      <c r="V334" s="25" t="s">
        <v>80</v>
      </c>
      <c r="W334" s="25"/>
    </row>
    <row r="335" spans="1:23" ht="22.5" customHeight="1">
      <c r="A335" s="87">
        <v>46084.641041666669</v>
      </c>
      <c r="B335" s="88" t="s">
        <v>2843</v>
      </c>
      <c r="C335" s="89"/>
      <c r="D335" s="88" t="s">
        <v>24</v>
      </c>
      <c r="E335" s="90">
        <v>27375</v>
      </c>
      <c r="F335" s="88" t="s">
        <v>416</v>
      </c>
      <c r="G335" s="88" t="s">
        <v>2844</v>
      </c>
      <c r="H335" s="88" t="s">
        <v>2845</v>
      </c>
      <c r="I335" s="6" t="str">
        <f>VLOOKUP(CLEAN(F335),'World Bank Categories'!$B$4:$C$220,2,FALSE)</f>
        <v>Middle income</v>
      </c>
      <c r="J335" s="88" t="s">
        <v>2846</v>
      </c>
      <c r="K335" s="88" t="s">
        <v>39</v>
      </c>
      <c r="L335" s="88" t="s">
        <v>30</v>
      </c>
      <c r="M335" s="88"/>
      <c r="N335" s="88"/>
      <c r="O335" s="88"/>
      <c r="P335" s="88" t="s">
        <v>31</v>
      </c>
      <c r="Q335" s="91" t="s">
        <v>32</v>
      </c>
      <c r="R335" s="18" t="s">
        <v>33</v>
      </c>
      <c r="S335" s="74" t="s">
        <v>2843</v>
      </c>
      <c r="T335" s="27">
        <v>27375</v>
      </c>
      <c r="U335" s="25" t="s">
        <v>2846</v>
      </c>
      <c r="V335" s="25" t="s">
        <v>80</v>
      </c>
      <c r="W335" s="25"/>
    </row>
    <row r="336" spans="1:23" ht="22.5" customHeight="1">
      <c r="A336" s="93">
        <v>46084.711944444447</v>
      </c>
      <c r="B336" s="94" t="s">
        <v>2856</v>
      </c>
      <c r="C336" s="95"/>
      <c r="D336" s="94" t="s">
        <v>45</v>
      </c>
      <c r="E336" s="96">
        <v>36406</v>
      </c>
      <c r="F336" s="94" t="s">
        <v>475</v>
      </c>
      <c r="G336" s="94" t="s">
        <v>2857</v>
      </c>
      <c r="H336" s="94" t="s">
        <v>90</v>
      </c>
      <c r="I336" s="6" t="str">
        <f>VLOOKUP(CLEAN(F336),'World Bank Categories'!$B$4:$C$220,2,FALSE)</f>
        <v>Middle income</v>
      </c>
      <c r="J336" s="94" t="s">
        <v>2858</v>
      </c>
      <c r="K336" s="94" t="s">
        <v>39</v>
      </c>
      <c r="L336" s="94" t="s">
        <v>30</v>
      </c>
      <c r="M336" s="94"/>
      <c r="N336" s="94"/>
      <c r="O336" s="94"/>
      <c r="P336" s="94" t="s">
        <v>31</v>
      </c>
      <c r="Q336" s="68" t="s">
        <v>32</v>
      </c>
      <c r="R336" s="10" t="s">
        <v>43</v>
      </c>
      <c r="S336" s="69" t="s">
        <v>2856</v>
      </c>
      <c r="T336" s="27">
        <v>36406</v>
      </c>
      <c r="U336" s="25" t="s">
        <v>2858</v>
      </c>
      <c r="V336" s="25" t="s">
        <v>80</v>
      </c>
      <c r="W336" s="25"/>
    </row>
    <row r="337" spans="1:23" ht="22.5" customHeight="1">
      <c r="A337" s="70">
        <v>46084.7733912037</v>
      </c>
      <c r="B337" s="71" t="s">
        <v>2865</v>
      </c>
      <c r="C337" s="72"/>
      <c r="D337" s="71" t="s">
        <v>45</v>
      </c>
      <c r="E337" s="73">
        <v>30301</v>
      </c>
      <c r="F337" s="71" t="s">
        <v>612</v>
      </c>
      <c r="G337" s="71" t="s">
        <v>2866</v>
      </c>
      <c r="H337" s="71" t="s">
        <v>2867</v>
      </c>
      <c r="I337" s="6" t="str">
        <f>VLOOKUP(CLEAN(F337),'World Bank Categories'!$B$4:$C$220,2,FALSE)</f>
        <v>Low income</v>
      </c>
      <c r="J337" s="71" t="s">
        <v>2868</v>
      </c>
      <c r="K337" s="71" t="s">
        <v>29</v>
      </c>
      <c r="L337" s="71" t="s">
        <v>30</v>
      </c>
      <c r="M337" s="71"/>
      <c r="N337" s="71"/>
      <c r="O337" s="71"/>
      <c r="P337" s="71" t="s">
        <v>31</v>
      </c>
      <c r="Q337" s="68" t="s">
        <v>32</v>
      </c>
      <c r="R337" s="18" t="s">
        <v>33</v>
      </c>
      <c r="S337" s="74" t="s">
        <v>2869</v>
      </c>
      <c r="T337" s="27">
        <v>30301</v>
      </c>
      <c r="U337" s="25" t="s">
        <v>2868</v>
      </c>
      <c r="V337" s="25" t="s">
        <v>2870</v>
      </c>
      <c r="W337" s="25"/>
    </row>
    <row r="338" spans="1:23" ht="22.5" customHeight="1">
      <c r="A338" s="97">
        <v>46084.932546296295</v>
      </c>
      <c r="B338" s="98" t="s">
        <v>2877</v>
      </c>
      <c r="C338" s="99"/>
      <c r="D338" s="98" t="s">
        <v>24</v>
      </c>
      <c r="E338" s="100">
        <v>35658</v>
      </c>
      <c r="F338" s="98" t="s">
        <v>438</v>
      </c>
      <c r="G338" s="98" t="s">
        <v>2878</v>
      </c>
      <c r="H338" s="98" t="s">
        <v>2879</v>
      </c>
      <c r="I338" s="6" t="str">
        <f>VLOOKUP(CLEAN(F338),'World Bank Categories'!$B$4:$C$220,2,FALSE)</f>
        <v>Middle income</v>
      </c>
      <c r="J338" s="98" t="s">
        <v>2880</v>
      </c>
      <c r="K338" s="98" t="s">
        <v>39</v>
      </c>
      <c r="L338" s="98" t="s">
        <v>30</v>
      </c>
      <c r="M338" s="98"/>
      <c r="N338" s="98"/>
      <c r="O338" s="98"/>
      <c r="P338" s="98" t="s">
        <v>31</v>
      </c>
      <c r="Q338" s="68" t="s">
        <v>32</v>
      </c>
      <c r="R338" s="10" t="s">
        <v>33</v>
      </c>
      <c r="S338" s="69" t="s">
        <v>2877</v>
      </c>
      <c r="T338" s="27">
        <v>35658</v>
      </c>
      <c r="U338" s="25" t="s">
        <v>2881</v>
      </c>
      <c r="V338" s="25" t="s">
        <v>80</v>
      </c>
      <c r="W338" s="25"/>
    </row>
    <row r="339" spans="1:23" ht="22.5" customHeight="1">
      <c r="A339" s="70">
        <v>46084.940023148149</v>
      </c>
      <c r="B339" s="71" t="s">
        <v>2882</v>
      </c>
      <c r="C339" s="71" t="s">
        <v>2883</v>
      </c>
      <c r="D339" s="71" t="s">
        <v>24</v>
      </c>
      <c r="E339" s="73">
        <v>38781</v>
      </c>
      <c r="F339" s="71" t="s">
        <v>1053</v>
      </c>
      <c r="G339" s="71" t="s">
        <v>2884</v>
      </c>
      <c r="H339" s="71" t="s">
        <v>2885</v>
      </c>
      <c r="I339" s="6" t="str">
        <f>VLOOKUP(CLEAN(F339),'World Bank Categories'!$B$4:$C$220,2,FALSE)</f>
        <v>High income</v>
      </c>
      <c r="J339" s="71" t="s">
        <v>2886</v>
      </c>
      <c r="K339" s="71" t="s">
        <v>39</v>
      </c>
      <c r="L339" s="71" t="s">
        <v>152</v>
      </c>
      <c r="M339" s="71"/>
      <c r="N339" s="71"/>
      <c r="O339" s="71"/>
      <c r="P339" s="71" t="s">
        <v>31</v>
      </c>
      <c r="Q339" s="68" t="s">
        <v>32</v>
      </c>
      <c r="R339" s="18" t="s">
        <v>43</v>
      </c>
      <c r="S339" s="74" t="s">
        <v>2887</v>
      </c>
      <c r="T339" s="27">
        <v>38781</v>
      </c>
      <c r="U339" s="25" t="s">
        <v>2886</v>
      </c>
      <c r="V339" s="25" t="s">
        <v>80</v>
      </c>
      <c r="W339" s="25"/>
    </row>
    <row r="340" spans="1:23" ht="22.5" customHeight="1">
      <c r="A340" s="70">
        <v>46084.998831018522</v>
      </c>
      <c r="B340" s="71" t="s">
        <v>2888</v>
      </c>
      <c r="C340" s="72"/>
      <c r="D340" s="71" t="s">
        <v>24</v>
      </c>
      <c r="E340" s="73">
        <v>37032</v>
      </c>
      <c r="F340" s="71" t="s">
        <v>2713</v>
      </c>
      <c r="G340" s="71" t="s">
        <v>2714</v>
      </c>
      <c r="H340" s="71" t="s">
        <v>368</v>
      </c>
      <c r="I340" s="6" t="str">
        <f>VLOOKUP(CLEAN(F340),'World Bank Categories'!$B$4:$C$220,2,FALSE)</f>
        <v>High income</v>
      </c>
      <c r="J340" s="71" t="s">
        <v>2889</v>
      </c>
      <c r="K340" s="71" t="s">
        <v>29</v>
      </c>
      <c r="L340" s="71" t="s">
        <v>30</v>
      </c>
      <c r="M340" s="71"/>
      <c r="N340" s="71"/>
      <c r="O340" s="71"/>
      <c r="P340" s="71" t="s">
        <v>31</v>
      </c>
      <c r="Q340" s="91" t="s">
        <v>32</v>
      </c>
      <c r="R340" s="18" t="s">
        <v>43</v>
      </c>
      <c r="S340" s="74" t="s">
        <v>2888</v>
      </c>
      <c r="T340" s="27">
        <v>37032</v>
      </c>
      <c r="U340" s="25" t="s">
        <v>2889</v>
      </c>
      <c r="V340" s="25" t="s">
        <v>80</v>
      </c>
      <c r="W340" s="25"/>
    </row>
    <row r="341" spans="1:23" ht="22.5" customHeight="1">
      <c r="A341" s="97">
        <v>46085.003020833334</v>
      </c>
      <c r="B341" s="98" t="s">
        <v>2890</v>
      </c>
      <c r="C341" s="99"/>
      <c r="D341" s="98" t="s">
        <v>24</v>
      </c>
      <c r="E341" s="100">
        <v>38631</v>
      </c>
      <c r="F341" s="76" t="s">
        <v>70</v>
      </c>
      <c r="G341" s="98" t="s">
        <v>77</v>
      </c>
      <c r="H341" s="98" t="s">
        <v>2891</v>
      </c>
      <c r="I341" s="6" t="str">
        <f>VLOOKUP(CLEAN(F341),'World Bank Categories'!$B$4:$C$220,2,FALSE)</f>
        <v>Middle income</v>
      </c>
      <c r="J341" s="98" t="s">
        <v>2892</v>
      </c>
      <c r="K341" s="98" t="s">
        <v>29</v>
      </c>
      <c r="L341" s="98" t="s">
        <v>30</v>
      </c>
      <c r="M341" s="98"/>
      <c r="N341" s="98"/>
      <c r="O341" s="98"/>
      <c r="P341" s="98" t="s">
        <v>31</v>
      </c>
      <c r="Q341" s="68" t="s">
        <v>32</v>
      </c>
      <c r="R341" s="10" t="s">
        <v>33</v>
      </c>
      <c r="S341" s="69" t="s">
        <v>2890</v>
      </c>
      <c r="T341" s="27">
        <v>38631</v>
      </c>
      <c r="U341" s="25" t="s">
        <v>2892</v>
      </c>
      <c r="V341" s="25" t="s">
        <v>80</v>
      </c>
      <c r="W341" s="25"/>
    </row>
    <row r="342" spans="1:23" ht="22.5" customHeight="1">
      <c r="A342" s="87">
        <v>46085.092615740738</v>
      </c>
      <c r="B342" s="88" t="s">
        <v>2893</v>
      </c>
      <c r="C342" s="89"/>
      <c r="D342" s="88" t="s">
        <v>24</v>
      </c>
      <c r="E342" s="90">
        <v>38881</v>
      </c>
      <c r="F342" s="88" t="s">
        <v>416</v>
      </c>
      <c r="G342" s="88" t="s">
        <v>2894</v>
      </c>
      <c r="H342" s="88" t="s">
        <v>66</v>
      </c>
      <c r="I342" s="6" t="str">
        <f>VLOOKUP(CLEAN(F342),'World Bank Categories'!$B$4:$C$220,2,FALSE)</f>
        <v>Middle income</v>
      </c>
      <c r="J342" s="88" t="s">
        <v>2895</v>
      </c>
      <c r="K342" s="88" t="s">
        <v>29</v>
      </c>
      <c r="L342" s="88" t="s">
        <v>30</v>
      </c>
      <c r="M342" s="88"/>
      <c r="N342" s="88"/>
      <c r="O342" s="88"/>
      <c r="P342" s="88" t="s">
        <v>31</v>
      </c>
      <c r="Q342" s="68" t="s">
        <v>32</v>
      </c>
      <c r="R342" s="18" t="s">
        <v>33</v>
      </c>
      <c r="S342" s="74" t="s">
        <v>2896</v>
      </c>
      <c r="T342" s="27">
        <v>38881</v>
      </c>
      <c r="U342" s="25" t="s">
        <v>2895</v>
      </c>
      <c r="V342" s="25" t="s">
        <v>2897</v>
      </c>
      <c r="W342" s="25"/>
    </row>
    <row r="343" spans="1:23" ht="22.5" customHeight="1">
      <c r="A343" s="64">
        <v>46085.165127314816</v>
      </c>
      <c r="B343" s="65" t="s">
        <v>2898</v>
      </c>
      <c r="C343" s="66"/>
      <c r="D343" s="65" t="s">
        <v>24</v>
      </c>
      <c r="E343" s="67">
        <v>26230</v>
      </c>
      <c r="F343" s="65" t="s">
        <v>2556</v>
      </c>
      <c r="G343" s="65" t="s">
        <v>2899</v>
      </c>
      <c r="H343" s="65" t="s">
        <v>2900</v>
      </c>
      <c r="I343" s="6" t="str">
        <f>VLOOKUP(CLEAN(F343),'World Bank Categories'!$B$4:$C$220,2,FALSE)</f>
        <v>Middle income</v>
      </c>
      <c r="J343" s="65" t="s">
        <v>2901</v>
      </c>
      <c r="K343" s="65" t="s">
        <v>39</v>
      </c>
      <c r="L343" s="65" t="s">
        <v>30</v>
      </c>
      <c r="M343" s="65"/>
      <c r="N343" s="65"/>
      <c r="O343" s="65"/>
      <c r="P343" s="65" t="s">
        <v>31</v>
      </c>
      <c r="Q343" s="91" t="s">
        <v>32</v>
      </c>
      <c r="R343" s="10" t="s">
        <v>33</v>
      </c>
      <c r="S343" s="69" t="s">
        <v>2898</v>
      </c>
      <c r="T343" s="27">
        <v>26230</v>
      </c>
      <c r="U343" s="25" t="s">
        <v>2901</v>
      </c>
      <c r="V343" s="25" t="s">
        <v>80</v>
      </c>
      <c r="W343" s="25"/>
    </row>
    <row r="344" spans="1:23" ht="22.5" customHeight="1">
      <c r="A344" s="70">
        <v>46085.349826388891</v>
      </c>
      <c r="B344" s="71" t="s">
        <v>2902</v>
      </c>
      <c r="C344" s="72"/>
      <c r="D344" s="71" t="s">
        <v>24</v>
      </c>
      <c r="E344" s="73">
        <v>27926</v>
      </c>
      <c r="F344" s="71" t="s">
        <v>623</v>
      </c>
      <c r="G344" s="71" t="s">
        <v>2903</v>
      </c>
      <c r="H344" s="71" t="s">
        <v>90</v>
      </c>
      <c r="I344" s="6" t="str">
        <f>VLOOKUP(CLEAN(F344),'World Bank Categories'!$B$4:$C$220,2,FALSE)</f>
        <v>Middle income</v>
      </c>
      <c r="J344" s="71" t="s">
        <v>2904</v>
      </c>
      <c r="K344" s="71" t="s">
        <v>39</v>
      </c>
      <c r="L344" s="71" t="s">
        <v>30</v>
      </c>
      <c r="M344" s="71"/>
      <c r="N344" s="71"/>
      <c r="O344" s="71"/>
      <c r="P344" s="71" t="s">
        <v>31</v>
      </c>
      <c r="Q344" s="68" t="s">
        <v>32</v>
      </c>
      <c r="R344" s="18" t="s">
        <v>33</v>
      </c>
      <c r="S344" s="74" t="s">
        <v>2905</v>
      </c>
      <c r="T344" s="27">
        <v>27926</v>
      </c>
      <c r="U344" s="25" t="s">
        <v>2904</v>
      </c>
      <c r="V344" s="25" t="s">
        <v>1670</v>
      </c>
      <c r="W344" s="25"/>
    </row>
    <row r="345" spans="1:23" ht="22.5" customHeight="1">
      <c r="A345" s="64">
        <v>46085.642418981479</v>
      </c>
      <c r="B345" s="65" t="s">
        <v>2906</v>
      </c>
      <c r="C345" s="65" t="s">
        <v>2907</v>
      </c>
      <c r="D345" s="65" t="s">
        <v>24</v>
      </c>
      <c r="E345" s="67">
        <v>38814</v>
      </c>
      <c r="F345" s="65" t="s">
        <v>1053</v>
      </c>
      <c r="G345" s="65" t="s">
        <v>2908</v>
      </c>
      <c r="H345" s="65" t="s">
        <v>66</v>
      </c>
      <c r="I345" s="6" t="str">
        <f>VLOOKUP(CLEAN(F345),'World Bank Categories'!$B$4:$C$220,2,FALSE)</f>
        <v>High income</v>
      </c>
      <c r="J345" s="65" t="s">
        <v>2909</v>
      </c>
      <c r="K345" s="65" t="s">
        <v>29</v>
      </c>
      <c r="L345" s="65" t="s">
        <v>30</v>
      </c>
      <c r="M345" s="65"/>
      <c r="N345" s="65"/>
      <c r="O345" s="65"/>
      <c r="P345" s="65" t="s">
        <v>31</v>
      </c>
      <c r="Q345" s="68" t="s">
        <v>32</v>
      </c>
      <c r="R345" s="10" t="s">
        <v>43</v>
      </c>
      <c r="S345" s="69" t="s">
        <v>2906</v>
      </c>
      <c r="T345" s="27">
        <v>38814</v>
      </c>
      <c r="U345" s="25" t="s">
        <v>2910</v>
      </c>
      <c r="V345" s="25" t="s">
        <v>80</v>
      </c>
      <c r="W345" s="25"/>
    </row>
    <row r="346" spans="1:23" ht="22.5" customHeight="1">
      <c r="A346" s="70">
        <v>46085.825254629628</v>
      </c>
      <c r="B346" s="71" t="s">
        <v>2914</v>
      </c>
      <c r="C346" s="71" t="s">
        <v>2914</v>
      </c>
      <c r="D346" s="71" t="s">
        <v>45</v>
      </c>
      <c r="E346" s="73">
        <v>21478</v>
      </c>
      <c r="F346" s="71" t="s">
        <v>64</v>
      </c>
      <c r="G346" s="71" t="s">
        <v>2915</v>
      </c>
      <c r="H346" s="71" t="s">
        <v>2916</v>
      </c>
      <c r="I346" s="6" t="str">
        <f>VLOOKUP(CLEAN(F346),'World Bank Categories'!$B$4:$C$220,2,FALSE)</f>
        <v>Middle income</v>
      </c>
      <c r="J346" s="71" t="s">
        <v>2917</v>
      </c>
      <c r="K346" s="71" t="s">
        <v>29</v>
      </c>
      <c r="L346" s="71" t="s">
        <v>30</v>
      </c>
      <c r="M346" s="71"/>
      <c r="N346" s="71"/>
      <c r="O346" s="71"/>
      <c r="P346" s="71" t="s">
        <v>31</v>
      </c>
      <c r="Q346" s="68" t="s">
        <v>32</v>
      </c>
      <c r="R346" s="18" t="s">
        <v>33</v>
      </c>
      <c r="S346" s="74" t="s">
        <v>2914</v>
      </c>
      <c r="T346" s="27">
        <v>21478</v>
      </c>
      <c r="U346" s="25" t="s">
        <v>2918</v>
      </c>
      <c r="V346" s="25" t="s">
        <v>101</v>
      </c>
      <c r="W346" s="25"/>
    </row>
    <row r="347" spans="1:23" ht="22.5" customHeight="1">
      <c r="A347" s="97">
        <v>46086.617395833331</v>
      </c>
      <c r="B347" s="98" t="s">
        <v>2925</v>
      </c>
      <c r="C347" s="99"/>
      <c r="D347" s="98" t="s">
        <v>24</v>
      </c>
      <c r="E347" s="100">
        <v>38570</v>
      </c>
      <c r="F347" s="98" t="s">
        <v>297</v>
      </c>
      <c r="G347" s="98" t="s">
        <v>2926</v>
      </c>
      <c r="H347" s="98" t="s">
        <v>66</v>
      </c>
      <c r="I347" s="6" t="str">
        <f>VLOOKUP(CLEAN(F347),'World Bank Categories'!$B$4:$C$220,2,FALSE)</f>
        <v>Middle income</v>
      </c>
      <c r="J347" s="98" t="s">
        <v>2927</v>
      </c>
      <c r="K347" s="98" t="s">
        <v>29</v>
      </c>
      <c r="L347" s="98" t="s">
        <v>30</v>
      </c>
      <c r="M347" s="98"/>
      <c r="N347" s="98"/>
      <c r="O347" s="98"/>
      <c r="P347" s="98" t="s">
        <v>31</v>
      </c>
      <c r="Q347" s="68" t="s">
        <v>32</v>
      </c>
      <c r="R347" s="10" t="s">
        <v>33</v>
      </c>
      <c r="S347" s="69" t="s">
        <v>2925</v>
      </c>
      <c r="T347" s="27">
        <v>38570</v>
      </c>
      <c r="U347" s="25" t="s">
        <v>2927</v>
      </c>
      <c r="V347" s="25" t="s">
        <v>80</v>
      </c>
      <c r="W347" s="25"/>
    </row>
    <row r="348" spans="1:23" ht="22.5" customHeight="1">
      <c r="A348" s="70">
        <v>46086.709016203706</v>
      </c>
      <c r="B348" s="71" t="s">
        <v>2928</v>
      </c>
      <c r="C348" s="71" t="s">
        <v>2929</v>
      </c>
      <c r="D348" s="71" t="s">
        <v>45</v>
      </c>
      <c r="E348" s="73">
        <v>37047</v>
      </c>
      <c r="F348" s="71" t="s">
        <v>1053</v>
      </c>
      <c r="G348" s="71" t="s">
        <v>2930</v>
      </c>
      <c r="H348" s="71" t="s">
        <v>66</v>
      </c>
      <c r="I348" s="6" t="str">
        <f>VLOOKUP(CLEAN(F348),'World Bank Categories'!$B$4:$C$220,2,FALSE)</f>
        <v>High income</v>
      </c>
      <c r="J348" s="71" t="s">
        <v>2931</v>
      </c>
      <c r="K348" s="71" t="s">
        <v>39</v>
      </c>
      <c r="L348" s="71" t="s">
        <v>152</v>
      </c>
      <c r="M348" s="71"/>
      <c r="N348" s="71"/>
      <c r="O348" s="71"/>
      <c r="P348" s="71" t="s">
        <v>31</v>
      </c>
      <c r="Q348" s="68" t="s">
        <v>32</v>
      </c>
      <c r="R348" s="18" t="s">
        <v>43</v>
      </c>
      <c r="S348" s="74" t="s">
        <v>2932</v>
      </c>
      <c r="T348" s="27">
        <v>37047</v>
      </c>
      <c r="U348" s="25" t="s">
        <v>2931</v>
      </c>
      <c r="V348" s="25" t="s">
        <v>80</v>
      </c>
      <c r="W348" s="25"/>
    </row>
    <row r="349" spans="1:23" ht="22.5" customHeight="1">
      <c r="A349" s="97">
        <v>46086.891643518517</v>
      </c>
      <c r="B349" s="98" t="s">
        <v>2933</v>
      </c>
      <c r="C349" s="98" t="s">
        <v>2934</v>
      </c>
      <c r="D349" s="98" t="s">
        <v>45</v>
      </c>
      <c r="E349" s="100">
        <v>39093</v>
      </c>
      <c r="F349" s="98" t="s">
        <v>1053</v>
      </c>
      <c r="G349" s="98" t="s">
        <v>2935</v>
      </c>
      <c r="H349" s="98" t="s">
        <v>66</v>
      </c>
      <c r="I349" s="6" t="str">
        <f>VLOOKUP(CLEAN(F349),'World Bank Categories'!$B$4:$C$220,2,FALSE)</f>
        <v>High income</v>
      </c>
      <c r="J349" s="98" t="s">
        <v>2936</v>
      </c>
      <c r="K349" s="98" t="s">
        <v>29</v>
      </c>
      <c r="L349" s="98" t="s">
        <v>30</v>
      </c>
      <c r="M349" s="98"/>
      <c r="N349" s="98"/>
      <c r="O349" s="98"/>
      <c r="P349" s="98" t="s">
        <v>31</v>
      </c>
      <c r="Q349" s="68" t="s">
        <v>32</v>
      </c>
      <c r="R349" s="10" t="s">
        <v>43</v>
      </c>
      <c r="S349" s="69" t="s">
        <v>2937</v>
      </c>
      <c r="T349" s="27">
        <v>39093</v>
      </c>
      <c r="U349" s="25" t="s">
        <v>2936</v>
      </c>
      <c r="V349" s="25" t="s">
        <v>154</v>
      </c>
      <c r="W349" s="25"/>
    </row>
    <row r="350" spans="1:23" ht="22.5" customHeight="1">
      <c r="A350" s="87">
        <v>46086.901967592596</v>
      </c>
      <c r="B350" s="88" t="s">
        <v>2938</v>
      </c>
      <c r="C350" s="89"/>
      <c r="D350" s="88" t="s">
        <v>45</v>
      </c>
      <c r="E350" s="90">
        <v>34979</v>
      </c>
      <c r="F350" s="88" t="s">
        <v>612</v>
      </c>
      <c r="G350" s="88" t="s">
        <v>2939</v>
      </c>
      <c r="H350" s="88" t="s">
        <v>186</v>
      </c>
      <c r="I350" s="6" t="str">
        <f>VLOOKUP(CLEAN(F350),'World Bank Categories'!$B$4:$C$220,2,FALSE)</f>
        <v>Low income</v>
      </c>
      <c r="J350" s="88" t="s">
        <v>2940</v>
      </c>
      <c r="K350" s="88" t="s">
        <v>29</v>
      </c>
      <c r="L350" s="88" t="s">
        <v>30</v>
      </c>
      <c r="M350" s="88"/>
      <c r="N350" s="88"/>
      <c r="O350" s="88"/>
      <c r="P350" s="88" t="s">
        <v>31</v>
      </c>
      <c r="Q350" s="68" t="s">
        <v>32</v>
      </c>
      <c r="R350" s="18" t="s">
        <v>33</v>
      </c>
      <c r="S350" s="74" t="s">
        <v>2941</v>
      </c>
      <c r="T350" s="27">
        <v>34979</v>
      </c>
      <c r="U350" s="25" t="s">
        <v>2940</v>
      </c>
      <c r="V350" s="25" t="s">
        <v>154</v>
      </c>
      <c r="W350" s="25"/>
    </row>
    <row r="351" spans="1:23" ht="22.5" customHeight="1">
      <c r="A351" s="97">
        <v>46086.937673611108</v>
      </c>
      <c r="B351" s="98" t="s">
        <v>2942</v>
      </c>
      <c r="C351" s="99"/>
      <c r="D351" s="98" t="s">
        <v>45</v>
      </c>
      <c r="E351" s="100">
        <v>36450</v>
      </c>
      <c r="F351" s="76" t="s">
        <v>227</v>
      </c>
      <c r="G351" s="98" t="s">
        <v>2943</v>
      </c>
      <c r="H351" s="98" t="s">
        <v>2944</v>
      </c>
      <c r="I351" s="6" t="str">
        <f>VLOOKUP(CLEAN(F351),'World Bank Categories'!$B$4:$C$220,2,FALSE)</f>
        <v>Middle income</v>
      </c>
      <c r="J351" s="98" t="s">
        <v>2945</v>
      </c>
      <c r="K351" s="98" t="s">
        <v>29</v>
      </c>
      <c r="L351" s="98" t="s">
        <v>30</v>
      </c>
      <c r="M351" s="98"/>
      <c r="N351" s="98"/>
      <c r="O351" s="98"/>
      <c r="P351" s="98" t="s">
        <v>31</v>
      </c>
      <c r="Q351" s="68" t="s">
        <v>32</v>
      </c>
      <c r="R351" s="10" t="s">
        <v>33</v>
      </c>
      <c r="S351" s="69" t="s">
        <v>2942</v>
      </c>
      <c r="T351" s="27">
        <v>36450</v>
      </c>
      <c r="U351" s="25" t="s">
        <v>2945</v>
      </c>
      <c r="V351" s="25" t="s">
        <v>80</v>
      </c>
      <c r="W351" s="25"/>
    </row>
    <row r="352" spans="1:23" ht="22.5" customHeight="1">
      <c r="A352" s="102">
        <v>46087.654456018521</v>
      </c>
      <c r="B352" s="103" t="s">
        <v>2949</v>
      </c>
      <c r="C352" s="104"/>
      <c r="D352" s="103" t="s">
        <v>24</v>
      </c>
      <c r="E352" s="105">
        <v>35746</v>
      </c>
      <c r="F352" s="103" t="s">
        <v>297</v>
      </c>
      <c r="G352" s="103" t="s">
        <v>2950</v>
      </c>
      <c r="H352" s="103" t="s">
        <v>1069</v>
      </c>
      <c r="I352" s="6" t="str">
        <f>VLOOKUP(CLEAN(F352),'World Bank Categories'!$B$4:$C$220,2,FALSE)</f>
        <v>Middle income</v>
      </c>
      <c r="J352" s="103" t="s">
        <v>2951</v>
      </c>
      <c r="K352" s="103" t="s">
        <v>39</v>
      </c>
      <c r="L352" s="103" t="s">
        <v>162</v>
      </c>
      <c r="M352" s="103"/>
      <c r="N352" s="103"/>
      <c r="O352" s="103"/>
      <c r="P352" s="103" t="s">
        <v>31</v>
      </c>
      <c r="Q352" s="68" t="s">
        <v>32</v>
      </c>
      <c r="R352" s="10" t="s">
        <v>33</v>
      </c>
      <c r="S352" s="69" t="s">
        <v>2952</v>
      </c>
      <c r="T352" s="27">
        <v>35746</v>
      </c>
      <c r="U352" s="25" t="s">
        <v>2951</v>
      </c>
      <c r="V352" s="25" t="s">
        <v>154</v>
      </c>
      <c r="W352" s="25"/>
    </row>
    <row r="353" spans="1:23" ht="22.5" customHeight="1">
      <c r="A353" s="102">
        <v>46088.135439814818</v>
      </c>
      <c r="B353" s="103" t="s">
        <v>2963</v>
      </c>
      <c r="C353" s="104"/>
      <c r="D353" s="103" t="s">
        <v>24</v>
      </c>
      <c r="E353" s="105">
        <v>36163</v>
      </c>
      <c r="F353" s="103" t="s">
        <v>58</v>
      </c>
      <c r="G353" s="103" t="s">
        <v>2872</v>
      </c>
      <c r="H353" s="103" t="s">
        <v>2964</v>
      </c>
      <c r="I353" s="6" t="str">
        <f>VLOOKUP(CLEAN(F353),'World Bank Categories'!$B$4:$C$220,2,FALSE)</f>
        <v>Middle income</v>
      </c>
      <c r="J353" s="103" t="s">
        <v>2965</v>
      </c>
      <c r="K353" s="103" t="s">
        <v>29</v>
      </c>
      <c r="L353" s="103" t="s">
        <v>30</v>
      </c>
      <c r="M353" s="103"/>
      <c r="N353" s="103"/>
      <c r="O353" s="103"/>
      <c r="P353" s="103" t="s">
        <v>31</v>
      </c>
      <c r="Q353" s="68" t="s">
        <v>32</v>
      </c>
      <c r="R353" s="18" t="s">
        <v>33</v>
      </c>
      <c r="S353" s="69" t="s">
        <v>2963</v>
      </c>
      <c r="T353" s="27">
        <v>36163</v>
      </c>
      <c r="U353" s="25" t="s">
        <v>2965</v>
      </c>
      <c r="V353" s="25" t="s">
        <v>80</v>
      </c>
      <c r="W353" s="25"/>
    </row>
    <row r="354" spans="1:23" ht="22.5" customHeight="1">
      <c r="A354" s="106">
        <v>46090.053472222222</v>
      </c>
      <c r="B354" s="107" t="s">
        <v>2973</v>
      </c>
      <c r="C354" s="108"/>
      <c r="D354" s="107" t="s">
        <v>24</v>
      </c>
      <c r="E354" s="109">
        <v>38330</v>
      </c>
      <c r="F354" s="71" t="s">
        <v>227</v>
      </c>
      <c r="G354" s="107" t="s">
        <v>2974</v>
      </c>
      <c r="H354" s="107" t="s">
        <v>1407</v>
      </c>
      <c r="I354" s="6" t="str">
        <f>VLOOKUP(CLEAN(F354),'World Bank Categories'!$B$4:$C$220,2,FALSE)</f>
        <v>Middle income</v>
      </c>
      <c r="J354" s="107" t="s">
        <v>2975</v>
      </c>
      <c r="K354" s="107" t="s">
        <v>29</v>
      </c>
      <c r="L354" s="107" t="s">
        <v>30</v>
      </c>
      <c r="M354" s="107"/>
      <c r="N354" s="107"/>
      <c r="O354" s="107"/>
      <c r="P354" s="107" t="s">
        <v>31</v>
      </c>
      <c r="Q354" s="68" t="s">
        <v>32</v>
      </c>
      <c r="R354" s="18" t="s">
        <v>33</v>
      </c>
      <c r="S354" s="74" t="s">
        <v>2973</v>
      </c>
      <c r="T354" s="27">
        <v>38330</v>
      </c>
      <c r="U354" s="25" t="s">
        <v>2975</v>
      </c>
      <c r="V354" s="25" t="s">
        <v>80</v>
      </c>
      <c r="W354" s="25"/>
    </row>
    <row r="355" spans="1:23" ht="22.5" customHeight="1">
      <c r="A355" s="102">
        <v>46090.304791666669</v>
      </c>
      <c r="B355" s="103" t="s">
        <v>2976</v>
      </c>
      <c r="C355" s="104"/>
      <c r="D355" s="103" t="s">
        <v>24</v>
      </c>
      <c r="E355" s="105">
        <v>29089</v>
      </c>
      <c r="F355" s="103" t="s">
        <v>1958</v>
      </c>
      <c r="G355" s="103" t="s">
        <v>2977</v>
      </c>
      <c r="H355" s="103" t="s">
        <v>2978</v>
      </c>
      <c r="I355" s="6" t="str">
        <f>VLOOKUP(CLEAN(F355),'World Bank Categories'!$B$4:$C$220,2,FALSE)</f>
        <v>Middle income</v>
      </c>
      <c r="J355" s="103" t="s">
        <v>2979</v>
      </c>
      <c r="K355" s="103" t="s">
        <v>39</v>
      </c>
      <c r="L355" s="103" t="s">
        <v>30</v>
      </c>
      <c r="M355" s="103" t="s">
        <v>2980</v>
      </c>
      <c r="N355" s="103"/>
      <c r="O355" s="103"/>
      <c r="P355" s="103" t="s">
        <v>31</v>
      </c>
      <c r="Q355" s="68" t="s">
        <v>32</v>
      </c>
      <c r="R355" s="10" t="s">
        <v>33</v>
      </c>
      <c r="S355" s="69" t="s">
        <v>2981</v>
      </c>
      <c r="T355" s="27">
        <v>29089</v>
      </c>
      <c r="U355" s="25" t="s">
        <v>2979</v>
      </c>
      <c r="V355" s="25" t="s">
        <v>154</v>
      </c>
      <c r="W355" s="25"/>
    </row>
    <row r="356" spans="1:23" ht="22.5" customHeight="1">
      <c r="A356" s="113">
        <v>46090.973138078705</v>
      </c>
      <c r="B356" s="114" t="s">
        <v>2989</v>
      </c>
      <c r="C356" s="114"/>
      <c r="D356" s="114" t="s">
        <v>24</v>
      </c>
      <c r="E356" s="115">
        <v>32164</v>
      </c>
      <c r="F356" s="114" t="s">
        <v>322</v>
      </c>
      <c r="G356" s="114" t="s">
        <v>2990</v>
      </c>
      <c r="H356" s="114" t="s">
        <v>1595</v>
      </c>
      <c r="I356" s="6" t="str">
        <f>VLOOKUP(CLEAN(F356),'World Bank Categories'!$B$4:$C$220,2,FALSE)</f>
        <v>Middle income</v>
      </c>
      <c r="J356" s="114" t="s">
        <v>2991</v>
      </c>
      <c r="K356" s="114" t="s">
        <v>29</v>
      </c>
      <c r="L356" s="114" t="s">
        <v>30</v>
      </c>
      <c r="M356" s="114"/>
      <c r="N356" s="114"/>
      <c r="O356" s="114"/>
      <c r="P356" s="114" t="s">
        <v>31</v>
      </c>
      <c r="Q356" s="91" t="s">
        <v>32</v>
      </c>
      <c r="R356" s="18" t="s">
        <v>33</v>
      </c>
      <c r="S356" s="74" t="s">
        <v>2992</v>
      </c>
      <c r="T356" s="27">
        <v>32164</v>
      </c>
      <c r="U356" s="25" t="s">
        <v>2993</v>
      </c>
      <c r="V356" s="25" t="s">
        <v>154</v>
      </c>
      <c r="W356" s="25"/>
    </row>
    <row r="357" spans="1:23" ht="22.5" customHeight="1">
      <c r="A357" s="80">
        <v>46091.535045034718</v>
      </c>
      <c r="B357" s="81" t="s">
        <v>2999</v>
      </c>
      <c r="C357" s="82"/>
      <c r="D357" s="81" t="s">
        <v>45</v>
      </c>
      <c r="E357" s="83">
        <v>32078</v>
      </c>
      <c r="F357" s="81" t="s">
        <v>208</v>
      </c>
      <c r="G357" s="81" t="s">
        <v>3000</v>
      </c>
      <c r="H357" s="120" t="s">
        <v>3001</v>
      </c>
      <c r="I357" s="6" t="str">
        <f>VLOOKUP(CLEAN(F357),'World Bank Categories'!$B$4:$C$220,2,FALSE)</f>
        <v>Low income</v>
      </c>
      <c r="J357" s="120" t="s">
        <v>3002</v>
      </c>
      <c r="K357" s="120" t="s">
        <v>29</v>
      </c>
      <c r="L357" s="120" t="s">
        <v>1168</v>
      </c>
      <c r="M357" s="121"/>
      <c r="N357" s="120"/>
      <c r="O357" s="120"/>
      <c r="P357" s="120" t="s">
        <v>31</v>
      </c>
      <c r="Q357" s="9" t="s">
        <v>32</v>
      </c>
      <c r="R357" s="10" t="s">
        <v>33</v>
      </c>
      <c r="S357" s="122" t="s">
        <v>3003</v>
      </c>
      <c r="T357" s="12"/>
      <c r="U357" s="12"/>
      <c r="V357" s="12"/>
      <c r="W357" s="12"/>
    </row>
    <row r="358" spans="1:23" ht="22.5" customHeight="1">
      <c r="A358" s="123">
        <v>46091.944881631949</v>
      </c>
      <c r="B358" s="124" t="s">
        <v>3004</v>
      </c>
      <c r="C358" s="124"/>
      <c r="D358" s="124" t="s">
        <v>24</v>
      </c>
      <c r="E358" s="125">
        <v>35775</v>
      </c>
      <c r="F358" s="124" t="s">
        <v>245</v>
      </c>
      <c r="G358" s="124" t="s">
        <v>3005</v>
      </c>
      <c r="H358" s="124" t="s">
        <v>3006</v>
      </c>
      <c r="I358" s="6" t="str">
        <f>VLOOKUP(CLEAN(F358),'World Bank Categories'!$B$4:$C$220,2,FALSE)</f>
        <v>Middle income</v>
      </c>
      <c r="J358" s="124" t="s">
        <v>3007</v>
      </c>
      <c r="K358" s="124" t="s">
        <v>39</v>
      </c>
      <c r="L358" s="124" t="s">
        <v>621</v>
      </c>
      <c r="M358" s="124" t="s">
        <v>3008</v>
      </c>
      <c r="N358" s="124"/>
      <c r="O358" s="124"/>
      <c r="P358" s="124" t="s">
        <v>31</v>
      </c>
      <c r="Q358" s="91" t="s">
        <v>32</v>
      </c>
      <c r="R358" s="18" t="s">
        <v>33</v>
      </c>
      <c r="S358" s="74" t="s">
        <v>3009</v>
      </c>
      <c r="T358" s="27">
        <v>35775</v>
      </c>
      <c r="U358" s="25" t="s">
        <v>3007</v>
      </c>
      <c r="V358" s="25" t="s">
        <v>154</v>
      </c>
      <c r="W358" s="25"/>
    </row>
    <row r="359" spans="1:23" ht="22.5" customHeight="1">
      <c r="A359" s="123">
        <v>46092.231993333335</v>
      </c>
      <c r="B359" s="124" t="s">
        <v>3015</v>
      </c>
      <c r="C359" s="124" t="s">
        <v>3015</v>
      </c>
      <c r="D359" s="124" t="s">
        <v>24</v>
      </c>
      <c r="E359" s="125">
        <v>36988</v>
      </c>
      <c r="F359" s="124" t="s">
        <v>1362</v>
      </c>
      <c r="G359" s="124" t="s">
        <v>1363</v>
      </c>
      <c r="H359" s="124" t="s">
        <v>3016</v>
      </c>
      <c r="I359" s="6" t="str">
        <f>VLOOKUP(CLEAN(F359),'World Bank Categories'!$B$4:$C$220,2,FALSE)</f>
        <v>Middle income</v>
      </c>
      <c r="J359" s="124" t="s">
        <v>3017</v>
      </c>
      <c r="K359" s="124" t="s">
        <v>29</v>
      </c>
      <c r="L359" s="124" t="s">
        <v>30</v>
      </c>
      <c r="M359" s="124"/>
      <c r="N359" s="124"/>
      <c r="O359" s="124"/>
      <c r="P359" s="124" t="s">
        <v>31</v>
      </c>
      <c r="Q359" s="68" t="s">
        <v>32</v>
      </c>
      <c r="R359" s="18" t="s">
        <v>33</v>
      </c>
      <c r="S359" s="74" t="s">
        <v>3015</v>
      </c>
      <c r="T359" s="27">
        <v>36988</v>
      </c>
      <c r="U359" s="25" t="s">
        <v>3017</v>
      </c>
      <c r="V359" s="25" t="s">
        <v>80</v>
      </c>
      <c r="W359" s="25"/>
    </row>
    <row r="360" spans="1:23" ht="22.5" customHeight="1">
      <c r="A360" s="126">
        <v>46092.232045069446</v>
      </c>
      <c r="B360" s="127" t="s">
        <v>3018</v>
      </c>
      <c r="C360" s="127" t="s">
        <v>3018</v>
      </c>
      <c r="D360" s="127" t="s">
        <v>45</v>
      </c>
      <c r="E360" s="128">
        <v>37138</v>
      </c>
      <c r="F360" s="127" t="s">
        <v>1362</v>
      </c>
      <c r="G360" s="127" t="s">
        <v>1363</v>
      </c>
      <c r="H360" s="127" t="s">
        <v>48</v>
      </c>
      <c r="I360" s="6" t="str">
        <f>VLOOKUP(CLEAN(F360),'World Bank Categories'!$B$4:$C$220,2,FALSE)</f>
        <v>Middle income</v>
      </c>
      <c r="J360" s="127" t="s">
        <v>3019</v>
      </c>
      <c r="K360" s="127" t="s">
        <v>29</v>
      </c>
      <c r="L360" s="127" t="s">
        <v>30</v>
      </c>
      <c r="M360" s="127"/>
      <c r="N360" s="127"/>
      <c r="O360" s="127"/>
      <c r="P360" s="127" t="s">
        <v>31</v>
      </c>
      <c r="Q360" s="68" t="s">
        <v>32</v>
      </c>
      <c r="R360" s="119" t="s">
        <v>33</v>
      </c>
      <c r="S360" s="69" t="s">
        <v>3020</v>
      </c>
      <c r="T360" s="27">
        <v>37138</v>
      </c>
      <c r="U360" s="25" t="s">
        <v>3019</v>
      </c>
      <c r="V360" s="25" t="s">
        <v>154</v>
      </c>
      <c r="W360" s="25"/>
    </row>
    <row r="361" spans="1:23" ht="22.5" customHeight="1">
      <c r="A361" s="116">
        <v>46093.087686423612</v>
      </c>
      <c r="B361" s="117" t="s">
        <v>3021</v>
      </c>
      <c r="C361" s="117"/>
      <c r="D361" s="117" t="s">
        <v>45</v>
      </c>
      <c r="E361" s="118">
        <v>27592</v>
      </c>
      <c r="F361" s="117" t="s">
        <v>3022</v>
      </c>
      <c r="G361" s="117" t="s">
        <v>3023</v>
      </c>
      <c r="H361" s="117" t="s">
        <v>186</v>
      </c>
      <c r="I361" s="6" t="str">
        <f>VLOOKUP(CLEAN(F361),'World Bank Categories'!$B$4:$C$220,2,FALSE)</f>
        <v>Middle income</v>
      </c>
      <c r="J361" s="117" t="s">
        <v>3024</v>
      </c>
      <c r="K361" s="117" t="s">
        <v>29</v>
      </c>
      <c r="L361" s="117" t="s">
        <v>30</v>
      </c>
      <c r="M361" s="117"/>
      <c r="N361" s="117"/>
      <c r="O361" s="117"/>
      <c r="P361" s="117" t="s">
        <v>31</v>
      </c>
      <c r="Q361" s="9" t="s">
        <v>32</v>
      </c>
      <c r="R361" s="119" t="s">
        <v>43</v>
      </c>
      <c r="S361" s="103" t="s">
        <v>3025</v>
      </c>
      <c r="T361" s="129">
        <v>27592</v>
      </c>
      <c r="U361" s="33" t="s">
        <v>3024</v>
      </c>
      <c r="V361" s="33" t="s">
        <v>80</v>
      </c>
      <c r="W361" s="33"/>
    </row>
    <row r="362" spans="1:23" ht="22.5" customHeight="1">
      <c r="A362" s="126">
        <v>46093.9166965162</v>
      </c>
      <c r="B362" s="127" t="s">
        <v>3026</v>
      </c>
      <c r="C362" s="127"/>
      <c r="D362" s="127" t="s">
        <v>24</v>
      </c>
      <c r="E362" s="128">
        <v>23417</v>
      </c>
      <c r="F362" s="127" t="s">
        <v>623</v>
      </c>
      <c r="G362" s="127" t="s">
        <v>3027</v>
      </c>
      <c r="H362" s="127" t="s">
        <v>3028</v>
      </c>
      <c r="I362" s="6" t="str">
        <f>VLOOKUP(CLEAN(F362),'World Bank Categories'!$B$4:$C$220,2,FALSE)</f>
        <v>Middle income</v>
      </c>
      <c r="J362" s="127" t="s">
        <v>3029</v>
      </c>
      <c r="K362" s="127" t="s">
        <v>29</v>
      </c>
      <c r="L362" s="127" t="s">
        <v>241</v>
      </c>
      <c r="M362" s="127" t="s">
        <v>3030</v>
      </c>
      <c r="N362" s="127"/>
      <c r="O362" s="127"/>
      <c r="P362" s="127" t="s">
        <v>31</v>
      </c>
      <c r="Q362" s="130" t="s">
        <v>32</v>
      </c>
      <c r="R362" s="18" t="s">
        <v>33</v>
      </c>
      <c r="S362" s="127"/>
      <c r="W362" s="12"/>
    </row>
    <row r="363" spans="1:23" ht="22.5" customHeight="1">
      <c r="A363" s="123">
        <v>46094.758651180557</v>
      </c>
      <c r="B363" s="124" t="s">
        <v>3035</v>
      </c>
      <c r="C363" s="124" t="s">
        <v>871</v>
      </c>
      <c r="D363" s="124" t="s">
        <v>24</v>
      </c>
      <c r="E363" s="125">
        <v>27229</v>
      </c>
      <c r="F363" s="124" t="s">
        <v>227</v>
      </c>
      <c r="G363" s="124" t="s">
        <v>3036</v>
      </c>
      <c r="H363" s="124" t="s">
        <v>3037</v>
      </c>
      <c r="I363" s="6" t="str">
        <f>VLOOKUP(CLEAN(F363),'World Bank Categories'!$B$4:$C$220,2,FALSE)</f>
        <v>Middle income</v>
      </c>
      <c r="J363" s="124" t="s">
        <v>3038</v>
      </c>
      <c r="K363" s="124" t="s">
        <v>29</v>
      </c>
      <c r="L363" s="124" t="s">
        <v>30</v>
      </c>
      <c r="M363" s="124"/>
      <c r="N363" s="124"/>
      <c r="O363" s="124"/>
      <c r="P363" s="124" t="s">
        <v>31</v>
      </c>
      <c r="Q363" s="130" t="s">
        <v>32</v>
      </c>
      <c r="R363" s="10" t="s">
        <v>33</v>
      </c>
      <c r="S363" s="124"/>
      <c r="W363" s="12"/>
    </row>
    <row r="364" spans="1:23" ht="22.5" customHeight="1">
      <c r="A364" s="123">
        <v>46095.11671037037</v>
      </c>
      <c r="B364" s="124" t="s">
        <v>3039</v>
      </c>
      <c r="C364" s="124"/>
      <c r="D364" s="124" t="s">
        <v>24</v>
      </c>
      <c r="E364" s="125">
        <v>37191</v>
      </c>
      <c r="F364" s="124" t="s">
        <v>3040</v>
      </c>
      <c r="G364" s="124" t="s">
        <v>3041</v>
      </c>
      <c r="H364" s="124" t="s">
        <v>3042</v>
      </c>
      <c r="I364" s="6" t="str">
        <f>VLOOKUP(CLEAN(F364),'World Bank Categories'!$B$4:$C$220,2,FALSE)</f>
        <v>High income</v>
      </c>
      <c r="J364" s="124" t="s">
        <v>3043</v>
      </c>
      <c r="K364" s="124" t="s">
        <v>29</v>
      </c>
      <c r="L364" s="124" t="s">
        <v>30</v>
      </c>
      <c r="M364" s="124"/>
      <c r="N364" s="124"/>
      <c r="O364" s="124"/>
      <c r="P364" s="124" t="s">
        <v>31</v>
      </c>
      <c r="Q364" s="130" t="s">
        <v>32</v>
      </c>
      <c r="R364" s="10" t="s">
        <v>43</v>
      </c>
      <c r="S364" s="124"/>
      <c r="W364" s="12"/>
    </row>
    <row r="365" spans="1:23" ht="22.5" customHeight="1">
      <c r="A365" s="131">
        <v>46096.718495266206</v>
      </c>
      <c r="B365" s="132" t="s">
        <v>3044</v>
      </c>
      <c r="C365" s="132"/>
      <c r="D365" s="132" t="s">
        <v>45</v>
      </c>
      <c r="E365" s="133">
        <v>33666</v>
      </c>
      <c r="F365" s="132" t="s">
        <v>3045</v>
      </c>
      <c r="G365" s="132" t="s">
        <v>3046</v>
      </c>
      <c r="H365" s="132" t="s">
        <v>1595</v>
      </c>
      <c r="I365" s="6" t="str">
        <f>VLOOKUP(CLEAN(F365),'World Bank Categories'!$B$4:$C$220,2,FALSE)</f>
        <v>Middle income</v>
      </c>
      <c r="J365" s="132" t="s">
        <v>3047</v>
      </c>
      <c r="K365" s="132" t="s">
        <v>29</v>
      </c>
      <c r="L365" s="132" t="s">
        <v>30</v>
      </c>
      <c r="M365" s="132"/>
      <c r="N365" s="132"/>
      <c r="O365" s="132"/>
      <c r="P365" s="132" t="s">
        <v>31</v>
      </c>
      <c r="Q365" s="130" t="s">
        <v>32</v>
      </c>
      <c r="R365" s="18" t="s">
        <v>33</v>
      </c>
      <c r="S365" s="127"/>
      <c r="W365" s="12"/>
    </row>
    <row r="366" spans="1:23" ht="22.5" customHeight="1">
      <c r="A366" s="134">
        <v>46096.756837523149</v>
      </c>
      <c r="B366" s="135" t="s">
        <v>3048</v>
      </c>
      <c r="C366" s="135" t="s">
        <v>3049</v>
      </c>
      <c r="D366" s="135" t="s">
        <v>24</v>
      </c>
      <c r="E366" s="136">
        <v>29214</v>
      </c>
      <c r="F366" s="135" t="s">
        <v>732</v>
      </c>
      <c r="G366" s="135" t="s">
        <v>3050</v>
      </c>
      <c r="H366" s="135" t="s">
        <v>3051</v>
      </c>
      <c r="I366" s="6" t="str">
        <f>VLOOKUP(CLEAN(F366),'World Bank Categories'!$B$4:$C$220,2,FALSE)</f>
        <v>Middle income</v>
      </c>
      <c r="J366" s="135" t="s">
        <v>3052</v>
      </c>
      <c r="K366" s="135" t="s">
        <v>39</v>
      </c>
      <c r="L366" s="135" t="s">
        <v>152</v>
      </c>
      <c r="M366" s="135"/>
      <c r="N366" s="135"/>
      <c r="O366" s="135"/>
      <c r="P366" s="135" t="s">
        <v>31</v>
      </c>
      <c r="Q366" s="130" t="s">
        <v>32</v>
      </c>
      <c r="R366" s="10" t="s">
        <v>33</v>
      </c>
      <c r="S366" s="135"/>
      <c r="T366" s="40"/>
      <c r="U366" s="40"/>
      <c r="V366" s="40"/>
      <c r="W366" s="40"/>
    </row>
    <row r="367" spans="1:23" ht="22.5" customHeight="1">
      <c r="A367" s="137">
        <v>46098.971370509258</v>
      </c>
      <c r="B367" s="12" t="s">
        <v>3053</v>
      </c>
      <c r="D367" s="12" t="s">
        <v>45</v>
      </c>
      <c r="E367" s="138">
        <v>37300</v>
      </c>
      <c r="F367" s="139" t="s">
        <v>2713</v>
      </c>
      <c r="G367" s="12" t="s">
        <v>3054</v>
      </c>
      <c r="H367" s="12" t="s">
        <v>66</v>
      </c>
      <c r="I367" s="6" t="str">
        <f>VLOOKUP(CLEAN(F367),'World Bank Categories'!$B$4:$C$220,2,FALSE)</f>
        <v>High income</v>
      </c>
      <c r="J367" s="12" t="s">
        <v>3055</v>
      </c>
      <c r="K367" s="12" t="s">
        <v>29</v>
      </c>
      <c r="L367" s="12" t="s">
        <v>162</v>
      </c>
      <c r="P367" s="12" t="s">
        <v>31</v>
      </c>
      <c r="Q367" s="130" t="s">
        <v>32</v>
      </c>
      <c r="R367" s="18" t="s">
        <v>43</v>
      </c>
      <c r="S367" s="140" t="s">
        <v>3056</v>
      </c>
      <c r="W367" s="12"/>
    </row>
    <row r="368" spans="1:23" ht="22.5" customHeight="1">
      <c r="A368" s="137">
        <v>46099.043631666667</v>
      </c>
      <c r="B368" s="12" t="s">
        <v>3057</v>
      </c>
      <c r="D368" s="12" t="s">
        <v>24</v>
      </c>
      <c r="E368" s="138">
        <v>32021</v>
      </c>
      <c r="F368" s="141" t="s">
        <v>438</v>
      </c>
      <c r="G368" s="12" t="s">
        <v>3058</v>
      </c>
      <c r="H368" s="12" t="s">
        <v>2691</v>
      </c>
      <c r="I368" s="6" t="str">
        <f>VLOOKUP(CLEAN(F368),'World Bank Categories'!$B$4:$C$220,2,FALSE)</f>
        <v>Middle income</v>
      </c>
      <c r="J368" s="12" t="s">
        <v>3059</v>
      </c>
      <c r="K368" s="12" t="s">
        <v>39</v>
      </c>
      <c r="L368" s="12" t="s">
        <v>30</v>
      </c>
      <c r="P368" s="12" t="s">
        <v>31</v>
      </c>
      <c r="Q368" s="130" t="s">
        <v>32</v>
      </c>
      <c r="R368" s="10" t="s">
        <v>33</v>
      </c>
      <c r="S368" s="142" t="s">
        <v>3060</v>
      </c>
      <c r="W368" s="12"/>
    </row>
    <row r="369" spans="1:23" ht="22.5" customHeight="1">
      <c r="A369" s="137">
        <v>46099.052083877315</v>
      </c>
      <c r="B369" s="12" t="s">
        <v>3061</v>
      </c>
      <c r="C369" s="12" t="s">
        <v>3061</v>
      </c>
      <c r="D369" s="12" t="s">
        <v>24</v>
      </c>
      <c r="E369" s="138">
        <v>36587</v>
      </c>
      <c r="F369" s="139" t="s">
        <v>1179</v>
      </c>
      <c r="G369" s="12" t="s">
        <v>3062</v>
      </c>
      <c r="H369" s="12" t="s">
        <v>66</v>
      </c>
      <c r="I369" s="6" t="str">
        <f>VLOOKUP(CLEAN(F369),'World Bank Categories'!$B$4:$C$220,2,FALSE)</f>
        <v>High income</v>
      </c>
      <c r="J369" s="12" t="s">
        <v>3063</v>
      </c>
      <c r="K369" s="12" t="s">
        <v>29</v>
      </c>
      <c r="L369" s="12" t="s">
        <v>30</v>
      </c>
      <c r="P369" s="12" t="s">
        <v>31</v>
      </c>
      <c r="Q369" s="130" t="s">
        <v>32</v>
      </c>
      <c r="R369" s="18" t="s">
        <v>43</v>
      </c>
      <c r="S369" s="140" t="s">
        <v>3061</v>
      </c>
      <c r="W369" s="12"/>
    </row>
    <row r="370" spans="1:23" ht="22.5" customHeight="1">
      <c r="A370" s="137">
        <v>46099.073697627318</v>
      </c>
      <c r="B370" s="12" t="s">
        <v>3064</v>
      </c>
      <c r="D370" s="12" t="s">
        <v>45</v>
      </c>
      <c r="E370" s="138">
        <v>34032</v>
      </c>
      <c r="F370" s="141" t="s">
        <v>3065</v>
      </c>
      <c r="G370" s="12" t="s">
        <v>3066</v>
      </c>
      <c r="H370" s="12" t="s">
        <v>3067</v>
      </c>
      <c r="I370" s="6" t="str">
        <f>VLOOKUP(CLEAN(F370),'World Bank Categories'!$B$4:$C$220,2,FALSE)</f>
        <v>Middle income</v>
      </c>
      <c r="J370" s="12" t="s">
        <v>3068</v>
      </c>
      <c r="K370" s="12" t="s">
        <v>29</v>
      </c>
      <c r="L370" s="12" t="s">
        <v>30</v>
      </c>
      <c r="P370" s="12" t="s">
        <v>31</v>
      </c>
      <c r="Q370" s="130" t="s">
        <v>32</v>
      </c>
      <c r="R370" s="10" t="s">
        <v>33</v>
      </c>
      <c r="S370" s="142"/>
      <c r="W370" s="12"/>
    </row>
    <row r="371" spans="1:23" ht="22.5" customHeight="1">
      <c r="A371" s="137">
        <v>46099.165703587962</v>
      </c>
      <c r="B371" s="12" t="s">
        <v>3069</v>
      </c>
      <c r="D371" s="12" t="s">
        <v>45</v>
      </c>
      <c r="E371" s="138">
        <v>29346</v>
      </c>
      <c r="F371" s="141" t="s">
        <v>1932</v>
      </c>
      <c r="G371" s="12" t="s">
        <v>3070</v>
      </c>
      <c r="H371" s="12" t="s">
        <v>111</v>
      </c>
      <c r="I371" s="6" t="str">
        <f>VLOOKUP(CLEAN(F371),'World Bank Categories'!$B$4:$C$220,2,FALSE)</f>
        <v>Middle income</v>
      </c>
      <c r="J371" s="12" t="s">
        <v>3071</v>
      </c>
      <c r="K371" s="12" t="s">
        <v>29</v>
      </c>
      <c r="L371" s="12" t="s">
        <v>30</v>
      </c>
      <c r="P371" s="12" t="s">
        <v>31</v>
      </c>
      <c r="Q371" s="130" t="s">
        <v>32</v>
      </c>
      <c r="R371" s="10" t="s">
        <v>33</v>
      </c>
      <c r="S371" s="142" t="s">
        <v>3072</v>
      </c>
      <c r="W371" s="12"/>
    </row>
    <row r="372" spans="1:23" ht="22.5" customHeight="1">
      <c r="A372" s="137">
        <v>46099.350211296296</v>
      </c>
      <c r="B372" s="12" t="s">
        <v>3078</v>
      </c>
      <c r="D372" s="12" t="s">
        <v>45</v>
      </c>
      <c r="E372" s="138">
        <v>25525</v>
      </c>
      <c r="F372" s="141" t="s">
        <v>346</v>
      </c>
      <c r="G372" s="12" t="s">
        <v>209</v>
      </c>
      <c r="H372" s="12" t="s">
        <v>3079</v>
      </c>
      <c r="I372" s="6" t="str">
        <f>VLOOKUP(CLEAN(F372),'World Bank Categories'!$B$4:$C$220,2,FALSE)</f>
        <v>Middle income</v>
      </c>
      <c r="J372" s="12" t="s">
        <v>3080</v>
      </c>
      <c r="K372" s="12" t="s">
        <v>29</v>
      </c>
      <c r="L372" s="12" t="s">
        <v>30</v>
      </c>
      <c r="M372" s="12" t="s">
        <v>3081</v>
      </c>
      <c r="P372" s="12" t="s">
        <v>31</v>
      </c>
      <c r="Q372" s="130" t="s">
        <v>32</v>
      </c>
      <c r="R372" s="10" t="s">
        <v>33</v>
      </c>
      <c r="S372" s="142" t="s">
        <v>3082</v>
      </c>
      <c r="W372" s="12"/>
    </row>
    <row r="373" spans="1:23" ht="22.5" customHeight="1">
      <c r="A373" s="137">
        <v>46099.75315960648</v>
      </c>
      <c r="B373" s="12" t="s">
        <v>3083</v>
      </c>
      <c r="D373" s="12" t="s">
        <v>45</v>
      </c>
      <c r="E373" s="138">
        <v>30619</v>
      </c>
      <c r="F373" s="141" t="s">
        <v>380</v>
      </c>
      <c r="G373" s="12" t="s">
        <v>3084</v>
      </c>
      <c r="H373" s="12" t="s">
        <v>3085</v>
      </c>
      <c r="I373" s="6" t="str">
        <f>VLOOKUP(CLEAN(F373),'World Bank Categories'!$B$4:$C$220,2,FALSE)</f>
        <v>Low income</v>
      </c>
      <c r="J373" s="12" t="s">
        <v>3086</v>
      </c>
      <c r="K373" s="12" t="s">
        <v>29</v>
      </c>
      <c r="L373" s="12" t="s">
        <v>30</v>
      </c>
      <c r="P373" s="12" t="s">
        <v>31</v>
      </c>
      <c r="Q373" s="130" t="s">
        <v>32</v>
      </c>
      <c r="R373" s="10" t="s">
        <v>33</v>
      </c>
      <c r="S373" s="142" t="s">
        <v>3087</v>
      </c>
      <c r="W373" s="12"/>
    </row>
    <row r="374" spans="1:23" ht="22.5" customHeight="1">
      <c r="A374" s="137">
        <v>46099.905534398145</v>
      </c>
      <c r="B374" s="12" t="s">
        <v>3088</v>
      </c>
      <c r="D374" s="12" t="s">
        <v>45</v>
      </c>
      <c r="E374" s="138">
        <v>33660</v>
      </c>
      <c r="F374" s="139" t="s">
        <v>2720</v>
      </c>
      <c r="G374" s="12" t="s">
        <v>3089</v>
      </c>
      <c r="H374" s="12" t="s">
        <v>3090</v>
      </c>
      <c r="I374" s="6" t="str">
        <f>VLOOKUP(CLEAN(F374),'World Bank Categories'!$B$4:$C$220,2,FALSE)</f>
        <v>Middle income</v>
      </c>
      <c r="J374" s="12" t="s">
        <v>3091</v>
      </c>
      <c r="K374" s="12" t="s">
        <v>29</v>
      </c>
      <c r="L374" s="12" t="s">
        <v>30</v>
      </c>
      <c r="P374" s="12" t="s">
        <v>31</v>
      </c>
      <c r="Q374" s="130" t="s">
        <v>32</v>
      </c>
      <c r="R374" s="18" t="s">
        <v>33</v>
      </c>
      <c r="S374" s="140" t="s">
        <v>3092</v>
      </c>
      <c r="W374" s="12"/>
    </row>
    <row r="375" spans="1:23" ht="22.5" customHeight="1">
      <c r="A375" s="137">
        <v>46100.677165335648</v>
      </c>
      <c r="B375" s="12" t="s">
        <v>3093</v>
      </c>
      <c r="C375" s="12" t="s">
        <v>3094</v>
      </c>
      <c r="D375" s="12" t="s">
        <v>45</v>
      </c>
      <c r="E375" s="138">
        <v>37910</v>
      </c>
      <c r="F375" s="141" t="s">
        <v>1053</v>
      </c>
      <c r="G375" s="12" t="s">
        <v>3095</v>
      </c>
      <c r="H375" s="12" t="s">
        <v>160</v>
      </c>
      <c r="I375" s="6" t="str">
        <f>VLOOKUP(CLEAN(F375),'World Bank Categories'!$B$4:$C$220,2,FALSE)</f>
        <v>High income</v>
      </c>
      <c r="J375" s="12" t="s">
        <v>3096</v>
      </c>
      <c r="K375" s="12" t="s">
        <v>29</v>
      </c>
      <c r="L375" s="12" t="s">
        <v>30</v>
      </c>
      <c r="P375" s="12" t="s">
        <v>31</v>
      </c>
      <c r="Q375" s="130" t="s">
        <v>32</v>
      </c>
      <c r="R375" s="10" t="s">
        <v>43</v>
      </c>
      <c r="S375" s="142" t="s">
        <v>3097</v>
      </c>
      <c r="W375" s="12"/>
    </row>
    <row r="376" spans="1:23" ht="22.5" customHeight="1">
      <c r="A376" s="137">
        <v>46100.89842143518</v>
      </c>
      <c r="B376" s="12" t="s">
        <v>3098</v>
      </c>
      <c r="D376" s="12" t="s">
        <v>45</v>
      </c>
      <c r="E376" s="138">
        <v>36768</v>
      </c>
      <c r="F376" s="141" t="s">
        <v>838</v>
      </c>
      <c r="G376" s="12" t="s">
        <v>3099</v>
      </c>
      <c r="H376" s="12" t="s">
        <v>66</v>
      </c>
      <c r="I376" s="6" t="str">
        <f>VLOOKUP(CLEAN(F376),'World Bank Categories'!$B$4:$C$220,2,FALSE)</f>
        <v>Middle income</v>
      </c>
      <c r="J376" s="12" t="s">
        <v>3100</v>
      </c>
      <c r="K376" s="12" t="s">
        <v>29</v>
      </c>
      <c r="L376" s="12" t="s">
        <v>30</v>
      </c>
      <c r="P376" s="12" t="s">
        <v>31</v>
      </c>
      <c r="Q376" s="130" t="s">
        <v>32</v>
      </c>
      <c r="R376" s="18" t="s">
        <v>33</v>
      </c>
      <c r="S376" s="142" t="s">
        <v>3098</v>
      </c>
      <c r="W376" s="12"/>
    </row>
    <row r="377" spans="1:23" ht="22.5" customHeight="1">
      <c r="A377" s="137">
        <v>46101.032405983795</v>
      </c>
      <c r="B377" s="12" t="s">
        <v>3101</v>
      </c>
      <c r="D377" s="12" t="s">
        <v>45</v>
      </c>
      <c r="E377" s="138">
        <v>27175</v>
      </c>
      <c r="F377" s="139" t="s">
        <v>232</v>
      </c>
      <c r="G377" s="12" t="s">
        <v>209</v>
      </c>
      <c r="H377" s="12" t="s">
        <v>3102</v>
      </c>
      <c r="I377" s="6" t="str">
        <f>VLOOKUP(CLEAN(F377),'World Bank Categories'!$B$4:$C$220,2,FALSE)</f>
        <v>Middle income</v>
      </c>
      <c r="J377" s="12" t="s">
        <v>3103</v>
      </c>
      <c r="K377" s="12" t="s">
        <v>29</v>
      </c>
      <c r="L377" s="12" t="s">
        <v>30</v>
      </c>
      <c r="P377" s="12" t="s">
        <v>31</v>
      </c>
      <c r="Q377" s="130" t="s">
        <v>32</v>
      </c>
      <c r="R377" s="10" t="s">
        <v>33</v>
      </c>
      <c r="S377" s="140" t="s">
        <v>3101</v>
      </c>
      <c r="W377" s="12"/>
    </row>
    <row r="378" spans="1:23" ht="22.5" customHeight="1">
      <c r="A378" s="137">
        <v>46101.508015451385</v>
      </c>
      <c r="B378" s="12" t="s">
        <v>3104</v>
      </c>
      <c r="C378" s="12" t="s">
        <v>3105</v>
      </c>
      <c r="D378" s="12" t="s">
        <v>24</v>
      </c>
      <c r="E378" s="138">
        <v>36544</v>
      </c>
      <c r="F378" s="141" t="s">
        <v>1053</v>
      </c>
      <c r="G378" s="12" t="s">
        <v>3106</v>
      </c>
      <c r="H378" s="12" t="s">
        <v>66</v>
      </c>
      <c r="I378" s="6" t="str">
        <f>VLOOKUP(CLEAN(F378),'World Bank Categories'!$B$4:$C$220,2,FALSE)</f>
        <v>High income</v>
      </c>
      <c r="J378" s="12" t="s">
        <v>3107</v>
      </c>
      <c r="K378" s="12" t="s">
        <v>39</v>
      </c>
      <c r="L378" s="12" t="s">
        <v>3108</v>
      </c>
      <c r="P378" s="12" t="s">
        <v>31</v>
      </c>
      <c r="Q378" s="130" t="s">
        <v>32</v>
      </c>
      <c r="R378" s="18" t="s">
        <v>43</v>
      </c>
      <c r="S378" s="142" t="s">
        <v>3109</v>
      </c>
      <c r="W378" s="12"/>
    </row>
    <row r="379" spans="1:23" ht="22.5" customHeight="1">
      <c r="A379" s="137">
        <v>46101.684119259255</v>
      </c>
      <c r="B379" s="12" t="s">
        <v>3110</v>
      </c>
      <c r="C379" s="12" t="s">
        <v>3111</v>
      </c>
      <c r="D379" s="12" t="s">
        <v>45</v>
      </c>
      <c r="E379" s="138">
        <v>33970</v>
      </c>
      <c r="F379" s="139" t="s">
        <v>83</v>
      </c>
      <c r="G379" s="12" t="s">
        <v>3112</v>
      </c>
      <c r="H379" s="12" t="s">
        <v>3113</v>
      </c>
      <c r="I379" s="6" t="str">
        <f>VLOOKUP(CLEAN(F379),'World Bank Categories'!$B$4:$C$220,2,FALSE)</f>
        <v>Low income</v>
      </c>
      <c r="J379" s="12" t="s">
        <v>3114</v>
      </c>
      <c r="K379" s="12" t="s">
        <v>29</v>
      </c>
      <c r="L379" s="12" t="s">
        <v>30</v>
      </c>
      <c r="P379" s="12" t="s">
        <v>31</v>
      </c>
      <c r="Q379" s="130" t="s">
        <v>32</v>
      </c>
      <c r="R379" s="119" t="s">
        <v>33</v>
      </c>
      <c r="S379" s="140" t="s">
        <v>3115</v>
      </c>
      <c r="W379" s="12"/>
    </row>
    <row r="380" spans="1:23" ht="22.5" customHeight="1">
      <c r="A380" s="144">
        <v>46101.865912997688</v>
      </c>
      <c r="B380" s="40" t="s">
        <v>3116</v>
      </c>
      <c r="C380" s="40" t="s">
        <v>3117</v>
      </c>
      <c r="D380" s="40" t="s">
        <v>45</v>
      </c>
      <c r="E380" s="145">
        <v>18055</v>
      </c>
      <c r="F380" s="146" t="s">
        <v>1745</v>
      </c>
      <c r="G380" s="40" t="s">
        <v>3118</v>
      </c>
      <c r="H380" s="40" t="s">
        <v>3119</v>
      </c>
      <c r="I380" s="6" t="str">
        <f>VLOOKUP(CLEAN(F380),'World Bank Categories'!$B$4:$C$220,2,FALSE)</f>
        <v>High income</v>
      </c>
      <c r="J380" s="40" t="s">
        <v>3120</v>
      </c>
      <c r="K380" s="40" t="s">
        <v>39</v>
      </c>
      <c r="L380" s="40" t="s">
        <v>152</v>
      </c>
      <c r="M380" s="40"/>
      <c r="N380" s="40"/>
      <c r="O380" s="40"/>
      <c r="P380" s="40" t="s">
        <v>31</v>
      </c>
      <c r="Q380" s="130" t="s">
        <v>32</v>
      </c>
      <c r="R380" s="119" t="s">
        <v>43</v>
      </c>
      <c r="S380" s="147" t="s">
        <v>3121</v>
      </c>
      <c r="T380" s="40"/>
      <c r="U380" s="40"/>
      <c r="V380" s="40"/>
      <c r="W380" s="40"/>
    </row>
    <row r="381" spans="1:23" ht="22.5" customHeight="1">
      <c r="A381" s="137">
        <v>46102.655898171295</v>
      </c>
      <c r="B381" s="12" t="s">
        <v>3122</v>
      </c>
      <c r="D381" s="12" t="s">
        <v>24</v>
      </c>
      <c r="E381" s="138">
        <v>36326</v>
      </c>
      <c r="F381" s="12" t="s">
        <v>58</v>
      </c>
      <c r="G381" s="12" t="s">
        <v>3123</v>
      </c>
      <c r="H381" s="12" t="s">
        <v>3124</v>
      </c>
      <c r="I381" s="6" t="str">
        <f>VLOOKUP(CLEAN(F381),'World Bank Categories'!$B$4:$C$220,2,FALSE)</f>
        <v>Middle income</v>
      </c>
      <c r="J381" s="12" t="s">
        <v>3125</v>
      </c>
      <c r="K381" s="12" t="s">
        <v>29</v>
      </c>
      <c r="L381" s="12" t="s">
        <v>30</v>
      </c>
      <c r="P381" s="12" t="s">
        <v>31</v>
      </c>
      <c r="Q381" s="130" t="s">
        <v>32</v>
      </c>
      <c r="R381" s="148" t="s">
        <v>43</v>
      </c>
      <c r="S381" s="149" t="s">
        <v>3126</v>
      </c>
      <c r="T381" s="150">
        <v>36326</v>
      </c>
      <c r="U381" s="149" t="s">
        <v>3125</v>
      </c>
      <c r="V381" s="151" t="s">
        <v>3127</v>
      </c>
      <c r="W381" s="151"/>
    </row>
    <row r="382" spans="1:23" ht="22.5" customHeight="1">
      <c r="A382" s="137">
        <v>46104.807750555556</v>
      </c>
      <c r="B382" s="12" t="s">
        <v>3128</v>
      </c>
      <c r="D382" s="12" t="s">
        <v>45</v>
      </c>
      <c r="E382" s="138">
        <v>27929</v>
      </c>
      <c r="F382" s="12" t="s">
        <v>1179</v>
      </c>
      <c r="G382" s="12" t="s">
        <v>3129</v>
      </c>
      <c r="H382" s="12" t="s">
        <v>3130</v>
      </c>
      <c r="I382" s="6" t="str">
        <f>VLOOKUP(CLEAN(F382),'World Bank Categories'!$B$4:$C$220,2,FALSE)</f>
        <v>High income</v>
      </c>
      <c r="J382" s="12" t="s">
        <v>3131</v>
      </c>
      <c r="K382" s="12" t="s">
        <v>29</v>
      </c>
      <c r="L382" s="12" t="s">
        <v>30</v>
      </c>
      <c r="P382" s="12" t="s">
        <v>31</v>
      </c>
      <c r="Q382" s="130" t="s">
        <v>32</v>
      </c>
      <c r="R382" s="152" t="s">
        <v>33</v>
      </c>
      <c r="S382" s="149" t="s">
        <v>3132</v>
      </c>
      <c r="T382" s="150">
        <v>27929</v>
      </c>
      <c r="U382" s="149" t="s">
        <v>3131</v>
      </c>
      <c r="V382" s="151" t="s">
        <v>3127</v>
      </c>
      <c r="W382" s="151"/>
    </row>
    <row r="383" spans="1:23" ht="22.5" customHeight="1">
      <c r="A383" s="137">
        <v>46104.846566180553</v>
      </c>
      <c r="B383" s="12" t="s">
        <v>3133</v>
      </c>
      <c r="C383" s="12" t="s">
        <v>3134</v>
      </c>
      <c r="D383" s="12" t="s">
        <v>24</v>
      </c>
      <c r="E383" s="138">
        <v>37708</v>
      </c>
      <c r="F383" s="141" t="s">
        <v>1053</v>
      </c>
      <c r="G383" s="12" t="s">
        <v>3135</v>
      </c>
      <c r="H383" s="12" t="s">
        <v>3136</v>
      </c>
      <c r="I383" s="6" t="str">
        <f>VLOOKUP(CLEAN(F383),'World Bank Categories'!$B$4:$C$220,2,FALSE)</f>
        <v>High income</v>
      </c>
      <c r="J383" s="12" t="s">
        <v>3137</v>
      </c>
      <c r="K383" s="12" t="s">
        <v>29</v>
      </c>
      <c r="L383" s="12" t="s">
        <v>30</v>
      </c>
      <c r="P383" s="12" t="s">
        <v>31</v>
      </c>
      <c r="Q383" s="130" t="s">
        <v>32</v>
      </c>
      <c r="R383" s="148" t="s">
        <v>43</v>
      </c>
      <c r="S383" s="149" t="s">
        <v>3138</v>
      </c>
      <c r="T383" s="150">
        <v>37708</v>
      </c>
      <c r="U383" s="149" t="s">
        <v>3137</v>
      </c>
      <c r="V383" s="151" t="s">
        <v>3127</v>
      </c>
      <c r="W383" s="151"/>
    </row>
    <row r="384" spans="1:23" ht="22.5" customHeight="1">
      <c r="A384" s="137">
        <v>46106.800996782404</v>
      </c>
      <c r="B384" s="12" t="s">
        <v>3148</v>
      </c>
      <c r="D384" s="12" t="s">
        <v>24</v>
      </c>
      <c r="E384" s="138">
        <v>33452</v>
      </c>
      <c r="F384" s="12" t="s">
        <v>732</v>
      </c>
      <c r="G384" s="12" t="s">
        <v>3149</v>
      </c>
      <c r="H384" s="12" t="s">
        <v>3150</v>
      </c>
      <c r="I384" s="6" t="str">
        <f>VLOOKUP(CLEAN(F384),'World Bank Categories'!$B$4:$C$220,2,FALSE)</f>
        <v>Middle income</v>
      </c>
      <c r="J384" s="12" t="s">
        <v>3151</v>
      </c>
      <c r="K384" s="12" t="s">
        <v>29</v>
      </c>
      <c r="L384" s="12" t="s">
        <v>30</v>
      </c>
      <c r="P384" s="12" t="s">
        <v>31</v>
      </c>
      <c r="Q384" s="130" t="s">
        <v>32</v>
      </c>
      <c r="R384" s="152" t="s">
        <v>33</v>
      </c>
      <c r="S384" s="149" t="s">
        <v>3148</v>
      </c>
      <c r="T384" s="150">
        <v>33452</v>
      </c>
      <c r="U384" s="149" t="s">
        <v>3151</v>
      </c>
      <c r="V384" s="151" t="s">
        <v>3127</v>
      </c>
      <c r="W384" s="151"/>
    </row>
    <row r="385" spans="1:23" ht="22.5" customHeight="1">
      <c r="A385" s="137">
        <v>46107.035129432872</v>
      </c>
      <c r="B385" s="12" t="s">
        <v>3157</v>
      </c>
      <c r="D385" s="12" t="s">
        <v>45</v>
      </c>
      <c r="E385" s="138">
        <v>32319</v>
      </c>
      <c r="F385" s="141" t="s">
        <v>838</v>
      </c>
      <c r="G385" s="12" t="s">
        <v>3158</v>
      </c>
      <c r="H385" s="12" t="s">
        <v>186</v>
      </c>
      <c r="I385" s="6" t="str">
        <f>VLOOKUP(CLEAN(F385),'World Bank Categories'!$B$4:$C$220,2,FALSE)</f>
        <v>Middle income</v>
      </c>
      <c r="J385" s="12" t="s">
        <v>3159</v>
      </c>
      <c r="K385" s="12" t="s">
        <v>29</v>
      </c>
      <c r="L385" s="12" t="s">
        <v>30</v>
      </c>
      <c r="P385" s="12" t="s">
        <v>31</v>
      </c>
      <c r="Q385" s="130" t="s">
        <v>32</v>
      </c>
      <c r="R385" s="152" t="s">
        <v>33</v>
      </c>
      <c r="S385" s="149" t="s">
        <v>3160</v>
      </c>
      <c r="T385" s="150">
        <v>32319</v>
      </c>
      <c r="U385" s="149" t="s">
        <v>3161</v>
      </c>
      <c r="V385" s="151" t="s">
        <v>3127</v>
      </c>
      <c r="W385" s="151"/>
    </row>
    <row r="386" spans="1:23" ht="22.5" customHeight="1">
      <c r="A386" s="137">
        <v>46107.043179270833</v>
      </c>
      <c r="B386" s="12" t="s">
        <v>3162</v>
      </c>
      <c r="D386" s="12" t="s">
        <v>45</v>
      </c>
      <c r="E386" s="138">
        <v>28885</v>
      </c>
      <c r="F386" s="141" t="s">
        <v>838</v>
      </c>
      <c r="G386" s="12" t="s">
        <v>3163</v>
      </c>
      <c r="H386" s="12" t="s">
        <v>111</v>
      </c>
      <c r="I386" s="6" t="str">
        <f>VLOOKUP(CLEAN(F386),'World Bank Categories'!$B$4:$C$220,2,FALSE)</f>
        <v>Middle income</v>
      </c>
      <c r="J386" s="12" t="s">
        <v>3164</v>
      </c>
      <c r="K386" s="12" t="s">
        <v>29</v>
      </c>
      <c r="L386" s="143" t="s">
        <v>1168</v>
      </c>
      <c r="P386" s="12" t="s">
        <v>31</v>
      </c>
      <c r="Q386" s="130" t="s">
        <v>32</v>
      </c>
      <c r="R386" s="148" t="s">
        <v>33</v>
      </c>
      <c r="S386" s="149" t="s">
        <v>3165</v>
      </c>
      <c r="T386" s="150">
        <v>28885</v>
      </c>
      <c r="U386" s="149" t="s">
        <v>3166</v>
      </c>
      <c r="V386" s="151" t="s">
        <v>3127</v>
      </c>
      <c r="W386" s="151"/>
    </row>
    <row r="387" spans="1:23" ht="22.5" customHeight="1">
      <c r="A387" s="137">
        <v>46107.149783993053</v>
      </c>
      <c r="B387" s="12" t="s">
        <v>3173</v>
      </c>
      <c r="D387" s="12" t="s">
        <v>45</v>
      </c>
      <c r="E387" s="138">
        <v>27674</v>
      </c>
      <c r="F387" s="12" t="s">
        <v>232</v>
      </c>
      <c r="G387" s="12" t="s">
        <v>2671</v>
      </c>
      <c r="H387" s="12" t="s">
        <v>54</v>
      </c>
      <c r="I387" s="6" t="str">
        <f>VLOOKUP(CLEAN(F387),'World Bank Categories'!$B$4:$C$220,2,FALSE)</f>
        <v>Middle income</v>
      </c>
      <c r="J387" s="12" t="s">
        <v>3169</v>
      </c>
      <c r="K387" s="12" t="s">
        <v>39</v>
      </c>
      <c r="L387" s="12" t="s">
        <v>621</v>
      </c>
      <c r="M387" s="12" t="s">
        <v>3174</v>
      </c>
      <c r="P387" s="12" t="s">
        <v>31</v>
      </c>
      <c r="Q387" s="130" t="s">
        <v>32</v>
      </c>
      <c r="R387" s="155" t="s">
        <v>43</v>
      </c>
      <c r="S387" s="149" t="s">
        <v>3175</v>
      </c>
      <c r="T387" s="150">
        <v>27674</v>
      </c>
      <c r="U387" s="154" t="s">
        <v>3176</v>
      </c>
      <c r="V387" s="151" t="s">
        <v>3172</v>
      </c>
      <c r="W387" s="151"/>
    </row>
    <row r="388" spans="1:23" ht="22.5" customHeight="1">
      <c r="A388" s="137">
        <v>46107.673210289351</v>
      </c>
      <c r="B388" s="12" t="s">
        <v>3177</v>
      </c>
      <c r="D388" s="12" t="s">
        <v>45</v>
      </c>
      <c r="E388" s="138">
        <v>35766</v>
      </c>
      <c r="F388" s="12" t="s">
        <v>486</v>
      </c>
      <c r="G388" s="12" t="s">
        <v>209</v>
      </c>
      <c r="H388" s="12" t="s">
        <v>3178</v>
      </c>
      <c r="I388" s="6" t="str">
        <f>VLOOKUP(CLEAN(F388),'World Bank Categories'!$B$4:$C$220,2,FALSE)</f>
        <v>High income</v>
      </c>
      <c r="J388" s="12" t="s">
        <v>3179</v>
      </c>
      <c r="K388" s="12" t="s">
        <v>29</v>
      </c>
      <c r="L388" s="12" t="s">
        <v>30</v>
      </c>
      <c r="P388" s="12" t="s">
        <v>31</v>
      </c>
      <c r="Q388" s="130" t="s">
        <v>32</v>
      </c>
      <c r="R388" s="152" t="s">
        <v>33</v>
      </c>
      <c r="S388" s="149" t="s">
        <v>3180</v>
      </c>
      <c r="T388" s="150">
        <v>35766</v>
      </c>
      <c r="U388" s="149" t="s">
        <v>3179</v>
      </c>
      <c r="V388" s="151" t="s">
        <v>3127</v>
      </c>
      <c r="W388" s="151"/>
    </row>
    <row r="389" spans="1:23" ht="22.5" customHeight="1">
      <c r="A389" s="137">
        <v>46107.910014629626</v>
      </c>
      <c r="B389" s="12" t="s">
        <v>3181</v>
      </c>
      <c r="D389" s="12" t="s">
        <v>24</v>
      </c>
      <c r="E389" s="138">
        <v>26825</v>
      </c>
      <c r="F389" s="12" t="s">
        <v>2777</v>
      </c>
      <c r="G389" s="12" t="s">
        <v>3182</v>
      </c>
      <c r="H389" s="12" t="s">
        <v>1756</v>
      </c>
      <c r="I389" s="6" t="str">
        <f>VLOOKUP(CLEAN(F389),'World Bank Categories'!$B$4:$C$220,2,FALSE)</f>
        <v>High income</v>
      </c>
      <c r="J389" s="12" t="s">
        <v>3183</v>
      </c>
      <c r="K389" s="12" t="s">
        <v>29</v>
      </c>
      <c r="L389" s="12" t="s">
        <v>30</v>
      </c>
      <c r="P389" s="12" t="s">
        <v>31</v>
      </c>
      <c r="Q389" s="130" t="s">
        <v>32</v>
      </c>
      <c r="R389" s="148" t="s">
        <v>43</v>
      </c>
      <c r="S389" s="156" t="s">
        <v>3181</v>
      </c>
      <c r="T389" s="150">
        <v>26825</v>
      </c>
      <c r="U389" s="149" t="s">
        <v>3183</v>
      </c>
      <c r="V389" s="151" t="s">
        <v>3127</v>
      </c>
      <c r="W389" s="151"/>
    </row>
    <row r="390" spans="1:23" ht="22.5" customHeight="1">
      <c r="A390" s="137">
        <v>46109.011199224537</v>
      </c>
      <c r="B390" s="12" t="s">
        <v>3184</v>
      </c>
      <c r="D390" s="12" t="s">
        <v>24</v>
      </c>
      <c r="E390" s="138">
        <v>37755</v>
      </c>
      <c r="F390" s="12" t="s">
        <v>3185</v>
      </c>
      <c r="G390" s="12" t="s">
        <v>3186</v>
      </c>
      <c r="H390" s="12" t="s">
        <v>3187</v>
      </c>
      <c r="I390" s="6" t="str">
        <f>VLOOKUP(CLEAN(F390),'World Bank Categories'!$B$4:$C$220,2,FALSE)</f>
        <v>Middle income</v>
      </c>
      <c r="J390" s="12" t="s">
        <v>3188</v>
      </c>
      <c r="K390" s="12" t="s">
        <v>29</v>
      </c>
      <c r="L390" s="12" t="s">
        <v>30</v>
      </c>
      <c r="P390" s="12" t="s">
        <v>31</v>
      </c>
      <c r="Q390" s="130" t="s">
        <v>32</v>
      </c>
      <c r="R390" s="148" t="s">
        <v>33</v>
      </c>
      <c r="S390" s="149" t="s">
        <v>3189</v>
      </c>
      <c r="T390" s="150">
        <v>37755</v>
      </c>
      <c r="U390" s="149" t="s">
        <v>3188</v>
      </c>
      <c r="V390" s="151" t="s">
        <v>3127</v>
      </c>
      <c r="W390" s="151"/>
    </row>
    <row r="391" spans="1:23" ht="22.5" customHeight="1">
      <c r="A391" s="137">
        <v>46109.104472592589</v>
      </c>
      <c r="B391" s="12" t="s">
        <v>3190</v>
      </c>
      <c r="C391" s="12" t="s">
        <v>3191</v>
      </c>
      <c r="D391" s="12" t="s">
        <v>24</v>
      </c>
      <c r="E391" s="138">
        <v>36097</v>
      </c>
      <c r="F391" s="12" t="s">
        <v>3192</v>
      </c>
      <c r="G391" s="12" t="s">
        <v>209</v>
      </c>
      <c r="H391" s="12" t="s">
        <v>3193</v>
      </c>
      <c r="I391" s="6" t="str">
        <f>VLOOKUP(CLEAN(F391),'World Bank Categories'!$B$4:$C$220,2,FALSE)</f>
        <v>Middle income</v>
      </c>
      <c r="J391" s="12" t="s">
        <v>3194</v>
      </c>
      <c r="K391" s="12" t="s">
        <v>29</v>
      </c>
      <c r="L391" s="12" t="s">
        <v>30</v>
      </c>
      <c r="P391" s="12" t="s">
        <v>31</v>
      </c>
      <c r="Q391" s="130" t="s">
        <v>32</v>
      </c>
      <c r="R391" s="152" t="s">
        <v>33</v>
      </c>
      <c r="S391" s="149" t="s">
        <v>3190</v>
      </c>
      <c r="T391" s="150">
        <v>36097</v>
      </c>
      <c r="U391" s="149" t="s">
        <v>3194</v>
      </c>
      <c r="V391" s="151" t="s">
        <v>3127</v>
      </c>
      <c r="W391" s="151"/>
    </row>
    <row r="392" spans="1:23" ht="22.5" customHeight="1">
      <c r="A392" s="137">
        <v>46109.253704988427</v>
      </c>
      <c r="B392" s="12" t="s">
        <v>3195</v>
      </c>
      <c r="C392" s="12" t="s">
        <v>3196</v>
      </c>
      <c r="D392" s="12" t="s">
        <v>24</v>
      </c>
      <c r="E392" s="138">
        <v>37565</v>
      </c>
      <c r="F392" s="12" t="s">
        <v>612</v>
      </c>
      <c r="G392" s="12" t="s">
        <v>3197</v>
      </c>
      <c r="H392" s="12" t="s">
        <v>3198</v>
      </c>
      <c r="I392" s="6" t="str">
        <f>VLOOKUP(CLEAN(F392),'World Bank Categories'!$B$4:$C$220,2,FALSE)</f>
        <v>Low income</v>
      </c>
      <c r="J392" s="12" t="s">
        <v>3199</v>
      </c>
      <c r="K392" s="12" t="s">
        <v>29</v>
      </c>
      <c r="L392" s="12" t="s">
        <v>30</v>
      </c>
      <c r="P392" s="12" t="s">
        <v>31</v>
      </c>
      <c r="Q392" s="130" t="s">
        <v>32</v>
      </c>
      <c r="R392" s="148" t="s">
        <v>33</v>
      </c>
      <c r="S392" s="149" t="s">
        <v>3200</v>
      </c>
      <c r="T392" s="150">
        <v>37565</v>
      </c>
      <c r="U392" s="149" t="s">
        <v>3199</v>
      </c>
      <c r="V392" s="151" t="s">
        <v>3127</v>
      </c>
      <c r="W392" s="151"/>
    </row>
    <row r="393" spans="1:23" ht="22.5" customHeight="1">
      <c r="A393" s="137">
        <v>46110.544456307871</v>
      </c>
      <c r="B393" s="12" t="s">
        <v>3201</v>
      </c>
      <c r="C393" s="12" t="s">
        <v>3202</v>
      </c>
      <c r="D393" s="12" t="s">
        <v>45</v>
      </c>
      <c r="E393" s="138">
        <v>38426</v>
      </c>
      <c r="F393" s="12" t="s">
        <v>1053</v>
      </c>
      <c r="G393" s="12" t="s">
        <v>3203</v>
      </c>
      <c r="H393" s="12" t="s">
        <v>66</v>
      </c>
      <c r="I393" s="6" t="str">
        <f>VLOOKUP(CLEAN(F393),'World Bank Categories'!$B$4:$C$220,2,FALSE)</f>
        <v>High income</v>
      </c>
      <c r="J393" s="12" t="s">
        <v>3204</v>
      </c>
      <c r="K393" s="12" t="s">
        <v>29</v>
      </c>
      <c r="L393" s="12" t="s">
        <v>30</v>
      </c>
      <c r="P393" s="12" t="s">
        <v>31</v>
      </c>
      <c r="Q393" s="130" t="s">
        <v>32</v>
      </c>
      <c r="R393" s="148" t="s">
        <v>43</v>
      </c>
      <c r="S393" s="149" t="s">
        <v>3205</v>
      </c>
      <c r="T393" s="150">
        <v>38426</v>
      </c>
      <c r="U393" s="149" t="s">
        <v>3204</v>
      </c>
      <c r="V393" s="151" t="s">
        <v>3127</v>
      </c>
      <c r="W393" s="151"/>
    </row>
    <row r="394" spans="1:23" ht="22.5" customHeight="1">
      <c r="A394" s="137">
        <v>46110.979662141202</v>
      </c>
      <c r="B394" s="12" t="s">
        <v>3206</v>
      </c>
      <c r="C394" s="12" t="s">
        <v>3207</v>
      </c>
      <c r="D394" s="12" t="s">
        <v>24</v>
      </c>
      <c r="E394" s="138">
        <v>37949</v>
      </c>
      <c r="F394" s="12" t="s">
        <v>1053</v>
      </c>
      <c r="G394" s="12" t="s">
        <v>3208</v>
      </c>
      <c r="H394" s="12" t="s">
        <v>160</v>
      </c>
      <c r="I394" s="6" t="str">
        <f>VLOOKUP(CLEAN(F394),'World Bank Categories'!$B$4:$C$220,2,FALSE)</f>
        <v>High income</v>
      </c>
      <c r="J394" s="12" t="s">
        <v>3209</v>
      </c>
      <c r="K394" s="12" t="s">
        <v>29</v>
      </c>
      <c r="L394" s="12" t="s">
        <v>30</v>
      </c>
      <c r="P394" s="12" t="s">
        <v>31</v>
      </c>
      <c r="Q394" s="130" t="s">
        <v>32</v>
      </c>
      <c r="R394" s="152" t="s">
        <v>43</v>
      </c>
      <c r="S394" s="149" t="s">
        <v>3210</v>
      </c>
      <c r="T394" s="150">
        <v>37949</v>
      </c>
      <c r="U394" s="149" t="s">
        <v>3209</v>
      </c>
      <c r="V394" s="151" t="s">
        <v>3127</v>
      </c>
      <c r="W394" s="151"/>
    </row>
    <row r="395" spans="1:23" ht="22.5" customHeight="1">
      <c r="A395" s="137">
        <v>46110.985707106476</v>
      </c>
      <c r="B395" s="12" t="s">
        <v>3211</v>
      </c>
      <c r="C395" s="12" t="s">
        <v>3212</v>
      </c>
      <c r="D395" s="12" t="s">
        <v>24</v>
      </c>
      <c r="E395" s="138">
        <v>38765</v>
      </c>
      <c r="F395" s="12" t="s">
        <v>1053</v>
      </c>
      <c r="G395" s="12" t="s">
        <v>3213</v>
      </c>
      <c r="H395" s="12" t="s">
        <v>66</v>
      </c>
      <c r="I395" s="6" t="str">
        <f>VLOOKUP(CLEAN(F395),'World Bank Categories'!$B$4:$C$220,2,FALSE)</f>
        <v>High income</v>
      </c>
      <c r="J395" s="12" t="s">
        <v>3214</v>
      </c>
      <c r="K395" s="12" t="s">
        <v>29</v>
      </c>
      <c r="L395" s="12" t="s">
        <v>30</v>
      </c>
      <c r="P395" s="12" t="s">
        <v>31</v>
      </c>
      <c r="Q395" s="130" t="s">
        <v>32</v>
      </c>
      <c r="R395" s="148" t="s">
        <v>43</v>
      </c>
      <c r="S395" s="149" t="s">
        <v>3215</v>
      </c>
      <c r="T395" s="150">
        <v>38765</v>
      </c>
      <c r="U395" s="149" t="s">
        <v>3214</v>
      </c>
      <c r="V395" s="151" t="s">
        <v>3127</v>
      </c>
      <c r="W395" s="151"/>
    </row>
    <row r="396" spans="1:23" ht="22.5" customHeight="1">
      <c r="A396" s="137">
        <v>46111.383069097225</v>
      </c>
      <c r="B396" s="12" t="s">
        <v>3217</v>
      </c>
      <c r="D396" s="12" t="s">
        <v>24</v>
      </c>
      <c r="E396" s="138">
        <v>25751</v>
      </c>
      <c r="F396" s="12" t="s">
        <v>1387</v>
      </c>
      <c r="G396" s="12" t="s">
        <v>3218</v>
      </c>
      <c r="H396" s="12" t="s">
        <v>3219</v>
      </c>
      <c r="I396" s="6" t="str">
        <f>VLOOKUP(CLEAN(F396),'World Bank Categories'!$B$4:$C$220,2,FALSE)</f>
        <v>Middle income</v>
      </c>
      <c r="J396" s="12" t="s">
        <v>3220</v>
      </c>
      <c r="K396" s="12" t="s">
        <v>39</v>
      </c>
      <c r="L396" s="12" t="s">
        <v>30</v>
      </c>
      <c r="P396" s="12" t="s">
        <v>31</v>
      </c>
      <c r="Q396" s="130" t="s">
        <v>32</v>
      </c>
      <c r="R396" s="148" t="s">
        <v>33</v>
      </c>
      <c r="S396" s="149" t="s">
        <v>3221</v>
      </c>
      <c r="T396" s="150">
        <v>25751</v>
      </c>
      <c r="U396" s="149" t="s">
        <v>3220</v>
      </c>
      <c r="V396" s="151" t="s">
        <v>3127</v>
      </c>
      <c r="W396" s="151"/>
    </row>
    <row r="397" spans="1:23" ht="22.5" customHeight="1">
      <c r="A397" s="137">
        <v>46111.54476167824</v>
      </c>
      <c r="B397" s="12" t="s">
        <v>3222</v>
      </c>
      <c r="D397" s="12" t="s">
        <v>24</v>
      </c>
      <c r="E397" s="138">
        <v>37401</v>
      </c>
      <c r="F397" s="12" t="s">
        <v>1179</v>
      </c>
      <c r="G397" s="12" t="s">
        <v>3223</v>
      </c>
      <c r="H397" s="12" t="s">
        <v>368</v>
      </c>
      <c r="I397" s="6" t="str">
        <f>VLOOKUP(CLEAN(F397),'World Bank Categories'!$B$4:$C$220,2,FALSE)</f>
        <v>High income</v>
      </c>
      <c r="J397" s="12" t="s">
        <v>3224</v>
      </c>
      <c r="K397" s="12" t="s">
        <v>29</v>
      </c>
      <c r="L397" s="12" t="s">
        <v>30</v>
      </c>
      <c r="P397" s="12" t="s">
        <v>31</v>
      </c>
      <c r="Q397" s="130" t="s">
        <v>32</v>
      </c>
      <c r="R397" s="152" t="s">
        <v>43</v>
      </c>
      <c r="S397" s="149" t="s">
        <v>3225</v>
      </c>
      <c r="T397" s="150">
        <v>37401</v>
      </c>
      <c r="U397" s="149" t="s">
        <v>3224</v>
      </c>
      <c r="V397" s="151" t="s">
        <v>3127</v>
      </c>
      <c r="W397" s="151"/>
    </row>
    <row r="398" spans="1:23" ht="22.5" customHeight="1">
      <c r="A398" s="137">
        <v>46111.701133159717</v>
      </c>
      <c r="B398" s="12" t="s">
        <v>3233</v>
      </c>
      <c r="C398" s="12" t="s">
        <v>3234</v>
      </c>
      <c r="D398" s="12" t="s">
        <v>24</v>
      </c>
      <c r="E398" s="138">
        <v>38465</v>
      </c>
      <c r="F398" s="12" t="s">
        <v>1053</v>
      </c>
      <c r="G398" s="12" t="s">
        <v>3235</v>
      </c>
      <c r="H398" s="12" t="s">
        <v>160</v>
      </c>
      <c r="I398" s="6" t="str">
        <f>VLOOKUP(CLEAN(F398),'World Bank Categories'!$B$4:$C$220,2,FALSE)</f>
        <v>High income</v>
      </c>
      <c r="J398" s="12" t="s">
        <v>3236</v>
      </c>
      <c r="K398" s="12" t="s">
        <v>39</v>
      </c>
      <c r="L398" s="12" t="s">
        <v>621</v>
      </c>
      <c r="P398" s="12" t="s">
        <v>31</v>
      </c>
      <c r="Q398" s="130" t="s">
        <v>32</v>
      </c>
      <c r="R398" s="152" t="s">
        <v>43</v>
      </c>
      <c r="S398" s="149" t="s">
        <v>3233</v>
      </c>
      <c r="T398" s="150">
        <v>38465</v>
      </c>
      <c r="U398" s="149" t="s">
        <v>3236</v>
      </c>
      <c r="V398" s="151" t="s">
        <v>3127</v>
      </c>
      <c r="W398" s="151"/>
    </row>
    <row r="399" spans="1:23" ht="22.5" customHeight="1">
      <c r="A399" s="137">
        <v>46112.435909965279</v>
      </c>
      <c r="B399" s="12" t="s">
        <v>3248</v>
      </c>
      <c r="D399" s="12" t="s">
        <v>24</v>
      </c>
      <c r="E399" s="138">
        <v>20122</v>
      </c>
      <c r="F399" s="12" t="s">
        <v>198</v>
      </c>
      <c r="G399" s="12" t="s">
        <v>3249</v>
      </c>
      <c r="H399" s="12" t="s">
        <v>3250</v>
      </c>
      <c r="I399" s="6" t="str">
        <f>VLOOKUP(CLEAN(F399),'World Bank Categories'!$B$4:$C$220,2,FALSE)</f>
        <v>Middle income</v>
      </c>
      <c r="J399" s="12" t="s">
        <v>3251</v>
      </c>
      <c r="K399" s="12" t="s">
        <v>29</v>
      </c>
      <c r="L399" s="12" t="s">
        <v>30</v>
      </c>
      <c r="P399" s="12" t="s">
        <v>31</v>
      </c>
      <c r="Q399" s="130" t="s">
        <v>32</v>
      </c>
      <c r="R399" s="148" t="s">
        <v>43</v>
      </c>
      <c r="S399" s="149" t="s">
        <v>3252</v>
      </c>
      <c r="T399" s="150">
        <v>20122</v>
      </c>
      <c r="U399" s="149" t="s">
        <v>3251</v>
      </c>
      <c r="V399" s="151" t="s">
        <v>3127</v>
      </c>
      <c r="W399" s="151"/>
    </row>
    <row r="400" spans="1:23" ht="22.5" customHeight="1">
      <c r="A400" s="137">
        <v>46112.435999317131</v>
      </c>
      <c r="B400" s="12" t="s">
        <v>3253</v>
      </c>
      <c r="D400" s="12" t="s">
        <v>24</v>
      </c>
      <c r="E400" s="138">
        <v>28244</v>
      </c>
      <c r="F400" s="12" t="s">
        <v>198</v>
      </c>
      <c r="G400" s="12" t="s">
        <v>3254</v>
      </c>
      <c r="H400" s="12" t="s">
        <v>3255</v>
      </c>
      <c r="I400" s="6" t="str">
        <f>VLOOKUP(CLEAN(F400),'World Bank Categories'!$B$4:$C$220,2,FALSE)</f>
        <v>Middle income</v>
      </c>
      <c r="J400" s="12" t="s">
        <v>3256</v>
      </c>
      <c r="K400" s="12" t="s">
        <v>29</v>
      </c>
      <c r="L400" s="12" t="s">
        <v>30</v>
      </c>
      <c r="P400" s="12" t="s">
        <v>31</v>
      </c>
      <c r="Q400" s="130" t="s">
        <v>32</v>
      </c>
      <c r="R400" s="152" t="s">
        <v>43</v>
      </c>
      <c r="S400" s="149" t="s">
        <v>3257</v>
      </c>
      <c r="T400" s="150">
        <v>28244</v>
      </c>
      <c r="U400" s="149" t="s">
        <v>3256</v>
      </c>
      <c r="V400" s="151" t="s">
        <v>3127</v>
      </c>
      <c r="W400" s="151"/>
    </row>
    <row r="401" spans="1:23" ht="22.5" customHeight="1">
      <c r="A401" s="137">
        <v>46112.615925509264</v>
      </c>
      <c r="B401" s="12" t="s">
        <v>3258</v>
      </c>
      <c r="C401" s="12" t="s">
        <v>3259</v>
      </c>
      <c r="D401" s="12" t="s">
        <v>45</v>
      </c>
      <c r="E401" s="138">
        <v>38342</v>
      </c>
      <c r="F401" s="12" t="s">
        <v>1053</v>
      </c>
      <c r="G401" s="12" t="s">
        <v>3260</v>
      </c>
      <c r="H401" s="12" t="s">
        <v>66</v>
      </c>
      <c r="I401" s="6" t="str">
        <f>VLOOKUP(CLEAN(F401),'World Bank Categories'!$B$4:$C$220,2,FALSE)</f>
        <v>High income</v>
      </c>
      <c r="J401" s="12" t="s">
        <v>3261</v>
      </c>
      <c r="K401" s="12" t="s">
        <v>29</v>
      </c>
      <c r="L401" s="12" t="s">
        <v>30</v>
      </c>
      <c r="P401" s="12" t="s">
        <v>31</v>
      </c>
      <c r="Q401" s="130" t="s">
        <v>32</v>
      </c>
      <c r="R401" s="148" t="s">
        <v>43</v>
      </c>
      <c r="S401" s="149" t="s">
        <v>3258</v>
      </c>
      <c r="T401" s="150">
        <v>38342</v>
      </c>
      <c r="U401" s="149" t="s">
        <v>3262</v>
      </c>
      <c r="V401" s="151" t="s">
        <v>3127</v>
      </c>
      <c r="W401" s="151"/>
    </row>
    <row r="402" spans="1:23" ht="22.5" customHeight="1">
      <c r="A402" s="137">
        <v>46113.165243506941</v>
      </c>
      <c r="B402" s="12" t="s">
        <v>3272</v>
      </c>
      <c r="D402" s="12" t="s">
        <v>45</v>
      </c>
      <c r="E402" s="138">
        <v>34856</v>
      </c>
      <c r="F402" s="12" t="s">
        <v>3273</v>
      </c>
      <c r="G402" s="12" t="s">
        <v>3274</v>
      </c>
      <c r="H402" s="12" t="s">
        <v>1513</v>
      </c>
      <c r="I402" s="6" t="str">
        <f>VLOOKUP(CLEAN(F402),'World Bank Categories'!$B$4:$C$220,2,FALSE)</f>
        <v>Low income</v>
      </c>
      <c r="J402" s="12" t="s">
        <v>3275</v>
      </c>
      <c r="K402" s="12" t="s">
        <v>29</v>
      </c>
      <c r="L402" s="12" t="s">
        <v>30</v>
      </c>
      <c r="P402" s="12" t="s">
        <v>31</v>
      </c>
      <c r="Q402" s="130" t="s">
        <v>32</v>
      </c>
      <c r="R402" s="152" t="s">
        <v>33</v>
      </c>
      <c r="S402" s="149" t="s">
        <v>3276</v>
      </c>
      <c r="T402" s="150">
        <v>34856</v>
      </c>
      <c r="U402" s="149" t="s">
        <v>3277</v>
      </c>
      <c r="V402" s="151" t="s">
        <v>3127</v>
      </c>
      <c r="W402" s="151"/>
    </row>
    <row r="403" spans="1:23" ht="22.5" customHeight="1">
      <c r="A403" s="137">
        <v>46114.724901319445</v>
      </c>
      <c r="B403" s="12" t="s">
        <v>3278</v>
      </c>
      <c r="D403" s="12" t="s">
        <v>24</v>
      </c>
      <c r="E403" s="138">
        <v>36674</v>
      </c>
      <c r="F403" s="12" t="s">
        <v>433</v>
      </c>
      <c r="G403" s="12" t="s">
        <v>3279</v>
      </c>
      <c r="H403" s="12" t="s">
        <v>191</v>
      </c>
      <c r="I403" s="6" t="str">
        <f>VLOOKUP(CLEAN(F403),'World Bank Categories'!$B$4:$C$220,2,FALSE)</f>
        <v>Low income</v>
      </c>
      <c r="J403" s="12" t="s">
        <v>3280</v>
      </c>
      <c r="K403" s="12" t="s">
        <v>39</v>
      </c>
      <c r="L403" s="12" t="s">
        <v>30</v>
      </c>
      <c r="P403" s="12" t="s">
        <v>31</v>
      </c>
      <c r="Q403" s="130" t="s">
        <v>32</v>
      </c>
      <c r="R403" s="148" t="s">
        <v>33</v>
      </c>
      <c r="S403" s="149" t="s">
        <v>3281</v>
      </c>
      <c r="T403" s="150">
        <v>36674</v>
      </c>
      <c r="U403" s="149" t="s">
        <v>3280</v>
      </c>
      <c r="V403" s="151" t="s">
        <v>3127</v>
      </c>
      <c r="W403" s="151"/>
    </row>
    <row r="404" spans="1:23" ht="22.5" customHeight="1">
      <c r="A404" s="137">
        <v>46115.465900729163</v>
      </c>
      <c r="B404" s="12" t="s">
        <v>3286</v>
      </c>
      <c r="D404" s="12" t="s">
        <v>24</v>
      </c>
      <c r="E404" s="138">
        <v>30324</v>
      </c>
      <c r="F404" s="12" t="s">
        <v>1958</v>
      </c>
      <c r="G404" s="12" t="s">
        <v>3287</v>
      </c>
      <c r="H404" s="12" t="s">
        <v>1069</v>
      </c>
      <c r="I404" s="6" t="str">
        <f>VLOOKUP(CLEAN(F404),'World Bank Categories'!$B$4:$C$220,2,FALSE)</f>
        <v>Middle income</v>
      </c>
      <c r="J404" s="12" t="s">
        <v>3288</v>
      </c>
      <c r="K404" s="12" t="s">
        <v>29</v>
      </c>
      <c r="L404" s="12" t="s">
        <v>30</v>
      </c>
      <c r="P404" s="12" t="s">
        <v>31</v>
      </c>
      <c r="Q404" s="130" t="s">
        <v>32</v>
      </c>
      <c r="R404" s="148" t="s">
        <v>43</v>
      </c>
      <c r="S404" s="149" t="s">
        <v>3286</v>
      </c>
      <c r="T404" s="150">
        <v>30324</v>
      </c>
      <c r="U404" s="149" t="s">
        <v>3288</v>
      </c>
      <c r="V404" s="151" t="s">
        <v>3127</v>
      </c>
      <c r="W404" s="151"/>
    </row>
    <row r="405" spans="1:23" ht="22.5" customHeight="1">
      <c r="A405" s="166">
        <v>46118.092334965273</v>
      </c>
      <c r="B405" s="167" t="s">
        <v>3289</v>
      </c>
      <c r="C405" s="168"/>
      <c r="D405" s="167" t="s">
        <v>24</v>
      </c>
      <c r="E405" s="169">
        <v>35624</v>
      </c>
      <c r="F405" s="167" t="s">
        <v>3040</v>
      </c>
      <c r="G405" s="167" t="s">
        <v>209</v>
      </c>
      <c r="H405" s="167" t="s">
        <v>90</v>
      </c>
      <c r="I405" s="6" t="str">
        <f>VLOOKUP(CLEAN(F405),'World Bank Categories'!$B$4:$C$220,2,FALSE)</f>
        <v>High income</v>
      </c>
      <c r="J405" s="167" t="s">
        <v>3290</v>
      </c>
      <c r="K405" s="167" t="s">
        <v>29</v>
      </c>
      <c r="L405" s="167" t="s">
        <v>30</v>
      </c>
      <c r="M405" s="167"/>
      <c r="N405" s="167"/>
      <c r="O405" s="168"/>
      <c r="P405" s="167" t="s">
        <v>2293</v>
      </c>
      <c r="Q405" s="130" t="s">
        <v>32</v>
      </c>
      <c r="R405" s="162" t="s">
        <v>43</v>
      </c>
      <c r="S405" s="163"/>
      <c r="T405" s="164"/>
      <c r="U405" s="163"/>
      <c r="V405" s="165"/>
      <c r="W405" s="165"/>
    </row>
    <row r="406" spans="1:23" ht="22.5" customHeight="1">
      <c r="A406" s="137">
        <v>46118.985081180552</v>
      </c>
      <c r="B406" s="12" t="s">
        <v>3291</v>
      </c>
      <c r="C406" s="12" t="s">
        <v>3292</v>
      </c>
      <c r="D406" s="12" t="s">
        <v>45</v>
      </c>
      <c r="E406" s="138">
        <v>35339</v>
      </c>
      <c r="F406" s="12" t="s">
        <v>3293</v>
      </c>
      <c r="G406" s="12" t="s">
        <v>3294</v>
      </c>
      <c r="H406" s="12" t="s">
        <v>3295</v>
      </c>
      <c r="I406" s="6" t="str">
        <f>VLOOKUP(CLEAN(F406),'World Bank Categories'!$B$4:$C$220,2,FALSE)</f>
        <v>Middle income</v>
      </c>
      <c r="J406" s="12" t="s">
        <v>3296</v>
      </c>
      <c r="K406" s="12" t="s">
        <v>29</v>
      </c>
      <c r="L406" s="12" t="s">
        <v>30</v>
      </c>
      <c r="P406" s="12" t="s">
        <v>31</v>
      </c>
      <c r="Q406" s="130" t="s">
        <v>32</v>
      </c>
      <c r="R406" s="148" t="s">
        <v>33</v>
      </c>
      <c r="S406" s="149" t="s">
        <v>3297</v>
      </c>
      <c r="T406" s="150">
        <v>35339</v>
      </c>
      <c r="U406" s="149" t="s">
        <v>3296</v>
      </c>
      <c r="V406" s="170" t="s">
        <v>3127</v>
      </c>
      <c r="W406" s="170"/>
    </row>
    <row r="407" spans="1:23" ht="22.5" customHeight="1">
      <c r="A407" s="158">
        <v>46121.787122002315</v>
      </c>
      <c r="B407" s="159" t="s">
        <v>3298</v>
      </c>
      <c r="C407" s="161"/>
      <c r="D407" s="159" t="s">
        <v>45</v>
      </c>
      <c r="E407" s="160">
        <v>32515</v>
      </c>
      <c r="F407" s="159" t="s">
        <v>3040</v>
      </c>
      <c r="G407" s="159" t="s">
        <v>3299</v>
      </c>
      <c r="H407" s="159" t="s">
        <v>2162</v>
      </c>
      <c r="I407" s="6" t="str">
        <f>VLOOKUP(CLEAN(F407),'World Bank Categories'!$B$4:$C$220,2,FALSE)</f>
        <v>High income</v>
      </c>
      <c r="J407" s="159" t="s">
        <v>3300</v>
      </c>
      <c r="K407" s="159" t="s">
        <v>29</v>
      </c>
      <c r="L407" s="159" t="s">
        <v>30</v>
      </c>
      <c r="M407" s="159"/>
      <c r="N407" s="159"/>
      <c r="O407" s="171"/>
      <c r="P407" s="159" t="s">
        <v>31</v>
      </c>
      <c r="Q407" s="130" t="s">
        <v>32</v>
      </c>
      <c r="R407" s="162" t="s">
        <v>43</v>
      </c>
      <c r="S407" s="172"/>
      <c r="T407" s="173"/>
      <c r="U407" s="172"/>
      <c r="V407" s="151"/>
      <c r="W407" s="151"/>
    </row>
    <row r="408" spans="1:23" ht="22.5" customHeight="1">
      <c r="A408" s="137">
        <v>46121.994184513889</v>
      </c>
      <c r="B408" s="12" t="s">
        <v>3301</v>
      </c>
      <c r="D408" s="12" t="s">
        <v>45</v>
      </c>
      <c r="E408" s="138">
        <v>31016</v>
      </c>
      <c r="F408" s="12" t="s">
        <v>232</v>
      </c>
      <c r="G408" s="12" t="s">
        <v>3302</v>
      </c>
      <c r="H408" s="12" t="s">
        <v>3303</v>
      </c>
      <c r="I408" s="6" t="str">
        <f>VLOOKUP(CLEAN(F408),'World Bank Categories'!$B$4:$C$220,2,FALSE)</f>
        <v>Middle income</v>
      </c>
      <c r="J408" s="12" t="s">
        <v>3304</v>
      </c>
      <c r="K408" s="12" t="s">
        <v>29</v>
      </c>
      <c r="L408" s="12" t="s">
        <v>30</v>
      </c>
      <c r="P408" s="12" t="s">
        <v>31</v>
      </c>
      <c r="Q408" s="130" t="s">
        <v>32</v>
      </c>
      <c r="R408" s="174" t="s">
        <v>33</v>
      </c>
      <c r="S408" s="172" t="s">
        <v>3305</v>
      </c>
      <c r="T408" s="173">
        <v>31016</v>
      </c>
      <c r="U408" s="172" t="s">
        <v>3304</v>
      </c>
      <c r="V408" s="151" t="s">
        <v>3127</v>
      </c>
      <c r="W408" s="151"/>
    </row>
    <row r="409" spans="1:23" ht="22.5" customHeight="1">
      <c r="A409" s="175">
        <v>46122.988996585649</v>
      </c>
      <c r="B409" s="176" t="s">
        <v>3315</v>
      </c>
      <c r="C409" s="176" t="s">
        <v>3316</v>
      </c>
      <c r="D409" s="176" t="s">
        <v>24</v>
      </c>
      <c r="E409" s="177">
        <v>35442</v>
      </c>
      <c r="F409" s="176" t="s">
        <v>3317</v>
      </c>
      <c r="G409" s="176" t="s">
        <v>209</v>
      </c>
      <c r="H409" s="176" t="s">
        <v>418</v>
      </c>
      <c r="I409" s="6" t="str">
        <f>VLOOKUP(CLEAN(F409),'World Bank Categories'!$B$4:$C$220,2,FALSE)</f>
        <v>Low income</v>
      </c>
      <c r="J409" s="176" t="s">
        <v>3318</v>
      </c>
      <c r="K409" s="176" t="s">
        <v>29</v>
      </c>
      <c r="L409" s="176" t="s">
        <v>30</v>
      </c>
      <c r="M409" s="176" t="s">
        <v>3319</v>
      </c>
      <c r="N409" s="176"/>
      <c r="O409" s="176"/>
      <c r="P409" s="176" t="s">
        <v>31</v>
      </c>
      <c r="Q409" s="130" t="s">
        <v>32</v>
      </c>
      <c r="R409" s="174" t="s">
        <v>33</v>
      </c>
      <c r="S409" s="172" t="s">
        <v>3315</v>
      </c>
      <c r="T409" s="173">
        <v>35442</v>
      </c>
      <c r="U409" s="172" t="s">
        <v>3318</v>
      </c>
      <c r="V409" s="180" t="s">
        <v>3320</v>
      </c>
      <c r="W409" s="180"/>
    </row>
    <row r="410" spans="1:23" ht="22.5" customHeight="1">
      <c r="A410" s="137">
        <v>46123.005461597219</v>
      </c>
      <c r="B410" s="12" t="s">
        <v>3321</v>
      </c>
      <c r="D410" s="12" t="s">
        <v>24</v>
      </c>
      <c r="E410" s="138">
        <v>35666</v>
      </c>
      <c r="F410" s="12" t="s">
        <v>346</v>
      </c>
      <c r="G410" s="12" t="s">
        <v>353</v>
      </c>
      <c r="H410" s="12" t="s">
        <v>3322</v>
      </c>
      <c r="I410" s="6" t="str">
        <f>VLOOKUP(CLEAN(F410),'World Bank Categories'!$B$4:$C$220,2,FALSE)</f>
        <v>Middle income</v>
      </c>
      <c r="J410" s="12" t="s">
        <v>3323</v>
      </c>
      <c r="K410" s="12" t="s">
        <v>29</v>
      </c>
      <c r="L410" s="12" t="s">
        <v>30</v>
      </c>
      <c r="P410" s="12" t="s">
        <v>31</v>
      </c>
      <c r="Q410" s="130" t="s">
        <v>32</v>
      </c>
      <c r="R410" s="178" t="s">
        <v>33</v>
      </c>
      <c r="S410" s="172" t="s">
        <v>3324</v>
      </c>
      <c r="T410" s="173">
        <v>35666</v>
      </c>
      <c r="U410" s="172" t="s">
        <v>3323</v>
      </c>
      <c r="V410" s="151" t="s">
        <v>3325</v>
      </c>
      <c r="W410" s="151"/>
    </row>
    <row r="411" spans="1:23" ht="22.5" customHeight="1">
      <c r="A411" s="137">
        <v>46123.025678645834</v>
      </c>
      <c r="B411" s="12" t="s">
        <v>3326</v>
      </c>
      <c r="D411" s="12" t="s">
        <v>24</v>
      </c>
      <c r="E411" s="138">
        <v>35424</v>
      </c>
      <c r="F411" s="12" t="s">
        <v>623</v>
      </c>
      <c r="G411" s="12" t="s">
        <v>3327</v>
      </c>
      <c r="H411" s="12" t="s">
        <v>1031</v>
      </c>
      <c r="I411" s="6" t="str">
        <f>VLOOKUP(CLEAN(F411),'World Bank Categories'!$B$4:$C$220,2,FALSE)</f>
        <v>Middle income</v>
      </c>
      <c r="J411" s="12" t="s">
        <v>3328</v>
      </c>
      <c r="K411" s="12" t="s">
        <v>39</v>
      </c>
      <c r="L411" s="12" t="s">
        <v>30</v>
      </c>
      <c r="M411" s="12" t="s">
        <v>3329</v>
      </c>
      <c r="P411" s="12" t="s">
        <v>31</v>
      </c>
      <c r="Q411" s="130" t="s">
        <v>32</v>
      </c>
      <c r="R411" s="178" t="s">
        <v>33</v>
      </c>
      <c r="S411" s="172" t="s">
        <v>3326</v>
      </c>
      <c r="T411" s="173">
        <v>35424</v>
      </c>
      <c r="U411" s="172" t="s">
        <v>3328</v>
      </c>
      <c r="V411" s="151" t="s">
        <v>3127</v>
      </c>
      <c r="W411" s="151"/>
    </row>
    <row r="412" spans="1:23" ht="22.5" customHeight="1">
      <c r="A412" s="137">
        <v>46123.239067650458</v>
      </c>
      <c r="B412" s="12" t="s">
        <v>3330</v>
      </c>
      <c r="D412" s="12" t="s">
        <v>24</v>
      </c>
      <c r="E412" s="138">
        <v>37872</v>
      </c>
      <c r="F412" s="12" t="s">
        <v>475</v>
      </c>
      <c r="G412" s="12" t="s">
        <v>1779</v>
      </c>
      <c r="H412" s="12" t="s">
        <v>138</v>
      </c>
      <c r="I412" s="6" t="str">
        <f>VLOOKUP(CLEAN(F412),'World Bank Categories'!$B$4:$C$220,2,FALSE)</f>
        <v>Middle income</v>
      </c>
      <c r="J412" s="12" t="s">
        <v>3331</v>
      </c>
      <c r="K412" s="12" t="s">
        <v>29</v>
      </c>
      <c r="L412" s="12" t="s">
        <v>30</v>
      </c>
      <c r="P412" s="12" t="s">
        <v>31</v>
      </c>
      <c r="Q412" s="130" t="s">
        <v>32</v>
      </c>
      <c r="R412" s="174" t="s">
        <v>33</v>
      </c>
      <c r="S412" s="172" t="s">
        <v>3332</v>
      </c>
      <c r="T412" s="173">
        <v>37872</v>
      </c>
      <c r="U412" s="172" t="s">
        <v>3331</v>
      </c>
      <c r="V412" s="151" t="s">
        <v>3127</v>
      </c>
      <c r="W412" s="151"/>
    </row>
    <row r="413" spans="1:23" ht="22.5" customHeight="1">
      <c r="A413" s="137">
        <v>46123.275552453706</v>
      </c>
      <c r="B413" s="12" t="s">
        <v>3333</v>
      </c>
      <c r="D413" s="12" t="s">
        <v>45</v>
      </c>
      <c r="E413" s="138">
        <v>20255</v>
      </c>
      <c r="F413" s="12" t="s">
        <v>623</v>
      </c>
      <c r="G413" s="12" t="s">
        <v>3334</v>
      </c>
      <c r="H413" s="12" t="s">
        <v>3335</v>
      </c>
      <c r="I413" s="6" t="str">
        <f>VLOOKUP(CLEAN(F413),'World Bank Categories'!$B$4:$C$220,2,FALSE)</f>
        <v>Middle income</v>
      </c>
      <c r="J413" s="12" t="s">
        <v>3336</v>
      </c>
      <c r="K413" s="12" t="s">
        <v>39</v>
      </c>
      <c r="L413" s="12" t="s">
        <v>152</v>
      </c>
      <c r="M413" s="12" t="s">
        <v>3337</v>
      </c>
      <c r="P413" s="12" t="s">
        <v>31</v>
      </c>
      <c r="Q413" s="130" t="s">
        <v>32</v>
      </c>
      <c r="R413" s="178" t="s">
        <v>33</v>
      </c>
      <c r="S413" s="172" t="s">
        <v>3333</v>
      </c>
      <c r="T413" s="173">
        <v>20255</v>
      </c>
      <c r="U413" s="172" t="s">
        <v>3336</v>
      </c>
      <c r="V413" s="151" t="s">
        <v>3127</v>
      </c>
      <c r="W413" s="151"/>
    </row>
    <row r="414" spans="1:23" ht="22.5" customHeight="1">
      <c r="A414" s="137">
        <v>46123.328289791665</v>
      </c>
      <c r="B414" s="12" t="s">
        <v>3338</v>
      </c>
      <c r="D414" s="12" t="s">
        <v>24</v>
      </c>
      <c r="E414" s="138">
        <v>27492</v>
      </c>
      <c r="F414" s="12" t="s">
        <v>2066</v>
      </c>
      <c r="G414" s="12" t="s">
        <v>3339</v>
      </c>
      <c r="H414" s="12" t="s">
        <v>2219</v>
      </c>
      <c r="I414" s="6" t="str">
        <f>VLOOKUP(CLEAN(F414),'World Bank Categories'!$B$4:$C$220,2,FALSE)</f>
        <v>High income</v>
      </c>
      <c r="J414" s="12" t="s">
        <v>3340</v>
      </c>
      <c r="K414" s="12" t="s">
        <v>29</v>
      </c>
      <c r="L414" s="12" t="s">
        <v>30</v>
      </c>
      <c r="P414" s="12" t="s">
        <v>31</v>
      </c>
      <c r="Q414" s="130" t="s">
        <v>32</v>
      </c>
      <c r="R414" s="174" t="s">
        <v>33</v>
      </c>
      <c r="S414" s="172" t="s">
        <v>3341</v>
      </c>
      <c r="T414" s="173">
        <v>27492</v>
      </c>
      <c r="U414" s="172" t="s">
        <v>3342</v>
      </c>
      <c r="V414" s="151" t="s">
        <v>3127</v>
      </c>
      <c r="W414" s="151"/>
    </row>
    <row r="415" spans="1:23" ht="22.5" customHeight="1">
      <c r="A415" s="137">
        <v>46123.476636111111</v>
      </c>
      <c r="B415" s="12" t="s">
        <v>3349</v>
      </c>
      <c r="D415" s="12" t="s">
        <v>24</v>
      </c>
      <c r="E415" s="138">
        <v>32314</v>
      </c>
      <c r="F415" s="12" t="s">
        <v>623</v>
      </c>
      <c r="G415" s="12" t="s">
        <v>3350</v>
      </c>
      <c r="H415" s="12" t="s">
        <v>3351</v>
      </c>
      <c r="I415" s="6" t="str">
        <f>VLOOKUP(CLEAN(F415),'World Bank Categories'!$B$4:$C$220,2,FALSE)</f>
        <v>Middle income</v>
      </c>
      <c r="J415" s="12" t="s">
        <v>3352</v>
      </c>
      <c r="K415" s="12" t="s">
        <v>29</v>
      </c>
      <c r="L415" s="12" t="s">
        <v>30</v>
      </c>
      <c r="P415" s="12" t="s">
        <v>31</v>
      </c>
      <c r="Q415" s="130" t="s">
        <v>32</v>
      </c>
      <c r="R415" s="174" t="s">
        <v>33</v>
      </c>
      <c r="S415" s="172" t="s">
        <v>3353</v>
      </c>
      <c r="T415" s="173">
        <v>32314</v>
      </c>
      <c r="U415" s="172" t="s">
        <v>3352</v>
      </c>
      <c r="V415" s="151" t="s">
        <v>3127</v>
      </c>
      <c r="W415" s="151"/>
    </row>
    <row r="416" spans="1:23" ht="22.5" customHeight="1">
      <c r="A416" s="175">
        <v>46123.607287696759</v>
      </c>
      <c r="B416" s="176" t="s">
        <v>3354</v>
      </c>
      <c r="C416" s="176"/>
      <c r="D416" s="176" t="s">
        <v>24</v>
      </c>
      <c r="E416" s="177">
        <v>20428</v>
      </c>
      <c r="F416" s="176" t="s">
        <v>623</v>
      </c>
      <c r="G416" s="176" t="s">
        <v>3355</v>
      </c>
      <c r="H416" s="176" t="s">
        <v>3335</v>
      </c>
      <c r="I416" s="6" t="str">
        <f>VLOOKUP(CLEAN(F416),'World Bank Categories'!$B$4:$C$220,2,FALSE)</f>
        <v>Middle income</v>
      </c>
      <c r="J416" s="176" t="s">
        <v>3356</v>
      </c>
      <c r="K416" s="176" t="s">
        <v>39</v>
      </c>
      <c r="L416" s="176" t="s">
        <v>3108</v>
      </c>
      <c r="M416" s="176" t="s">
        <v>3357</v>
      </c>
      <c r="N416" s="176"/>
      <c r="O416" s="176"/>
      <c r="P416" s="176" t="s">
        <v>31</v>
      </c>
      <c r="Q416" s="130" t="s">
        <v>32</v>
      </c>
      <c r="R416" s="181" t="s">
        <v>33</v>
      </c>
      <c r="S416" s="180" t="s">
        <v>3358</v>
      </c>
      <c r="T416" s="182"/>
      <c r="U416" s="182"/>
      <c r="V416" s="182" t="s">
        <v>3359</v>
      </c>
      <c r="W416" s="182"/>
    </row>
    <row r="417" spans="1:23" ht="22.5" customHeight="1">
      <c r="A417" s="137">
        <v>46123.730228981483</v>
      </c>
      <c r="B417" s="12" t="s">
        <v>3360</v>
      </c>
      <c r="C417" s="12" t="s">
        <v>3360</v>
      </c>
      <c r="D417" s="12" t="s">
        <v>24</v>
      </c>
      <c r="E417" s="138">
        <v>37472</v>
      </c>
      <c r="F417" s="12" t="s">
        <v>732</v>
      </c>
      <c r="G417" s="12" t="s">
        <v>3361</v>
      </c>
      <c r="H417" s="12" t="s">
        <v>3362</v>
      </c>
      <c r="I417" s="6" t="str">
        <f>VLOOKUP(CLEAN(F417),'World Bank Categories'!$B$4:$C$220,2,FALSE)</f>
        <v>Middle income</v>
      </c>
      <c r="J417" s="12" t="s">
        <v>3363</v>
      </c>
      <c r="K417" s="12" t="s">
        <v>39</v>
      </c>
      <c r="L417" s="12" t="s">
        <v>30</v>
      </c>
      <c r="P417" s="12" t="s">
        <v>31</v>
      </c>
      <c r="Q417" s="130" t="s">
        <v>32</v>
      </c>
      <c r="R417" s="178" t="s">
        <v>33</v>
      </c>
      <c r="S417" s="172" t="s">
        <v>3364</v>
      </c>
      <c r="T417" s="183">
        <v>37472</v>
      </c>
      <c r="U417" s="172" t="s">
        <v>3363</v>
      </c>
      <c r="V417" s="151" t="s">
        <v>3127</v>
      </c>
      <c r="W417" s="151"/>
    </row>
    <row r="418" spans="1:23" ht="22.5" customHeight="1">
      <c r="A418" s="137">
        <v>46125.072359456019</v>
      </c>
      <c r="B418" s="12" t="s">
        <v>3365</v>
      </c>
      <c r="D418" s="12" t="s">
        <v>24</v>
      </c>
      <c r="E418" s="138">
        <v>35839</v>
      </c>
      <c r="F418" s="12" t="s">
        <v>1112</v>
      </c>
      <c r="G418" s="12" t="s">
        <v>3366</v>
      </c>
      <c r="H418" s="12" t="s">
        <v>66</v>
      </c>
      <c r="I418" s="6" t="str">
        <f>VLOOKUP(CLEAN(F418),'World Bank Categories'!$B$4:$C$220,2,FALSE)</f>
        <v>Low income</v>
      </c>
      <c r="J418" s="12" t="s">
        <v>1964</v>
      </c>
      <c r="K418" s="12" t="s">
        <v>29</v>
      </c>
      <c r="L418" s="143" t="s">
        <v>1168</v>
      </c>
      <c r="P418" s="12" t="s">
        <v>31</v>
      </c>
      <c r="Q418" s="130" t="s">
        <v>32</v>
      </c>
      <c r="R418" s="178" t="s">
        <v>33</v>
      </c>
      <c r="S418" s="172" t="s">
        <v>1965</v>
      </c>
      <c r="T418" s="173">
        <v>35839</v>
      </c>
      <c r="U418" s="172" t="s">
        <v>1966</v>
      </c>
      <c r="V418" s="151" t="s">
        <v>3367</v>
      </c>
      <c r="W418" s="151"/>
    </row>
    <row r="419" spans="1:23" ht="22.5" customHeight="1">
      <c r="A419" s="137">
        <v>46125.077286608794</v>
      </c>
      <c r="B419" s="12" t="s">
        <v>3368</v>
      </c>
      <c r="D419" s="12" t="s">
        <v>45</v>
      </c>
      <c r="E419" s="138">
        <v>25709</v>
      </c>
      <c r="F419" s="12" t="s">
        <v>3369</v>
      </c>
      <c r="G419" s="12" t="s">
        <v>3370</v>
      </c>
      <c r="H419" s="12" t="s">
        <v>90</v>
      </c>
      <c r="I419" s="6" t="str">
        <f>VLOOKUP(CLEAN(F419),'World Bank Categories'!$B$4:$C$220,2,FALSE)</f>
        <v>Low income</v>
      </c>
      <c r="J419" s="12" t="s">
        <v>3371</v>
      </c>
      <c r="K419" s="12" t="s">
        <v>29</v>
      </c>
      <c r="L419" s="12" t="s">
        <v>30</v>
      </c>
      <c r="M419" s="12" t="s">
        <v>3372</v>
      </c>
      <c r="P419" s="12" t="s">
        <v>31</v>
      </c>
      <c r="Q419" s="130" t="s">
        <v>32</v>
      </c>
      <c r="R419" s="174" t="s">
        <v>33</v>
      </c>
      <c r="S419" s="172" t="s">
        <v>3368</v>
      </c>
      <c r="T419" s="173">
        <v>25709</v>
      </c>
      <c r="U419" s="172" t="s">
        <v>3371</v>
      </c>
      <c r="V419" s="151" t="s">
        <v>3367</v>
      </c>
      <c r="W419" s="151"/>
    </row>
    <row r="420" spans="1:23" ht="22.5" customHeight="1">
      <c r="A420" s="137">
        <v>46125.094078831018</v>
      </c>
      <c r="B420" s="12" t="s">
        <v>3373</v>
      </c>
      <c r="D420" s="12" t="s">
        <v>24</v>
      </c>
      <c r="E420" s="138">
        <v>26434</v>
      </c>
      <c r="F420" s="12" t="s">
        <v>3369</v>
      </c>
      <c r="G420" s="12" t="s">
        <v>3370</v>
      </c>
      <c r="H420" s="12" t="s">
        <v>1643</v>
      </c>
      <c r="I420" s="6" t="str">
        <f>VLOOKUP(CLEAN(F420),'World Bank Categories'!$B$4:$C$220,2,FALSE)</f>
        <v>Low income</v>
      </c>
      <c r="J420" s="12" t="s">
        <v>3374</v>
      </c>
      <c r="K420" s="12" t="s">
        <v>29</v>
      </c>
      <c r="L420" s="12" t="s">
        <v>30</v>
      </c>
      <c r="M420" s="12" t="s">
        <v>3375</v>
      </c>
      <c r="P420" s="12" t="s">
        <v>31</v>
      </c>
      <c r="Q420" s="130" t="s">
        <v>32</v>
      </c>
      <c r="R420" s="178" t="s">
        <v>33</v>
      </c>
      <c r="S420" s="172" t="s">
        <v>3376</v>
      </c>
      <c r="T420" s="173">
        <v>26434</v>
      </c>
      <c r="U420" s="172" t="s">
        <v>3374</v>
      </c>
      <c r="V420" s="151" t="s">
        <v>3367</v>
      </c>
      <c r="W420" s="151"/>
    </row>
    <row r="421" spans="1:23" ht="22.5" customHeight="1">
      <c r="A421" s="137">
        <v>46125.74948982639</v>
      </c>
      <c r="B421" s="12" t="s">
        <v>3377</v>
      </c>
      <c r="C421" s="12" t="s">
        <v>3378</v>
      </c>
      <c r="D421" s="12" t="s">
        <v>45</v>
      </c>
      <c r="E421" s="138">
        <v>35849</v>
      </c>
      <c r="F421" s="12" t="s">
        <v>1053</v>
      </c>
      <c r="G421" s="12" t="s">
        <v>3379</v>
      </c>
      <c r="H421" s="12" t="s">
        <v>2024</v>
      </c>
      <c r="I421" s="6" t="str">
        <f>VLOOKUP(CLEAN(F421),'World Bank Categories'!$B$4:$C$220,2,FALSE)</f>
        <v>High income</v>
      </c>
      <c r="J421" s="12" t="s">
        <v>3380</v>
      </c>
      <c r="K421" s="12" t="s">
        <v>39</v>
      </c>
      <c r="L421" s="12" t="s">
        <v>3381</v>
      </c>
      <c r="P421" s="12" t="s">
        <v>31</v>
      </c>
      <c r="Q421" s="130" t="s">
        <v>32</v>
      </c>
      <c r="R421" s="10" t="s">
        <v>43</v>
      </c>
      <c r="S421" s="184" t="s">
        <v>3377</v>
      </c>
      <c r="T421" s="185">
        <v>35849</v>
      </c>
      <c r="V421" s="184"/>
      <c r="W421" s="184"/>
    </row>
    <row r="422" spans="1:23" ht="22.5" customHeight="1">
      <c r="A422" s="137">
        <v>46125.89843789352</v>
      </c>
      <c r="B422" s="12" t="s">
        <v>3382</v>
      </c>
      <c r="C422" s="12" t="s">
        <v>3383</v>
      </c>
      <c r="D422" s="12" t="s">
        <v>45</v>
      </c>
      <c r="E422" s="138">
        <v>38579</v>
      </c>
      <c r="F422" s="12" t="s">
        <v>1063</v>
      </c>
      <c r="G422" s="12" t="s">
        <v>1093</v>
      </c>
      <c r="H422" s="12" t="s">
        <v>66</v>
      </c>
      <c r="I422" s="6" t="str">
        <f>VLOOKUP(CLEAN(F422),'World Bank Categories'!$B$4:$C$220,2,FALSE)</f>
        <v>Middle income</v>
      </c>
      <c r="J422" s="12" t="s">
        <v>3384</v>
      </c>
      <c r="K422" s="12" t="s">
        <v>29</v>
      </c>
      <c r="L422" s="12" t="s">
        <v>3385</v>
      </c>
      <c r="P422" s="12" t="s">
        <v>31</v>
      </c>
      <c r="Q422" s="130" t="s">
        <v>32</v>
      </c>
      <c r="R422" s="18" t="s">
        <v>33</v>
      </c>
      <c r="S422" s="184" t="s">
        <v>3382</v>
      </c>
      <c r="T422" s="185">
        <v>38579</v>
      </c>
      <c r="V422" s="184"/>
      <c r="W422" s="184"/>
    </row>
    <row r="423" spans="1:23" ht="22.5" customHeight="1">
      <c r="A423" s="137">
        <v>46126.698397025466</v>
      </c>
      <c r="B423" s="12" t="s">
        <v>3386</v>
      </c>
      <c r="C423" s="12" t="s">
        <v>3386</v>
      </c>
      <c r="D423" s="12" t="s">
        <v>24</v>
      </c>
      <c r="E423" s="138">
        <v>31542</v>
      </c>
      <c r="F423" s="12" t="s">
        <v>406</v>
      </c>
      <c r="G423" s="12" t="s">
        <v>3387</v>
      </c>
      <c r="H423" s="12" t="s">
        <v>98</v>
      </c>
      <c r="I423" s="6" t="str">
        <f>VLOOKUP(CLEAN(F423),'World Bank Categories'!$B$4:$C$220,2,FALSE)</f>
        <v>Low income</v>
      </c>
      <c r="J423" s="12" t="s">
        <v>3388</v>
      </c>
      <c r="K423" s="12" t="s">
        <v>29</v>
      </c>
      <c r="L423" s="12" t="s">
        <v>30</v>
      </c>
      <c r="P423" s="12" t="s">
        <v>31</v>
      </c>
      <c r="Q423" s="130" t="s">
        <v>32</v>
      </c>
      <c r="R423" s="18" t="s">
        <v>33</v>
      </c>
      <c r="S423" s="184" t="s">
        <v>3386</v>
      </c>
      <c r="T423" s="185">
        <v>31542</v>
      </c>
      <c r="V423" s="184"/>
      <c r="W423" s="184"/>
    </row>
    <row r="424" spans="1:23" ht="22.5" customHeight="1">
      <c r="A424" s="137">
        <v>46127.69368866898</v>
      </c>
      <c r="B424" s="12" t="s">
        <v>3389</v>
      </c>
      <c r="D424" s="12" t="s">
        <v>24</v>
      </c>
      <c r="E424" s="138">
        <v>28965</v>
      </c>
      <c r="F424" s="12" t="s">
        <v>2556</v>
      </c>
      <c r="G424" s="12" t="s">
        <v>3390</v>
      </c>
      <c r="H424" s="12" t="s">
        <v>3391</v>
      </c>
      <c r="I424" s="6" t="str">
        <f>VLOOKUP(CLEAN(F424),'World Bank Categories'!$B$4:$C$220,2,FALSE)</f>
        <v>Middle income</v>
      </c>
      <c r="J424" s="12" t="s">
        <v>3392</v>
      </c>
      <c r="K424" s="12" t="s">
        <v>39</v>
      </c>
      <c r="L424" s="12" t="s">
        <v>152</v>
      </c>
      <c r="P424" s="12" t="s">
        <v>31</v>
      </c>
      <c r="Q424" s="130" t="s">
        <v>32</v>
      </c>
      <c r="R424" s="10" t="s">
        <v>33</v>
      </c>
      <c r="S424" s="184" t="s">
        <v>3389</v>
      </c>
      <c r="T424" s="185">
        <v>28965</v>
      </c>
      <c r="V424" s="184"/>
      <c r="W424" s="184"/>
    </row>
    <row r="425" spans="1:23" ht="22.5" customHeight="1">
      <c r="A425" s="137">
        <v>46128.350536006939</v>
      </c>
      <c r="B425" s="12" t="s">
        <v>3397</v>
      </c>
      <c r="D425" s="12" t="s">
        <v>45</v>
      </c>
      <c r="E425" s="138">
        <v>27853</v>
      </c>
      <c r="F425" s="12" t="s">
        <v>227</v>
      </c>
      <c r="G425" s="12" t="s">
        <v>360</v>
      </c>
      <c r="H425" s="12" t="s">
        <v>3398</v>
      </c>
      <c r="I425" s="6" t="str">
        <f>VLOOKUP(CLEAN(F425),'World Bank Categories'!$B$4:$C$220,2,FALSE)</f>
        <v>Middle income</v>
      </c>
      <c r="J425" s="12" t="s">
        <v>3399</v>
      </c>
      <c r="K425" s="12" t="s">
        <v>29</v>
      </c>
      <c r="L425" s="12" t="s">
        <v>162</v>
      </c>
      <c r="P425" s="12" t="s">
        <v>31</v>
      </c>
      <c r="Q425" s="130" t="s">
        <v>32</v>
      </c>
      <c r="R425" s="18" t="s">
        <v>33</v>
      </c>
      <c r="S425" s="184" t="s">
        <v>3397</v>
      </c>
      <c r="T425" s="185">
        <v>27853</v>
      </c>
      <c r="V425" s="184"/>
      <c r="W425" s="184"/>
    </row>
    <row r="426" spans="1:23" ht="22.5" customHeight="1">
      <c r="A426" s="166">
        <v>46128.909374930554</v>
      </c>
      <c r="B426" s="167" t="s">
        <v>3400</v>
      </c>
      <c r="C426" s="167" t="s">
        <v>3401</v>
      </c>
      <c r="D426" s="167" t="s">
        <v>24</v>
      </c>
      <c r="E426" s="169">
        <v>36243</v>
      </c>
      <c r="F426" s="167" t="s">
        <v>1063</v>
      </c>
      <c r="G426" s="167" t="s">
        <v>3402</v>
      </c>
      <c r="H426" s="167" t="s">
        <v>305</v>
      </c>
      <c r="I426" s="6" t="str">
        <f>VLOOKUP(CLEAN(F426),'World Bank Categories'!$B$4:$C$220,2,FALSE)</f>
        <v>Middle income</v>
      </c>
      <c r="J426" s="167" t="s">
        <v>3403</v>
      </c>
      <c r="K426" s="167" t="s">
        <v>39</v>
      </c>
      <c r="L426" s="167" t="s">
        <v>30</v>
      </c>
      <c r="M426" s="167"/>
      <c r="N426" s="167"/>
      <c r="P426" s="167" t="s">
        <v>31</v>
      </c>
      <c r="Q426" s="130" t="s">
        <v>32</v>
      </c>
      <c r="R426" s="162" t="s">
        <v>43</v>
      </c>
      <c r="S426" s="184" t="s">
        <v>3400</v>
      </c>
      <c r="T426" s="185"/>
      <c r="V426" s="184"/>
      <c r="W426" s="184"/>
    </row>
    <row r="427" spans="1:23" ht="22.5" customHeight="1">
      <c r="A427" s="137">
        <v>46129.013164988428</v>
      </c>
      <c r="B427" s="12" t="s">
        <v>3404</v>
      </c>
      <c r="D427" s="12" t="s">
        <v>24</v>
      </c>
      <c r="E427" s="138">
        <v>32759</v>
      </c>
      <c r="F427" s="12" t="s">
        <v>1983</v>
      </c>
      <c r="G427" s="12" t="s">
        <v>209</v>
      </c>
      <c r="H427" s="12" t="s">
        <v>3405</v>
      </c>
      <c r="I427" s="6" t="str">
        <f>VLOOKUP(CLEAN(F427),'World Bank Categories'!$B$4:$C$220,2,FALSE)</f>
        <v>High income</v>
      </c>
      <c r="J427" s="12" t="s">
        <v>3406</v>
      </c>
      <c r="K427" s="12" t="s">
        <v>29</v>
      </c>
      <c r="L427" s="12" t="s">
        <v>162</v>
      </c>
      <c r="P427" s="12" t="s">
        <v>31</v>
      </c>
      <c r="Q427" s="130" t="s">
        <v>32</v>
      </c>
      <c r="R427" s="10" t="s">
        <v>43</v>
      </c>
      <c r="S427" s="184" t="s">
        <v>3404</v>
      </c>
      <c r="T427" s="185">
        <v>32759</v>
      </c>
      <c r="V427" s="184"/>
      <c r="W427" s="184"/>
    </row>
    <row r="428" spans="1:23" ht="22.5" customHeight="1">
      <c r="A428" s="137">
        <v>46130.361662696756</v>
      </c>
      <c r="B428" s="12" t="s">
        <v>3412</v>
      </c>
      <c r="D428" s="12" t="s">
        <v>45</v>
      </c>
      <c r="E428" s="138">
        <v>30778</v>
      </c>
      <c r="F428" s="12" t="s">
        <v>1179</v>
      </c>
      <c r="G428" s="12" t="s">
        <v>3413</v>
      </c>
      <c r="H428" s="12" t="s">
        <v>3414</v>
      </c>
      <c r="I428" s="6" t="str">
        <f>VLOOKUP(CLEAN(F428),'World Bank Categories'!$B$4:$C$220,2,FALSE)</f>
        <v>High income</v>
      </c>
      <c r="J428" s="12" t="s">
        <v>3415</v>
      </c>
      <c r="K428" s="12" t="s">
        <v>29</v>
      </c>
      <c r="L428" s="12" t="s">
        <v>30</v>
      </c>
      <c r="M428" s="12"/>
      <c r="P428" s="12" t="s">
        <v>31</v>
      </c>
      <c r="Q428" s="130" t="s">
        <v>32</v>
      </c>
      <c r="R428" s="186" t="s">
        <v>33</v>
      </c>
      <c r="S428" s="184" t="s">
        <v>3416</v>
      </c>
      <c r="T428" s="187" t="s">
        <v>3417</v>
      </c>
      <c r="U428" s="12" t="s">
        <v>3415</v>
      </c>
      <c r="V428" s="184"/>
      <c r="W428" s="184"/>
    </row>
    <row r="429" spans="1:23" ht="22.5" customHeight="1">
      <c r="A429" s="137">
        <v>46130.380655185189</v>
      </c>
      <c r="B429" s="12" t="s">
        <v>3418</v>
      </c>
      <c r="D429" s="12" t="s">
        <v>24</v>
      </c>
      <c r="E429" s="138">
        <v>32320</v>
      </c>
      <c r="F429" s="12" t="s">
        <v>3419</v>
      </c>
      <c r="G429" s="12" t="s">
        <v>3420</v>
      </c>
      <c r="H429" s="12" t="s">
        <v>3421</v>
      </c>
      <c r="I429" s="6" t="str">
        <f>VLOOKUP(CLEAN(F429),'World Bank Categories'!$B$4:$C$220,2,FALSE)</f>
        <v>Middle income</v>
      </c>
      <c r="J429" s="12" t="s">
        <v>3422</v>
      </c>
      <c r="K429" s="12" t="s">
        <v>29</v>
      </c>
      <c r="L429" s="12" t="s">
        <v>30</v>
      </c>
      <c r="P429" s="12" t="s">
        <v>31</v>
      </c>
      <c r="Q429" s="130" t="s">
        <v>32</v>
      </c>
      <c r="R429" s="18" t="s">
        <v>33</v>
      </c>
      <c r="S429" s="184" t="s">
        <v>3418</v>
      </c>
      <c r="T429" s="185">
        <v>32320</v>
      </c>
      <c r="V429" s="184"/>
      <c r="W429" s="184"/>
    </row>
    <row r="430" spans="1:23" ht="22.5" customHeight="1">
      <c r="A430" s="158">
        <v>46130.729927523149</v>
      </c>
      <c r="B430" s="159" t="s">
        <v>3423</v>
      </c>
      <c r="C430" s="161"/>
      <c r="D430" s="159" t="s">
        <v>45</v>
      </c>
      <c r="E430" s="160">
        <v>34905</v>
      </c>
      <c r="F430" s="159" t="s">
        <v>3040</v>
      </c>
      <c r="G430" s="159" t="s">
        <v>3424</v>
      </c>
      <c r="H430" s="159" t="s">
        <v>1595</v>
      </c>
      <c r="I430" s="6" t="str">
        <f>VLOOKUP(CLEAN(F430),'World Bank Categories'!$B$4:$C$220,2,FALSE)</f>
        <v>High income</v>
      </c>
      <c r="J430" s="159" t="s">
        <v>3425</v>
      </c>
      <c r="K430" s="159" t="s">
        <v>29</v>
      </c>
      <c r="L430" s="159" t="s">
        <v>30</v>
      </c>
      <c r="M430" s="159"/>
      <c r="N430" s="159"/>
      <c r="O430" s="171"/>
      <c r="P430" s="159" t="s">
        <v>31</v>
      </c>
      <c r="Q430" s="130" t="s">
        <v>32</v>
      </c>
      <c r="R430" s="162" t="s">
        <v>43</v>
      </c>
      <c r="S430" s="184" t="s">
        <v>3426</v>
      </c>
      <c r="T430" s="185"/>
      <c r="V430" s="184"/>
      <c r="W430" s="184"/>
    </row>
    <row r="431" spans="1:23" ht="22.5" customHeight="1">
      <c r="A431" s="188">
        <v>46131.128789826384</v>
      </c>
      <c r="B431" s="189" t="s">
        <v>62</v>
      </c>
      <c r="C431" s="190"/>
      <c r="D431" s="189" t="s">
        <v>24</v>
      </c>
      <c r="E431" s="191">
        <v>36458</v>
      </c>
      <c r="F431" s="189" t="s">
        <v>58</v>
      </c>
      <c r="G431" s="189" t="s">
        <v>3427</v>
      </c>
      <c r="H431" s="189" t="s">
        <v>3124</v>
      </c>
      <c r="I431" s="6" t="str">
        <f>VLOOKUP(CLEAN(F431),'World Bank Categories'!$B$4:$C$220,2,FALSE)</f>
        <v>Middle income</v>
      </c>
      <c r="J431" s="189" t="s">
        <v>61</v>
      </c>
      <c r="K431" s="189" t="s">
        <v>29</v>
      </c>
      <c r="L431" s="189" t="s">
        <v>30</v>
      </c>
      <c r="M431" s="189"/>
      <c r="N431" s="189"/>
      <c r="O431" s="190"/>
      <c r="P431" s="189" t="s">
        <v>31</v>
      </c>
      <c r="Q431" s="130" t="s">
        <v>32</v>
      </c>
      <c r="R431" s="162" t="s">
        <v>33</v>
      </c>
      <c r="S431" s="192" t="s">
        <v>62</v>
      </c>
      <c r="T431" s="193"/>
      <c r="U431" s="194"/>
      <c r="V431" s="192"/>
      <c r="W431" s="192"/>
    </row>
    <row r="432" spans="1:23" ht="22.5" customHeight="1">
      <c r="A432" s="137">
        <v>46131.262189039349</v>
      </c>
      <c r="B432" s="12" t="s">
        <v>3428</v>
      </c>
      <c r="D432" s="12" t="s">
        <v>45</v>
      </c>
      <c r="E432" s="138">
        <v>27983</v>
      </c>
      <c r="F432" s="12" t="s">
        <v>46</v>
      </c>
      <c r="G432" s="12" t="s">
        <v>3429</v>
      </c>
      <c r="H432" s="12" t="s">
        <v>933</v>
      </c>
      <c r="I432" s="6" t="str">
        <f>VLOOKUP(CLEAN(F432),'World Bank Categories'!$B$4:$C$220,2,FALSE)</f>
        <v>Low income</v>
      </c>
      <c r="J432" s="12" t="s">
        <v>3430</v>
      </c>
      <c r="K432" s="12" t="s">
        <v>29</v>
      </c>
      <c r="L432" s="12" t="s">
        <v>162</v>
      </c>
      <c r="P432" s="12" t="s">
        <v>31</v>
      </c>
      <c r="Q432" s="130" t="s">
        <v>32</v>
      </c>
      <c r="R432" s="18" t="s">
        <v>43</v>
      </c>
      <c r="S432" s="184" t="s">
        <v>3428</v>
      </c>
      <c r="T432" s="185">
        <v>28072</v>
      </c>
      <c r="V432" s="184"/>
      <c r="W432" s="184"/>
    </row>
    <row r="433" spans="1:23" ht="22.5" customHeight="1">
      <c r="A433" s="137">
        <v>46131.57173758102</v>
      </c>
      <c r="B433" s="12" t="s">
        <v>3435</v>
      </c>
      <c r="C433" s="12" t="s">
        <v>3435</v>
      </c>
      <c r="D433" s="12" t="s">
        <v>45</v>
      </c>
      <c r="E433" s="138">
        <v>20526</v>
      </c>
      <c r="F433" s="12" t="s">
        <v>332</v>
      </c>
      <c r="G433" s="12" t="s">
        <v>3436</v>
      </c>
      <c r="H433" s="12" t="s">
        <v>3437</v>
      </c>
      <c r="I433" s="6" t="str">
        <f>VLOOKUP(CLEAN(F433),'World Bank Categories'!$B$4:$C$220,2,FALSE)</f>
        <v>High income</v>
      </c>
      <c r="J433" s="12" t="s">
        <v>3438</v>
      </c>
      <c r="K433" s="12" t="s">
        <v>29</v>
      </c>
      <c r="L433" s="12" t="s">
        <v>30</v>
      </c>
      <c r="M433" s="12" t="s">
        <v>3439</v>
      </c>
      <c r="P433" s="12" t="s">
        <v>31</v>
      </c>
      <c r="Q433" s="130" t="s">
        <v>32</v>
      </c>
      <c r="R433" s="195" t="s">
        <v>43</v>
      </c>
      <c r="S433" s="184" t="s">
        <v>3440</v>
      </c>
      <c r="T433" s="187" t="s">
        <v>3441</v>
      </c>
      <c r="U433" s="184" t="s">
        <v>3442</v>
      </c>
      <c r="W433" s="12"/>
    </row>
    <row r="434" spans="1:23" ht="22.5" customHeight="1">
      <c r="A434" s="144">
        <v>46131.573180173611</v>
      </c>
      <c r="B434" s="40" t="s">
        <v>3443</v>
      </c>
      <c r="C434" s="40"/>
      <c r="D434" s="40" t="s">
        <v>24</v>
      </c>
      <c r="E434" s="145">
        <v>19760</v>
      </c>
      <c r="F434" s="40" t="s">
        <v>332</v>
      </c>
      <c r="G434" s="40" t="s">
        <v>3436</v>
      </c>
      <c r="H434" s="40" t="s">
        <v>3437</v>
      </c>
      <c r="I434" s="6" t="str">
        <f>VLOOKUP(CLEAN(F434),'World Bank Categories'!$B$4:$C$220,2,FALSE)</f>
        <v>High income</v>
      </c>
      <c r="J434" s="40" t="s">
        <v>3438</v>
      </c>
      <c r="K434" s="40" t="s">
        <v>29</v>
      </c>
      <c r="L434" s="40" t="s">
        <v>30</v>
      </c>
      <c r="M434" s="40" t="s">
        <v>3444</v>
      </c>
      <c r="N434" s="40"/>
      <c r="O434" s="40"/>
      <c r="P434" s="40" t="s">
        <v>31</v>
      </c>
      <c r="Q434" s="130" t="s">
        <v>32</v>
      </c>
      <c r="R434" s="196" t="s">
        <v>43</v>
      </c>
      <c r="S434" s="142" t="s">
        <v>3445</v>
      </c>
      <c r="T434" s="197" t="s">
        <v>3446</v>
      </c>
      <c r="U434" s="142" t="s">
        <v>3447</v>
      </c>
      <c r="V434" s="40"/>
      <c r="W434" s="40"/>
    </row>
    <row r="435" spans="1:23" ht="22.5" customHeight="1">
      <c r="A435" s="137">
        <v>46136.645846608793</v>
      </c>
      <c r="B435" s="12" t="s">
        <v>3475</v>
      </c>
      <c r="C435" s="12" t="s">
        <v>3476</v>
      </c>
      <c r="D435" s="12" t="s">
        <v>24</v>
      </c>
      <c r="E435" s="138">
        <v>36719</v>
      </c>
      <c r="F435" s="12" t="s">
        <v>1053</v>
      </c>
      <c r="G435" s="12" t="s">
        <v>3477</v>
      </c>
      <c r="H435" s="12" t="s">
        <v>2606</v>
      </c>
      <c r="I435" s="6" t="str">
        <f>VLOOKUP(CLEAN(F435),'World Bank Categories'!$B$4:$C$220,2,FALSE)</f>
        <v>High income</v>
      </c>
      <c r="J435" s="12" t="s">
        <v>3478</v>
      </c>
      <c r="K435" s="12" t="s">
        <v>39</v>
      </c>
      <c r="L435" s="12" t="s">
        <v>621</v>
      </c>
      <c r="P435" s="12" t="s">
        <v>31</v>
      </c>
      <c r="Q435" s="130" t="s">
        <v>32</v>
      </c>
      <c r="R435" s="141" t="s">
        <v>43</v>
      </c>
      <c r="S435" s="12" t="s">
        <v>3475</v>
      </c>
      <c r="U435" s="12" t="s">
        <v>3478</v>
      </c>
      <c r="W435" s="12"/>
    </row>
    <row r="436" spans="1:23" ht="22.5" customHeight="1">
      <c r="A436" s="137">
        <v>46137.665369606482</v>
      </c>
      <c r="B436" s="12" t="s">
        <v>3482</v>
      </c>
      <c r="C436" s="12" t="s">
        <v>3483</v>
      </c>
      <c r="D436" s="12" t="s">
        <v>24</v>
      </c>
      <c r="E436" s="138">
        <v>36420</v>
      </c>
      <c r="F436" s="12" t="s">
        <v>1053</v>
      </c>
      <c r="G436" s="12" t="s">
        <v>3484</v>
      </c>
      <c r="H436" s="12" t="s">
        <v>1031</v>
      </c>
      <c r="I436" s="6" t="str">
        <f>VLOOKUP(CLEAN(F436),'World Bank Categories'!$B$4:$C$220,2,FALSE)</f>
        <v>High income</v>
      </c>
      <c r="J436" s="12" t="s">
        <v>3485</v>
      </c>
      <c r="K436" s="12" t="s">
        <v>39</v>
      </c>
      <c r="L436" s="12" t="s">
        <v>621</v>
      </c>
      <c r="P436" s="12" t="s">
        <v>31</v>
      </c>
      <c r="Q436" s="130" t="s">
        <v>32</v>
      </c>
      <c r="R436" s="33" t="s">
        <v>43</v>
      </c>
      <c r="S436" s="12" t="s">
        <v>3486</v>
      </c>
      <c r="U436" s="12" t="s">
        <v>3487</v>
      </c>
      <c r="W436" s="12"/>
    </row>
    <row r="437" spans="1:23" ht="22.5" customHeight="1">
      <c r="A437" s="137">
        <v>46138.807009201388</v>
      </c>
      <c r="B437" s="12" t="s">
        <v>3488</v>
      </c>
      <c r="D437" s="12" t="s">
        <v>45</v>
      </c>
      <c r="E437" s="138">
        <v>26141</v>
      </c>
      <c r="F437" s="12" t="s">
        <v>799</v>
      </c>
      <c r="G437" s="12" t="s">
        <v>3489</v>
      </c>
      <c r="H437" s="12" t="s">
        <v>3490</v>
      </c>
      <c r="I437" s="6" t="str">
        <f>VLOOKUP(CLEAN(F437),'World Bank Categories'!$B$4:$C$220,2,FALSE)</f>
        <v>Low income</v>
      </c>
      <c r="J437" s="12" t="s">
        <v>3491</v>
      </c>
      <c r="K437" s="12" t="s">
        <v>29</v>
      </c>
      <c r="L437" s="12" t="s">
        <v>162</v>
      </c>
      <c r="M437" s="12" t="s">
        <v>3492</v>
      </c>
      <c r="P437" s="12" t="s">
        <v>31</v>
      </c>
      <c r="Q437" s="130" t="s">
        <v>32</v>
      </c>
      <c r="R437" s="141" t="s">
        <v>33</v>
      </c>
      <c r="W437" s="12"/>
    </row>
    <row r="438" spans="1:23" ht="22.5" customHeight="1">
      <c r="A438" s="137">
        <v>46139.094726655094</v>
      </c>
      <c r="B438" s="12" t="s">
        <v>3493</v>
      </c>
      <c r="D438" s="12" t="s">
        <v>45</v>
      </c>
      <c r="E438" s="138">
        <v>37516</v>
      </c>
      <c r="F438" s="12" t="s">
        <v>52</v>
      </c>
      <c r="G438" s="12" t="s">
        <v>3494</v>
      </c>
      <c r="H438" s="12" t="s">
        <v>3495</v>
      </c>
      <c r="I438" s="6" t="str">
        <f>VLOOKUP(CLEAN(F438),'World Bank Categories'!$B$4:$C$220,2,FALSE)</f>
        <v>Middle income</v>
      </c>
      <c r="J438" s="12" t="s">
        <v>3496</v>
      </c>
      <c r="K438" s="12" t="s">
        <v>29</v>
      </c>
      <c r="L438" s="12" t="s">
        <v>30</v>
      </c>
      <c r="P438" s="12" t="s">
        <v>31</v>
      </c>
      <c r="Q438" s="130" t="s">
        <v>32</v>
      </c>
      <c r="R438" s="141" t="s">
        <v>33</v>
      </c>
      <c r="W438" s="12"/>
    </row>
    <row r="439" spans="1:23" ht="22.5" customHeight="1">
      <c r="A439" s="137">
        <v>46139.101186979169</v>
      </c>
      <c r="B439" s="12" t="s">
        <v>3497</v>
      </c>
      <c r="D439" s="12" t="s">
        <v>24</v>
      </c>
      <c r="E439" s="138">
        <v>35581</v>
      </c>
      <c r="F439" s="12" t="s">
        <v>799</v>
      </c>
      <c r="G439" s="12" t="s">
        <v>3498</v>
      </c>
      <c r="H439" s="12" t="s">
        <v>3499</v>
      </c>
      <c r="I439" s="6" t="str">
        <f>VLOOKUP(CLEAN(F439),'World Bank Categories'!$B$4:$C$220,2,FALSE)</f>
        <v>Low income</v>
      </c>
      <c r="J439" s="12" t="s">
        <v>3500</v>
      </c>
      <c r="K439" s="12" t="s">
        <v>29</v>
      </c>
      <c r="L439" s="143" t="s">
        <v>1168</v>
      </c>
      <c r="P439" s="12" t="s">
        <v>31</v>
      </c>
      <c r="Q439" s="130" t="s">
        <v>32</v>
      </c>
      <c r="R439" s="141" t="s">
        <v>33</v>
      </c>
      <c r="W439" s="12"/>
    </row>
    <row r="440" spans="1:23" ht="22.5" customHeight="1">
      <c r="A440" s="137">
        <v>46139.667937453705</v>
      </c>
      <c r="B440" s="12" t="s">
        <v>3506</v>
      </c>
      <c r="D440" s="12" t="s">
        <v>45</v>
      </c>
      <c r="E440" s="138">
        <v>34576</v>
      </c>
      <c r="F440" s="12" t="s">
        <v>83</v>
      </c>
      <c r="G440" s="12" t="s">
        <v>3507</v>
      </c>
      <c r="H440" s="12" t="s">
        <v>111</v>
      </c>
      <c r="I440" s="6" t="str">
        <f>VLOOKUP(CLEAN(F440),'World Bank Categories'!$B$4:$C$220,2,FALSE)</f>
        <v>Low income</v>
      </c>
      <c r="J440" s="12" t="s">
        <v>3508</v>
      </c>
      <c r="K440" s="12" t="s">
        <v>29</v>
      </c>
      <c r="L440" s="12" t="s">
        <v>30</v>
      </c>
      <c r="P440" s="12" t="s">
        <v>31</v>
      </c>
      <c r="Q440" s="130" t="s">
        <v>32</v>
      </c>
      <c r="R440" s="141" t="s">
        <v>33</v>
      </c>
      <c r="S440" s="12" t="s">
        <v>3509</v>
      </c>
      <c r="U440" s="12" t="s">
        <v>3508</v>
      </c>
      <c r="W440" s="12"/>
    </row>
    <row r="441" spans="1:23" ht="22.5" customHeight="1">
      <c r="A441" s="137">
        <v>46139.771058101847</v>
      </c>
      <c r="B441" s="12" t="s">
        <v>3510</v>
      </c>
      <c r="D441" s="12" t="s">
        <v>24</v>
      </c>
      <c r="E441" s="138">
        <v>36355</v>
      </c>
      <c r="F441" s="12" t="s">
        <v>433</v>
      </c>
      <c r="G441" s="12" t="s">
        <v>3511</v>
      </c>
      <c r="H441" s="12" t="s">
        <v>3512</v>
      </c>
      <c r="I441" s="6" t="str">
        <f>VLOOKUP(CLEAN(F441),'World Bank Categories'!$B$4:$C$220,2,FALSE)</f>
        <v>Low income</v>
      </c>
      <c r="J441" s="12" t="s">
        <v>3513</v>
      </c>
      <c r="K441" s="12" t="s">
        <v>29</v>
      </c>
      <c r="L441" s="12" t="s">
        <v>30</v>
      </c>
      <c r="P441" s="12" t="s">
        <v>31</v>
      </c>
      <c r="Q441" s="130" t="s">
        <v>32</v>
      </c>
      <c r="R441" s="141" t="s">
        <v>43</v>
      </c>
      <c r="W441" s="12"/>
    </row>
    <row r="442" spans="1:23" ht="22.5" customHeight="1">
      <c r="A442" s="137">
        <v>46140.894833877319</v>
      </c>
      <c r="B442" s="12" t="s">
        <v>3514</v>
      </c>
      <c r="D442" s="12" t="s">
        <v>24</v>
      </c>
      <c r="E442" s="138">
        <v>35193</v>
      </c>
      <c r="F442" s="12" t="s">
        <v>3040</v>
      </c>
      <c r="G442" s="12" t="s">
        <v>3515</v>
      </c>
      <c r="H442" s="12" t="s">
        <v>156</v>
      </c>
      <c r="I442" s="6" t="str">
        <f>VLOOKUP(CLEAN(F442),'World Bank Categories'!$B$4:$C$220,2,FALSE)</f>
        <v>High income</v>
      </c>
      <c r="J442" s="12" t="s">
        <v>3516</v>
      </c>
      <c r="K442" s="12" t="s">
        <v>39</v>
      </c>
      <c r="L442" s="12" t="s">
        <v>152</v>
      </c>
      <c r="P442" s="12" t="s">
        <v>31</v>
      </c>
      <c r="Q442" s="130" t="s">
        <v>32</v>
      </c>
      <c r="R442" s="141" t="s">
        <v>43</v>
      </c>
      <c r="S442" s="12" t="s">
        <v>3517</v>
      </c>
      <c r="U442" s="12" t="s">
        <v>3516</v>
      </c>
      <c r="W442" s="12"/>
    </row>
    <row r="443" spans="1:23" ht="22.5" customHeight="1">
      <c r="A443" s="137">
        <v>46140.942007962964</v>
      </c>
      <c r="B443" s="12" t="s">
        <v>3518</v>
      </c>
      <c r="D443" s="12" t="s">
        <v>24</v>
      </c>
      <c r="E443" s="138">
        <v>27327</v>
      </c>
      <c r="F443" s="12" t="s">
        <v>52</v>
      </c>
      <c r="G443" s="12" t="s">
        <v>3519</v>
      </c>
      <c r="H443" s="12" t="s">
        <v>1310</v>
      </c>
      <c r="I443" s="6" t="str">
        <f>VLOOKUP(CLEAN(F443),'World Bank Categories'!$B$4:$C$220,2,FALSE)</f>
        <v>Middle income</v>
      </c>
      <c r="J443" s="12" t="s">
        <v>3520</v>
      </c>
      <c r="K443" s="12" t="s">
        <v>39</v>
      </c>
      <c r="L443" s="12" t="s">
        <v>152</v>
      </c>
      <c r="P443" s="12" t="s">
        <v>31</v>
      </c>
      <c r="Q443" s="130" t="s">
        <v>32</v>
      </c>
      <c r="R443" s="141" t="s">
        <v>43</v>
      </c>
      <c r="S443" s="12" t="s">
        <v>3521</v>
      </c>
      <c r="U443" s="12" t="s">
        <v>3520</v>
      </c>
      <c r="W443" s="12"/>
    </row>
    <row r="444" spans="1:23" ht="22.5" customHeight="1">
      <c r="A444" s="137">
        <v>46141.701681261577</v>
      </c>
      <c r="B444" s="12" t="s">
        <v>3525</v>
      </c>
      <c r="D444" s="12" t="s">
        <v>45</v>
      </c>
      <c r="E444" s="138">
        <v>37262</v>
      </c>
      <c r="F444" s="12" t="s">
        <v>1983</v>
      </c>
      <c r="G444" s="12" t="s">
        <v>3526</v>
      </c>
      <c r="H444" s="12" t="s">
        <v>66</v>
      </c>
      <c r="I444" s="6" t="str">
        <f>VLOOKUP(CLEAN(F444),'World Bank Categories'!$B$4:$C$220,2,FALSE)</f>
        <v>High income</v>
      </c>
      <c r="J444" s="12" t="s">
        <v>3527</v>
      </c>
      <c r="K444" s="12" t="s">
        <v>29</v>
      </c>
      <c r="L444" s="12" t="s">
        <v>162</v>
      </c>
      <c r="P444" s="12" t="s">
        <v>31</v>
      </c>
      <c r="Q444" s="130" t="s">
        <v>32</v>
      </c>
      <c r="R444" s="141" t="s">
        <v>43</v>
      </c>
      <c r="S444" s="12" t="s">
        <v>3528</v>
      </c>
      <c r="U444" s="12" t="s">
        <v>3527</v>
      </c>
      <c r="W444" s="12"/>
    </row>
    <row r="445" spans="1:23" ht="22.5" customHeight="1">
      <c r="A445" s="199">
        <v>46142.194461307867</v>
      </c>
      <c r="B445" s="200" t="s">
        <v>3529</v>
      </c>
      <c r="C445" s="201"/>
      <c r="D445" s="200" t="s">
        <v>45</v>
      </c>
      <c r="E445" s="202">
        <v>21014</v>
      </c>
      <c r="F445" s="200" t="s">
        <v>2246</v>
      </c>
      <c r="G445" s="200" t="s">
        <v>3530</v>
      </c>
      <c r="H445" s="200" t="s">
        <v>3531</v>
      </c>
      <c r="I445" s="6" t="str">
        <f>VLOOKUP(CLEAN(F445),'World Bank Categories'!$B$4:$C$220,2,FALSE)</f>
        <v>High income</v>
      </c>
      <c r="J445" s="200" t="s">
        <v>3532</v>
      </c>
      <c r="K445" s="200" t="s">
        <v>29</v>
      </c>
      <c r="L445" s="200" t="s">
        <v>30</v>
      </c>
      <c r="M445" s="200" t="s">
        <v>3533</v>
      </c>
      <c r="N445" s="200"/>
      <c r="O445" s="201"/>
      <c r="P445" s="200" t="s">
        <v>31</v>
      </c>
      <c r="Q445" s="130" t="s">
        <v>32</v>
      </c>
      <c r="R445" s="141" t="s">
        <v>43</v>
      </c>
      <c r="S445" s="203" t="s">
        <v>3534</v>
      </c>
      <c r="T445" s="203"/>
      <c r="U445" s="12" t="s">
        <v>3532</v>
      </c>
      <c r="W445" s="12"/>
    </row>
    <row r="446" spans="1:23" ht="22.5" customHeight="1">
      <c r="A446" s="137">
        <v>46142.604672326386</v>
      </c>
      <c r="B446" s="12" t="s">
        <v>3535</v>
      </c>
      <c r="D446" s="12" t="s">
        <v>24</v>
      </c>
      <c r="E446" s="138">
        <v>26478</v>
      </c>
      <c r="F446" s="12" t="s">
        <v>2738</v>
      </c>
      <c r="G446" s="12" t="s">
        <v>3536</v>
      </c>
      <c r="H446" s="12" t="s">
        <v>3537</v>
      </c>
      <c r="I446" s="6" t="str">
        <f>VLOOKUP(CLEAN(F446),'World Bank Categories'!$B$4:$C$220,2,FALSE)</f>
        <v>High income</v>
      </c>
      <c r="J446" s="12" t="s">
        <v>3538</v>
      </c>
      <c r="K446" s="12" t="s">
        <v>29</v>
      </c>
      <c r="L446" s="12" t="s">
        <v>30</v>
      </c>
      <c r="P446" s="12" t="s">
        <v>31</v>
      </c>
      <c r="Q446" s="130" t="s">
        <v>32</v>
      </c>
      <c r="R446" s="141" t="s">
        <v>43</v>
      </c>
      <c r="S446" s="12" t="s">
        <v>3535</v>
      </c>
      <c r="U446" s="12" t="s">
        <v>3538</v>
      </c>
      <c r="W446" s="12"/>
    </row>
    <row r="447" spans="1:23" ht="22.5" customHeight="1">
      <c r="A447" s="137">
        <v>46143.972787222221</v>
      </c>
      <c r="B447" s="12" t="s">
        <v>3543</v>
      </c>
      <c r="D447" s="12" t="s">
        <v>24</v>
      </c>
      <c r="E447" s="138">
        <v>37775</v>
      </c>
      <c r="F447" s="12" t="s">
        <v>3544</v>
      </c>
      <c r="G447" s="12" t="s">
        <v>3545</v>
      </c>
      <c r="H447" s="12" t="s">
        <v>1451</v>
      </c>
      <c r="I447" s="6" t="str">
        <f>VLOOKUP(CLEAN(F447),'World Bank Categories'!$B$4:$C$220,2,FALSE)</f>
        <v>Middle income</v>
      </c>
      <c r="J447" s="12" t="s">
        <v>3546</v>
      </c>
      <c r="K447" s="12" t="s">
        <v>29</v>
      </c>
      <c r="L447" s="12" t="s">
        <v>30</v>
      </c>
      <c r="P447" s="12" t="s">
        <v>31</v>
      </c>
      <c r="Q447" s="130" t="s">
        <v>32</v>
      </c>
      <c r="R447" s="141" t="s">
        <v>33</v>
      </c>
      <c r="W447" s="12"/>
    </row>
    <row r="448" spans="1:23" ht="22.5" customHeight="1">
      <c r="A448" s="137">
        <v>46144.0858921412</v>
      </c>
      <c r="B448" s="12" t="s">
        <v>3554</v>
      </c>
      <c r="D448" s="12" t="s">
        <v>45</v>
      </c>
      <c r="E448" s="138">
        <v>29317</v>
      </c>
      <c r="F448" s="12" t="s">
        <v>380</v>
      </c>
      <c r="G448" s="12" t="s">
        <v>3555</v>
      </c>
      <c r="H448" s="12" t="s">
        <v>3556</v>
      </c>
      <c r="I448" s="6" t="str">
        <f>VLOOKUP(CLEAN(F448),'World Bank Categories'!$B$4:$C$220,2,FALSE)</f>
        <v>Low income</v>
      </c>
      <c r="J448" s="12" t="s">
        <v>3557</v>
      </c>
      <c r="K448" s="12" t="s">
        <v>29</v>
      </c>
      <c r="L448" s="12" t="s">
        <v>30</v>
      </c>
      <c r="P448" s="12" t="s">
        <v>31</v>
      </c>
      <c r="Q448" s="130" t="s">
        <v>32</v>
      </c>
      <c r="R448" s="141" t="s">
        <v>33</v>
      </c>
      <c r="W448" s="12"/>
    </row>
    <row r="449" spans="1:23" ht="22.5" customHeight="1">
      <c r="A449" s="137">
        <v>46144.607838159718</v>
      </c>
      <c r="B449" s="12" t="s">
        <v>3558</v>
      </c>
      <c r="D449" s="12" t="s">
        <v>45</v>
      </c>
      <c r="E449" s="138">
        <v>22228</v>
      </c>
      <c r="F449" s="12" t="s">
        <v>3559</v>
      </c>
      <c r="G449" s="12" t="s">
        <v>3560</v>
      </c>
      <c r="H449" s="12" t="s">
        <v>3561</v>
      </c>
      <c r="I449" s="6" t="str">
        <f>VLOOKUP(CLEAN(F449),'World Bank Categories'!$B$4:$C$220,2,FALSE)</f>
        <v>Middle income</v>
      </c>
      <c r="J449" s="12" t="s">
        <v>3562</v>
      </c>
      <c r="K449" s="12" t="s">
        <v>29</v>
      </c>
      <c r="L449" s="143" t="s">
        <v>1168</v>
      </c>
      <c r="P449" s="12" t="s">
        <v>31</v>
      </c>
      <c r="Q449" s="130" t="s">
        <v>32</v>
      </c>
      <c r="R449" s="141" t="s">
        <v>33</v>
      </c>
      <c r="S449" s="12" t="s">
        <v>3563</v>
      </c>
      <c r="U449" s="12" t="s">
        <v>3564</v>
      </c>
      <c r="W449" s="12"/>
    </row>
    <row r="450" spans="1:23" ht="22.5" customHeight="1">
      <c r="A450" s="137">
        <v>46146.840584305552</v>
      </c>
      <c r="B450" s="12" t="s">
        <v>3569</v>
      </c>
      <c r="D450" s="12" t="s">
        <v>45</v>
      </c>
      <c r="E450" s="138">
        <v>30379</v>
      </c>
      <c r="F450" s="12" t="s">
        <v>475</v>
      </c>
      <c r="G450" s="12" t="s">
        <v>3570</v>
      </c>
      <c r="H450" s="12" t="s">
        <v>3537</v>
      </c>
      <c r="I450" s="6" t="str">
        <f>VLOOKUP(CLEAN(F450),'World Bank Categories'!$B$4:$C$220,2,FALSE)</f>
        <v>Middle income</v>
      </c>
      <c r="J450" s="12" t="s">
        <v>3571</v>
      </c>
      <c r="K450" s="12" t="s">
        <v>39</v>
      </c>
      <c r="L450" s="12" t="s">
        <v>30</v>
      </c>
      <c r="M450" s="12" t="s">
        <v>3572</v>
      </c>
      <c r="P450" s="12" t="s">
        <v>31</v>
      </c>
      <c r="Q450" s="205" t="s">
        <v>32</v>
      </c>
      <c r="R450" s="141" t="s">
        <v>43</v>
      </c>
      <c r="S450" s="206" t="s">
        <v>3573</v>
      </c>
      <c r="T450" s="207">
        <v>30394</v>
      </c>
      <c r="U450" s="206" t="s">
        <v>3574</v>
      </c>
      <c r="V450" s="208" t="s">
        <v>3575</v>
      </c>
      <c r="W450" s="209">
        <v>718594</v>
      </c>
    </row>
    <row r="451" spans="1:23" ht="22.5" customHeight="1">
      <c r="A451" s="137">
        <v>46146.857284606478</v>
      </c>
      <c r="B451" s="12" t="s">
        <v>3576</v>
      </c>
      <c r="D451" s="12" t="s">
        <v>24</v>
      </c>
      <c r="E451" s="138">
        <v>31148</v>
      </c>
      <c r="F451" s="12" t="s">
        <v>475</v>
      </c>
      <c r="G451" s="12" t="s">
        <v>3577</v>
      </c>
      <c r="H451" s="12" t="s">
        <v>3578</v>
      </c>
      <c r="I451" s="6" t="str">
        <f>VLOOKUP(CLEAN(F451),'World Bank Categories'!$B$4:$C$220,2,FALSE)</f>
        <v>Middle income</v>
      </c>
      <c r="J451" s="12" t="s">
        <v>3579</v>
      </c>
      <c r="K451" s="12" t="s">
        <v>39</v>
      </c>
      <c r="L451" s="12" t="s">
        <v>30</v>
      </c>
      <c r="M451" s="12" t="s">
        <v>3580</v>
      </c>
      <c r="P451" s="12" t="s">
        <v>31</v>
      </c>
      <c r="Q451" s="205" t="s">
        <v>32</v>
      </c>
      <c r="R451" s="141" t="s">
        <v>43</v>
      </c>
      <c r="S451" s="206" t="s">
        <v>3576</v>
      </c>
      <c r="T451" s="207">
        <v>31148</v>
      </c>
      <c r="U451" s="206" t="s">
        <v>3579</v>
      </c>
      <c r="V451" s="208" t="s">
        <v>3581</v>
      </c>
      <c r="W451" s="209">
        <v>718595</v>
      </c>
    </row>
    <row r="452" spans="1:23" ht="22.5" customHeight="1">
      <c r="A452" s="210">
        <v>46146.865314050927</v>
      </c>
      <c r="B452" s="211" t="s">
        <v>3582</v>
      </c>
      <c r="C452" s="211"/>
      <c r="D452" s="211" t="s">
        <v>24</v>
      </c>
      <c r="E452" s="212">
        <v>36614</v>
      </c>
      <c r="F452" s="211" t="s">
        <v>470</v>
      </c>
      <c r="G452" s="211" t="s">
        <v>3583</v>
      </c>
      <c r="H452" s="211" t="s">
        <v>3584</v>
      </c>
      <c r="I452" s="6" t="str">
        <f>VLOOKUP(CLEAN(F452),'World Bank Categories'!$B$4:$C$220,2,FALSE)</f>
        <v>Middle income</v>
      </c>
      <c r="J452" s="211" t="s">
        <v>3585</v>
      </c>
      <c r="K452" s="211" t="s">
        <v>29</v>
      </c>
      <c r="L452" s="211" t="s">
        <v>30</v>
      </c>
      <c r="M452" s="211"/>
      <c r="N452" s="211"/>
      <c r="O452" s="211"/>
      <c r="P452" s="211" t="s">
        <v>31</v>
      </c>
      <c r="Q452" s="213" t="s">
        <v>32</v>
      </c>
      <c r="R452" s="33" t="s">
        <v>33</v>
      </c>
      <c r="S452" s="214" t="s">
        <v>3586</v>
      </c>
      <c r="T452" s="215">
        <v>36614</v>
      </c>
      <c r="U452" s="214" t="s">
        <v>3587</v>
      </c>
      <c r="V452" s="216" t="s">
        <v>3588</v>
      </c>
      <c r="W452" s="217">
        <v>720300</v>
      </c>
    </row>
    <row r="453" spans="1:23" ht="22.5" customHeight="1">
      <c r="A453" s="137">
        <v>46146.897362453703</v>
      </c>
      <c r="B453" s="12" t="s">
        <v>762</v>
      </c>
      <c r="D453" s="12" t="s">
        <v>45</v>
      </c>
      <c r="E453" s="138">
        <v>34722</v>
      </c>
      <c r="F453" s="12" t="s">
        <v>751</v>
      </c>
      <c r="G453" s="12" t="s">
        <v>763</v>
      </c>
      <c r="H453" s="12" t="s">
        <v>943</v>
      </c>
      <c r="I453" s="6" t="str">
        <f>VLOOKUP(CLEAN(F453),'World Bank Categories'!$B$4:$C$220,2,FALSE)</f>
        <v>Low income</v>
      </c>
      <c r="J453" s="12" t="s">
        <v>764</v>
      </c>
      <c r="K453" s="12" t="s">
        <v>29</v>
      </c>
      <c r="L453" s="12" t="s">
        <v>30</v>
      </c>
      <c r="P453" s="12" t="s">
        <v>31</v>
      </c>
      <c r="Q453" s="205" t="s">
        <v>32</v>
      </c>
      <c r="R453" s="141" t="s">
        <v>33</v>
      </c>
      <c r="S453" s="206" t="s">
        <v>762</v>
      </c>
      <c r="T453" s="207">
        <v>34722</v>
      </c>
      <c r="U453" s="206" t="s">
        <v>764</v>
      </c>
      <c r="V453" s="208" t="s">
        <v>3589</v>
      </c>
      <c r="W453" s="209">
        <v>719403</v>
      </c>
    </row>
    <row r="454" spans="1:23" ht="22.5" customHeight="1">
      <c r="A454" s="80">
        <v>46146.833143043987</v>
      </c>
      <c r="B454" s="81" t="s">
        <v>2685</v>
      </c>
      <c r="C454" s="82"/>
      <c r="D454" s="81" t="s">
        <v>45</v>
      </c>
      <c r="E454" s="83">
        <v>34242</v>
      </c>
      <c r="F454" s="81" t="s">
        <v>3596</v>
      </c>
      <c r="G454" s="81" t="s">
        <v>3597</v>
      </c>
      <c r="H454" s="81" t="s">
        <v>418</v>
      </c>
      <c r="I454" s="81" t="s">
        <v>3598</v>
      </c>
      <c r="J454" s="81" t="s">
        <v>2688</v>
      </c>
      <c r="K454" s="81" t="s">
        <v>39</v>
      </c>
      <c r="L454" s="81" t="s">
        <v>30</v>
      </c>
      <c r="M454" s="81" t="s">
        <v>941</v>
      </c>
      <c r="N454" s="81"/>
      <c r="O454" s="82"/>
      <c r="P454" s="82"/>
      <c r="Q454" s="213" t="s">
        <v>32</v>
      </c>
      <c r="R454" s="141" t="s">
        <v>33</v>
      </c>
      <c r="S454" s="206" t="s">
        <v>2685</v>
      </c>
      <c r="T454" s="207">
        <v>34242</v>
      </c>
      <c r="U454" s="223" t="s">
        <v>2688</v>
      </c>
      <c r="V454" s="224" t="s">
        <v>3599</v>
      </c>
      <c r="W454" s="209">
        <v>721996</v>
      </c>
    </row>
    <row r="455" spans="1:23" ht="22.5" customHeight="1">
      <c r="A455" s="137">
        <v>46147.117677430557</v>
      </c>
      <c r="B455" s="12" t="s">
        <v>3600</v>
      </c>
      <c r="D455" s="12" t="s">
        <v>24</v>
      </c>
      <c r="E455" s="138">
        <v>30038</v>
      </c>
      <c r="F455" s="12" t="s">
        <v>52</v>
      </c>
      <c r="G455" s="12" t="s">
        <v>664</v>
      </c>
      <c r="H455" s="12" t="s">
        <v>186</v>
      </c>
      <c r="I455" s="6" t="str">
        <f>VLOOKUP(CLEAN(F455),'World Bank Categories'!$B$4:$C$220,2,FALSE)</f>
        <v>Middle income</v>
      </c>
      <c r="J455" s="12" t="s">
        <v>3601</v>
      </c>
      <c r="K455" s="12" t="s">
        <v>39</v>
      </c>
      <c r="L455" s="12" t="s">
        <v>30</v>
      </c>
      <c r="P455" s="12" t="s">
        <v>31</v>
      </c>
      <c r="Q455" s="205" t="s">
        <v>32</v>
      </c>
      <c r="R455" s="141" t="s">
        <v>33</v>
      </c>
      <c r="S455" s="206" t="s">
        <v>3602</v>
      </c>
      <c r="T455" s="207">
        <v>30038</v>
      </c>
      <c r="U455" s="206" t="s">
        <v>3601</v>
      </c>
      <c r="V455" s="208" t="s">
        <v>3603</v>
      </c>
      <c r="W455" s="209">
        <v>722094</v>
      </c>
    </row>
    <row r="456" spans="1:23" ht="22.5" customHeight="1">
      <c r="A456" s="137">
        <v>46147.24168155092</v>
      </c>
      <c r="B456" s="12" t="s">
        <v>3612</v>
      </c>
      <c r="D456" s="12" t="s">
        <v>45</v>
      </c>
      <c r="E456" s="138">
        <v>25840</v>
      </c>
      <c r="F456" s="12" t="s">
        <v>3613</v>
      </c>
      <c r="G456" s="12" t="s">
        <v>3614</v>
      </c>
      <c r="H456" s="12" t="s">
        <v>3614</v>
      </c>
      <c r="I456" s="6" t="str">
        <f>VLOOKUP(CLEAN(F456),'World Bank Categories'!$B$4:$C$220,2,FALSE)</f>
        <v>Middle income</v>
      </c>
      <c r="J456" s="12" t="s">
        <v>3615</v>
      </c>
      <c r="K456" s="12" t="s">
        <v>29</v>
      </c>
      <c r="L456" s="12" t="s">
        <v>162</v>
      </c>
      <c r="M456" s="12" t="s">
        <v>3616</v>
      </c>
      <c r="P456" s="12" t="s">
        <v>31</v>
      </c>
      <c r="Q456" s="205" t="s">
        <v>32</v>
      </c>
      <c r="R456" s="141" t="s">
        <v>33</v>
      </c>
      <c r="S456" s="206" t="s">
        <v>3612</v>
      </c>
      <c r="T456" s="207">
        <v>25840</v>
      </c>
      <c r="U456" s="206" t="s">
        <v>3615</v>
      </c>
      <c r="V456" s="208" t="s">
        <v>3617</v>
      </c>
      <c r="W456" s="209">
        <v>718539</v>
      </c>
    </row>
    <row r="457" spans="1:23" ht="22.5" customHeight="1">
      <c r="A457" s="137">
        <v>46147.243353738428</v>
      </c>
      <c r="B457" s="12" t="s">
        <v>3618</v>
      </c>
      <c r="D457" s="12" t="s">
        <v>24</v>
      </c>
      <c r="E457" s="138">
        <v>32847</v>
      </c>
      <c r="F457" s="12" t="s">
        <v>198</v>
      </c>
      <c r="G457" s="12" t="s">
        <v>3619</v>
      </c>
      <c r="H457" s="12" t="s">
        <v>3620</v>
      </c>
      <c r="I457" s="6" t="str">
        <f>VLOOKUP(CLEAN(F457),'World Bank Categories'!$B$4:$C$220,2,FALSE)</f>
        <v>Middle income</v>
      </c>
      <c r="J457" s="12" t="s">
        <v>201</v>
      </c>
      <c r="K457" s="12" t="s">
        <v>29</v>
      </c>
      <c r="L457" s="12" t="s">
        <v>30</v>
      </c>
      <c r="P457" s="12" t="s">
        <v>31</v>
      </c>
      <c r="Q457" s="205" t="s">
        <v>32</v>
      </c>
      <c r="R457" s="141" t="s">
        <v>43</v>
      </c>
      <c r="S457" s="206" t="s">
        <v>197</v>
      </c>
      <c r="T457" s="207">
        <v>32847</v>
      </c>
      <c r="U457" s="206" t="s">
        <v>201</v>
      </c>
      <c r="V457" s="208" t="s">
        <v>3621</v>
      </c>
      <c r="W457" s="209">
        <v>717398</v>
      </c>
    </row>
    <row r="458" spans="1:23" ht="22.5" customHeight="1">
      <c r="A458" s="137">
        <v>46147.300774629628</v>
      </c>
      <c r="B458" s="12" t="s">
        <v>2667</v>
      </c>
      <c r="D458" s="12" t="s">
        <v>45</v>
      </c>
      <c r="E458" s="138">
        <v>19426</v>
      </c>
      <c r="F458" s="12" t="s">
        <v>203</v>
      </c>
      <c r="G458" s="12" t="s">
        <v>1890</v>
      </c>
      <c r="H458" s="12" t="s">
        <v>3622</v>
      </c>
      <c r="I458" s="6" t="str">
        <f>VLOOKUP(CLEAN(F458),'World Bank Categories'!$B$4:$C$220,2,FALSE)</f>
        <v>Middle income</v>
      </c>
      <c r="J458" s="12" t="s">
        <v>2669</v>
      </c>
      <c r="K458" s="12" t="s">
        <v>39</v>
      </c>
      <c r="L458" s="12" t="s">
        <v>162</v>
      </c>
      <c r="M458" s="12" t="s">
        <v>3623</v>
      </c>
      <c r="P458" s="12" t="s">
        <v>31</v>
      </c>
      <c r="Q458" s="205" t="s">
        <v>32</v>
      </c>
      <c r="R458" s="141" t="s">
        <v>33</v>
      </c>
      <c r="S458" s="206" t="s">
        <v>2667</v>
      </c>
      <c r="T458" s="207">
        <v>19426</v>
      </c>
      <c r="U458" s="206" t="s">
        <v>2669</v>
      </c>
      <c r="V458" s="208" t="s">
        <v>3624</v>
      </c>
      <c r="W458" s="209">
        <v>720070</v>
      </c>
    </row>
    <row r="459" spans="1:23" ht="22.5" customHeight="1">
      <c r="A459" s="137">
        <v>46147.674046400462</v>
      </c>
      <c r="B459" s="12" t="s">
        <v>3628</v>
      </c>
      <c r="C459" s="12" t="s">
        <v>3629</v>
      </c>
      <c r="D459" s="12" t="s">
        <v>45</v>
      </c>
      <c r="E459" s="138">
        <v>38579</v>
      </c>
      <c r="F459" s="12" t="s">
        <v>64</v>
      </c>
      <c r="G459" s="12" t="s">
        <v>3630</v>
      </c>
      <c r="H459" s="12" t="s">
        <v>66</v>
      </c>
      <c r="I459" s="6" t="str">
        <f>VLOOKUP(CLEAN(F459),'World Bank Categories'!$B$4:$C$220,2,FALSE)</f>
        <v>Middle income</v>
      </c>
      <c r="J459" s="12" t="s">
        <v>571</v>
      </c>
      <c r="K459" s="12" t="s">
        <v>29</v>
      </c>
      <c r="L459" s="12" t="s">
        <v>30</v>
      </c>
      <c r="P459" s="12" t="s">
        <v>31</v>
      </c>
      <c r="Q459" s="205" t="s">
        <v>32</v>
      </c>
      <c r="R459" s="141" t="s">
        <v>33</v>
      </c>
      <c r="S459" s="206" t="s">
        <v>568</v>
      </c>
      <c r="T459" s="207">
        <v>38579</v>
      </c>
      <c r="U459" s="206" t="s">
        <v>571</v>
      </c>
      <c r="V459" s="208" t="s">
        <v>3631</v>
      </c>
      <c r="W459" s="209">
        <v>719187</v>
      </c>
    </row>
    <row r="460" spans="1:23" ht="22.5" customHeight="1">
      <c r="A460" s="137">
        <v>46147.884502592591</v>
      </c>
      <c r="B460" s="12" t="s">
        <v>3632</v>
      </c>
      <c r="D460" s="12" t="s">
        <v>24</v>
      </c>
      <c r="E460" s="138">
        <v>26129</v>
      </c>
      <c r="F460" s="12" t="s">
        <v>475</v>
      </c>
      <c r="G460" s="12" t="s">
        <v>3633</v>
      </c>
      <c r="H460" s="12" t="s">
        <v>3634</v>
      </c>
      <c r="I460" s="6" t="str">
        <f>VLOOKUP(CLEAN(F460),'World Bank Categories'!$B$4:$C$220,2,FALSE)</f>
        <v>Middle income</v>
      </c>
      <c r="J460" s="12" t="s">
        <v>3635</v>
      </c>
      <c r="K460" s="12" t="s">
        <v>29</v>
      </c>
      <c r="L460" s="12" t="s">
        <v>30</v>
      </c>
      <c r="M460" s="12" t="s">
        <v>3636</v>
      </c>
      <c r="P460" s="12" t="s">
        <v>31</v>
      </c>
      <c r="Q460" s="205" t="s">
        <v>32</v>
      </c>
      <c r="R460" s="141" t="s">
        <v>43</v>
      </c>
      <c r="S460" s="206" t="s">
        <v>3637</v>
      </c>
      <c r="T460" s="207">
        <v>26129</v>
      </c>
      <c r="U460" s="206" t="s">
        <v>3635</v>
      </c>
      <c r="V460" s="208" t="s">
        <v>3638</v>
      </c>
      <c r="W460" s="209">
        <v>720053</v>
      </c>
    </row>
    <row r="461" spans="1:23" ht="22.5" customHeight="1">
      <c r="A461" s="137">
        <v>46148.012019363421</v>
      </c>
      <c r="B461" s="12" t="s">
        <v>3639</v>
      </c>
      <c r="C461" s="12" t="s">
        <v>3640</v>
      </c>
      <c r="D461" s="12" t="s">
        <v>45</v>
      </c>
      <c r="E461" s="138">
        <v>46147</v>
      </c>
      <c r="F461" s="12" t="s">
        <v>198</v>
      </c>
      <c r="G461" s="12" t="s">
        <v>3641</v>
      </c>
      <c r="H461" s="12" t="s">
        <v>3642</v>
      </c>
      <c r="I461" s="6" t="str">
        <f>VLOOKUP(CLEAN(F461),'World Bank Categories'!$B$4:$C$220,2,FALSE)</f>
        <v>Middle income</v>
      </c>
      <c r="J461" s="12" t="s">
        <v>3643</v>
      </c>
      <c r="K461" s="12" t="s">
        <v>29</v>
      </c>
      <c r="L461" s="12" t="s">
        <v>30</v>
      </c>
      <c r="P461" s="12" t="s">
        <v>31</v>
      </c>
      <c r="Q461" s="205" t="s">
        <v>32</v>
      </c>
      <c r="R461" s="141" t="s">
        <v>33</v>
      </c>
      <c r="S461" s="206" t="s">
        <v>3644</v>
      </c>
      <c r="T461" s="207">
        <v>36457</v>
      </c>
      <c r="U461" s="206" t="s">
        <v>3643</v>
      </c>
      <c r="V461" s="208" t="s">
        <v>3645</v>
      </c>
      <c r="W461" s="209">
        <v>717288</v>
      </c>
    </row>
    <row r="462" spans="1:23" ht="22.5" customHeight="1">
      <c r="A462" s="137">
        <v>46148.346571273149</v>
      </c>
      <c r="B462" s="12" t="s">
        <v>3646</v>
      </c>
      <c r="D462" s="12" t="s">
        <v>45</v>
      </c>
      <c r="E462" s="138">
        <v>28186</v>
      </c>
      <c r="F462" s="12" t="s">
        <v>475</v>
      </c>
      <c r="G462" s="12" t="s">
        <v>3647</v>
      </c>
      <c r="H462" s="12" t="s">
        <v>3648</v>
      </c>
      <c r="I462" s="6" t="str">
        <f>VLOOKUP(CLEAN(F462),'World Bank Categories'!$B$4:$C$220,2,FALSE)</f>
        <v>Middle income</v>
      </c>
      <c r="J462" s="12" t="s">
        <v>3649</v>
      </c>
      <c r="K462" s="12" t="s">
        <v>39</v>
      </c>
      <c r="L462" s="12" t="s">
        <v>30</v>
      </c>
      <c r="P462" s="12" t="s">
        <v>31</v>
      </c>
      <c r="Q462" s="205" t="s">
        <v>32</v>
      </c>
      <c r="R462" s="141" t="s">
        <v>43</v>
      </c>
      <c r="S462" s="206" t="s">
        <v>3650</v>
      </c>
      <c r="T462" s="207">
        <v>28186</v>
      </c>
      <c r="U462" s="206" t="s">
        <v>3649</v>
      </c>
      <c r="V462" s="208" t="s">
        <v>3651</v>
      </c>
      <c r="W462" s="209">
        <v>719739</v>
      </c>
    </row>
    <row r="463" spans="1:23" ht="22.5" customHeight="1">
      <c r="A463" s="137">
        <v>46148.482345185184</v>
      </c>
      <c r="B463" s="12" t="s">
        <v>3652</v>
      </c>
      <c r="C463" s="12" t="s">
        <v>3653</v>
      </c>
      <c r="D463" s="12" t="s">
        <v>24</v>
      </c>
      <c r="E463" s="138">
        <v>28629</v>
      </c>
      <c r="F463" s="12" t="s">
        <v>1932</v>
      </c>
      <c r="G463" s="12" t="s">
        <v>3654</v>
      </c>
      <c r="H463" s="12" t="s">
        <v>3655</v>
      </c>
      <c r="I463" s="6" t="str">
        <f>VLOOKUP(CLEAN(F463),'World Bank Categories'!$B$4:$C$220,2,FALSE)</f>
        <v>Middle income</v>
      </c>
      <c r="J463" s="12" t="s">
        <v>3656</v>
      </c>
      <c r="K463" s="12" t="s">
        <v>29</v>
      </c>
      <c r="L463" s="12" t="s">
        <v>30</v>
      </c>
      <c r="M463" s="12" t="s">
        <v>3657</v>
      </c>
      <c r="P463" s="12" t="s">
        <v>31</v>
      </c>
      <c r="Q463" s="205" t="s">
        <v>32</v>
      </c>
      <c r="R463" s="141" t="s">
        <v>33</v>
      </c>
      <c r="S463" s="206" t="s">
        <v>2208</v>
      </c>
      <c r="T463" s="207">
        <v>28629</v>
      </c>
      <c r="U463" s="206" t="s">
        <v>2207</v>
      </c>
      <c r="V463" s="208" t="s">
        <v>3658</v>
      </c>
      <c r="W463" s="209">
        <v>722097</v>
      </c>
    </row>
    <row r="464" spans="1:23" ht="22.5" customHeight="1">
      <c r="A464" s="137">
        <v>46148.528981192125</v>
      </c>
      <c r="B464" s="12" t="s">
        <v>591</v>
      </c>
      <c r="D464" s="12" t="s">
        <v>45</v>
      </c>
      <c r="E464" s="138">
        <v>37547</v>
      </c>
      <c r="F464" s="12" t="s">
        <v>208</v>
      </c>
      <c r="G464" s="12" t="s">
        <v>3659</v>
      </c>
      <c r="H464" s="12" t="s">
        <v>3660</v>
      </c>
      <c r="I464" s="6" t="str">
        <f>VLOOKUP(CLEAN(F464),'World Bank Categories'!$B$4:$C$220,2,FALSE)</f>
        <v>Low income</v>
      </c>
      <c r="J464" s="12" t="s">
        <v>593</v>
      </c>
      <c r="K464" s="12" t="s">
        <v>29</v>
      </c>
      <c r="L464" s="12" t="s">
        <v>30</v>
      </c>
      <c r="P464" s="12" t="s">
        <v>31</v>
      </c>
      <c r="Q464" s="205" t="s">
        <v>32</v>
      </c>
      <c r="R464" s="141" t="s">
        <v>33</v>
      </c>
      <c r="S464" s="206" t="s">
        <v>591</v>
      </c>
      <c r="T464" s="207">
        <v>37182</v>
      </c>
      <c r="U464" s="206" t="s">
        <v>593</v>
      </c>
      <c r="V464" s="208" t="s">
        <v>3661</v>
      </c>
      <c r="W464" s="209">
        <v>717161</v>
      </c>
    </row>
    <row r="465" spans="1:23" ht="22.5" customHeight="1">
      <c r="A465" s="144">
        <v>46148.534261400462</v>
      </c>
      <c r="B465" s="40" t="s">
        <v>3662</v>
      </c>
      <c r="C465" s="40"/>
      <c r="D465" s="40" t="s">
        <v>24</v>
      </c>
      <c r="E465" s="145">
        <v>31038</v>
      </c>
      <c r="F465" s="40" t="s">
        <v>52</v>
      </c>
      <c r="G465" s="40" t="s">
        <v>3663</v>
      </c>
      <c r="H465" s="40" t="s">
        <v>3664</v>
      </c>
      <c r="I465" s="6" t="str">
        <f>VLOOKUP(CLEAN(F465),'World Bank Categories'!$B$4:$C$220,2,FALSE)</f>
        <v>Middle income</v>
      </c>
      <c r="J465" s="40" t="s">
        <v>1230</v>
      </c>
      <c r="K465" s="40" t="s">
        <v>39</v>
      </c>
      <c r="L465" s="40" t="s">
        <v>162</v>
      </c>
      <c r="M465" s="40"/>
      <c r="N465" s="40"/>
      <c r="O465" s="40"/>
      <c r="P465" s="40" t="s">
        <v>31</v>
      </c>
      <c r="Q465" s="213" t="s">
        <v>32</v>
      </c>
      <c r="R465" s="33" t="s">
        <v>33</v>
      </c>
      <c r="S465" s="33" t="s">
        <v>1231</v>
      </c>
      <c r="T465" s="226">
        <v>31038</v>
      </c>
      <c r="U465" s="33" t="s">
        <v>1230</v>
      </c>
      <c r="V465" s="227" t="s">
        <v>3665</v>
      </c>
      <c r="W465" s="228">
        <v>717435</v>
      </c>
    </row>
    <row r="466" spans="1:23" ht="22.5" customHeight="1">
      <c r="A466" s="137">
        <v>46148.63644761574</v>
      </c>
      <c r="B466" s="12" t="s">
        <v>3666</v>
      </c>
      <c r="D466" s="12" t="s">
        <v>45</v>
      </c>
      <c r="E466" s="138">
        <v>24412</v>
      </c>
      <c r="F466" s="12" t="s">
        <v>3667</v>
      </c>
      <c r="G466" s="12" t="s">
        <v>3668</v>
      </c>
      <c r="H466" s="12" t="s">
        <v>3669</v>
      </c>
      <c r="I466" s="6" t="str">
        <f>VLOOKUP(CLEAN(F466),'World Bank Categories'!$B$4:$C$220,2,FALSE)</f>
        <v>Middle income</v>
      </c>
      <c r="J466" s="12" t="s">
        <v>3670</v>
      </c>
      <c r="K466" s="12" t="s">
        <v>29</v>
      </c>
      <c r="L466" s="12" t="s">
        <v>30</v>
      </c>
      <c r="M466" s="12" t="s">
        <v>3671</v>
      </c>
      <c r="P466" s="12" t="s">
        <v>31</v>
      </c>
      <c r="Q466" s="205" t="s">
        <v>32</v>
      </c>
      <c r="R466" s="141" t="s">
        <v>33</v>
      </c>
      <c r="S466" s="206" t="s">
        <v>3672</v>
      </c>
      <c r="T466" s="207">
        <v>24412</v>
      </c>
      <c r="U466" s="206" t="s">
        <v>3670</v>
      </c>
      <c r="V466" s="208" t="s">
        <v>3673</v>
      </c>
      <c r="W466" s="209">
        <v>723769</v>
      </c>
    </row>
    <row r="467" spans="1:23" ht="22.5" customHeight="1">
      <c r="A467" s="137">
        <v>46148.641914236112</v>
      </c>
      <c r="B467" s="12" t="s">
        <v>3674</v>
      </c>
      <c r="D467" s="12" t="s">
        <v>24</v>
      </c>
      <c r="E467" s="138">
        <v>35565</v>
      </c>
      <c r="F467" s="12" t="s">
        <v>3544</v>
      </c>
      <c r="G467" s="12" t="s">
        <v>3675</v>
      </c>
      <c r="H467" s="12" t="s">
        <v>3676</v>
      </c>
      <c r="I467" s="6" t="str">
        <f>VLOOKUP(CLEAN(F467),'World Bank Categories'!$B$4:$C$220,2,FALSE)</f>
        <v>Middle income</v>
      </c>
      <c r="J467" s="12" t="s">
        <v>3677</v>
      </c>
      <c r="K467" s="12" t="s">
        <v>39</v>
      </c>
      <c r="L467" s="12" t="s">
        <v>30</v>
      </c>
      <c r="P467" s="12" t="s">
        <v>31</v>
      </c>
      <c r="Q467" s="205" t="s">
        <v>32</v>
      </c>
      <c r="R467" s="141" t="s">
        <v>33</v>
      </c>
      <c r="S467" s="206" t="s">
        <v>3678</v>
      </c>
      <c r="T467" s="207">
        <v>35565</v>
      </c>
      <c r="U467" s="206" t="s">
        <v>3677</v>
      </c>
      <c r="V467" s="208" t="s">
        <v>3679</v>
      </c>
      <c r="W467" s="209">
        <v>719722</v>
      </c>
    </row>
    <row r="468" spans="1:23" ht="22.5" customHeight="1">
      <c r="A468" s="137">
        <v>46148.684084062501</v>
      </c>
      <c r="B468" s="12" t="s">
        <v>3680</v>
      </c>
      <c r="D468" s="12" t="s">
        <v>24</v>
      </c>
      <c r="E468" s="138">
        <v>38887</v>
      </c>
      <c r="F468" s="12" t="s">
        <v>2332</v>
      </c>
      <c r="G468" s="12" t="s">
        <v>3681</v>
      </c>
      <c r="H468" s="12" t="s">
        <v>3682</v>
      </c>
      <c r="I468" s="6" t="str">
        <f>VLOOKUP(CLEAN(F468),'World Bank Categories'!$B$4:$C$220,2,FALSE)</f>
        <v>High income</v>
      </c>
      <c r="J468" s="12" t="s">
        <v>3683</v>
      </c>
      <c r="K468" s="12" t="s">
        <v>29</v>
      </c>
      <c r="L468" s="12" t="s">
        <v>30</v>
      </c>
      <c r="M468" s="12" t="s">
        <v>3684</v>
      </c>
      <c r="P468" s="12" t="s">
        <v>31</v>
      </c>
      <c r="Q468" s="205" t="s">
        <v>32</v>
      </c>
      <c r="R468" s="141" t="s">
        <v>43</v>
      </c>
      <c r="S468" s="206" t="s">
        <v>3680</v>
      </c>
      <c r="T468" s="207">
        <v>38887</v>
      </c>
      <c r="U468" s="206" t="s">
        <v>3685</v>
      </c>
      <c r="V468" s="208" t="s">
        <v>3686</v>
      </c>
      <c r="W468" s="209">
        <v>722162</v>
      </c>
    </row>
    <row r="469" spans="1:23" ht="22.5" customHeight="1">
      <c r="A469" s="137">
        <v>46148.724367905088</v>
      </c>
      <c r="B469" s="12" t="s">
        <v>3687</v>
      </c>
      <c r="C469" s="12" t="s">
        <v>3688</v>
      </c>
      <c r="D469" s="12" t="s">
        <v>45</v>
      </c>
      <c r="E469" s="138">
        <v>33504</v>
      </c>
      <c r="F469" s="12" t="s">
        <v>1905</v>
      </c>
      <c r="G469" s="12" t="s">
        <v>3689</v>
      </c>
      <c r="H469" s="12" t="s">
        <v>933</v>
      </c>
      <c r="I469" s="6" t="str">
        <f>VLOOKUP(CLEAN(F469),'World Bank Categories'!$B$4:$C$220,2,FALSE)</f>
        <v>Low income</v>
      </c>
      <c r="J469" s="12" t="s">
        <v>3690</v>
      </c>
      <c r="K469" s="12" t="s">
        <v>29</v>
      </c>
      <c r="L469" s="12" t="s">
        <v>30</v>
      </c>
      <c r="P469" s="12" t="s">
        <v>31</v>
      </c>
      <c r="Q469" s="205" t="s">
        <v>32</v>
      </c>
      <c r="R469" s="141" t="s">
        <v>33</v>
      </c>
      <c r="S469" s="206" t="s">
        <v>3691</v>
      </c>
      <c r="T469" s="207">
        <v>33504</v>
      </c>
      <c r="U469" s="206" t="s">
        <v>3690</v>
      </c>
      <c r="V469" s="208" t="s">
        <v>3692</v>
      </c>
      <c r="W469" s="209">
        <v>717234</v>
      </c>
    </row>
    <row r="470" spans="1:23" ht="22.5" customHeight="1">
      <c r="A470" s="137">
        <v>46148.790611446762</v>
      </c>
      <c r="B470" s="12" t="s">
        <v>576</v>
      </c>
      <c r="D470" s="12" t="s">
        <v>45</v>
      </c>
      <c r="E470" s="138">
        <v>35236</v>
      </c>
      <c r="F470" s="12" t="s">
        <v>208</v>
      </c>
      <c r="G470" s="12" t="s">
        <v>3693</v>
      </c>
      <c r="H470" s="12" t="s">
        <v>3694</v>
      </c>
      <c r="I470" s="6" t="str">
        <f>VLOOKUP(CLEAN(F470),'World Bank Categories'!$B$4:$C$220,2,FALSE)</f>
        <v>Low income</v>
      </c>
      <c r="J470" s="12" t="s">
        <v>579</v>
      </c>
      <c r="K470" s="12" t="s">
        <v>29</v>
      </c>
      <c r="L470" s="12" t="s">
        <v>30</v>
      </c>
      <c r="P470" s="12" t="s">
        <v>31</v>
      </c>
      <c r="Q470" s="205" t="s">
        <v>32</v>
      </c>
      <c r="R470" s="141" t="s">
        <v>33</v>
      </c>
      <c r="S470" s="206" t="s">
        <v>580</v>
      </c>
      <c r="T470" s="207">
        <v>35236</v>
      </c>
      <c r="U470" s="206" t="s">
        <v>579</v>
      </c>
      <c r="V470" s="208" t="s">
        <v>3695</v>
      </c>
      <c r="W470" s="209">
        <v>719217</v>
      </c>
    </row>
    <row r="471" spans="1:23" ht="22.5" customHeight="1">
      <c r="A471" s="137">
        <v>46148.822194004628</v>
      </c>
      <c r="B471" s="12" t="s">
        <v>3697</v>
      </c>
      <c r="C471" s="12" t="s">
        <v>3697</v>
      </c>
      <c r="D471" s="12" t="s">
        <v>24</v>
      </c>
      <c r="E471" s="138">
        <v>35691</v>
      </c>
      <c r="F471" s="12" t="s">
        <v>208</v>
      </c>
      <c r="G471" s="12" t="s">
        <v>3698</v>
      </c>
      <c r="H471" s="12" t="s">
        <v>2303</v>
      </c>
      <c r="I471" s="6" t="str">
        <f>VLOOKUP(CLEAN(F471),'World Bank Categories'!$B$4:$C$220,2,FALSE)</f>
        <v>Low income</v>
      </c>
      <c r="J471" s="12" t="s">
        <v>3699</v>
      </c>
      <c r="K471" s="12" t="s">
        <v>29</v>
      </c>
      <c r="L471" s="12" t="s">
        <v>30</v>
      </c>
      <c r="P471" s="12" t="s">
        <v>31</v>
      </c>
      <c r="Q471" s="205" t="s">
        <v>32</v>
      </c>
      <c r="R471" s="141" t="s">
        <v>33</v>
      </c>
      <c r="S471" s="206" t="s">
        <v>2301</v>
      </c>
      <c r="T471" s="207">
        <v>35691</v>
      </c>
      <c r="U471" s="206" t="s">
        <v>2304</v>
      </c>
      <c r="V471" s="208" t="s">
        <v>3700</v>
      </c>
      <c r="W471" s="209">
        <v>718993</v>
      </c>
    </row>
    <row r="472" spans="1:23" ht="22.5" customHeight="1">
      <c r="A472" s="137">
        <v>46148.861709571764</v>
      </c>
      <c r="B472" s="12" t="s">
        <v>3701</v>
      </c>
      <c r="C472" s="12" t="s">
        <v>3702</v>
      </c>
      <c r="D472" s="12" t="s">
        <v>45</v>
      </c>
      <c r="E472" s="138">
        <v>29338</v>
      </c>
      <c r="F472" s="12" t="s">
        <v>380</v>
      </c>
      <c r="G472" s="12" t="s">
        <v>209</v>
      </c>
      <c r="H472" s="12" t="s">
        <v>3703</v>
      </c>
      <c r="I472" s="6" t="str">
        <f>VLOOKUP(CLEAN(F472),'World Bank Categories'!$B$4:$C$220,2,FALSE)</f>
        <v>Low income</v>
      </c>
      <c r="J472" s="12" t="s">
        <v>3704</v>
      </c>
      <c r="K472" s="12" t="s">
        <v>39</v>
      </c>
      <c r="L472" s="143" t="s">
        <v>1168</v>
      </c>
      <c r="P472" s="12" t="s">
        <v>31</v>
      </c>
      <c r="Q472" s="205" t="s">
        <v>32</v>
      </c>
      <c r="R472" s="141" t="s">
        <v>33</v>
      </c>
      <c r="S472" s="206" t="s">
        <v>3705</v>
      </c>
      <c r="T472" s="207">
        <v>29338</v>
      </c>
      <c r="U472" s="206" t="s">
        <v>3704</v>
      </c>
      <c r="V472" s="208" t="s">
        <v>3706</v>
      </c>
      <c r="W472" s="209">
        <v>718592</v>
      </c>
    </row>
    <row r="473" spans="1:23" ht="22.5" customHeight="1">
      <c r="A473" s="137">
        <v>46148.882395879627</v>
      </c>
      <c r="B473" s="12" t="s">
        <v>3707</v>
      </c>
      <c r="C473" s="12" t="s">
        <v>3708</v>
      </c>
      <c r="D473" s="12" t="s">
        <v>24</v>
      </c>
      <c r="E473" s="138">
        <v>33868</v>
      </c>
      <c r="F473" s="12" t="s">
        <v>88</v>
      </c>
      <c r="G473" s="12" t="s">
        <v>3709</v>
      </c>
      <c r="H473" s="12" t="s">
        <v>3710</v>
      </c>
      <c r="I473" s="6" t="str">
        <f>VLOOKUP(CLEAN(F473),'World Bank Categories'!$B$4:$C$220,2,FALSE)</f>
        <v>Low income</v>
      </c>
      <c r="J473" s="12" t="s">
        <v>934</v>
      </c>
      <c r="K473" s="12" t="s">
        <v>29</v>
      </c>
      <c r="L473" s="12" t="s">
        <v>30</v>
      </c>
      <c r="P473" s="12" t="s">
        <v>31</v>
      </c>
      <c r="Q473" s="205" t="s">
        <v>32</v>
      </c>
      <c r="R473" s="141" t="s">
        <v>33</v>
      </c>
      <c r="S473" s="206" t="s">
        <v>931</v>
      </c>
      <c r="T473" s="207">
        <v>33868</v>
      </c>
      <c r="U473" s="206" t="s">
        <v>934</v>
      </c>
      <c r="V473" s="208" t="s">
        <v>3711</v>
      </c>
      <c r="W473" s="209">
        <v>719630</v>
      </c>
    </row>
    <row r="474" spans="1:23" ht="22.5" customHeight="1">
      <c r="A474" s="137">
        <v>46148.937861539351</v>
      </c>
      <c r="B474" s="12" t="s">
        <v>1079</v>
      </c>
      <c r="D474" s="12" t="s">
        <v>45</v>
      </c>
      <c r="E474" s="138">
        <v>32733</v>
      </c>
      <c r="F474" s="12" t="s">
        <v>980</v>
      </c>
      <c r="G474" s="12" t="s">
        <v>3712</v>
      </c>
      <c r="H474" s="12" t="s">
        <v>3713</v>
      </c>
      <c r="I474" s="6" t="str">
        <f>VLOOKUP(CLEAN(F474),'World Bank Categories'!$B$4:$C$220,2,FALSE)</f>
        <v>Middle income</v>
      </c>
      <c r="J474" s="12" t="s">
        <v>1081</v>
      </c>
      <c r="K474" s="12" t="s">
        <v>39</v>
      </c>
      <c r="L474" s="12" t="s">
        <v>621</v>
      </c>
      <c r="M474" s="12" t="s">
        <v>3714</v>
      </c>
      <c r="P474" s="12" t="s">
        <v>31</v>
      </c>
      <c r="Q474" s="205" t="s">
        <v>32</v>
      </c>
      <c r="R474" s="141" t="s">
        <v>33</v>
      </c>
      <c r="S474" s="206" t="s">
        <v>1079</v>
      </c>
      <c r="T474" s="207">
        <v>32733</v>
      </c>
      <c r="U474" s="206" t="s">
        <v>1081</v>
      </c>
      <c r="V474" s="208" t="s">
        <v>3715</v>
      </c>
      <c r="W474" s="209">
        <v>720891</v>
      </c>
    </row>
    <row r="475" spans="1:23" ht="22.5" customHeight="1">
      <c r="A475" s="137">
        <v>46149.058653101849</v>
      </c>
      <c r="B475" s="12" t="s">
        <v>728</v>
      </c>
      <c r="D475" s="12" t="s">
        <v>45</v>
      </c>
      <c r="E475" s="138">
        <v>36016</v>
      </c>
      <c r="F475" s="12" t="s">
        <v>70</v>
      </c>
      <c r="G475" s="12" t="s">
        <v>811</v>
      </c>
      <c r="H475" s="12" t="s">
        <v>2162</v>
      </c>
      <c r="I475" s="6" t="str">
        <f>VLOOKUP(CLEAN(F475),'World Bank Categories'!$B$4:$C$220,2,FALSE)</f>
        <v>Middle income</v>
      </c>
      <c r="J475" s="12" t="s">
        <v>730</v>
      </c>
      <c r="K475" s="12" t="s">
        <v>29</v>
      </c>
      <c r="L475" s="12" t="s">
        <v>30</v>
      </c>
      <c r="P475" s="12" t="s">
        <v>31</v>
      </c>
      <c r="Q475" s="205" t="s">
        <v>32</v>
      </c>
      <c r="R475" s="141" t="s">
        <v>33</v>
      </c>
      <c r="S475" s="206" t="s">
        <v>728</v>
      </c>
      <c r="T475" s="207">
        <v>36016</v>
      </c>
      <c r="U475" s="206" t="s">
        <v>730</v>
      </c>
      <c r="V475" s="208" t="s">
        <v>3716</v>
      </c>
      <c r="W475" s="209">
        <v>718656</v>
      </c>
    </row>
    <row r="476" spans="1:23" ht="22.5" customHeight="1">
      <c r="A476" s="137">
        <v>46149.154350162033</v>
      </c>
      <c r="B476" s="12" t="s">
        <v>3543</v>
      </c>
      <c r="D476" s="12" t="s">
        <v>24</v>
      </c>
      <c r="E476" s="138">
        <v>37775</v>
      </c>
      <c r="F476" s="12" t="s">
        <v>3544</v>
      </c>
      <c r="G476" s="12" t="s">
        <v>3717</v>
      </c>
      <c r="H476" s="12" t="s">
        <v>66</v>
      </c>
      <c r="I476" s="6" t="str">
        <f>VLOOKUP(CLEAN(F476),'World Bank Categories'!$B$4:$C$220,2,FALSE)</f>
        <v>Middle income</v>
      </c>
      <c r="J476" s="12" t="s">
        <v>3546</v>
      </c>
      <c r="K476" s="12" t="s">
        <v>29</v>
      </c>
      <c r="L476" s="12" t="s">
        <v>30</v>
      </c>
      <c r="P476" s="12" t="s">
        <v>31</v>
      </c>
      <c r="Q476" s="205" t="s">
        <v>32</v>
      </c>
      <c r="R476" s="141" t="s">
        <v>33</v>
      </c>
      <c r="S476" s="206" t="s">
        <v>3718</v>
      </c>
      <c r="T476" s="207">
        <v>37775</v>
      </c>
      <c r="U476" s="206" t="s">
        <v>3546</v>
      </c>
      <c r="V476" s="208" t="s">
        <v>3719</v>
      </c>
      <c r="W476" s="209">
        <v>723572</v>
      </c>
    </row>
    <row r="477" spans="1:23" ht="22.5" customHeight="1">
      <c r="A477" s="137">
        <v>46149.251951736107</v>
      </c>
      <c r="B477" s="12" t="s">
        <v>3725</v>
      </c>
      <c r="D477" s="12" t="s">
        <v>45</v>
      </c>
      <c r="E477" s="138">
        <v>35291</v>
      </c>
      <c r="F477" s="12" t="s">
        <v>35</v>
      </c>
      <c r="G477" s="12" t="s">
        <v>3726</v>
      </c>
      <c r="H477" s="12" t="s">
        <v>3727</v>
      </c>
      <c r="I477" s="6" t="str">
        <f>VLOOKUP(CLEAN(F477),'World Bank Categories'!$B$4:$C$220,2,FALSE)</f>
        <v>Middle income</v>
      </c>
      <c r="J477" s="12" t="s">
        <v>3728</v>
      </c>
      <c r="K477" s="12" t="s">
        <v>39</v>
      </c>
      <c r="L477" s="12" t="s">
        <v>30</v>
      </c>
      <c r="P477" s="12" t="s">
        <v>31</v>
      </c>
      <c r="Q477" s="213" t="s">
        <v>32</v>
      </c>
      <c r="R477" s="141" t="s">
        <v>33</v>
      </c>
      <c r="S477" s="206" t="s">
        <v>3729</v>
      </c>
      <c r="T477" s="207">
        <v>35291</v>
      </c>
      <c r="U477" s="206" t="s">
        <v>3728</v>
      </c>
      <c r="V477" s="208" t="s">
        <v>3730</v>
      </c>
      <c r="W477" s="209">
        <v>717412</v>
      </c>
    </row>
    <row r="478" spans="1:23" ht="22.5" customHeight="1">
      <c r="A478" s="137">
        <v>46149.567109571755</v>
      </c>
      <c r="B478" s="12" t="s">
        <v>3731</v>
      </c>
      <c r="D478" s="12" t="s">
        <v>45</v>
      </c>
      <c r="E478" s="138">
        <v>30098</v>
      </c>
      <c r="F478" s="12" t="s">
        <v>64</v>
      </c>
      <c r="G478" s="12" t="s">
        <v>3732</v>
      </c>
      <c r="H478" s="12" t="s">
        <v>3733</v>
      </c>
      <c r="I478" s="6" t="str">
        <f>VLOOKUP(CLEAN(F478),'World Bank Categories'!$B$4:$C$220,2,FALSE)</f>
        <v>Middle income</v>
      </c>
      <c r="J478" s="12" t="s">
        <v>695</v>
      </c>
      <c r="K478" s="12" t="s">
        <v>29</v>
      </c>
      <c r="L478" s="12" t="s">
        <v>30</v>
      </c>
      <c r="P478" s="12" t="s">
        <v>31</v>
      </c>
      <c r="Q478" s="205" t="s">
        <v>32</v>
      </c>
      <c r="R478" s="141" t="s">
        <v>33</v>
      </c>
      <c r="S478" s="206" t="s">
        <v>696</v>
      </c>
      <c r="T478" s="207">
        <v>30098</v>
      </c>
      <c r="U478" s="206" t="s">
        <v>695</v>
      </c>
      <c r="V478" s="208" t="s">
        <v>3734</v>
      </c>
      <c r="W478" s="209">
        <v>719331</v>
      </c>
    </row>
    <row r="479" spans="1:23" ht="22.5" customHeight="1">
      <c r="A479" s="137">
        <v>46149.632680752315</v>
      </c>
      <c r="B479" s="12" t="s">
        <v>3735</v>
      </c>
      <c r="D479" s="12" t="s">
        <v>24</v>
      </c>
      <c r="E479" s="138">
        <v>36380</v>
      </c>
      <c r="F479" s="12" t="s">
        <v>52</v>
      </c>
      <c r="G479" s="12" t="s">
        <v>3736</v>
      </c>
      <c r="H479" s="12" t="s">
        <v>1941</v>
      </c>
      <c r="I479" s="6" t="str">
        <f>VLOOKUP(CLEAN(F479),'World Bank Categories'!$B$4:$C$220,2,FALSE)</f>
        <v>Middle income</v>
      </c>
      <c r="J479" s="12" t="s">
        <v>665</v>
      </c>
      <c r="K479" s="12" t="s">
        <v>29</v>
      </c>
      <c r="L479" s="12" t="s">
        <v>30</v>
      </c>
      <c r="P479" s="12" t="s">
        <v>31</v>
      </c>
      <c r="Q479" s="205" t="s">
        <v>32</v>
      </c>
      <c r="R479" s="141" t="s">
        <v>33</v>
      </c>
      <c r="S479" s="206" t="s">
        <v>663</v>
      </c>
      <c r="T479" s="207">
        <v>36376</v>
      </c>
      <c r="U479" s="206" t="s">
        <v>666</v>
      </c>
      <c r="V479" s="208" t="s">
        <v>3737</v>
      </c>
      <c r="W479" s="209">
        <v>717417</v>
      </c>
    </row>
    <row r="480" spans="1:23" ht="22.5" customHeight="1">
      <c r="A480" s="137">
        <v>46149.74083224537</v>
      </c>
      <c r="B480" s="12" t="s">
        <v>3738</v>
      </c>
      <c r="C480" s="12" t="s">
        <v>3738</v>
      </c>
      <c r="D480" s="12" t="s">
        <v>24</v>
      </c>
      <c r="E480" s="138">
        <v>35102</v>
      </c>
      <c r="F480" s="12" t="s">
        <v>3739</v>
      </c>
      <c r="G480" s="12" t="s">
        <v>3740</v>
      </c>
      <c r="H480" s="12" t="s">
        <v>66</v>
      </c>
      <c r="I480" s="6" t="str">
        <f>VLOOKUP(CLEAN(F480),'World Bank Categories'!$B$4:$C$220,2,FALSE)</f>
        <v>Middle income</v>
      </c>
      <c r="J480" s="12" t="s">
        <v>3741</v>
      </c>
      <c r="K480" s="12" t="s">
        <v>29</v>
      </c>
      <c r="L480" s="12" t="s">
        <v>30</v>
      </c>
      <c r="P480" s="12" t="s">
        <v>31</v>
      </c>
      <c r="Q480" s="205" t="s">
        <v>32</v>
      </c>
      <c r="R480" s="141" t="s">
        <v>33</v>
      </c>
      <c r="S480" s="206" t="s">
        <v>3738</v>
      </c>
      <c r="T480" s="207">
        <v>35102</v>
      </c>
      <c r="U480" s="206" t="s">
        <v>3741</v>
      </c>
      <c r="V480" s="208" t="s">
        <v>3742</v>
      </c>
      <c r="W480" s="209">
        <v>722843</v>
      </c>
    </row>
    <row r="481" spans="1:23" ht="22.5" customHeight="1">
      <c r="A481" s="137">
        <v>46149.812119502312</v>
      </c>
      <c r="B481" s="12" t="s">
        <v>3743</v>
      </c>
      <c r="C481" s="12" t="s">
        <v>3744</v>
      </c>
      <c r="D481" s="12" t="s">
        <v>24</v>
      </c>
      <c r="E481" s="138">
        <v>34493</v>
      </c>
      <c r="F481" s="12" t="s">
        <v>198</v>
      </c>
      <c r="G481" s="12" t="s">
        <v>3745</v>
      </c>
      <c r="H481" s="12" t="s">
        <v>3746</v>
      </c>
      <c r="I481" s="6" t="str">
        <f>VLOOKUP(CLEAN(F481),'World Bank Categories'!$B$4:$C$220,2,FALSE)</f>
        <v>Middle income</v>
      </c>
      <c r="J481" s="12" t="s">
        <v>3747</v>
      </c>
      <c r="K481" s="12" t="s">
        <v>29</v>
      </c>
      <c r="L481" s="12" t="s">
        <v>30</v>
      </c>
      <c r="M481" s="12" t="s">
        <v>3748</v>
      </c>
      <c r="P481" s="12" t="s">
        <v>31</v>
      </c>
      <c r="Q481" s="205" t="s">
        <v>32</v>
      </c>
      <c r="R481" s="141" t="s">
        <v>43</v>
      </c>
      <c r="S481" s="206" t="s">
        <v>3749</v>
      </c>
      <c r="T481" s="207">
        <v>34493</v>
      </c>
      <c r="U481" s="206" t="s">
        <v>3750</v>
      </c>
      <c r="V481" s="208" t="s">
        <v>3751</v>
      </c>
      <c r="W481" s="209">
        <v>724804</v>
      </c>
    </row>
    <row r="482" spans="1:23" ht="22.5" customHeight="1">
      <c r="A482" s="137">
        <v>46149.850775335653</v>
      </c>
      <c r="B482" s="12" t="s">
        <v>2555</v>
      </c>
      <c r="D482" s="12" t="s">
        <v>24</v>
      </c>
      <c r="E482" s="138">
        <v>35342</v>
      </c>
      <c r="F482" s="12" t="s">
        <v>2556</v>
      </c>
      <c r="G482" s="12" t="s">
        <v>3752</v>
      </c>
      <c r="H482" s="12" t="s">
        <v>3753</v>
      </c>
      <c r="I482" s="6" t="str">
        <f>VLOOKUP(CLEAN(F482),'World Bank Categories'!$B$4:$C$220,2,FALSE)</f>
        <v>Middle income</v>
      </c>
      <c r="J482" s="12" t="s">
        <v>2559</v>
      </c>
      <c r="K482" s="12" t="s">
        <v>29</v>
      </c>
      <c r="L482" s="12" t="s">
        <v>30</v>
      </c>
      <c r="P482" s="12" t="s">
        <v>31</v>
      </c>
      <c r="Q482" s="205" t="s">
        <v>32</v>
      </c>
      <c r="R482" s="141" t="s">
        <v>33</v>
      </c>
      <c r="S482" s="206" t="s">
        <v>2555</v>
      </c>
      <c r="T482" s="207">
        <v>35342</v>
      </c>
      <c r="U482" s="206" t="s">
        <v>2559</v>
      </c>
      <c r="V482" s="208" t="s">
        <v>3754</v>
      </c>
      <c r="W482" s="209">
        <v>720759</v>
      </c>
    </row>
    <row r="483" spans="1:23" ht="22.5" customHeight="1">
      <c r="A483" s="137">
        <v>46149.90417332176</v>
      </c>
      <c r="B483" s="12" t="s">
        <v>3755</v>
      </c>
      <c r="D483" s="12" t="s">
        <v>45</v>
      </c>
      <c r="E483" s="138">
        <v>36907</v>
      </c>
      <c r="F483" s="12" t="s">
        <v>470</v>
      </c>
      <c r="G483" s="12" t="s">
        <v>3756</v>
      </c>
      <c r="H483" s="12" t="s">
        <v>66</v>
      </c>
      <c r="I483" s="6" t="str">
        <f>VLOOKUP(CLEAN(F483),'World Bank Categories'!$B$4:$C$220,2,FALSE)</f>
        <v>Middle income</v>
      </c>
      <c r="J483" s="12" t="s">
        <v>3757</v>
      </c>
      <c r="K483" s="12" t="s">
        <v>29</v>
      </c>
      <c r="L483" s="12" t="s">
        <v>30</v>
      </c>
      <c r="P483" s="12" t="s">
        <v>31</v>
      </c>
      <c r="Q483" s="205" t="s">
        <v>32</v>
      </c>
      <c r="R483" s="141" t="s">
        <v>33</v>
      </c>
      <c r="S483" s="206" t="s">
        <v>3758</v>
      </c>
      <c r="T483" s="207">
        <v>36907</v>
      </c>
      <c r="U483" s="206" t="s">
        <v>3757</v>
      </c>
      <c r="V483" s="208" t="s">
        <v>3759</v>
      </c>
      <c r="W483" s="209">
        <v>720597</v>
      </c>
    </row>
    <row r="484" spans="1:23" ht="22.5" customHeight="1">
      <c r="A484" s="137">
        <v>46149.907410844906</v>
      </c>
      <c r="B484" s="12" t="s">
        <v>2228</v>
      </c>
      <c r="C484" s="12" t="s">
        <v>3760</v>
      </c>
      <c r="D484" s="12" t="s">
        <v>45</v>
      </c>
      <c r="E484" s="138">
        <v>38427</v>
      </c>
      <c r="F484" s="12" t="s">
        <v>1932</v>
      </c>
      <c r="G484" s="12" t="s">
        <v>3761</v>
      </c>
      <c r="H484" s="12" t="s">
        <v>90</v>
      </c>
      <c r="I484" s="6" t="str">
        <f>VLOOKUP(CLEAN(F484),'World Bank Categories'!$B$4:$C$220,2,FALSE)</f>
        <v>Middle income</v>
      </c>
      <c r="J484" s="12" t="s">
        <v>2231</v>
      </c>
      <c r="K484" s="12" t="s">
        <v>29</v>
      </c>
      <c r="L484" s="12" t="s">
        <v>162</v>
      </c>
      <c r="P484" s="12" t="s">
        <v>31</v>
      </c>
      <c r="Q484" s="205" t="s">
        <v>32</v>
      </c>
      <c r="R484" s="141" t="s">
        <v>33</v>
      </c>
      <c r="S484" s="206" t="s">
        <v>2228</v>
      </c>
      <c r="T484" s="207">
        <v>38427</v>
      </c>
      <c r="U484" s="206" t="s">
        <v>2231</v>
      </c>
      <c r="V484" s="208" t="s">
        <v>3762</v>
      </c>
      <c r="W484" s="209">
        <v>722232</v>
      </c>
    </row>
    <row r="485" spans="1:23" ht="22.5" customHeight="1">
      <c r="A485" s="137">
        <v>46150.141418194442</v>
      </c>
      <c r="B485" s="12" t="s">
        <v>3763</v>
      </c>
      <c r="D485" s="12" t="s">
        <v>24</v>
      </c>
      <c r="E485" s="138">
        <v>37200</v>
      </c>
      <c r="F485" s="12" t="s">
        <v>3764</v>
      </c>
      <c r="G485" s="12" t="s">
        <v>3765</v>
      </c>
      <c r="H485" s="12" t="s">
        <v>66</v>
      </c>
      <c r="I485" s="6" t="str">
        <f>VLOOKUP(CLEAN(F485),'World Bank Categories'!$B$4:$C$220,2,FALSE)</f>
        <v>High income</v>
      </c>
      <c r="J485" s="12" t="s">
        <v>3766</v>
      </c>
      <c r="K485" s="12" t="s">
        <v>29</v>
      </c>
      <c r="L485" s="12" t="s">
        <v>30</v>
      </c>
      <c r="P485" s="12" t="s">
        <v>31</v>
      </c>
      <c r="Q485" s="205" t="s">
        <v>32</v>
      </c>
      <c r="R485" s="141" t="s">
        <v>43</v>
      </c>
      <c r="S485" s="206" t="s">
        <v>3767</v>
      </c>
      <c r="T485" s="207">
        <v>37200</v>
      </c>
      <c r="U485" s="206" t="s">
        <v>3766</v>
      </c>
      <c r="V485" s="208" t="s">
        <v>3768</v>
      </c>
      <c r="W485" s="209">
        <v>722393</v>
      </c>
    </row>
    <row r="486" spans="1:23" ht="22.5" customHeight="1">
      <c r="A486" s="137">
        <v>46150.222699675927</v>
      </c>
      <c r="B486" s="12" t="s">
        <v>3778</v>
      </c>
      <c r="D486" s="12" t="s">
        <v>24</v>
      </c>
      <c r="E486" s="138">
        <v>36954</v>
      </c>
      <c r="F486" s="12" t="s">
        <v>232</v>
      </c>
      <c r="G486" s="12" t="s">
        <v>1542</v>
      </c>
      <c r="H486" s="12" t="s">
        <v>3042</v>
      </c>
      <c r="I486" s="6" t="str">
        <f>VLOOKUP(CLEAN(F486),'World Bank Categories'!$B$4:$C$220,2,FALSE)</f>
        <v>Middle income</v>
      </c>
      <c r="J486" s="12" t="s">
        <v>3779</v>
      </c>
      <c r="K486" s="12" t="s">
        <v>29</v>
      </c>
      <c r="L486" s="12" t="s">
        <v>30</v>
      </c>
      <c r="P486" s="12" t="s">
        <v>31</v>
      </c>
      <c r="Q486" s="205" t="s">
        <v>32</v>
      </c>
      <c r="R486" s="141" t="s">
        <v>43</v>
      </c>
      <c r="S486" s="206" t="s">
        <v>1448</v>
      </c>
      <c r="T486" s="207">
        <v>36954</v>
      </c>
      <c r="U486" s="206" t="s">
        <v>3779</v>
      </c>
      <c r="V486" s="208" t="s">
        <v>3780</v>
      </c>
      <c r="W486" s="209">
        <v>723766</v>
      </c>
    </row>
    <row r="487" spans="1:23" ht="22.5" customHeight="1">
      <c r="A487" s="137">
        <v>46150.420071296292</v>
      </c>
      <c r="B487" s="12" t="s">
        <v>3786</v>
      </c>
      <c r="D487" s="12" t="s">
        <v>45</v>
      </c>
      <c r="E487" s="138">
        <v>37198</v>
      </c>
      <c r="F487" s="12" t="s">
        <v>416</v>
      </c>
      <c r="G487" s="12" t="s">
        <v>3787</v>
      </c>
      <c r="H487" s="12" t="s">
        <v>530</v>
      </c>
      <c r="I487" s="6" t="str">
        <f>VLOOKUP(CLEAN(F487),'World Bank Categories'!$B$4:$C$220,2,FALSE)</f>
        <v>Middle income</v>
      </c>
      <c r="J487" s="12" t="s">
        <v>3788</v>
      </c>
      <c r="K487" s="12" t="s">
        <v>39</v>
      </c>
      <c r="L487" s="12" t="s">
        <v>162</v>
      </c>
      <c r="P487" s="12" t="s">
        <v>31</v>
      </c>
      <c r="Q487" s="205" t="s">
        <v>32</v>
      </c>
      <c r="R487" s="141" t="s">
        <v>33</v>
      </c>
      <c r="S487" s="206" t="s">
        <v>3786</v>
      </c>
      <c r="T487" s="207">
        <v>37198</v>
      </c>
      <c r="U487" s="206" t="s">
        <v>3788</v>
      </c>
      <c r="V487" s="208" t="s">
        <v>3789</v>
      </c>
      <c r="W487" s="209">
        <v>723760</v>
      </c>
    </row>
    <row r="488" spans="1:23" ht="22.5" customHeight="1">
      <c r="A488" s="137">
        <v>46150.554551666668</v>
      </c>
      <c r="B488" s="12" t="s">
        <v>3796</v>
      </c>
      <c r="D488" s="12" t="s">
        <v>45</v>
      </c>
      <c r="E488" s="138">
        <v>26816</v>
      </c>
      <c r="F488" s="12" t="s">
        <v>433</v>
      </c>
      <c r="G488" s="12" t="s">
        <v>3797</v>
      </c>
      <c r="H488" s="12" t="s">
        <v>3798</v>
      </c>
      <c r="I488" s="6" t="str">
        <f>VLOOKUP(CLEAN(F488),'World Bank Categories'!$B$4:$C$220,2,FALSE)</f>
        <v>Low income</v>
      </c>
      <c r="J488" s="12" t="s">
        <v>3799</v>
      </c>
      <c r="K488" s="12" t="s">
        <v>29</v>
      </c>
      <c r="L488" s="12" t="s">
        <v>30</v>
      </c>
      <c r="P488" s="12" t="s">
        <v>31</v>
      </c>
      <c r="Q488" s="205" t="s">
        <v>32</v>
      </c>
      <c r="R488" s="141" t="s">
        <v>33</v>
      </c>
      <c r="S488" s="206" t="s">
        <v>832</v>
      </c>
      <c r="T488" s="207">
        <v>26816</v>
      </c>
      <c r="U488" s="206" t="s">
        <v>836</v>
      </c>
      <c r="V488" s="208" t="s">
        <v>3800</v>
      </c>
      <c r="W488" s="209">
        <v>719511</v>
      </c>
    </row>
    <row r="489" spans="1:23" ht="22.5" customHeight="1">
      <c r="A489" s="137">
        <v>46150.579388900464</v>
      </c>
      <c r="B489" s="12" t="s">
        <v>3801</v>
      </c>
      <c r="D489" s="12" t="s">
        <v>24</v>
      </c>
      <c r="E489" s="138">
        <v>35903</v>
      </c>
      <c r="F489" s="12" t="s">
        <v>232</v>
      </c>
      <c r="G489" s="12" t="s">
        <v>3802</v>
      </c>
      <c r="H489" s="12" t="s">
        <v>186</v>
      </c>
      <c r="I489" s="6" t="str">
        <f>VLOOKUP(CLEAN(F489),'World Bank Categories'!$B$4:$C$220,2,FALSE)</f>
        <v>Middle income</v>
      </c>
      <c r="J489" s="12" t="s">
        <v>3803</v>
      </c>
      <c r="K489" s="12" t="s">
        <v>29</v>
      </c>
      <c r="L489" s="12" t="s">
        <v>30</v>
      </c>
      <c r="P489" s="12" t="s">
        <v>31</v>
      </c>
      <c r="Q489" s="205" t="s">
        <v>32</v>
      </c>
      <c r="R489" s="141" t="s">
        <v>43</v>
      </c>
      <c r="S489" s="206" t="s">
        <v>3804</v>
      </c>
      <c r="T489" s="207">
        <v>36268</v>
      </c>
      <c r="U489" s="206" t="s">
        <v>3803</v>
      </c>
      <c r="V489" s="208" t="s">
        <v>3805</v>
      </c>
      <c r="W489" s="209">
        <v>720417</v>
      </c>
    </row>
    <row r="490" spans="1:23" ht="22.5" customHeight="1">
      <c r="A490" s="137">
        <v>46150.590377604167</v>
      </c>
      <c r="B490" s="12" t="s">
        <v>3806</v>
      </c>
      <c r="D490" s="12" t="s">
        <v>24</v>
      </c>
      <c r="E490" s="138">
        <v>36194</v>
      </c>
      <c r="F490" s="12" t="s">
        <v>1362</v>
      </c>
      <c r="G490" s="12" t="s">
        <v>3807</v>
      </c>
      <c r="H490" s="12" t="s">
        <v>3808</v>
      </c>
      <c r="I490" s="6" t="str">
        <f>VLOOKUP(CLEAN(F490),'World Bank Categories'!$B$4:$C$220,2,FALSE)</f>
        <v>Middle income</v>
      </c>
      <c r="J490" s="12" t="s">
        <v>3809</v>
      </c>
      <c r="K490" s="12" t="s">
        <v>39</v>
      </c>
      <c r="L490" s="12" t="s">
        <v>30</v>
      </c>
      <c r="P490" s="12" t="s">
        <v>31</v>
      </c>
      <c r="Q490" s="205" t="s">
        <v>32</v>
      </c>
      <c r="R490" s="141" t="s">
        <v>43</v>
      </c>
      <c r="S490" s="206" t="s">
        <v>3806</v>
      </c>
      <c r="T490" s="207">
        <v>36194</v>
      </c>
      <c r="U490" s="206" t="s">
        <v>3809</v>
      </c>
      <c r="V490" s="208" t="s">
        <v>3810</v>
      </c>
      <c r="W490" s="209">
        <v>722829</v>
      </c>
    </row>
    <row r="491" spans="1:23" ht="22.5" customHeight="1">
      <c r="A491" s="137">
        <v>46150.841148460648</v>
      </c>
      <c r="B491" s="12" t="s">
        <v>3811</v>
      </c>
      <c r="D491" s="12" t="s">
        <v>24</v>
      </c>
      <c r="E491" s="138">
        <v>37276</v>
      </c>
      <c r="F491" s="12" t="s">
        <v>88</v>
      </c>
      <c r="G491" s="12" t="s">
        <v>3812</v>
      </c>
      <c r="H491" s="12" t="s">
        <v>66</v>
      </c>
      <c r="I491" s="6" t="str">
        <f>VLOOKUP(CLEAN(F491),'World Bank Categories'!$B$4:$C$220,2,FALSE)</f>
        <v>Low income</v>
      </c>
      <c r="J491" s="12" t="s">
        <v>3813</v>
      </c>
      <c r="K491" s="12" t="s">
        <v>39</v>
      </c>
      <c r="L491" s="12" t="s">
        <v>524</v>
      </c>
      <c r="P491" s="12" t="s">
        <v>31</v>
      </c>
      <c r="Q491" s="205" t="s">
        <v>32</v>
      </c>
      <c r="R491" s="141" t="s">
        <v>43</v>
      </c>
      <c r="S491" s="206" t="s">
        <v>3814</v>
      </c>
      <c r="T491" s="207">
        <v>37276</v>
      </c>
      <c r="U491" s="206" t="s">
        <v>3813</v>
      </c>
      <c r="V491" s="208" t="s">
        <v>3815</v>
      </c>
      <c r="W491" s="209">
        <v>720301</v>
      </c>
    </row>
    <row r="492" spans="1:23" ht="22.5" customHeight="1">
      <c r="A492" s="137">
        <v>46151.207066770832</v>
      </c>
      <c r="B492" s="12" t="s">
        <v>535</v>
      </c>
      <c r="D492" s="12" t="s">
        <v>24</v>
      </c>
      <c r="E492" s="138">
        <v>34099</v>
      </c>
      <c r="F492" s="12" t="s">
        <v>346</v>
      </c>
      <c r="G492" s="12" t="s">
        <v>3816</v>
      </c>
      <c r="H492" s="12" t="s">
        <v>3817</v>
      </c>
      <c r="I492" s="6" t="str">
        <f>VLOOKUP(CLEAN(F492),'World Bank Categories'!$B$4:$C$220,2,FALSE)</f>
        <v>Middle income</v>
      </c>
      <c r="J492" s="12" t="s">
        <v>3818</v>
      </c>
      <c r="K492" s="12" t="s">
        <v>29</v>
      </c>
      <c r="L492" s="12" t="s">
        <v>30</v>
      </c>
      <c r="P492" s="12" t="s">
        <v>31</v>
      </c>
      <c r="Q492" s="205" t="s">
        <v>32</v>
      </c>
      <c r="R492" s="141" t="s">
        <v>33</v>
      </c>
      <c r="S492" s="206" t="s">
        <v>540</v>
      </c>
      <c r="T492" s="207">
        <v>34099</v>
      </c>
      <c r="U492" s="206" t="s">
        <v>539</v>
      </c>
      <c r="V492" s="208" t="s">
        <v>3819</v>
      </c>
      <c r="W492" s="209">
        <v>719154</v>
      </c>
    </row>
    <row r="493" spans="1:23" ht="22.5" customHeight="1">
      <c r="A493" s="137">
        <v>46151.228820127319</v>
      </c>
      <c r="B493" s="12" t="s">
        <v>3825</v>
      </c>
      <c r="D493" s="12" t="s">
        <v>45</v>
      </c>
      <c r="E493" s="138">
        <v>22228</v>
      </c>
      <c r="F493" s="12" t="s">
        <v>3559</v>
      </c>
      <c r="G493" s="12" t="s">
        <v>3560</v>
      </c>
      <c r="H493" s="12" t="s">
        <v>3826</v>
      </c>
      <c r="I493" s="6" t="str">
        <f>VLOOKUP(CLEAN(F493),'World Bank Categories'!$B$4:$C$220,2,FALSE)</f>
        <v>Middle income</v>
      </c>
      <c r="J493" s="12" t="s">
        <v>3562</v>
      </c>
      <c r="K493" s="12" t="s">
        <v>29</v>
      </c>
      <c r="L493" s="143" t="s">
        <v>1168</v>
      </c>
      <c r="P493" s="12" t="s">
        <v>31</v>
      </c>
      <c r="Q493" s="205" t="s">
        <v>32</v>
      </c>
      <c r="R493" s="141" t="s">
        <v>33</v>
      </c>
      <c r="S493" s="206" t="s">
        <v>3563</v>
      </c>
      <c r="T493" s="207">
        <v>22228</v>
      </c>
      <c r="U493" s="206" t="s">
        <v>3564</v>
      </c>
      <c r="V493" s="208" t="s">
        <v>3827</v>
      </c>
      <c r="W493" s="209">
        <v>720085</v>
      </c>
    </row>
    <row r="494" spans="1:23" ht="22.5" customHeight="1">
      <c r="A494" s="137">
        <v>46151.558258819445</v>
      </c>
      <c r="B494" s="12" t="s">
        <v>3832</v>
      </c>
      <c r="D494" s="12" t="s">
        <v>24</v>
      </c>
      <c r="E494" s="138">
        <v>36651</v>
      </c>
      <c r="F494" s="12" t="s">
        <v>980</v>
      </c>
      <c r="G494" s="12" t="s">
        <v>1462</v>
      </c>
      <c r="H494" s="12" t="s">
        <v>3124</v>
      </c>
      <c r="I494" s="6" t="str">
        <f>VLOOKUP(CLEAN(F494),'World Bank Categories'!$B$4:$C$220,2,FALSE)</f>
        <v>Middle income</v>
      </c>
      <c r="J494" s="12" t="s">
        <v>1505</v>
      </c>
      <c r="K494" s="12" t="s">
        <v>39</v>
      </c>
      <c r="L494" s="12" t="s">
        <v>621</v>
      </c>
      <c r="P494" s="12" t="s">
        <v>31</v>
      </c>
      <c r="Q494" s="205" t="s">
        <v>32</v>
      </c>
      <c r="R494" s="141" t="s">
        <v>33</v>
      </c>
      <c r="S494" s="206" t="s">
        <v>1503</v>
      </c>
      <c r="T494" s="207">
        <v>36651</v>
      </c>
      <c r="U494" s="206" t="s">
        <v>1506</v>
      </c>
      <c r="V494" s="208" t="s">
        <v>3833</v>
      </c>
      <c r="W494" s="209">
        <v>720745</v>
      </c>
    </row>
    <row r="495" spans="1:23" ht="22.5" customHeight="1">
      <c r="A495" s="137">
        <v>46151.622414745369</v>
      </c>
      <c r="B495" s="12" t="s">
        <v>3834</v>
      </c>
      <c r="D495" s="12" t="s">
        <v>24</v>
      </c>
      <c r="E495" s="138">
        <v>38508</v>
      </c>
      <c r="F495" s="12" t="s">
        <v>980</v>
      </c>
      <c r="G495" s="12" t="s">
        <v>3835</v>
      </c>
      <c r="H495" s="12" t="s">
        <v>3042</v>
      </c>
      <c r="I495" s="6" t="str">
        <f>VLOOKUP(CLEAN(F495),'World Bank Categories'!$B$4:$C$220,2,FALSE)</f>
        <v>Middle income</v>
      </c>
      <c r="J495" s="12" t="s">
        <v>1078</v>
      </c>
      <c r="K495" s="12" t="s">
        <v>39</v>
      </c>
      <c r="L495" s="12" t="s">
        <v>621</v>
      </c>
      <c r="P495" s="12" t="s">
        <v>31</v>
      </c>
      <c r="Q495" s="205" t="s">
        <v>32</v>
      </c>
      <c r="R495" s="141" t="s">
        <v>33</v>
      </c>
      <c r="S495" s="206" t="s">
        <v>1077</v>
      </c>
      <c r="T495" s="207">
        <v>38508</v>
      </c>
      <c r="U495" s="206" t="s">
        <v>1078</v>
      </c>
      <c r="V495" s="208" t="s">
        <v>3836</v>
      </c>
      <c r="W495" s="209">
        <v>720791</v>
      </c>
    </row>
    <row r="496" spans="1:23" ht="22.5" customHeight="1">
      <c r="A496" s="137">
        <v>46151.627967685185</v>
      </c>
      <c r="B496" s="12" t="s">
        <v>3837</v>
      </c>
      <c r="D496" s="12" t="s">
        <v>45</v>
      </c>
      <c r="E496" s="138">
        <v>38977</v>
      </c>
      <c r="F496" s="12" t="s">
        <v>980</v>
      </c>
      <c r="G496" s="12" t="s">
        <v>3838</v>
      </c>
      <c r="H496" s="12" t="s">
        <v>66</v>
      </c>
      <c r="I496" s="6" t="str">
        <f>VLOOKUP(CLEAN(F496),'World Bank Categories'!$B$4:$C$220,2,FALSE)</f>
        <v>Middle income</v>
      </c>
      <c r="J496" s="12" t="s">
        <v>1076</v>
      </c>
      <c r="K496" s="12" t="s">
        <v>39</v>
      </c>
      <c r="L496" s="12" t="s">
        <v>621</v>
      </c>
      <c r="P496" s="12" t="s">
        <v>31</v>
      </c>
      <c r="Q496" s="205" t="s">
        <v>32</v>
      </c>
      <c r="R496" s="141" t="s">
        <v>33</v>
      </c>
      <c r="S496" s="206" t="s">
        <v>1074</v>
      </c>
      <c r="T496" s="207">
        <v>38977</v>
      </c>
      <c r="U496" s="206" t="s">
        <v>3839</v>
      </c>
      <c r="V496" s="208" t="s">
        <v>3840</v>
      </c>
      <c r="W496" s="209">
        <v>720793</v>
      </c>
    </row>
    <row r="497" spans="1:23" ht="22.5" customHeight="1">
      <c r="A497" s="137">
        <v>46151.628285949075</v>
      </c>
      <c r="B497" s="12" t="s">
        <v>3841</v>
      </c>
      <c r="D497" s="12" t="s">
        <v>24</v>
      </c>
      <c r="E497" s="138">
        <v>38389</v>
      </c>
      <c r="F497" s="12" t="s">
        <v>980</v>
      </c>
      <c r="G497" s="12" t="s">
        <v>1072</v>
      </c>
      <c r="H497" s="12" t="s">
        <v>66</v>
      </c>
      <c r="I497" s="6" t="str">
        <f>VLOOKUP(CLEAN(F497),'World Bank Categories'!$B$4:$C$220,2,FALSE)</f>
        <v>Middle income</v>
      </c>
      <c r="J497" s="12" t="s">
        <v>1073</v>
      </c>
      <c r="K497" s="12" t="s">
        <v>39</v>
      </c>
      <c r="L497" s="12" t="s">
        <v>621</v>
      </c>
      <c r="P497" s="12" t="s">
        <v>31</v>
      </c>
      <c r="Q497" s="205" t="s">
        <v>32</v>
      </c>
      <c r="R497" s="141" t="s">
        <v>33</v>
      </c>
      <c r="S497" s="206" t="s">
        <v>1071</v>
      </c>
      <c r="T497" s="207">
        <v>38389</v>
      </c>
      <c r="U497" s="206" t="s">
        <v>1073</v>
      </c>
      <c r="V497" s="208" t="s">
        <v>3842</v>
      </c>
      <c r="W497" s="209">
        <v>720790</v>
      </c>
    </row>
    <row r="498" spans="1:23" ht="22.5" customHeight="1">
      <c r="A498" s="137">
        <v>46151.641354120366</v>
      </c>
      <c r="B498" s="12" t="s">
        <v>3843</v>
      </c>
      <c r="D498" s="12" t="s">
        <v>45</v>
      </c>
      <c r="E498" s="138">
        <v>37916</v>
      </c>
      <c r="F498" s="12" t="s">
        <v>980</v>
      </c>
      <c r="G498" s="12" t="s">
        <v>999</v>
      </c>
      <c r="H498" s="12" t="s">
        <v>3042</v>
      </c>
      <c r="I498" s="6" t="str">
        <f>VLOOKUP(CLEAN(F498),'World Bank Categories'!$B$4:$C$220,2,FALSE)</f>
        <v>Middle income</v>
      </c>
      <c r="J498" s="12" t="s">
        <v>3844</v>
      </c>
      <c r="K498" s="12" t="s">
        <v>39</v>
      </c>
      <c r="L498" s="12" t="s">
        <v>621</v>
      </c>
      <c r="M498" s="12" t="s">
        <v>3845</v>
      </c>
      <c r="P498" s="12" t="s">
        <v>31</v>
      </c>
      <c r="Q498" s="205" t="s">
        <v>32</v>
      </c>
      <c r="R498" s="141" t="s">
        <v>33</v>
      </c>
      <c r="S498" s="206" t="s">
        <v>3846</v>
      </c>
      <c r="T498" s="207">
        <v>37916</v>
      </c>
      <c r="U498" s="206" t="s">
        <v>3844</v>
      </c>
      <c r="V498" s="208" t="s">
        <v>3847</v>
      </c>
      <c r="W498" s="209">
        <v>720786</v>
      </c>
    </row>
    <row r="499" spans="1:23" ht="22.5" customHeight="1">
      <c r="A499" s="137">
        <v>46151.701618263891</v>
      </c>
      <c r="B499" s="12" t="s">
        <v>3848</v>
      </c>
      <c r="D499" s="12" t="s">
        <v>24</v>
      </c>
      <c r="E499" s="138">
        <v>32725</v>
      </c>
      <c r="F499" s="12" t="s">
        <v>232</v>
      </c>
      <c r="G499" s="12" t="s">
        <v>3849</v>
      </c>
      <c r="H499" s="12" t="s">
        <v>186</v>
      </c>
      <c r="I499" s="6" t="str">
        <f>VLOOKUP(CLEAN(F499),'World Bank Categories'!$B$4:$C$220,2,FALSE)</f>
        <v>Middle income</v>
      </c>
      <c r="J499" s="12" t="s">
        <v>3850</v>
      </c>
      <c r="K499" s="12" t="s">
        <v>29</v>
      </c>
      <c r="L499" s="12" t="s">
        <v>30</v>
      </c>
      <c r="P499" s="12" t="s">
        <v>31</v>
      </c>
      <c r="Q499" s="205" t="s">
        <v>32</v>
      </c>
      <c r="R499" s="141" t="s">
        <v>43</v>
      </c>
      <c r="S499" s="206" t="s">
        <v>3851</v>
      </c>
      <c r="T499" s="207">
        <v>32725</v>
      </c>
      <c r="U499" s="206" t="s">
        <v>3850</v>
      </c>
      <c r="V499" s="208" t="s">
        <v>3852</v>
      </c>
      <c r="W499" s="209">
        <v>722117</v>
      </c>
    </row>
    <row r="500" spans="1:23" ht="22.5" customHeight="1">
      <c r="A500" s="137">
        <v>46151.771242974537</v>
      </c>
      <c r="B500" s="12" t="s">
        <v>1012</v>
      </c>
      <c r="D500" s="12" t="s">
        <v>24</v>
      </c>
      <c r="E500" s="138">
        <v>38619</v>
      </c>
      <c r="F500" s="12" t="s">
        <v>980</v>
      </c>
      <c r="G500" s="12" t="s">
        <v>1504</v>
      </c>
      <c r="H500" s="12" t="s">
        <v>66</v>
      </c>
      <c r="I500" s="6" t="str">
        <f>VLOOKUP(CLEAN(F500),'World Bank Categories'!$B$4:$C$220,2,FALSE)</f>
        <v>Middle income</v>
      </c>
      <c r="J500" s="12" t="s">
        <v>1015</v>
      </c>
      <c r="K500" s="12" t="s">
        <v>39</v>
      </c>
      <c r="L500" s="12" t="s">
        <v>621</v>
      </c>
      <c r="M500" s="12" t="s">
        <v>3853</v>
      </c>
      <c r="P500" s="12" t="s">
        <v>31</v>
      </c>
      <c r="Q500" s="205" t="s">
        <v>32</v>
      </c>
      <c r="R500" s="141" t="s">
        <v>33</v>
      </c>
      <c r="S500" s="206" t="s">
        <v>1017</v>
      </c>
      <c r="T500" s="207">
        <v>38619</v>
      </c>
      <c r="U500" s="206" t="s">
        <v>1015</v>
      </c>
      <c r="V500" s="208" t="s">
        <v>3854</v>
      </c>
      <c r="W500" s="209">
        <v>720726</v>
      </c>
    </row>
    <row r="501" spans="1:23" ht="22.5" customHeight="1">
      <c r="A501" s="137">
        <v>46151.889645428237</v>
      </c>
      <c r="B501" s="12" t="s">
        <v>3855</v>
      </c>
      <c r="D501" s="12" t="s">
        <v>24</v>
      </c>
      <c r="E501" s="138">
        <v>37925</v>
      </c>
      <c r="F501" s="12" t="s">
        <v>980</v>
      </c>
      <c r="G501" s="12" t="s">
        <v>3856</v>
      </c>
      <c r="H501" s="12" t="s">
        <v>3042</v>
      </c>
      <c r="I501" s="6" t="str">
        <f>VLOOKUP(CLEAN(F501),'World Bank Categories'!$B$4:$C$220,2,FALSE)</f>
        <v>Middle income</v>
      </c>
      <c r="J501" s="12" t="s">
        <v>3857</v>
      </c>
      <c r="K501" s="12" t="s">
        <v>39</v>
      </c>
      <c r="L501" s="12" t="s">
        <v>621</v>
      </c>
      <c r="P501" s="12" t="s">
        <v>31</v>
      </c>
      <c r="Q501" s="205" t="s">
        <v>32</v>
      </c>
      <c r="R501" s="141" t="s">
        <v>33</v>
      </c>
      <c r="S501" s="206" t="s">
        <v>3855</v>
      </c>
      <c r="T501" s="207">
        <v>37925</v>
      </c>
      <c r="U501" s="206" t="s">
        <v>3857</v>
      </c>
      <c r="V501" s="208" t="s">
        <v>3858</v>
      </c>
      <c r="W501" s="209">
        <v>722013</v>
      </c>
    </row>
    <row r="502" spans="1:23" ht="22.5" customHeight="1">
      <c r="A502" s="137">
        <v>46152.146536099535</v>
      </c>
      <c r="B502" s="12" t="s">
        <v>3863</v>
      </c>
      <c r="D502" s="12" t="s">
        <v>24</v>
      </c>
      <c r="E502" s="138">
        <v>35790</v>
      </c>
      <c r="F502" s="12" t="s">
        <v>52</v>
      </c>
      <c r="G502" s="12" t="s">
        <v>3864</v>
      </c>
      <c r="H502" s="12" t="s">
        <v>3865</v>
      </c>
      <c r="I502" s="6" t="str">
        <f>VLOOKUP(CLEAN(F502),'World Bank Categories'!$B$4:$C$220,2,FALSE)</f>
        <v>Middle income</v>
      </c>
      <c r="J502" s="12" t="s">
        <v>1344</v>
      </c>
      <c r="K502" s="12" t="s">
        <v>39</v>
      </c>
      <c r="L502" s="12" t="s">
        <v>30</v>
      </c>
      <c r="P502" s="12" t="s">
        <v>31</v>
      </c>
      <c r="Q502" s="205" t="s">
        <v>32</v>
      </c>
      <c r="R502" s="141" t="s">
        <v>33</v>
      </c>
      <c r="S502" s="206" t="s">
        <v>1341</v>
      </c>
      <c r="T502" s="207">
        <v>35790</v>
      </c>
      <c r="U502" s="206" t="s">
        <v>1344</v>
      </c>
      <c r="V502" s="208" t="s">
        <v>3866</v>
      </c>
      <c r="W502" s="209">
        <v>720147</v>
      </c>
    </row>
    <row r="503" spans="1:23" ht="22.5" customHeight="1">
      <c r="A503" s="137">
        <v>46152.175497974538</v>
      </c>
      <c r="B503" s="12" t="s">
        <v>3867</v>
      </c>
      <c r="C503" s="12" t="s">
        <v>3867</v>
      </c>
      <c r="D503" s="12" t="s">
        <v>24</v>
      </c>
      <c r="E503" s="138">
        <v>35167</v>
      </c>
      <c r="F503" s="12" t="s">
        <v>232</v>
      </c>
      <c r="G503" s="12" t="s">
        <v>3868</v>
      </c>
      <c r="H503" s="12" t="s">
        <v>186</v>
      </c>
      <c r="I503" s="6" t="str">
        <f>VLOOKUP(CLEAN(F503),'World Bank Categories'!$B$4:$C$220,2,FALSE)</f>
        <v>Middle income</v>
      </c>
      <c r="J503" s="12" t="s">
        <v>3869</v>
      </c>
      <c r="K503" s="12" t="s">
        <v>29</v>
      </c>
      <c r="L503" s="143" t="s">
        <v>656</v>
      </c>
      <c r="P503" s="12" t="s">
        <v>31</v>
      </c>
      <c r="Q503" s="205" t="s">
        <v>32</v>
      </c>
      <c r="R503" s="141" t="s">
        <v>43</v>
      </c>
      <c r="S503" s="206" t="s">
        <v>3870</v>
      </c>
      <c r="T503" s="207">
        <v>35167</v>
      </c>
      <c r="U503" s="206" t="s">
        <v>3869</v>
      </c>
      <c r="V503" s="208" t="s">
        <v>3871</v>
      </c>
      <c r="W503" s="209">
        <v>720357</v>
      </c>
    </row>
    <row r="504" spans="1:23" ht="22.5" customHeight="1">
      <c r="A504" s="137">
        <v>46152.568503368057</v>
      </c>
      <c r="B504" s="12" t="s">
        <v>3872</v>
      </c>
      <c r="D504" s="12" t="s">
        <v>24</v>
      </c>
      <c r="E504" s="138">
        <v>37385</v>
      </c>
      <c r="F504" s="12" t="s">
        <v>416</v>
      </c>
      <c r="G504" s="12" t="s">
        <v>3873</v>
      </c>
      <c r="H504" s="12" t="s">
        <v>3537</v>
      </c>
      <c r="I504" s="6" t="str">
        <f>VLOOKUP(CLEAN(F504),'World Bank Categories'!$B$4:$C$220,2,FALSE)</f>
        <v>Middle income</v>
      </c>
      <c r="J504" s="12" t="s">
        <v>3874</v>
      </c>
      <c r="K504" s="12" t="s">
        <v>29</v>
      </c>
      <c r="L504" s="12" t="s">
        <v>162</v>
      </c>
      <c r="P504" s="12" t="s">
        <v>31</v>
      </c>
      <c r="Q504" s="205" t="s">
        <v>32</v>
      </c>
      <c r="R504" s="141" t="s">
        <v>33</v>
      </c>
      <c r="S504" s="206" t="s">
        <v>3875</v>
      </c>
      <c r="T504" s="207">
        <v>37385</v>
      </c>
      <c r="U504" s="206" t="s">
        <v>3874</v>
      </c>
      <c r="V504" s="208" t="s">
        <v>3876</v>
      </c>
      <c r="W504" s="209">
        <v>723763</v>
      </c>
    </row>
    <row r="505" spans="1:23" ht="22.5" customHeight="1">
      <c r="A505" s="137">
        <v>46153.384796608792</v>
      </c>
      <c r="B505" s="12" t="s">
        <v>3877</v>
      </c>
      <c r="D505" s="12" t="s">
        <v>24</v>
      </c>
      <c r="E505" s="138">
        <v>36268</v>
      </c>
      <c r="F505" s="12" t="s">
        <v>232</v>
      </c>
      <c r="G505" s="12" t="s">
        <v>3878</v>
      </c>
      <c r="H505" s="12" t="s">
        <v>186</v>
      </c>
      <c r="I505" s="6" t="str">
        <f>VLOOKUP(CLEAN(F505),'World Bank Categories'!$B$4:$C$220,2,FALSE)</f>
        <v>Middle income</v>
      </c>
      <c r="J505" s="12" t="s">
        <v>3803</v>
      </c>
      <c r="K505" s="12" t="s">
        <v>39</v>
      </c>
      <c r="L505" s="12" t="s">
        <v>621</v>
      </c>
      <c r="P505" s="12" t="s">
        <v>31</v>
      </c>
      <c r="Q505" s="205" t="s">
        <v>32</v>
      </c>
      <c r="R505" s="141" t="s">
        <v>43</v>
      </c>
      <c r="S505" s="206" t="s">
        <v>3804</v>
      </c>
      <c r="T505" s="207">
        <v>36268</v>
      </c>
      <c r="U505" s="206" t="s">
        <v>3803</v>
      </c>
      <c r="V505" s="208" t="s">
        <v>3879</v>
      </c>
      <c r="W505" s="209">
        <v>720417</v>
      </c>
    </row>
    <row r="506" spans="1:23" ht="22.5" customHeight="1">
      <c r="A506" s="137">
        <v>46153.702930949075</v>
      </c>
      <c r="B506" s="12" t="s">
        <v>3880</v>
      </c>
      <c r="D506" s="12" t="s">
        <v>45</v>
      </c>
      <c r="E506" s="138">
        <v>31693</v>
      </c>
      <c r="F506" s="12" t="s">
        <v>3881</v>
      </c>
      <c r="G506" s="12" t="s">
        <v>3882</v>
      </c>
      <c r="H506" s="12" t="s">
        <v>3883</v>
      </c>
      <c r="I506" s="6" t="str">
        <f>VLOOKUP(CLEAN(F506),'World Bank Categories'!$B$4:$C$220,2,FALSE)</f>
        <v>Middle income</v>
      </c>
      <c r="J506" s="12" t="s">
        <v>3884</v>
      </c>
      <c r="K506" s="12" t="s">
        <v>29</v>
      </c>
      <c r="L506" s="143" t="s">
        <v>656</v>
      </c>
      <c r="P506" s="12" t="s">
        <v>31</v>
      </c>
      <c r="Q506" s="205" t="s">
        <v>32</v>
      </c>
      <c r="R506" s="141" t="s">
        <v>33</v>
      </c>
      <c r="S506" s="206" t="s">
        <v>3885</v>
      </c>
      <c r="T506" s="207">
        <v>31693</v>
      </c>
      <c r="U506" s="206" t="s">
        <v>3884</v>
      </c>
      <c r="V506" s="208" t="s">
        <v>3886</v>
      </c>
      <c r="W506" s="209">
        <v>724953</v>
      </c>
    </row>
    <row r="507" spans="1:23" ht="22.5" customHeight="1">
      <c r="A507" s="137">
        <v>46154.057428182874</v>
      </c>
      <c r="B507" s="12" t="s">
        <v>3610</v>
      </c>
      <c r="D507" s="12" t="s">
        <v>24</v>
      </c>
      <c r="E507" s="138">
        <v>16387</v>
      </c>
      <c r="F507" s="12" t="s">
        <v>198</v>
      </c>
      <c r="G507" s="12" t="s">
        <v>586</v>
      </c>
      <c r="H507" s="12" t="s">
        <v>3891</v>
      </c>
      <c r="I507" s="6" t="str">
        <f>VLOOKUP(CLEAN(F507),'World Bank Categories'!$B$4:$C$220,2,FALSE)</f>
        <v>Middle income</v>
      </c>
      <c r="J507" s="12" t="s">
        <v>2658</v>
      </c>
      <c r="K507" s="12" t="s">
        <v>29</v>
      </c>
      <c r="L507" s="12" t="s">
        <v>30</v>
      </c>
      <c r="M507" s="12" t="s">
        <v>3892</v>
      </c>
      <c r="P507" s="12" t="s">
        <v>31</v>
      </c>
      <c r="Q507" s="213" t="s">
        <v>32</v>
      </c>
      <c r="R507" s="141" t="s">
        <v>43</v>
      </c>
      <c r="S507" s="206" t="s">
        <v>3610</v>
      </c>
      <c r="T507" s="207">
        <v>16387</v>
      </c>
      <c r="U507" s="206" t="s">
        <v>2658</v>
      </c>
      <c r="V507" s="208" t="s">
        <v>3893</v>
      </c>
      <c r="W507" s="209">
        <v>720843</v>
      </c>
    </row>
    <row r="508" spans="1:23" ht="22.5" customHeight="1">
      <c r="A508" s="137">
        <v>46154.426144351848</v>
      </c>
      <c r="B508" s="12" t="s">
        <v>688</v>
      </c>
      <c r="D508" s="12" t="s">
        <v>45</v>
      </c>
      <c r="E508" s="138">
        <v>35712</v>
      </c>
      <c r="F508" s="12" t="s">
        <v>64</v>
      </c>
      <c r="G508" s="12" t="s">
        <v>3894</v>
      </c>
      <c r="H508" s="12" t="s">
        <v>90</v>
      </c>
      <c r="I508" s="6" t="str">
        <f>VLOOKUP(CLEAN(F508),'World Bank Categories'!$B$4:$C$220,2,FALSE)</f>
        <v>Middle income</v>
      </c>
      <c r="J508" s="12" t="s">
        <v>690</v>
      </c>
      <c r="K508" s="12" t="s">
        <v>29</v>
      </c>
      <c r="L508" s="12" t="s">
        <v>30</v>
      </c>
      <c r="P508" s="12" t="s">
        <v>31</v>
      </c>
      <c r="Q508" s="205" t="s">
        <v>32</v>
      </c>
      <c r="R508" s="141" t="s">
        <v>33</v>
      </c>
      <c r="S508" s="206" t="s">
        <v>691</v>
      </c>
      <c r="T508" s="207">
        <v>35712</v>
      </c>
      <c r="U508" s="206" t="s">
        <v>690</v>
      </c>
      <c r="V508" s="208" t="s">
        <v>3895</v>
      </c>
      <c r="W508" s="209">
        <v>719335</v>
      </c>
    </row>
    <row r="509" spans="1:23" ht="22.5" customHeight="1">
      <c r="A509" s="137">
        <v>46154.659780254631</v>
      </c>
      <c r="B509" s="12" t="s">
        <v>3896</v>
      </c>
      <c r="D509" s="12" t="s">
        <v>45</v>
      </c>
      <c r="E509" s="138">
        <v>36011</v>
      </c>
      <c r="F509" s="12" t="s">
        <v>980</v>
      </c>
      <c r="G509" s="12" t="s">
        <v>3897</v>
      </c>
      <c r="H509" s="12" t="s">
        <v>111</v>
      </c>
      <c r="I509" s="6" t="str">
        <f>VLOOKUP(CLEAN(F509),'World Bank Categories'!$B$4:$C$220,2,FALSE)</f>
        <v>Middle income</v>
      </c>
      <c r="J509" s="12" t="s">
        <v>3898</v>
      </c>
      <c r="K509" s="12" t="s">
        <v>39</v>
      </c>
      <c r="L509" s="12" t="s">
        <v>621</v>
      </c>
      <c r="P509" s="12" t="s">
        <v>31</v>
      </c>
      <c r="Q509" s="205" t="s">
        <v>32</v>
      </c>
      <c r="R509" s="141" t="s">
        <v>33</v>
      </c>
      <c r="S509" s="206" t="s">
        <v>3899</v>
      </c>
      <c r="T509" s="207">
        <v>32359</v>
      </c>
      <c r="U509" s="206" t="s">
        <v>3898</v>
      </c>
      <c r="V509" s="208" t="s">
        <v>3900</v>
      </c>
      <c r="W509" s="209">
        <v>720714</v>
      </c>
    </row>
    <row r="510" spans="1:23" ht="22.5" customHeight="1">
      <c r="A510" s="137">
        <v>46154.861963472227</v>
      </c>
      <c r="B510" s="12" t="s">
        <v>1823</v>
      </c>
      <c r="D510" s="12" t="s">
        <v>45</v>
      </c>
      <c r="E510" s="138">
        <v>34163</v>
      </c>
      <c r="F510" s="12" t="s">
        <v>198</v>
      </c>
      <c r="G510" s="12" t="s">
        <v>3903</v>
      </c>
      <c r="H510" s="12" t="s">
        <v>111</v>
      </c>
      <c r="I510" s="6" t="str">
        <f>VLOOKUP(CLEAN(F510),'World Bank Categories'!$B$4:$C$220,2,FALSE)</f>
        <v>Middle income</v>
      </c>
      <c r="J510" s="12" t="s">
        <v>1822</v>
      </c>
      <c r="K510" s="12" t="s">
        <v>29</v>
      </c>
      <c r="L510" s="12" t="s">
        <v>30</v>
      </c>
      <c r="P510" s="12" t="s">
        <v>31</v>
      </c>
      <c r="Q510" s="205" t="s">
        <v>32</v>
      </c>
      <c r="R510" s="141" t="s">
        <v>33</v>
      </c>
      <c r="S510" s="206" t="s">
        <v>1823</v>
      </c>
      <c r="T510" s="207">
        <v>34163</v>
      </c>
      <c r="U510" s="206" t="s">
        <v>1822</v>
      </c>
      <c r="V510" s="208" t="s">
        <v>3904</v>
      </c>
      <c r="W510" s="209">
        <v>720754</v>
      </c>
    </row>
    <row r="511" spans="1:23" ht="22.5" customHeight="1">
      <c r="A511" s="137">
        <v>46154.914817523153</v>
      </c>
      <c r="B511" s="12" t="s">
        <v>3905</v>
      </c>
      <c r="D511" s="12" t="s">
        <v>24</v>
      </c>
      <c r="E511" s="138">
        <v>37378</v>
      </c>
      <c r="F511" s="12" t="s">
        <v>64</v>
      </c>
      <c r="G511" s="12" t="s">
        <v>3906</v>
      </c>
      <c r="H511" s="12" t="s">
        <v>1941</v>
      </c>
      <c r="I511" s="6" t="str">
        <f>VLOOKUP(CLEAN(F511),'World Bank Categories'!$B$4:$C$220,2,FALSE)</f>
        <v>Middle income</v>
      </c>
      <c r="J511" s="12" t="s">
        <v>1942</v>
      </c>
      <c r="K511" s="12" t="s">
        <v>29</v>
      </c>
      <c r="L511" s="12" t="s">
        <v>30</v>
      </c>
      <c r="P511" s="12" t="s">
        <v>31</v>
      </c>
      <c r="Q511" s="205" t="s">
        <v>32</v>
      </c>
      <c r="R511" s="141" t="s">
        <v>33</v>
      </c>
      <c r="S511" s="206" t="s">
        <v>1943</v>
      </c>
      <c r="T511" s="207">
        <v>37378</v>
      </c>
      <c r="U511" s="206" t="s">
        <v>1942</v>
      </c>
      <c r="V511" s="208" t="s">
        <v>3907</v>
      </c>
      <c r="W511" s="209">
        <v>719869</v>
      </c>
    </row>
    <row r="512" spans="1:23" ht="22.5" customHeight="1">
      <c r="A512" s="137">
        <v>46155.362145624997</v>
      </c>
      <c r="B512" s="12" t="s">
        <v>3918</v>
      </c>
      <c r="C512" s="12" t="s">
        <v>3919</v>
      </c>
      <c r="D512" s="12" t="s">
        <v>24</v>
      </c>
      <c r="E512" s="138">
        <v>38355</v>
      </c>
      <c r="F512" s="12" t="s">
        <v>1053</v>
      </c>
      <c r="G512" s="12" t="s">
        <v>3920</v>
      </c>
      <c r="H512" s="12" t="s">
        <v>3921</v>
      </c>
      <c r="I512" s="6" t="str">
        <f>VLOOKUP(CLEAN(F512),'World Bank Categories'!$B$4:$C$220,2,FALSE)</f>
        <v>High income</v>
      </c>
      <c r="J512" s="12" t="s">
        <v>3922</v>
      </c>
      <c r="K512" s="12" t="s">
        <v>39</v>
      </c>
      <c r="L512" s="12" t="s">
        <v>621</v>
      </c>
      <c r="P512" s="12" t="s">
        <v>31</v>
      </c>
      <c r="Q512" s="205" t="s">
        <v>32</v>
      </c>
      <c r="R512" s="141" t="s">
        <v>43</v>
      </c>
      <c r="S512" s="206" t="s">
        <v>3918</v>
      </c>
      <c r="T512" s="207">
        <v>38355</v>
      </c>
      <c r="U512" s="206" t="s">
        <v>3922</v>
      </c>
      <c r="V512" s="208" t="s">
        <v>3923</v>
      </c>
      <c r="W512" s="209">
        <v>722459</v>
      </c>
    </row>
    <row r="513" spans="1:23" ht="22.5" customHeight="1">
      <c r="A513" s="137">
        <v>46155.380244571759</v>
      </c>
      <c r="B513" s="12" t="s">
        <v>3924</v>
      </c>
      <c r="C513" s="12" t="s">
        <v>3925</v>
      </c>
      <c r="D513" s="12" t="s">
        <v>24</v>
      </c>
      <c r="E513" s="138">
        <v>38648</v>
      </c>
      <c r="F513" s="12" t="s">
        <v>1053</v>
      </c>
      <c r="G513" s="12" t="s">
        <v>3926</v>
      </c>
      <c r="H513" s="12" t="s">
        <v>66</v>
      </c>
      <c r="I513" s="6" t="str">
        <f>VLOOKUP(CLEAN(F513),'World Bank Categories'!$B$4:$C$220,2,FALSE)</f>
        <v>High income</v>
      </c>
      <c r="J513" s="12" t="s">
        <v>3927</v>
      </c>
      <c r="K513" s="12" t="s">
        <v>29</v>
      </c>
      <c r="L513" s="12" t="s">
        <v>162</v>
      </c>
      <c r="P513" s="12" t="s">
        <v>31</v>
      </c>
      <c r="Q513" s="205" t="s">
        <v>32</v>
      </c>
      <c r="R513" s="141" t="s">
        <v>43</v>
      </c>
      <c r="S513" s="206" t="s">
        <v>3928</v>
      </c>
      <c r="T513" s="207">
        <v>38648</v>
      </c>
      <c r="U513" s="206" t="s">
        <v>3927</v>
      </c>
      <c r="V513" s="208" t="s">
        <v>3929</v>
      </c>
      <c r="W513" s="209">
        <v>721804</v>
      </c>
    </row>
    <row r="514" spans="1:23" ht="22.5" customHeight="1">
      <c r="A514" s="137">
        <v>46155.542550439815</v>
      </c>
      <c r="B514" s="12" t="s">
        <v>3786</v>
      </c>
      <c r="D514" s="12" t="s">
        <v>45</v>
      </c>
      <c r="E514" s="138">
        <v>37198</v>
      </c>
      <c r="F514" s="12" t="s">
        <v>416</v>
      </c>
      <c r="G514" s="12" t="s">
        <v>3930</v>
      </c>
      <c r="H514" s="12" t="s">
        <v>530</v>
      </c>
      <c r="I514" s="6" t="str">
        <f>VLOOKUP(CLEAN(F514),'World Bank Categories'!$B$4:$C$220,2,FALSE)</f>
        <v>Middle income</v>
      </c>
      <c r="J514" s="12" t="s">
        <v>3788</v>
      </c>
      <c r="K514" s="12" t="s">
        <v>39</v>
      </c>
      <c r="L514" s="12" t="s">
        <v>152</v>
      </c>
      <c r="P514" s="12" t="s">
        <v>31</v>
      </c>
      <c r="Q514" s="205" t="s">
        <v>32</v>
      </c>
      <c r="R514" s="141" t="s">
        <v>33</v>
      </c>
      <c r="S514" s="206" t="s">
        <v>3786</v>
      </c>
      <c r="T514" s="207">
        <v>37198</v>
      </c>
      <c r="U514" s="206" t="s">
        <v>3788</v>
      </c>
      <c r="V514" s="208" t="s">
        <v>3789</v>
      </c>
      <c r="W514" s="209">
        <v>723760</v>
      </c>
    </row>
    <row r="515" spans="1:23" ht="22.5" customHeight="1">
      <c r="A515" s="137">
        <v>46155.571707673611</v>
      </c>
      <c r="B515" s="12" t="s">
        <v>3931</v>
      </c>
      <c r="D515" s="12" t="s">
        <v>24</v>
      </c>
      <c r="E515" s="138">
        <v>37389</v>
      </c>
      <c r="F515" s="12" t="s">
        <v>416</v>
      </c>
      <c r="G515" s="12" t="s">
        <v>3873</v>
      </c>
      <c r="H515" s="12" t="s">
        <v>3932</v>
      </c>
      <c r="I515" s="6" t="str">
        <f>VLOOKUP(CLEAN(F515),'World Bank Categories'!$B$4:$C$220,2,FALSE)</f>
        <v>Middle income</v>
      </c>
      <c r="J515" s="12" t="s">
        <v>3874</v>
      </c>
      <c r="K515" s="12" t="s">
        <v>39</v>
      </c>
      <c r="L515" s="12" t="s">
        <v>162</v>
      </c>
      <c r="P515" s="12" t="s">
        <v>31</v>
      </c>
      <c r="Q515" s="205" t="s">
        <v>32</v>
      </c>
      <c r="R515" s="141" t="s">
        <v>33</v>
      </c>
      <c r="S515" s="206" t="s">
        <v>3875</v>
      </c>
      <c r="T515" s="207">
        <v>37385</v>
      </c>
      <c r="U515" s="206" t="s">
        <v>3874</v>
      </c>
      <c r="V515" s="208" t="s">
        <v>3933</v>
      </c>
      <c r="W515" s="209">
        <v>723763</v>
      </c>
    </row>
    <row r="516" spans="1:23" ht="22.5" customHeight="1">
      <c r="A516" s="218">
        <v>46155.224063946764</v>
      </c>
      <c r="B516" s="219" t="s">
        <v>352</v>
      </c>
      <c r="C516" s="221"/>
      <c r="D516" s="219" t="s">
        <v>24</v>
      </c>
      <c r="E516" s="220">
        <v>30328</v>
      </c>
      <c r="F516" s="219" t="s">
        <v>3934</v>
      </c>
      <c r="G516" s="219" t="s">
        <v>3935</v>
      </c>
      <c r="H516" s="219" t="s">
        <v>3936</v>
      </c>
      <c r="I516" s="219" t="s">
        <v>3598</v>
      </c>
      <c r="J516" s="219" t="s">
        <v>3937</v>
      </c>
      <c r="K516" s="219" t="s">
        <v>29</v>
      </c>
      <c r="L516" s="219" t="s">
        <v>30</v>
      </c>
      <c r="M516" s="219" t="s">
        <v>3938</v>
      </c>
      <c r="N516" s="219"/>
      <c r="O516" s="221"/>
      <c r="P516" s="221"/>
      <c r="Q516" s="213" t="s">
        <v>32</v>
      </c>
      <c r="R516" s="141" t="s">
        <v>33</v>
      </c>
      <c r="S516" s="206" t="s">
        <v>358</v>
      </c>
      <c r="T516" s="207">
        <v>30328</v>
      </c>
      <c r="U516" s="223" t="s">
        <v>355</v>
      </c>
      <c r="V516" s="224" t="s">
        <v>3939</v>
      </c>
      <c r="W516" s="209">
        <v>720001</v>
      </c>
    </row>
    <row r="517" spans="1:23" ht="22.5" customHeight="1">
      <c r="A517" s="137">
        <v>46156.598980324074</v>
      </c>
      <c r="B517" s="12" t="s">
        <v>3940</v>
      </c>
      <c r="D517" s="12" t="s">
        <v>24</v>
      </c>
      <c r="E517" s="138">
        <v>21981</v>
      </c>
      <c r="F517" s="12" t="s">
        <v>1063</v>
      </c>
      <c r="G517" s="12" t="s">
        <v>3941</v>
      </c>
      <c r="H517" s="12" t="s">
        <v>3942</v>
      </c>
      <c r="I517" s="6" t="str">
        <f>VLOOKUP(CLEAN(F517),'World Bank Categories'!$B$4:$C$220,2,FALSE)</f>
        <v>Middle income</v>
      </c>
      <c r="J517" s="12" t="s">
        <v>3943</v>
      </c>
      <c r="K517" s="12" t="s">
        <v>29</v>
      </c>
      <c r="L517" s="12" t="s">
        <v>30</v>
      </c>
      <c r="P517" s="12" t="s">
        <v>31</v>
      </c>
      <c r="Q517" s="205" t="s">
        <v>32</v>
      </c>
      <c r="R517" s="141" t="s">
        <v>33</v>
      </c>
      <c r="S517" s="206" t="s">
        <v>3940</v>
      </c>
      <c r="T517" s="207">
        <v>21981</v>
      </c>
      <c r="U517" s="206" t="s">
        <v>3944</v>
      </c>
      <c r="V517" s="208" t="s">
        <v>3945</v>
      </c>
      <c r="W517" s="209">
        <v>719802</v>
      </c>
    </row>
    <row r="518" spans="1:23" ht="22.5" customHeight="1">
      <c r="A518" s="137">
        <v>46157.041112210645</v>
      </c>
      <c r="B518" s="12" t="s">
        <v>3946</v>
      </c>
      <c r="D518" s="12" t="s">
        <v>24</v>
      </c>
      <c r="E518" s="138">
        <v>23332</v>
      </c>
      <c r="F518" s="12" t="s">
        <v>2246</v>
      </c>
      <c r="G518" s="12" t="s">
        <v>3947</v>
      </c>
      <c r="H518" s="12" t="s">
        <v>3948</v>
      </c>
      <c r="I518" s="6" t="str">
        <f>VLOOKUP(CLEAN(F518),'World Bank Categories'!$B$4:$C$220,2,FALSE)</f>
        <v>High income</v>
      </c>
      <c r="J518" s="12" t="s">
        <v>3949</v>
      </c>
      <c r="K518" s="12" t="s">
        <v>29</v>
      </c>
      <c r="L518" s="12" t="s">
        <v>30</v>
      </c>
      <c r="P518" s="12" t="s">
        <v>31</v>
      </c>
      <c r="Q518" s="205" t="s">
        <v>32</v>
      </c>
      <c r="R518" s="141" t="s">
        <v>43</v>
      </c>
      <c r="S518" s="206" t="s">
        <v>3950</v>
      </c>
      <c r="T518" s="207">
        <v>23332</v>
      </c>
      <c r="U518" s="206" t="s">
        <v>3949</v>
      </c>
      <c r="V518" s="208" t="s">
        <v>3951</v>
      </c>
      <c r="W518" s="209">
        <v>722681</v>
      </c>
    </row>
    <row r="519" spans="1:23" ht="22.5" customHeight="1">
      <c r="A519" s="137">
        <v>46158.812273194446</v>
      </c>
      <c r="B519" s="12" t="s">
        <v>2537</v>
      </c>
      <c r="D519" s="12" t="s">
        <v>45</v>
      </c>
      <c r="E519" s="138">
        <v>36879</v>
      </c>
      <c r="F519" s="12" t="s">
        <v>52</v>
      </c>
      <c r="G519" s="12" t="s">
        <v>3959</v>
      </c>
      <c r="H519" s="12" t="s">
        <v>66</v>
      </c>
      <c r="I519" s="6" t="str">
        <f>VLOOKUP(CLEAN(F519),'World Bank Categories'!$B$4:$C$220,2,FALSE)</f>
        <v>Middle income</v>
      </c>
      <c r="J519" s="12" t="s">
        <v>3960</v>
      </c>
      <c r="K519" s="12" t="s">
        <v>29</v>
      </c>
      <c r="L519" s="12" t="s">
        <v>30</v>
      </c>
      <c r="P519" s="12" t="s">
        <v>31</v>
      </c>
      <c r="Q519" s="205" t="s">
        <v>32</v>
      </c>
      <c r="R519" s="141" t="s">
        <v>33</v>
      </c>
      <c r="S519" s="206" t="s">
        <v>2537</v>
      </c>
      <c r="T519" s="207">
        <v>36879</v>
      </c>
      <c r="U519" s="206" t="s">
        <v>2536</v>
      </c>
      <c r="V519" s="208" t="s">
        <v>3961</v>
      </c>
      <c r="W519" s="209">
        <v>719235</v>
      </c>
    </row>
    <row r="520" spans="1:23" ht="22.5" customHeight="1">
      <c r="A520" s="137">
        <v>46158.939807037037</v>
      </c>
      <c r="B520" s="12" t="s">
        <v>3962</v>
      </c>
      <c r="C520" s="12" t="s">
        <v>3963</v>
      </c>
      <c r="D520" s="12" t="s">
        <v>45</v>
      </c>
      <c r="E520" s="138">
        <v>36998</v>
      </c>
      <c r="F520" s="12" t="s">
        <v>1053</v>
      </c>
      <c r="G520" s="12" t="s">
        <v>3964</v>
      </c>
      <c r="H520" s="12" t="s">
        <v>66</v>
      </c>
      <c r="I520" s="6" t="str">
        <f>VLOOKUP(CLEAN(F520),'World Bank Categories'!$B$4:$C$220,2,FALSE)</f>
        <v>High income</v>
      </c>
      <c r="J520" s="12" t="s">
        <v>3965</v>
      </c>
      <c r="K520" s="12" t="s">
        <v>39</v>
      </c>
      <c r="L520" s="12" t="s">
        <v>1991</v>
      </c>
      <c r="P520" s="12" t="s">
        <v>31</v>
      </c>
      <c r="Q520" s="205" t="s">
        <v>32</v>
      </c>
      <c r="R520" s="141" t="s">
        <v>43</v>
      </c>
      <c r="S520" s="206" t="s">
        <v>3966</v>
      </c>
      <c r="T520" s="207">
        <v>36998</v>
      </c>
      <c r="U520" s="206" t="s">
        <v>3965</v>
      </c>
      <c r="V520" s="208" t="s">
        <v>3967</v>
      </c>
      <c r="W520" s="209">
        <v>723249</v>
      </c>
    </row>
    <row r="521" spans="1:23" ht="22.5" customHeight="1">
      <c r="A521" s="137">
        <v>46159.986766365742</v>
      </c>
      <c r="B521" s="12" t="s">
        <v>3977</v>
      </c>
      <c r="D521" s="12" t="s">
        <v>24</v>
      </c>
      <c r="E521" s="138">
        <v>30127</v>
      </c>
      <c r="F521" s="12" t="s">
        <v>332</v>
      </c>
      <c r="G521" s="12" t="s">
        <v>3978</v>
      </c>
      <c r="H521" s="12" t="s">
        <v>3979</v>
      </c>
      <c r="I521" s="6" t="str">
        <f>VLOOKUP(CLEAN(F521),'World Bank Categories'!$B$4:$C$220,2,FALSE)</f>
        <v>High income</v>
      </c>
      <c r="J521" s="12" t="s">
        <v>3980</v>
      </c>
      <c r="K521" s="12" t="s">
        <v>29</v>
      </c>
      <c r="L521" s="12" t="s">
        <v>30</v>
      </c>
      <c r="P521" s="12" t="s">
        <v>31</v>
      </c>
      <c r="Q521" s="205" t="s">
        <v>32</v>
      </c>
      <c r="R521" s="141" t="s">
        <v>43</v>
      </c>
      <c r="S521" s="206" t="s">
        <v>3981</v>
      </c>
      <c r="T521" s="207">
        <v>30127</v>
      </c>
      <c r="U521" s="206" t="s">
        <v>3980</v>
      </c>
      <c r="V521" s="208" t="s">
        <v>3982</v>
      </c>
      <c r="W521" s="209">
        <v>722237</v>
      </c>
    </row>
    <row r="522" spans="1:23" ht="22.5" customHeight="1">
      <c r="A522" s="137">
        <v>46160.113226620371</v>
      </c>
      <c r="B522" s="12" t="s">
        <v>3983</v>
      </c>
      <c r="C522" s="12" t="s">
        <v>3983</v>
      </c>
      <c r="D522" s="12" t="s">
        <v>24</v>
      </c>
      <c r="E522" s="138">
        <v>38085</v>
      </c>
      <c r="F522" s="12" t="s">
        <v>232</v>
      </c>
      <c r="G522" s="12" t="s">
        <v>1922</v>
      </c>
      <c r="H522" s="12" t="s">
        <v>3984</v>
      </c>
      <c r="I522" s="6" t="str">
        <f>VLOOKUP(CLEAN(F522),'World Bank Categories'!$B$4:$C$220,2,FALSE)</f>
        <v>Middle income</v>
      </c>
      <c r="J522" s="12" t="s">
        <v>3985</v>
      </c>
      <c r="K522" s="12" t="s">
        <v>29</v>
      </c>
      <c r="L522" s="12" t="s">
        <v>30</v>
      </c>
      <c r="P522" s="12" t="s">
        <v>31</v>
      </c>
      <c r="Q522" s="205" t="s">
        <v>32</v>
      </c>
      <c r="R522" s="141" t="s">
        <v>33</v>
      </c>
      <c r="S522" s="206" t="s">
        <v>3983</v>
      </c>
      <c r="T522" s="207">
        <v>38085</v>
      </c>
      <c r="U522" s="206" t="s">
        <v>3985</v>
      </c>
      <c r="V522" s="208" t="s">
        <v>3986</v>
      </c>
      <c r="W522" s="209">
        <v>724944</v>
      </c>
    </row>
    <row r="523" spans="1:23" ht="22.5" customHeight="1">
      <c r="A523" s="137">
        <v>46160.658810787034</v>
      </c>
      <c r="B523" s="12" t="s">
        <v>3987</v>
      </c>
      <c r="D523" s="12" t="s">
        <v>24</v>
      </c>
      <c r="E523" s="138">
        <v>36333</v>
      </c>
      <c r="F523" s="12" t="s">
        <v>52</v>
      </c>
      <c r="G523" s="12" t="s">
        <v>3988</v>
      </c>
      <c r="H523" s="12" t="s">
        <v>3989</v>
      </c>
      <c r="I523" s="6" t="str">
        <f>VLOOKUP(CLEAN(F523),'World Bank Categories'!$B$4:$C$220,2,FALSE)</f>
        <v>Middle income</v>
      </c>
      <c r="J523" s="12" t="s">
        <v>1284</v>
      </c>
      <c r="K523" s="12" t="s">
        <v>29</v>
      </c>
      <c r="L523" s="12" t="s">
        <v>30</v>
      </c>
      <c r="P523" s="12" t="s">
        <v>31</v>
      </c>
      <c r="Q523" s="205" t="s">
        <v>32</v>
      </c>
      <c r="R523" s="141" t="s">
        <v>43</v>
      </c>
      <c r="S523" s="206" t="s">
        <v>1285</v>
      </c>
      <c r="T523" s="207">
        <v>36333</v>
      </c>
      <c r="U523" s="206" t="s">
        <v>1284</v>
      </c>
      <c r="V523" s="208" t="s">
        <v>3990</v>
      </c>
      <c r="W523" s="209">
        <v>719603</v>
      </c>
    </row>
    <row r="524" spans="1:23" ht="22.5" customHeight="1">
      <c r="A524" s="137">
        <v>46160.915395949072</v>
      </c>
      <c r="B524" s="12" t="s">
        <v>3991</v>
      </c>
      <c r="C524" s="12" t="s">
        <v>3992</v>
      </c>
      <c r="D524" s="12" t="s">
        <v>45</v>
      </c>
      <c r="E524" s="138">
        <v>35760</v>
      </c>
      <c r="F524" s="12" t="s">
        <v>2246</v>
      </c>
      <c r="G524" s="12" t="s">
        <v>3993</v>
      </c>
      <c r="H524" s="12" t="s">
        <v>3994</v>
      </c>
      <c r="I524" s="6" t="str">
        <f>VLOOKUP(CLEAN(F524),'World Bank Categories'!$B$4:$C$220,2,FALSE)</f>
        <v>High income</v>
      </c>
      <c r="J524" s="12" t="s">
        <v>3995</v>
      </c>
      <c r="K524" s="12" t="s">
        <v>39</v>
      </c>
      <c r="L524" s="12" t="s">
        <v>162</v>
      </c>
      <c r="P524" s="12" t="s">
        <v>31</v>
      </c>
      <c r="Q524" s="205" t="s">
        <v>32</v>
      </c>
      <c r="R524" s="141" t="s">
        <v>43</v>
      </c>
      <c r="S524" s="206" t="s">
        <v>3996</v>
      </c>
      <c r="T524" s="207">
        <v>35760</v>
      </c>
      <c r="U524" s="206" t="s">
        <v>3995</v>
      </c>
      <c r="V524" s="208" t="s">
        <v>3997</v>
      </c>
      <c r="W524" s="209">
        <v>722676</v>
      </c>
    </row>
    <row r="525" spans="1:23" ht="22.5" customHeight="1">
      <c r="A525" s="137">
        <v>46161.087917870369</v>
      </c>
      <c r="B525" s="12" t="s">
        <v>321</v>
      </c>
      <c r="D525" s="12" t="s">
        <v>45</v>
      </c>
      <c r="E525" s="138">
        <v>35302</v>
      </c>
      <c r="F525" s="12" t="s">
        <v>58</v>
      </c>
      <c r="G525" s="12" t="s">
        <v>4010</v>
      </c>
      <c r="H525" s="12" t="s">
        <v>138</v>
      </c>
      <c r="I525" s="6" t="str">
        <f>VLOOKUP(CLEAN(F525),'World Bank Categories'!$B$4:$C$220,2,FALSE)</f>
        <v>Middle income</v>
      </c>
      <c r="J525" s="12" t="s">
        <v>325</v>
      </c>
      <c r="K525" s="12" t="s">
        <v>29</v>
      </c>
      <c r="L525" s="12" t="s">
        <v>30</v>
      </c>
      <c r="P525" s="12" t="s">
        <v>31</v>
      </c>
      <c r="Q525" s="205" t="s">
        <v>32</v>
      </c>
      <c r="R525" s="141" t="s">
        <v>33</v>
      </c>
      <c r="S525" s="206" t="s">
        <v>326</v>
      </c>
      <c r="T525" s="207">
        <v>35302</v>
      </c>
      <c r="U525" s="206" t="s">
        <v>325</v>
      </c>
      <c r="V525" s="208" t="s">
        <v>4011</v>
      </c>
      <c r="W525" s="209">
        <v>720701</v>
      </c>
    </row>
    <row r="526" spans="1:23" ht="22.5" customHeight="1">
      <c r="A526" s="137">
        <v>46161.749358541667</v>
      </c>
      <c r="B526" s="12" t="s">
        <v>4016</v>
      </c>
      <c r="D526" s="12" t="s">
        <v>24</v>
      </c>
      <c r="E526" s="138">
        <v>37565</v>
      </c>
      <c r="F526" s="12" t="s">
        <v>612</v>
      </c>
      <c r="G526" s="12" t="s">
        <v>4017</v>
      </c>
      <c r="H526" s="12" t="s">
        <v>3198</v>
      </c>
      <c r="I526" s="6" t="str">
        <f>VLOOKUP(CLEAN(F526),'World Bank Categories'!$B$4:$C$220,2,FALSE)</f>
        <v>Low income</v>
      </c>
      <c r="J526" s="12" t="s">
        <v>3199</v>
      </c>
      <c r="K526" s="12" t="s">
        <v>29</v>
      </c>
      <c r="L526" s="12" t="s">
        <v>30</v>
      </c>
      <c r="P526" s="12" t="s">
        <v>31</v>
      </c>
      <c r="Q526" s="205" t="s">
        <v>32</v>
      </c>
      <c r="R526" s="141" t="s">
        <v>33</v>
      </c>
      <c r="S526" s="206" t="s">
        <v>3200</v>
      </c>
      <c r="T526" s="207">
        <v>37565</v>
      </c>
      <c r="U526" s="206" t="s">
        <v>3199</v>
      </c>
      <c r="V526" s="208" t="s">
        <v>4018</v>
      </c>
      <c r="W526" s="209">
        <v>719351</v>
      </c>
    </row>
    <row r="527" spans="1:23" ht="22.5" customHeight="1">
      <c r="A527" s="137">
        <v>46161.872398761574</v>
      </c>
      <c r="B527" s="12" t="s">
        <v>4019</v>
      </c>
      <c r="D527" s="12" t="s">
        <v>24</v>
      </c>
      <c r="E527" s="138">
        <v>20765</v>
      </c>
      <c r="F527" s="12" t="s">
        <v>2556</v>
      </c>
      <c r="G527" s="12" t="s">
        <v>4020</v>
      </c>
      <c r="H527" s="12" t="s">
        <v>3753</v>
      </c>
      <c r="I527" s="6" t="str">
        <f>VLOOKUP(CLEAN(F527),'World Bank Categories'!$B$4:$C$220,2,FALSE)</f>
        <v>Middle income</v>
      </c>
      <c r="J527" s="12" t="s">
        <v>2814</v>
      </c>
      <c r="K527" s="12" t="s">
        <v>39</v>
      </c>
      <c r="L527" s="12" t="s">
        <v>30</v>
      </c>
      <c r="P527" s="12" t="s">
        <v>31</v>
      </c>
      <c r="Q527" s="205" t="s">
        <v>32</v>
      </c>
      <c r="R527" s="141" t="s">
        <v>33</v>
      </c>
      <c r="S527" s="206" t="s">
        <v>2812</v>
      </c>
      <c r="T527" s="207">
        <v>20765</v>
      </c>
      <c r="U527" s="206" t="s">
        <v>2814</v>
      </c>
      <c r="V527" s="208" t="s">
        <v>4021</v>
      </c>
      <c r="W527" s="209">
        <v>720293</v>
      </c>
    </row>
    <row r="528" spans="1:23" ht="22.5" customHeight="1">
      <c r="A528" s="137">
        <v>46162.194620810187</v>
      </c>
      <c r="B528" s="12" t="s">
        <v>4022</v>
      </c>
      <c r="D528" s="12" t="s">
        <v>45</v>
      </c>
      <c r="E528" s="138">
        <v>34964</v>
      </c>
      <c r="F528" s="12" t="s">
        <v>799</v>
      </c>
      <c r="G528" s="12" t="s">
        <v>4023</v>
      </c>
      <c r="H528" s="12" t="s">
        <v>4024</v>
      </c>
      <c r="I528" s="6" t="str">
        <f>VLOOKUP(CLEAN(F528),'World Bank Categories'!$B$4:$C$220,2,FALSE)</f>
        <v>Low income</v>
      </c>
      <c r="J528" s="12" t="s">
        <v>1408</v>
      </c>
      <c r="K528" s="12" t="s">
        <v>29</v>
      </c>
      <c r="L528" s="143" t="s">
        <v>1168</v>
      </c>
      <c r="P528" s="12" t="s">
        <v>31</v>
      </c>
      <c r="Q528" s="205" t="s">
        <v>32</v>
      </c>
      <c r="R528" s="141" t="s">
        <v>33</v>
      </c>
      <c r="S528" s="206" t="s">
        <v>1405</v>
      </c>
      <c r="T528" s="207">
        <v>34964</v>
      </c>
      <c r="U528" s="206" t="s">
        <v>1408</v>
      </c>
      <c r="V528" s="208" t="s">
        <v>4025</v>
      </c>
      <c r="W528" s="209">
        <v>720272</v>
      </c>
    </row>
    <row r="529" spans="1:23" ht="22.5" customHeight="1">
      <c r="A529" s="137">
        <v>46162.314009618058</v>
      </c>
      <c r="B529" s="12" t="s">
        <v>3880</v>
      </c>
      <c r="D529" s="12" t="s">
        <v>45</v>
      </c>
      <c r="E529" s="138">
        <v>31693</v>
      </c>
      <c r="F529" s="12" t="s">
        <v>3881</v>
      </c>
      <c r="G529" s="12" t="s">
        <v>3882</v>
      </c>
      <c r="H529" s="12" t="s">
        <v>3883</v>
      </c>
      <c r="I529" s="6" t="str">
        <f>VLOOKUP(CLEAN(F529),'World Bank Categories'!$B$4:$C$220,2,FALSE)</f>
        <v>Middle income</v>
      </c>
      <c r="J529" s="12" t="s">
        <v>3884</v>
      </c>
      <c r="K529" s="12" t="s">
        <v>29</v>
      </c>
      <c r="L529" s="12" t="s">
        <v>30</v>
      </c>
      <c r="P529" s="12" t="s">
        <v>31</v>
      </c>
      <c r="Q529" s="205" t="s">
        <v>32</v>
      </c>
      <c r="R529" s="141" t="s">
        <v>33</v>
      </c>
      <c r="S529" s="206" t="s">
        <v>3885</v>
      </c>
      <c r="T529" s="207">
        <v>31693</v>
      </c>
      <c r="U529" s="206" t="s">
        <v>3884</v>
      </c>
      <c r="V529" s="208" t="s">
        <v>3886</v>
      </c>
      <c r="W529" s="209">
        <v>724953</v>
      </c>
    </row>
    <row r="530" spans="1:23" ht="22.5" customHeight="1">
      <c r="A530" s="137">
        <v>46162.354972141206</v>
      </c>
      <c r="B530" s="12" t="s">
        <v>4026</v>
      </c>
      <c r="D530" s="12" t="s">
        <v>45</v>
      </c>
      <c r="E530" s="138">
        <v>28245</v>
      </c>
      <c r="F530" s="12" t="s">
        <v>799</v>
      </c>
      <c r="G530" s="12" t="s">
        <v>4027</v>
      </c>
      <c r="H530" s="12" t="s">
        <v>111</v>
      </c>
      <c r="I530" s="6" t="str">
        <f>VLOOKUP(CLEAN(F530),'World Bank Categories'!$B$4:$C$220,2,FALSE)</f>
        <v>Low income</v>
      </c>
      <c r="J530" s="12" t="s">
        <v>4028</v>
      </c>
      <c r="K530" s="12" t="s">
        <v>29</v>
      </c>
      <c r="L530" s="12" t="s">
        <v>30</v>
      </c>
      <c r="P530" s="12" t="s">
        <v>31</v>
      </c>
      <c r="Q530" s="205" t="s">
        <v>32</v>
      </c>
      <c r="R530" s="141" t="s">
        <v>43</v>
      </c>
      <c r="S530" s="206" t="s">
        <v>4026</v>
      </c>
      <c r="T530" s="207">
        <v>28245</v>
      </c>
      <c r="U530" s="206" t="s">
        <v>4029</v>
      </c>
      <c r="V530" s="208" t="s">
        <v>4030</v>
      </c>
      <c r="W530" s="209">
        <v>721823</v>
      </c>
    </row>
    <row r="531" spans="1:23" ht="22.5" customHeight="1">
      <c r="A531" s="137">
        <v>46162.374741701387</v>
      </c>
      <c r="B531" s="12" t="s">
        <v>4031</v>
      </c>
      <c r="D531" s="12" t="s">
        <v>45</v>
      </c>
      <c r="E531" s="138">
        <v>23854</v>
      </c>
      <c r="F531" s="12" t="s">
        <v>799</v>
      </c>
      <c r="G531" s="12" t="s">
        <v>4032</v>
      </c>
      <c r="H531" s="12" t="s">
        <v>4033</v>
      </c>
      <c r="I531" s="6" t="str">
        <f>VLOOKUP(CLEAN(F531),'World Bank Categories'!$B$4:$C$220,2,FALSE)</f>
        <v>Low income</v>
      </c>
      <c r="J531" s="12" t="s">
        <v>4034</v>
      </c>
      <c r="K531" s="12" t="s">
        <v>29</v>
      </c>
      <c r="L531" s="12" t="s">
        <v>30</v>
      </c>
      <c r="M531" s="12" t="s">
        <v>4035</v>
      </c>
      <c r="P531" s="12" t="s">
        <v>31</v>
      </c>
      <c r="Q531" s="205" t="s">
        <v>32</v>
      </c>
      <c r="R531" s="141" t="s">
        <v>43</v>
      </c>
      <c r="S531" s="206" t="s">
        <v>4036</v>
      </c>
      <c r="T531" s="207">
        <v>23854</v>
      </c>
      <c r="U531" s="206" t="s">
        <v>4034</v>
      </c>
      <c r="V531" s="208" t="s">
        <v>4037</v>
      </c>
      <c r="W531" s="209">
        <v>720010</v>
      </c>
    </row>
    <row r="532" spans="1:23" ht="22.5" customHeight="1">
      <c r="A532" s="137">
        <v>46162.658753356482</v>
      </c>
      <c r="B532" s="12" t="s">
        <v>4038</v>
      </c>
      <c r="D532" s="12" t="s">
        <v>24</v>
      </c>
      <c r="E532" s="138">
        <v>24517</v>
      </c>
      <c r="F532" s="12" t="s">
        <v>799</v>
      </c>
      <c r="G532" s="12" t="s">
        <v>4039</v>
      </c>
      <c r="H532" s="12" t="s">
        <v>1595</v>
      </c>
      <c r="I532" s="6" t="str">
        <f>VLOOKUP(CLEAN(F532),'World Bank Categories'!$B$4:$C$220,2,FALSE)</f>
        <v>Low income</v>
      </c>
      <c r="J532" s="12" t="s">
        <v>4040</v>
      </c>
      <c r="K532" s="12" t="s">
        <v>29</v>
      </c>
      <c r="L532" s="12" t="s">
        <v>30</v>
      </c>
      <c r="M532" s="12" t="s">
        <v>4041</v>
      </c>
      <c r="P532" s="12" t="s">
        <v>31</v>
      </c>
      <c r="Q532" s="205" t="s">
        <v>32</v>
      </c>
      <c r="R532" s="141" t="s">
        <v>43</v>
      </c>
      <c r="S532" s="206" t="s">
        <v>4042</v>
      </c>
      <c r="T532" s="207">
        <v>24820</v>
      </c>
      <c r="U532" s="206" t="s">
        <v>4040</v>
      </c>
      <c r="V532" s="208" t="s">
        <v>4043</v>
      </c>
      <c r="W532" s="209">
        <v>719941</v>
      </c>
    </row>
    <row r="533" spans="1:23" ht="22.5" customHeight="1">
      <c r="A533" s="210">
        <v>46162.852138263886</v>
      </c>
      <c r="B533" s="211" t="s">
        <v>4044</v>
      </c>
      <c r="C533" s="211"/>
      <c r="D533" s="211" t="s">
        <v>24</v>
      </c>
      <c r="E533" s="212">
        <v>28647</v>
      </c>
      <c r="F533" s="211" t="s">
        <v>2596</v>
      </c>
      <c r="G533" s="211" t="s">
        <v>4045</v>
      </c>
      <c r="H533" s="211" t="s">
        <v>4046</v>
      </c>
      <c r="I533" s="6" t="str">
        <f>VLOOKUP(CLEAN(F533),'World Bank Categories'!$B$4:$C$220,2,FALSE)</f>
        <v>Middle income</v>
      </c>
      <c r="J533" s="211" t="s">
        <v>3491</v>
      </c>
      <c r="K533" s="211" t="s">
        <v>39</v>
      </c>
      <c r="L533" s="211" t="s">
        <v>152</v>
      </c>
      <c r="M533" s="211" t="s">
        <v>4047</v>
      </c>
      <c r="N533" s="211"/>
      <c r="O533" s="211"/>
      <c r="P533" s="211" t="s">
        <v>31</v>
      </c>
      <c r="Q533" s="213" t="s">
        <v>32</v>
      </c>
      <c r="R533" s="33" t="s">
        <v>43</v>
      </c>
      <c r="S533" s="214" t="s">
        <v>4044</v>
      </c>
      <c r="T533" s="215">
        <v>28647</v>
      </c>
      <c r="U533" s="214" t="s">
        <v>3491</v>
      </c>
      <c r="V533" s="216" t="s">
        <v>4048</v>
      </c>
      <c r="W533" s="217">
        <v>725704</v>
      </c>
    </row>
    <row r="534" spans="1:23" ht="22.5" customHeight="1">
      <c r="A534" s="144">
        <v>46164.726983576387</v>
      </c>
      <c r="B534" s="40" t="s">
        <v>4059</v>
      </c>
      <c r="C534" s="40"/>
      <c r="D534" s="40" t="s">
        <v>45</v>
      </c>
      <c r="E534" s="145">
        <v>38058</v>
      </c>
      <c r="F534" s="40" t="s">
        <v>70</v>
      </c>
      <c r="G534" s="40" t="s">
        <v>1379</v>
      </c>
      <c r="H534" s="40" t="s">
        <v>138</v>
      </c>
      <c r="I534" s="6" t="str">
        <f>VLOOKUP(CLEAN(F534),'World Bank Categories'!$B$4:$C$220,2,FALSE)</f>
        <v>Middle income</v>
      </c>
      <c r="J534" s="40" t="s">
        <v>4060</v>
      </c>
      <c r="K534" s="40" t="s">
        <v>39</v>
      </c>
      <c r="L534" s="40" t="s">
        <v>30</v>
      </c>
      <c r="M534" s="40"/>
      <c r="N534" s="40"/>
      <c r="O534" s="40"/>
      <c r="P534" s="40" t="s">
        <v>31</v>
      </c>
      <c r="Q534" s="213" t="s">
        <v>32</v>
      </c>
      <c r="R534" s="33" t="s">
        <v>33</v>
      </c>
      <c r="S534" s="33" t="s">
        <v>4061</v>
      </c>
      <c r="T534" s="226">
        <v>38058</v>
      </c>
      <c r="U534" s="33" t="s">
        <v>4060</v>
      </c>
      <c r="V534" s="227" t="s">
        <v>4062</v>
      </c>
      <c r="W534" s="228">
        <v>717265</v>
      </c>
    </row>
    <row r="535" spans="1:23" ht="22.5" customHeight="1">
      <c r="A535" s="137">
        <v>46165.097222303244</v>
      </c>
      <c r="B535" s="12" t="s">
        <v>3863</v>
      </c>
      <c r="D535" s="12" t="s">
        <v>24</v>
      </c>
      <c r="E535" s="138">
        <v>35790</v>
      </c>
      <c r="F535" s="12" t="s">
        <v>1770</v>
      </c>
      <c r="G535" s="12" t="s">
        <v>4063</v>
      </c>
      <c r="H535" s="12" t="s">
        <v>4064</v>
      </c>
      <c r="I535" s="6" t="str">
        <f>VLOOKUP(CLEAN(F535),'World Bank Categories'!$B$4:$C$220,2,FALSE)</f>
        <v>Middle income</v>
      </c>
      <c r="J535" s="12" t="s">
        <v>1344</v>
      </c>
      <c r="K535" s="12" t="s">
        <v>39</v>
      </c>
      <c r="L535" s="12" t="s">
        <v>30</v>
      </c>
      <c r="P535" s="12" t="s">
        <v>31</v>
      </c>
      <c r="Q535" s="205" t="s">
        <v>32</v>
      </c>
      <c r="R535" s="184" t="s">
        <v>1008</v>
      </c>
      <c r="S535" s="206" t="s">
        <v>1341</v>
      </c>
      <c r="T535" s="207">
        <v>35790</v>
      </c>
      <c r="U535" s="206" t="s">
        <v>1344</v>
      </c>
      <c r="V535" s="208" t="s">
        <v>3866</v>
      </c>
      <c r="W535" s="209">
        <v>720147</v>
      </c>
    </row>
    <row r="536" spans="1:23" ht="22.5" customHeight="1">
      <c r="A536" s="137">
        <v>46165.834960717591</v>
      </c>
      <c r="B536" s="12" t="s">
        <v>1448</v>
      </c>
      <c r="D536" s="12" t="s">
        <v>24</v>
      </c>
      <c r="E536" s="138">
        <v>36954</v>
      </c>
      <c r="F536" s="12" t="s">
        <v>1449</v>
      </c>
      <c r="G536" s="12" t="s">
        <v>2995</v>
      </c>
      <c r="H536" s="12" t="s">
        <v>66</v>
      </c>
      <c r="I536" s="6" t="str">
        <f>VLOOKUP(CLEAN(F536),'World Bank Categories'!$B$4:$C$220,2,FALSE)</f>
        <v>Middle income</v>
      </c>
      <c r="J536" s="12" t="s">
        <v>3779</v>
      </c>
      <c r="K536" s="12" t="s">
        <v>29</v>
      </c>
      <c r="L536" s="12" t="s">
        <v>4072</v>
      </c>
      <c r="P536" s="12" t="s">
        <v>31</v>
      </c>
      <c r="Q536" s="205" t="s">
        <v>32</v>
      </c>
      <c r="R536" s="141" t="s">
        <v>43</v>
      </c>
      <c r="S536" s="206" t="s">
        <v>1448</v>
      </c>
      <c r="T536" s="207">
        <v>36954</v>
      </c>
      <c r="U536" s="206" t="s">
        <v>3779</v>
      </c>
      <c r="V536" s="208" t="s">
        <v>3780</v>
      </c>
      <c r="W536" s="209">
        <v>723766</v>
      </c>
    </row>
    <row r="537" spans="1:23" ht="22.5" customHeight="1">
      <c r="A537" s="137">
        <v>46167.387314467589</v>
      </c>
      <c r="B537" s="12" t="s">
        <v>4090</v>
      </c>
      <c r="D537" s="12" t="s">
        <v>45</v>
      </c>
      <c r="E537" s="138">
        <v>34835</v>
      </c>
      <c r="F537" s="12" t="s">
        <v>1179</v>
      </c>
      <c r="G537" s="12" t="s">
        <v>4091</v>
      </c>
      <c r="H537" s="12" t="s">
        <v>138</v>
      </c>
      <c r="I537" s="6" t="str">
        <f>VLOOKUP(CLEAN(F537),'World Bank Categories'!$B$4:$C$220,2,FALSE)</f>
        <v>High income</v>
      </c>
      <c r="J537" s="12" t="s">
        <v>4092</v>
      </c>
      <c r="K537" s="12" t="s">
        <v>29</v>
      </c>
      <c r="L537" s="12" t="s">
        <v>396</v>
      </c>
      <c r="P537" s="12" t="s">
        <v>31</v>
      </c>
      <c r="Q537" s="205" t="s">
        <v>32</v>
      </c>
      <c r="R537" s="141" t="s">
        <v>43</v>
      </c>
      <c r="S537" s="206" t="s">
        <v>4090</v>
      </c>
      <c r="T537" s="207">
        <v>34835</v>
      </c>
      <c r="U537" s="206" t="s">
        <v>4092</v>
      </c>
      <c r="V537" s="208" t="s">
        <v>4093</v>
      </c>
      <c r="W537" s="209">
        <v>725776</v>
      </c>
    </row>
    <row r="538" spans="1:23" ht="22.5" customHeight="1">
      <c r="A538" s="137">
        <v>46167.641716921295</v>
      </c>
      <c r="B538" s="12" t="s">
        <v>4094</v>
      </c>
      <c r="C538" s="12" t="s">
        <v>3483</v>
      </c>
      <c r="D538" s="12" t="s">
        <v>24</v>
      </c>
      <c r="E538" s="138">
        <v>36420</v>
      </c>
      <c r="F538" s="12" t="s">
        <v>1053</v>
      </c>
      <c r="G538" s="12" t="s">
        <v>3484</v>
      </c>
      <c r="H538" s="12" t="s">
        <v>4095</v>
      </c>
      <c r="I538" s="6" t="str">
        <f>VLOOKUP(CLEAN(F538),'World Bank Categories'!$B$4:$C$220,2,FALSE)</f>
        <v>High income</v>
      </c>
      <c r="J538" s="12" t="s">
        <v>3485</v>
      </c>
      <c r="K538" s="12" t="s">
        <v>39</v>
      </c>
      <c r="L538" s="12" t="s">
        <v>152</v>
      </c>
      <c r="P538" s="12" t="s">
        <v>31</v>
      </c>
      <c r="Q538" s="205" t="s">
        <v>32</v>
      </c>
      <c r="R538" s="141" t="s">
        <v>43</v>
      </c>
      <c r="S538" s="206" t="s">
        <v>4094</v>
      </c>
      <c r="T538" s="207">
        <v>36420</v>
      </c>
      <c r="U538" s="206" t="s">
        <v>3485</v>
      </c>
      <c r="V538" s="208" t="s">
        <v>4096</v>
      </c>
      <c r="W538" s="209">
        <v>723721</v>
      </c>
    </row>
    <row r="539" spans="1:23" ht="22.5" customHeight="1">
      <c r="A539" s="137">
        <v>46167.662153750003</v>
      </c>
      <c r="B539" s="12" t="s">
        <v>4097</v>
      </c>
      <c r="D539" s="12" t="s">
        <v>24</v>
      </c>
      <c r="E539" s="138">
        <v>27795</v>
      </c>
      <c r="F539" s="12" t="s">
        <v>623</v>
      </c>
      <c r="G539" s="12" t="s">
        <v>4098</v>
      </c>
      <c r="H539" s="12" t="s">
        <v>4099</v>
      </c>
      <c r="I539" s="6" t="str">
        <f>VLOOKUP(CLEAN(F539),'World Bank Categories'!$B$4:$C$220,2,FALSE)</f>
        <v>Middle income</v>
      </c>
      <c r="J539" s="12" t="s">
        <v>4100</v>
      </c>
      <c r="K539" s="12" t="s">
        <v>29</v>
      </c>
      <c r="L539" s="12" t="s">
        <v>30</v>
      </c>
      <c r="P539" s="12" t="s">
        <v>31</v>
      </c>
      <c r="Q539" s="205" t="s">
        <v>32</v>
      </c>
      <c r="R539" s="141" t="s">
        <v>33</v>
      </c>
      <c r="S539" s="206" t="s">
        <v>4097</v>
      </c>
      <c r="T539" s="207">
        <v>27795</v>
      </c>
      <c r="U539" s="206" t="s">
        <v>4100</v>
      </c>
      <c r="V539" s="208" t="s">
        <v>4101</v>
      </c>
      <c r="W539" s="209">
        <v>718609</v>
      </c>
    </row>
    <row r="540" spans="1:23" ht="22.5" customHeight="1">
      <c r="A540" s="137">
        <v>46167.671573750005</v>
      </c>
      <c r="B540" s="12" t="s">
        <v>4102</v>
      </c>
      <c r="D540" s="12" t="s">
        <v>24</v>
      </c>
      <c r="E540" s="138">
        <v>33280</v>
      </c>
      <c r="F540" s="12" t="s">
        <v>332</v>
      </c>
      <c r="G540" s="12" t="s">
        <v>4103</v>
      </c>
      <c r="H540" s="12" t="s">
        <v>1747</v>
      </c>
      <c r="I540" s="6" t="str">
        <f>VLOOKUP(CLEAN(F540),'World Bank Categories'!$B$4:$C$220,2,FALSE)</f>
        <v>High income</v>
      </c>
      <c r="J540" s="12" t="s">
        <v>4104</v>
      </c>
      <c r="K540" s="12" t="s">
        <v>29</v>
      </c>
      <c r="L540" s="12" t="s">
        <v>30</v>
      </c>
      <c r="P540" s="12" t="s">
        <v>31</v>
      </c>
      <c r="Q540" s="205" t="s">
        <v>32</v>
      </c>
      <c r="R540" s="141" t="s">
        <v>43</v>
      </c>
      <c r="S540" s="206" t="s">
        <v>4102</v>
      </c>
      <c r="T540" s="207">
        <v>33280</v>
      </c>
      <c r="U540" s="206" t="s">
        <v>4104</v>
      </c>
      <c r="V540" s="208" t="s">
        <v>4105</v>
      </c>
      <c r="W540" s="209">
        <v>722131</v>
      </c>
    </row>
    <row r="541" spans="1:23" ht="22.5" customHeight="1">
      <c r="A541" s="137">
        <v>46167.672318900462</v>
      </c>
      <c r="B541" s="12" t="s">
        <v>4106</v>
      </c>
      <c r="D541" s="12" t="s">
        <v>24</v>
      </c>
      <c r="E541" s="138">
        <v>34959</v>
      </c>
      <c r="F541" s="12" t="s">
        <v>332</v>
      </c>
      <c r="G541" s="12" t="s">
        <v>4103</v>
      </c>
      <c r="H541" s="12" t="s">
        <v>4107</v>
      </c>
      <c r="I541" s="6" t="str">
        <f>VLOOKUP(CLEAN(F541),'World Bank Categories'!$B$4:$C$220,2,FALSE)</f>
        <v>High income</v>
      </c>
      <c r="J541" s="12" t="s">
        <v>4108</v>
      </c>
      <c r="K541" s="12" t="s">
        <v>29</v>
      </c>
      <c r="L541" s="12" t="s">
        <v>30</v>
      </c>
      <c r="P541" s="12" t="s">
        <v>31</v>
      </c>
      <c r="Q541" s="205" t="s">
        <v>32</v>
      </c>
      <c r="R541" s="141" t="s">
        <v>43</v>
      </c>
      <c r="S541" s="206" t="s">
        <v>4109</v>
      </c>
      <c r="T541" s="207">
        <v>34959</v>
      </c>
      <c r="U541" s="206" t="s">
        <v>4108</v>
      </c>
      <c r="V541" s="208" t="s">
        <v>4110</v>
      </c>
      <c r="W541" s="209">
        <v>723216</v>
      </c>
    </row>
    <row r="542" spans="1:23" ht="22.5" customHeight="1">
      <c r="A542" s="137">
        <v>46167.771409733796</v>
      </c>
      <c r="B542" s="12" t="s">
        <v>3987</v>
      </c>
      <c r="D542" s="12" t="s">
        <v>24</v>
      </c>
      <c r="E542" s="138">
        <v>36333</v>
      </c>
      <c r="F542" s="12" t="s">
        <v>52</v>
      </c>
      <c r="G542" s="12" t="s">
        <v>3988</v>
      </c>
      <c r="H542" s="12" t="s">
        <v>4111</v>
      </c>
      <c r="I542" s="6" t="str">
        <f>VLOOKUP(CLEAN(F542),'World Bank Categories'!$B$4:$C$220,2,FALSE)</f>
        <v>Middle income</v>
      </c>
      <c r="J542" s="12" t="s">
        <v>1284</v>
      </c>
      <c r="K542" s="12" t="s">
        <v>29</v>
      </c>
      <c r="L542" s="12" t="s">
        <v>30</v>
      </c>
      <c r="P542" s="12" t="s">
        <v>31</v>
      </c>
      <c r="Q542" s="205" t="s">
        <v>32</v>
      </c>
      <c r="R542" s="141" t="s">
        <v>43</v>
      </c>
      <c r="S542" s="206" t="s">
        <v>1285</v>
      </c>
      <c r="T542" s="207">
        <v>36333</v>
      </c>
      <c r="U542" s="206" t="s">
        <v>1284</v>
      </c>
      <c r="V542" s="208" t="s">
        <v>3990</v>
      </c>
      <c r="W542" s="209">
        <v>719603</v>
      </c>
    </row>
    <row r="543" spans="1:23" ht="22.5" customHeight="1">
      <c r="A543" s="137">
        <v>46167.99027065972</v>
      </c>
      <c r="B543" s="12" t="s">
        <v>3389</v>
      </c>
      <c r="C543" s="12" t="s">
        <v>871</v>
      </c>
      <c r="D543" s="12" t="s">
        <v>24</v>
      </c>
      <c r="E543" s="138">
        <v>28965</v>
      </c>
      <c r="F543" s="12" t="s">
        <v>2556</v>
      </c>
      <c r="G543" s="12" t="s">
        <v>209</v>
      </c>
      <c r="H543" s="12" t="s">
        <v>4112</v>
      </c>
      <c r="I543" s="6" t="str">
        <f>VLOOKUP(CLEAN(F543),'World Bank Categories'!$B$4:$C$220,2,FALSE)</f>
        <v>Middle income</v>
      </c>
      <c r="J543" s="12" t="s">
        <v>4113</v>
      </c>
      <c r="K543" s="12" t="s">
        <v>29</v>
      </c>
      <c r="L543" s="12" t="s">
        <v>30</v>
      </c>
      <c r="P543" s="12" t="s">
        <v>31</v>
      </c>
      <c r="Q543" s="205" t="s">
        <v>32</v>
      </c>
      <c r="R543" s="184" t="s">
        <v>1008</v>
      </c>
      <c r="S543" s="206" t="s">
        <v>3389</v>
      </c>
      <c r="T543" s="207">
        <v>28965</v>
      </c>
      <c r="U543" s="206" t="s">
        <v>3392</v>
      </c>
      <c r="V543" s="208" t="s">
        <v>4114</v>
      </c>
      <c r="W543" s="209">
        <v>723617</v>
      </c>
    </row>
    <row r="544" spans="1:23" ht="22.5" customHeight="1">
      <c r="A544" s="137">
        <v>46168.02674188657</v>
      </c>
      <c r="B544" s="12" t="s">
        <v>4115</v>
      </c>
      <c r="D544" s="12" t="s">
        <v>24</v>
      </c>
      <c r="E544" s="138">
        <v>38109</v>
      </c>
      <c r="F544" s="12" t="s">
        <v>232</v>
      </c>
      <c r="G544" s="12" t="s">
        <v>4116</v>
      </c>
      <c r="H544" s="12" t="s">
        <v>4117</v>
      </c>
      <c r="I544" s="6" t="str">
        <f>VLOOKUP(CLEAN(F544),'World Bank Categories'!$B$4:$C$220,2,FALSE)</f>
        <v>Middle income</v>
      </c>
      <c r="J544" s="12" t="s">
        <v>4118</v>
      </c>
      <c r="K544" s="12" t="s">
        <v>29</v>
      </c>
      <c r="L544" s="12" t="s">
        <v>30</v>
      </c>
      <c r="P544" s="12" t="s">
        <v>31</v>
      </c>
      <c r="Q544" s="205" t="s">
        <v>32</v>
      </c>
      <c r="R544" s="184" t="s">
        <v>1008</v>
      </c>
      <c r="S544" s="206" t="s">
        <v>4115</v>
      </c>
      <c r="T544" s="207">
        <v>38109</v>
      </c>
      <c r="U544" s="206" t="s">
        <v>4118</v>
      </c>
      <c r="V544" s="208" t="s">
        <v>4119</v>
      </c>
      <c r="W544" s="209">
        <v>725515</v>
      </c>
    </row>
    <row r="545" spans="1:23" ht="22.5" customHeight="1">
      <c r="A545" s="137">
        <v>46168.032123842597</v>
      </c>
      <c r="B545" s="12" t="s">
        <v>4097</v>
      </c>
      <c r="D545" s="12" t="s">
        <v>24</v>
      </c>
      <c r="E545" s="138">
        <v>27795</v>
      </c>
      <c r="F545" s="12" t="s">
        <v>623</v>
      </c>
      <c r="G545" s="12" t="s">
        <v>4098</v>
      </c>
      <c r="H545" s="12" t="s">
        <v>4120</v>
      </c>
      <c r="I545" s="6" t="str">
        <f>VLOOKUP(CLEAN(F545),'World Bank Categories'!$B$4:$C$220,2,FALSE)</f>
        <v>Middle income</v>
      </c>
      <c r="J545" s="12" t="s">
        <v>4121</v>
      </c>
      <c r="K545" s="12" t="s">
        <v>39</v>
      </c>
      <c r="L545" s="12" t="s">
        <v>152</v>
      </c>
      <c r="P545" s="12" t="s">
        <v>31</v>
      </c>
      <c r="Q545" s="205" t="s">
        <v>32</v>
      </c>
      <c r="R545" s="141" t="s">
        <v>33</v>
      </c>
      <c r="S545" s="206" t="s">
        <v>4097</v>
      </c>
      <c r="T545" s="207">
        <v>27795</v>
      </c>
      <c r="U545" s="206" t="s">
        <v>4100</v>
      </c>
      <c r="V545" s="208" t="s">
        <v>4122</v>
      </c>
      <c r="W545" s="209">
        <v>718609</v>
      </c>
    </row>
    <row r="546" spans="1:23" ht="22.5" customHeight="1">
      <c r="A546" s="137">
        <v>46168.039866284722</v>
      </c>
      <c r="B546" s="12" t="s">
        <v>4123</v>
      </c>
      <c r="C546" s="12" t="s">
        <v>4124</v>
      </c>
      <c r="D546" s="12" t="s">
        <v>24</v>
      </c>
      <c r="E546" s="138">
        <v>38570</v>
      </c>
      <c r="F546" s="12" t="s">
        <v>4125</v>
      </c>
      <c r="G546" s="12" t="s">
        <v>4126</v>
      </c>
      <c r="H546" s="12" t="s">
        <v>66</v>
      </c>
      <c r="I546" s="6" t="str">
        <f>VLOOKUP(CLEAN(F546),'World Bank Categories'!$B$4:$C$220,2,FALSE)</f>
        <v>Middle income</v>
      </c>
      <c r="J546" s="12" t="s">
        <v>4127</v>
      </c>
      <c r="K546" s="12" t="s">
        <v>29</v>
      </c>
      <c r="L546" s="12" t="s">
        <v>30</v>
      </c>
      <c r="P546" s="12" t="s">
        <v>31</v>
      </c>
      <c r="Q546" s="205" t="s">
        <v>32</v>
      </c>
      <c r="R546" s="141" t="s">
        <v>43</v>
      </c>
      <c r="S546" s="206" t="s">
        <v>4123</v>
      </c>
      <c r="T546" s="207">
        <v>38570</v>
      </c>
      <c r="U546" s="206" t="s">
        <v>4127</v>
      </c>
      <c r="V546" s="208" t="s">
        <v>4128</v>
      </c>
      <c r="W546" s="209">
        <v>725791</v>
      </c>
    </row>
    <row r="547" spans="1:23" ht="22.5" customHeight="1">
      <c r="A547" s="137">
        <v>46168.276637604169</v>
      </c>
      <c r="B547" s="12" t="s">
        <v>4136</v>
      </c>
      <c r="C547" s="12" t="s">
        <v>4137</v>
      </c>
      <c r="D547" s="12" t="s">
        <v>24</v>
      </c>
      <c r="E547" s="138">
        <v>34993</v>
      </c>
      <c r="F547" s="12" t="s">
        <v>332</v>
      </c>
      <c r="G547" s="12" t="s">
        <v>1258</v>
      </c>
      <c r="H547" s="12" t="s">
        <v>186</v>
      </c>
      <c r="I547" s="6" t="str">
        <f>VLOOKUP(CLEAN(F547),'World Bank Categories'!$B$4:$C$220,2,FALSE)</f>
        <v>High income</v>
      </c>
      <c r="J547" s="12" t="s">
        <v>4138</v>
      </c>
      <c r="K547" s="12" t="s">
        <v>39</v>
      </c>
      <c r="L547" s="12" t="s">
        <v>621</v>
      </c>
      <c r="P547" s="12" t="s">
        <v>31</v>
      </c>
      <c r="Q547" s="205" t="s">
        <v>32</v>
      </c>
      <c r="R547" s="141" t="s">
        <v>43</v>
      </c>
      <c r="S547" s="206" t="s">
        <v>4139</v>
      </c>
      <c r="T547" s="207">
        <v>34993</v>
      </c>
      <c r="U547" s="206" t="s">
        <v>4138</v>
      </c>
      <c r="V547" s="208" t="s">
        <v>4140</v>
      </c>
      <c r="W547" s="209">
        <v>723241</v>
      </c>
    </row>
    <row r="548" spans="1:23" ht="22.5" customHeight="1">
      <c r="A548" s="137">
        <v>46168.496387152773</v>
      </c>
      <c r="B548" s="12" t="s">
        <v>4152</v>
      </c>
      <c r="D548" s="12" t="s">
        <v>24</v>
      </c>
      <c r="E548" s="138">
        <v>22312</v>
      </c>
      <c r="F548" s="12" t="s">
        <v>1063</v>
      </c>
      <c r="G548" s="12" t="s">
        <v>4153</v>
      </c>
      <c r="H548" s="12" t="s">
        <v>3124</v>
      </c>
      <c r="I548" s="6" t="str">
        <f>VLOOKUP(CLEAN(F548),'World Bank Categories'!$B$4:$C$220,2,FALSE)</f>
        <v>Middle income</v>
      </c>
      <c r="J548" s="12" t="s">
        <v>4154</v>
      </c>
      <c r="K548" s="12" t="s">
        <v>29</v>
      </c>
      <c r="L548" s="12" t="s">
        <v>162</v>
      </c>
      <c r="P548" s="12" t="s">
        <v>31</v>
      </c>
      <c r="Q548" s="205" t="s">
        <v>32</v>
      </c>
      <c r="R548" s="184" t="s">
        <v>1008</v>
      </c>
      <c r="S548" s="206" t="s">
        <v>4152</v>
      </c>
      <c r="T548" s="207">
        <v>22312</v>
      </c>
      <c r="U548" s="206" t="s">
        <v>4155</v>
      </c>
      <c r="V548" s="208" t="s">
        <v>4156</v>
      </c>
      <c r="W548" s="209">
        <v>719698</v>
      </c>
    </row>
    <row r="549" spans="1:23" ht="22.5" customHeight="1">
      <c r="A549" s="229">
        <v>46168.041554861113</v>
      </c>
      <c r="B549" s="230" t="s">
        <v>4161</v>
      </c>
      <c r="C549" s="231"/>
      <c r="D549" s="230" t="s">
        <v>24</v>
      </c>
      <c r="E549" s="232">
        <v>38226</v>
      </c>
      <c r="F549" s="230" t="s">
        <v>4162</v>
      </c>
      <c r="G549" s="230" t="s">
        <v>4131</v>
      </c>
      <c r="H549" s="230" t="s">
        <v>4132</v>
      </c>
      <c r="I549" s="230" t="s">
        <v>3593</v>
      </c>
      <c r="J549" s="230" t="s">
        <v>4163</v>
      </c>
      <c r="K549" s="230" t="s">
        <v>29</v>
      </c>
      <c r="L549" s="230" t="s">
        <v>30</v>
      </c>
      <c r="M549" s="230" t="s">
        <v>4164</v>
      </c>
      <c r="N549" s="230"/>
      <c r="O549" s="231"/>
      <c r="P549" s="231"/>
      <c r="Q549" s="213" t="s">
        <v>32</v>
      </c>
      <c r="R549" s="141" t="s">
        <v>43</v>
      </c>
      <c r="S549" s="206" t="s">
        <v>4161</v>
      </c>
      <c r="T549" s="207">
        <v>38226</v>
      </c>
      <c r="U549" s="33" t="s">
        <v>4163</v>
      </c>
      <c r="V549" s="227" t="s">
        <v>4165</v>
      </c>
      <c r="W549" s="209">
        <v>725806</v>
      </c>
    </row>
    <row r="550" spans="1:23" ht="22.5" customHeight="1">
      <c r="A550" s="137">
        <v>46169.042768125</v>
      </c>
      <c r="B550" s="12" t="s">
        <v>4171</v>
      </c>
      <c r="D550" s="12" t="s">
        <v>45</v>
      </c>
      <c r="E550" s="138">
        <v>36770</v>
      </c>
      <c r="F550" s="12" t="s">
        <v>198</v>
      </c>
      <c r="G550" s="12" t="s">
        <v>4172</v>
      </c>
      <c r="H550" s="12" t="s">
        <v>4173</v>
      </c>
      <c r="I550" s="6" t="str">
        <f>VLOOKUP(CLEAN(F550),'World Bank Categories'!$B$4:$C$220,2,FALSE)</f>
        <v>Middle income</v>
      </c>
      <c r="J550" s="12" t="s">
        <v>2159</v>
      </c>
      <c r="K550" s="12" t="s">
        <v>39</v>
      </c>
      <c r="L550" s="12" t="s">
        <v>30</v>
      </c>
      <c r="P550" s="12" t="s">
        <v>31</v>
      </c>
      <c r="Q550" s="205" t="s">
        <v>32</v>
      </c>
      <c r="R550" s="184" t="s">
        <v>1008</v>
      </c>
      <c r="S550" s="206" t="s">
        <v>2157</v>
      </c>
      <c r="T550" s="207">
        <v>36770</v>
      </c>
      <c r="U550" s="206" t="s">
        <v>2159</v>
      </c>
      <c r="V550" s="208" t="s">
        <v>4174</v>
      </c>
      <c r="W550" s="209">
        <v>722246</v>
      </c>
    </row>
    <row r="551" spans="1:23" ht="22.5" customHeight="1">
      <c r="A551" s="137">
        <v>46169.119206828706</v>
      </c>
      <c r="B551" s="12" t="s">
        <v>4184</v>
      </c>
      <c r="D551" s="12" t="s">
        <v>45</v>
      </c>
      <c r="E551" s="138">
        <v>26014</v>
      </c>
      <c r="F551" s="12" t="s">
        <v>4130</v>
      </c>
      <c r="G551" s="12" t="s">
        <v>4185</v>
      </c>
      <c r="H551" s="12" t="s">
        <v>4186</v>
      </c>
      <c r="I551" s="6" t="str">
        <f>VLOOKUP(CLEAN(F551),'World Bank Categories'!$B$4:$C$220,2,FALSE)</f>
        <v>High income</v>
      </c>
      <c r="J551" s="12" t="s">
        <v>4187</v>
      </c>
      <c r="K551" s="12" t="s">
        <v>29</v>
      </c>
      <c r="L551" s="12" t="s">
        <v>621</v>
      </c>
      <c r="P551" s="12" t="s">
        <v>31</v>
      </c>
      <c r="Q551" s="205" t="s">
        <v>32</v>
      </c>
      <c r="R551" s="141" t="s">
        <v>43</v>
      </c>
      <c r="S551" s="206" t="s">
        <v>4184</v>
      </c>
      <c r="T551" s="207">
        <v>26014</v>
      </c>
      <c r="U551" s="206" t="s">
        <v>4187</v>
      </c>
      <c r="V551" s="208" t="s">
        <v>4188</v>
      </c>
      <c r="W551" s="209">
        <v>725808</v>
      </c>
    </row>
    <row r="552" spans="1:23" ht="22.5" customHeight="1">
      <c r="A552" s="137">
        <v>46169.811606909723</v>
      </c>
      <c r="B552" s="12" t="s">
        <v>4195</v>
      </c>
      <c r="D552" s="12" t="s">
        <v>24</v>
      </c>
      <c r="E552" s="138">
        <v>33832</v>
      </c>
      <c r="F552" s="12" t="s">
        <v>332</v>
      </c>
      <c r="G552" s="12" t="s">
        <v>1665</v>
      </c>
      <c r="H552" s="12" t="s">
        <v>1595</v>
      </c>
      <c r="I552" s="6" t="str">
        <f>VLOOKUP(CLEAN(F552),'World Bank Categories'!$B$4:$C$220,2,FALSE)</f>
        <v>High income</v>
      </c>
      <c r="J552" s="12" t="s">
        <v>4196</v>
      </c>
      <c r="K552" s="12" t="s">
        <v>29</v>
      </c>
      <c r="L552" s="12" t="s">
        <v>30</v>
      </c>
      <c r="M552" s="12" t="s">
        <v>4197</v>
      </c>
      <c r="P552" s="12" t="s">
        <v>31</v>
      </c>
      <c r="Q552" s="205" t="s">
        <v>32</v>
      </c>
      <c r="R552" s="141" t="s">
        <v>43</v>
      </c>
      <c r="S552" s="206" t="s">
        <v>4198</v>
      </c>
      <c r="T552" s="207">
        <v>33832</v>
      </c>
      <c r="U552" s="206" t="s">
        <v>4196</v>
      </c>
      <c r="V552" s="208" t="s">
        <v>4199</v>
      </c>
      <c r="W552" s="209">
        <v>723177</v>
      </c>
    </row>
    <row r="553" spans="1:23" ht="22.5" customHeight="1">
      <c r="A553" s="137">
        <v>46170.185908472224</v>
      </c>
      <c r="B553" s="12" t="s">
        <v>4171</v>
      </c>
      <c r="D553" s="12" t="s">
        <v>45</v>
      </c>
      <c r="E553" s="138">
        <v>36770</v>
      </c>
      <c r="F553" s="12" t="s">
        <v>198</v>
      </c>
      <c r="G553" s="12" t="s">
        <v>1859</v>
      </c>
      <c r="H553" s="12" t="s">
        <v>4173</v>
      </c>
      <c r="I553" s="6" t="str">
        <f>VLOOKUP(CLEAN(F553),'World Bank Categories'!$B$4:$C$220,2,FALSE)</f>
        <v>Middle income</v>
      </c>
      <c r="J553" s="12" t="s">
        <v>2159</v>
      </c>
      <c r="K553" s="12" t="s">
        <v>29</v>
      </c>
      <c r="L553" s="12" t="s">
        <v>162</v>
      </c>
      <c r="P553" s="12" t="s">
        <v>31</v>
      </c>
      <c r="Q553" s="205" t="s">
        <v>32</v>
      </c>
      <c r="R553" s="184" t="s">
        <v>1008</v>
      </c>
      <c r="S553" s="206" t="s">
        <v>2157</v>
      </c>
      <c r="T553" s="207">
        <v>36770</v>
      </c>
      <c r="U553" s="206" t="s">
        <v>2159</v>
      </c>
      <c r="V553" s="208" t="s">
        <v>4174</v>
      </c>
      <c r="W553" s="209">
        <v>722246</v>
      </c>
    </row>
    <row r="554" spans="1:23" ht="22.5" customHeight="1">
      <c r="A554" s="144">
        <v>46170.274338043979</v>
      </c>
      <c r="B554" s="40" t="s">
        <v>4200</v>
      </c>
      <c r="C554" s="40" t="s">
        <v>4201</v>
      </c>
      <c r="D554" s="40" t="s">
        <v>45</v>
      </c>
      <c r="E554" s="145" t="s">
        <v>4202</v>
      </c>
      <c r="F554" s="40" t="s">
        <v>4203</v>
      </c>
      <c r="G554" s="40" t="s">
        <v>4204</v>
      </c>
      <c r="H554" s="40" t="s">
        <v>4205</v>
      </c>
      <c r="I554" s="6" t="str">
        <f>VLOOKUP(CLEAN(F554),'World Bank Categories'!$B$4:$C$220,2,FALSE)</f>
        <v>Middle income</v>
      </c>
      <c r="J554" s="40" t="s">
        <v>4206</v>
      </c>
      <c r="K554" s="40" t="s">
        <v>29</v>
      </c>
      <c r="L554" s="40" t="s">
        <v>30</v>
      </c>
      <c r="M554" s="40"/>
      <c r="N554" s="40"/>
      <c r="O554" s="40"/>
      <c r="P554" s="40" t="s">
        <v>31</v>
      </c>
      <c r="Q554" s="460" t="s">
        <v>4583</v>
      </c>
      <c r="R554" s="184" t="s">
        <v>1008</v>
      </c>
      <c r="S554" s="33" t="s">
        <v>4584</v>
      </c>
      <c r="T554" s="33"/>
      <c r="U554" s="33"/>
      <c r="V554" s="227" t="s">
        <v>3595</v>
      </c>
      <c r="W554" s="141"/>
    </row>
  </sheetData>
  <phoneticPr fontId="45" type="noConversion"/>
  <hyperlinks>
    <hyperlink ref="U162" r:id="rId1" xr:uid="{2EE2578E-DF9F-4DD7-9254-C92D2557124B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30"/>
  <sheetViews>
    <sheetView workbookViewId="0"/>
  </sheetViews>
  <sheetFormatPr defaultColWidth="12.7109375" defaultRowHeight="15.75" customHeight="1"/>
  <cols>
    <col min="14" max="14" width="36.42578125" customWidth="1"/>
  </cols>
  <sheetData>
    <row r="1" spans="1:23" ht="12.75">
      <c r="A1" s="237" t="s">
        <v>0</v>
      </c>
      <c r="B1" s="237" t="s">
        <v>4209</v>
      </c>
      <c r="C1" s="237" t="s">
        <v>2</v>
      </c>
      <c r="D1" s="237" t="s">
        <v>4210</v>
      </c>
      <c r="E1" s="237" t="s">
        <v>4211</v>
      </c>
      <c r="F1" s="237" t="s">
        <v>4212</v>
      </c>
      <c r="G1" s="237" t="s">
        <v>4213</v>
      </c>
      <c r="H1" s="237" t="s">
        <v>7</v>
      </c>
      <c r="I1" s="237" t="s">
        <v>4214</v>
      </c>
      <c r="J1" s="237" t="s">
        <v>4215</v>
      </c>
      <c r="K1" s="237" t="s">
        <v>10</v>
      </c>
      <c r="L1" s="237" t="s">
        <v>11</v>
      </c>
      <c r="M1" s="237" t="s">
        <v>4216</v>
      </c>
      <c r="N1" s="237" t="s">
        <v>13</v>
      </c>
      <c r="O1" s="237" t="s">
        <v>14</v>
      </c>
      <c r="P1" s="237" t="s">
        <v>4217</v>
      </c>
      <c r="Q1" s="238" t="s">
        <v>16</v>
      </c>
      <c r="R1" s="238" t="s">
        <v>17</v>
      </c>
      <c r="S1" s="238" t="s">
        <v>18</v>
      </c>
      <c r="T1" s="238" t="s">
        <v>19</v>
      </c>
      <c r="U1" s="238" t="s">
        <v>20</v>
      </c>
      <c r="V1" s="238" t="s">
        <v>21</v>
      </c>
      <c r="W1" s="239" t="s">
        <v>22</v>
      </c>
    </row>
    <row r="2" spans="1:23" ht="12.75">
      <c r="A2" s="240">
        <v>45841.452731481484</v>
      </c>
      <c r="B2" s="241" t="s">
        <v>23</v>
      </c>
      <c r="C2" s="242"/>
      <c r="D2" s="241" t="s">
        <v>24</v>
      </c>
      <c r="E2" s="243">
        <v>35614</v>
      </c>
      <c r="F2" s="241" t="s">
        <v>25</v>
      </c>
      <c r="G2" s="241" t="s">
        <v>26</v>
      </c>
      <c r="H2" s="241" t="s">
        <v>4218</v>
      </c>
      <c r="I2" s="241" t="s">
        <v>4219</v>
      </c>
      <c r="J2" s="241" t="s">
        <v>28</v>
      </c>
      <c r="K2" s="241" t="s">
        <v>29</v>
      </c>
      <c r="L2" s="241" t="s">
        <v>30</v>
      </c>
      <c r="M2" s="242"/>
      <c r="N2" s="241"/>
      <c r="O2" s="241"/>
      <c r="P2" s="241" t="s">
        <v>31</v>
      </c>
      <c r="Q2" s="244" t="s">
        <v>32</v>
      </c>
      <c r="R2" s="245" t="s">
        <v>33</v>
      </c>
      <c r="S2" s="246" t="s">
        <v>23</v>
      </c>
      <c r="T2" s="242"/>
      <c r="U2" s="242"/>
      <c r="V2" s="242"/>
      <c r="W2" s="242"/>
    </row>
    <row r="3" spans="1:23" ht="12.75">
      <c r="A3" s="240">
        <v>45843.794976851852</v>
      </c>
      <c r="B3" s="241" t="s">
        <v>34</v>
      </c>
      <c r="C3" s="242"/>
      <c r="D3" s="241" t="s">
        <v>24</v>
      </c>
      <c r="E3" s="243">
        <v>21016</v>
      </c>
      <c r="F3" s="241" t="s">
        <v>35</v>
      </c>
      <c r="G3" s="241" t="s">
        <v>4220</v>
      </c>
      <c r="H3" s="241" t="s">
        <v>943</v>
      </c>
      <c r="I3" s="241" t="s">
        <v>4219</v>
      </c>
      <c r="J3" s="241" t="s">
        <v>38</v>
      </c>
      <c r="K3" s="241" t="s">
        <v>39</v>
      </c>
      <c r="L3" s="241" t="s">
        <v>30</v>
      </c>
      <c r="M3" s="241" t="s">
        <v>4221</v>
      </c>
      <c r="N3" s="247" t="s">
        <v>4222</v>
      </c>
      <c r="O3" s="241" t="s">
        <v>42</v>
      </c>
      <c r="P3" s="241" t="s">
        <v>31</v>
      </c>
      <c r="Q3" s="244" t="s">
        <v>32</v>
      </c>
      <c r="R3" s="248" t="s">
        <v>43</v>
      </c>
      <c r="S3" s="246" t="s">
        <v>34</v>
      </c>
      <c r="T3" s="242"/>
      <c r="U3" s="242"/>
      <c r="V3" s="242"/>
      <c r="W3" s="242"/>
    </row>
    <row r="4" spans="1:23" ht="12.75">
      <c r="A4" s="249">
        <v>45846.760324074072</v>
      </c>
      <c r="B4" s="250" t="s">
        <v>50</v>
      </c>
      <c r="C4" s="139"/>
      <c r="D4" s="250" t="s">
        <v>45</v>
      </c>
      <c r="E4" s="251">
        <v>36912</v>
      </c>
      <c r="F4" s="250" t="s">
        <v>46</v>
      </c>
      <c r="G4" s="250" t="s">
        <v>456</v>
      </c>
      <c r="H4" s="250" t="s">
        <v>48</v>
      </c>
      <c r="I4" s="252" t="s">
        <v>4223</v>
      </c>
      <c r="J4" s="250" t="s">
        <v>49</v>
      </c>
      <c r="K4" s="250" t="s">
        <v>39</v>
      </c>
      <c r="L4" s="250" t="s">
        <v>30</v>
      </c>
      <c r="M4" s="139"/>
      <c r="N4" s="250"/>
      <c r="O4" s="250"/>
      <c r="P4" s="250" t="s">
        <v>31</v>
      </c>
      <c r="Q4" s="253" t="s">
        <v>32</v>
      </c>
      <c r="R4" s="148"/>
      <c r="S4" s="254" t="s">
        <v>50</v>
      </c>
      <c r="T4" s="206"/>
      <c r="U4" s="206"/>
      <c r="V4" s="206"/>
      <c r="W4" s="206"/>
    </row>
    <row r="5" spans="1:23" ht="12.75">
      <c r="A5" s="255">
        <v>45849.776631944442</v>
      </c>
      <c r="B5" s="141" t="s">
        <v>51</v>
      </c>
      <c r="C5" s="141"/>
      <c r="D5" s="141" t="s">
        <v>45</v>
      </c>
      <c r="E5" s="256">
        <v>32541</v>
      </c>
      <c r="F5" s="141" t="s">
        <v>52</v>
      </c>
      <c r="G5" s="141" t="s">
        <v>53</v>
      </c>
      <c r="H5" s="141" t="s">
        <v>54</v>
      </c>
      <c r="I5" s="252" t="s">
        <v>4219</v>
      </c>
      <c r="J5" s="141" t="s">
        <v>55</v>
      </c>
      <c r="K5" s="141" t="s">
        <v>39</v>
      </c>
      <c r="L5" s="141" t="s">
        <v>30</v>
      </c>
      <c r="M5" s="141"/>
      <c r="N5" s="141"/>
      <c r="O5" s="141"/>
      <c r="P5" s="141" t="s">
        <v>31</v>
      </c>
      <c r="Q5" s="257" t="s">
        <v>56</v>
      </c>
      <c r="R5" s="24"/>
      <c r="S5" s="206"/>
      <c r="T5" s="258"/>
      <c r="U5" s="206"/>
      <c r="V5" s="206"/>
      <c r="W5" s="206"/>
    </row>
    <row r="6" spans="1:23" ht="12.75">
      <c r="A6" s="259">
        <v>45853.250324074077</v>
      </c>
      <c r="B6" s="252" t="s">
        <v>62</v>
      </c>
      <c r="C6" s="141"/>
      <c r="D6" s="252" t="s">
        <v>24</v>
      </c>
      <c r="E6" s="260">
        <v>36458</v>
      </c>
      <c r="F6" s="252" t="s">
        <v>58</v>
      </c>
      <c r="G6" s="252" t="s">
        <v>4224</v>
      </c>
      <c r="H6" s="252" t="s">
        <v>111</v>
      </c>
      <c r="I6" s="252" t="s">
        <v>4219</v>
      </c>
      <c r="J6" s="252" t="s">
        <v>61</v>
      </c>
      <c r="K6" s="252" t="s">
        <v>29</v>
      </c>
      <c r="L6" s="252" t="s">
        <v>30</v>
      </c>
      <c r="M6" s="141"/>
      <c r="N6" s="252"/>
      <c r="O6" s="252"/>
      <c r="P6" s="252" t="s">
        <v>31</v>
      </c>
      <c r="Q6" s="253" t="s">
        <v>32</v>
      </c>
      <c r="R6" s="152" t="s">
        <v>33</v>
      </c>
      <c r="S6" s="24" t="s">
        <v>62</v>
      </c>
      <c r="T6" s="206"/>
      <c r="U6" s="206"/>
      <c r="V6" s="206"/>
      <c r="W6" s="206"/>
    </row>
    <row r="7" spans="1:23" ht="12.75">
      <c r="A7" s="255">
        <v>45856.2500462963</v>
      </c>
      <c r="B7" s="141" t="s">
        <v>63</v>
      </c>
      <c r="C7" s="141"/>
      <c r="D7" s="141" t="s">
        <v>24</v>
      </c>
      <c r="E7" s="256">
        <v>38134</v>
      </c>
      <c r="F7" s="141" t="s">
        <v>64</v>
      </c>
      <c r="G7" s="141" t="s">
        <v>65</v>
      </c>
      <c r="H7" s="141" t="s">
        <v>66</v>
      </c>
      <c r="I7" s="252" t="s">
        <v>4219</v>
      </c>
      <c r="J7" s="141" t="s">
        <v>67</v>
      </c>
      <c r="K7" s="141" t="s">
        <v>68</v>
      </c>
      <c r="L7" s="141" t="s">
        <v>30</v>
      </c>
      <c r="M7" s="141"/>
      <c r="N7" s="141"/>
      <c r="O7" s="141"/>
      <c r="P7" s="141" t="s">
        <v>31</v>
      </c>
      <c r="Q7" s="257" t="s">
        <v>56</v>
      </c>
      <c r="R7" s="24"/>
      <c r="S7" s="206"/>
      <c r="T7" s="258"/>
      <c r="U7" s="206"/>
      <c r="V7" s="206"/>
      <c r="W7" s="206"/>
    </row>
    <row r="8" spans="1:23" ht="12.75">
      <c r="A8" s="255">
        <v>45856.750833333332</v>
      </c>
      <c r="B8" s="141" t="s">
        <v>69</v>
      </c>
      <c r="C8" s="141"/>
      <c r="D8" s="141" t="s">
        <v>24</v>
      </c>
      <c r="E8" s="256">
        <v>37063</v>
      </c>
      <c r="F8" s="141" t="s">
        <v>70</v>
      </c>
      <c r="G8" s="141" t="s">
        <v>71</v>
      </c>
      <c r="H8" s="141" t="s">
        <v>72</v>
      </c>
      <c r="I8" s="252" t="s">
        <v>4219</v>
      </c>
      <c r="J8" s="141" t="s">
        <v>73</v>
      </c>
      <c r="K8" s="141" t="s">
        <v>39</v>
      </c>
      <c r="L8" s="141" t="s">
        <v>30</v>
      </c>
      <c r="M8" s="141"/>
      <c r="N8" s="141"/>
      <c r="O8" s="141"/>
      <c r="P8" s="141" t="s">
        <v>31</v>
      </c>
      <c r="Q8" s="253" t="s">
        <v>32</v>
      </c>
      <c r="R8" s="152"/>
      <c r="S8" s="206" t="s">
        <v>74</v>
      </c>
      <c r="T8" s="261">
        <v>36698</v>
      </c>
      <c r="U8" s="206" t="s">
        <v>73</v>
      </c>
      <c r="V8" s="206" t="s">
        <v>75</v>
      </c>
      <c r="W8" s="206"/>
    </row>
    <row r="9" spans="1:23" ht="12.75">
      <c r="A9" s="255">
        <v>45857.619201388887</v>
      </c>
      <c r="B9" s="141" t="s">
        <v>76</v>
      </c>
      <c r="C9" s="141"/>
      <c r="D9" s="141" t="s">
        <v>24</v>
      </c>
      <c r="E9" s="256">
        <v>38314</v>
      </c>
      <c r="F9" s="141" t="s">
        <v>70</v>
      </c>
      <c r="G9" s="141" t="s">
        <v>77</v>
      </c>
      <c r="H9" s="141" t="s">
        <v>66</v>
      </c>
      <c r="I9" s="252" t="s">
        <v>4219</v>
      </c>
      <c r="J9" s="141" t="s">
        <v>78</v>
      </c>
      <c r="K9" s="141" t="s">
        <v>29</v>
      </c>
      <c r="L9" s="141" t="s">
        <v>30</v>
      </c>
      <c r="M9" s="141"/>
      <c r="N9" s="141"/>
      <c r="O9" s="141"/>
      <c r="P9" s="141" t="s">
        <v>31</v>
      </c>
      <c r="Q9" s="253" t="s">
        <v>32</v>
      </c>
      <c r="R9" s="148"/>
      <c r="S9" s="206" t="s">
        <v>76</v>
      </c>
      <c r="T9" s="261">
        <v>38314</v>
      </c>
      <c r="U9" s="206" t="s">
        <v>79</v>
      </c>
      <c r="V9" s="473" t="s">
        <v>80</v>
      </c>
      <c r="W9" s="474"/>
    </row>
    <row r="10" spans="1:23" ht="12.75">
      <c r="A10" s="262">
        <v>45859.28665509259</v>
      </c>
      <c r="B10" s="263" t="s">
        <v>81</v>
      </c>
      <c r="C10" s="263" t="s">
        <v>82</v>
      </c>
      <c r="D10" s="263" t="s">
        <v>45</v>
      </c>
      <c r="E10" s="264">
        <v>29178</v>
      </c>
      <c r="F10" s="263" t="s">
        <v>83</v>
      </c>
      <c r="G10" s="263" t="s">
        <v>84</v>
      </c>
      <c r="H10" s="263" t="s">
        <v>85</v>
      </c>
      <c r="I10" s="241" t="s">
        <v>4223</v>
      </c>
      <c r="J10" s="263" t="s">
        <v>86</v>
      </c>
      <c r="K10" s="263" t="s">
        <v>68</v>
      </c>
      <c r="L10" s="265">
        <v>46207</v>
      </c>
      <c r="M10" s="263"/>
      <c r="N10" s="263"/>
      <c r="O10" s="263"/>
      <c r="P10" s="263" t="s">
        <v>31</v>
      </c>
      <c r="Q10" s="244" t="s">
        <v>32</v>
      </c>
      <c r="R10" s="245" t="s">
        <v>33</v>
      </c>
      <c r="S10" s="242" t="s">
        <v>81</v>
      </c>
      <c r="T10" s="266">
        <v>29178</v>
      </c>
      <c r="U10" s="242" t="s">
        <v>86</v>
      </c>
      <c r="V10" s="475" t="s">
        <v>80</v>
      </c>
      <c r="W10" s="474"/>
    </row>
    <row r="11" spans="1:23" ht="12.75">
      <c r="A11" s="255">
        <v>45859.316145833334</v>
      </c>
      <c r="B11" s="141" t="s">
        <v>87</v>
      </c>
      <c r="C11" s="141"/>
      <c r="D11" s="141" t="s">
        <v>45</v>
      </c>
      <c r="E11" s="256">
        <v>36278</v>
      </c>
      <c r="F11" s="141" t="s">
        <v>88</v>
      </c>
      <c r="G11" s="141" t="s">
        <v>89</v>
      </c>
      <c r="H11" s="141" t="s">
        <v>90</v>
      </c>
      <c r="I11" s="252" t="s">
        <v>4223</v>
      </c>
      <c r="J11" s="141" t="s">
        <v>91</v>
      </c>
      <c r="K11" s="141" t="s">
        <v>68</v>
      </c>
      <c r="L11" s="141" t="s">
        <v>30</v>
      </c>
      <c r="M11" s="141"/>
      <c r="N11" s="141"/>
      <c r="O11" s="141"/>
      <c r="P11" s="141" t="s">
        <v>31</v>
      </c>
      <c r="Q11" s="257" t="s">
        <v>56</v>
      </c>
      <c r="R11" s="24"/>
      <c r="S11" s="206"/>
      <c r="T11" s="258"/>
      <c r="U11" s="206"/>
      <c r="V11" s="206"/>
      <c r="W11" s="206"/>
    </row>
    <row r="12" spans="1:23" ht="12.75">
      <c r="A12" s="255">
        <v>45859.598078703704</v>
      </c>
      <c r="B12" s="141" t="s">
        <v>92</v>
      </c>
      <c r="C12" s="141"/>
      <c r="D12" s="141" t="s">
        <v>24</v>
      </c>
      <c r="E12" s="256">
        <v>37368</v>
      </c>
      <c r="F12" s="141" t="s">
        <v>83</v>
      </c>
      <c r="G12" s="141" t="s">
        <v>93</v>
      </c>
      <c r="H12" s="141" t="s">
        <v>66</v>
      </c>
      <c r="I12" s="252" t="s">
        <v>4223</v>
      </c>
      <c r="J12" s="141" t="s">
        <v>94</v>
      </c>
      <c r="K12" s="141" t="s">
        <v>68</v>
      </c>
      <c r="L12" s="267">
        <v>46207</v>
      </c>
      <c r="M12" s="141"/>
      <c r="N12" s="141"/>
      <c r="O12" s="141"/>
      <c r="P12" s="141"/>
      <c r="Q12" s="253" t="s">
        <v>32</v>
      </c>
      <c r="R12" s="148"/>
      <c r="S12" s="206" t="s">
        <v>95</v>
      </c>
      <c r="T12" s="261">
        <v>37368</v>
      </c>
      <c r="U12" s="206" t="s">
        <v>94</v>
      </c>
      <c r="V12" s="473" t="s">
        <v>80</v>
      </c>
      <c r="W12" s="474"/>
    </row>
    <row r="13" spans="1:23" ht="12.75">
      <c r="A13" s="255">
        <v>45859.600254629629</v>
      </c>
      <c r="B13" s="141" t="s">
        <v>96</v>
      </c>
      <c r="C13" s="141"/>
      <c r="D13" s="141" t="s">
        <v>24</v>
      </c>
      <c r="E13" s="256">
        <v>35424</v>
      </c>
      <c r="F13" s="141" t="s">
        <v>83</v>
      </c>
      <c r="G13" s="141" t="s">
        <v>97</v>
      </c>
      <c r="H13" s="141" t="s">
        <v>98</v>
      </c>
      <c r="I13" s="252" t="s">
        <v>4223</v>
      </c>
      <c r="J13" s="141" t="s">
        <v>99</v>
      </c>
      <c r="K13" s="141" t="s">
        <v>29</v>
      </c>
      <c r="L13" s="141" t="s">
        <v>30</v>
      </c>
      <c r="M13" s="141"/>
      <c r="N13" s="141"/>
      <c r="O13" s="141"/>
      <c r="P13" s="141" t="s">
        <v>31</v>
      </c>
      <c r="Q13" s="253" t="s">
        <v>32</v>
      </c>
      <c r="R13" s="152"/>
      <c r="S13" s="206" t="s">
        <v>96</v>
      </c>
      <c r="T13" s="261">
        <v>35424</v>
      </c>
      <c r="U13" s="206" t="s">
        <v>100</v>
      </c>
      <c r="V13" s="473" t="s">
        <v>101</v>
      </c>
      <c r="W13" s="474"/>
    </row>
    <row r="14" spans="1:23" ht="12.75">
      <c r="A14" s="255">
        <v>45859.616412037038</v>
      </c>
      <c r="B14" s="141" t="s">
        <v>102</v>
      </c>
      <c r="C14" s="141"/>
      <c r="D14" s="141" t="s">
        <v>24</v>
      </c>
      <c r="E14" s="256">
        <v>37239</v>
      </c>
      <c r="F14" s="141" t="s">
        <v>83</v>
      </c>
      <c r="G14" s="141" t="s">
        <v>93</v>
      </c>
      <c r="H14" s="141" t="s">
        <v>66</v>
      </c>
      <c r="I14" s="252" t="s">
        <v>4223</v>
      </c>
      <c r="J14" s="141" t="s">
        <v>103</v>
      </c>
      <c r="K14" s="141" t="s">
        <v>29</v>
      </c>
      <c r="L14" s="141" t="s">
        <v>30</v>
      </c>
      <c r="M14" s="141"/>
      <c r="N14" s="141"/>
      <c r="O14" s="141"/>
      <c r="P14" s="141" t="s">
        <v>31</v>
      </c>
      <c r="Q14" s="257" t="s">
        <v>56</v>
      </c>
      <c r="R14" s="24"/>
      <c r="S14" s="206"/>
      <c r="T14" s="258"/>
      <c r="U14" s="206"/>
      <c r="V14" s="206"/>
      <c r="W14" s="206"/>
    </row>
    <row r="15" spans="1:23" ht="12.75">
      <c r="A15" s="255">
        <v>45859.616875</v>
      </c>
      <c r="B15" s="141" t="s">
        <v>104</v>
      </c>
      <c r="C15" s="141"/>
      <c r="D15" s="141" t="s">
        <v>45</v>
      </c>
      <c r="E15" s="256">
        <v>37362</v>
      </c>
      <c r="F15" s="141" t="s">
        <v>83</v>
      </c>
      <c r="G15" s="141" t="s">
        <v>105</v>
      </c>
      <c r="H15" s="141" t="s">
        <v>106</v>
      </c>
      <c r="I15" s="252" t="s">
        <v>4223</v>
      </c>
      <c r="J15" s="141" t="s">
        <v>107</v>
      </c>
      <c r="K15" s="141" t="s">
        <v>29</v>
      </c>
      <c r="L15" s="267">
        <v>46207</v>
      </c>
      <c r="M15" s="141"/>
      <c r="N15" s="141"/>
      <c r="O15" s="141"/>
      <c r="P15" s="141" t="s">
        <v>31</v>
      </c>
      <c r="Q15" s="253" t="s">
        <v>32</v>
      </c>
      <c r="R15" s="148"/>
      <c r="S15" s="206" t="s">
        <v>108</v>
      </c>
      <c r="T15" s="261">
        <v>37362</v>
      </c>
      <c r="U15" s="206" t="s">
        <v>107</v>
      </c>
      <c r="V15" s="473" t="s">
        <v>80</v>
      </c>
      <c r="W15" s="474"/>
    </row>
    <row r="16" spans="1:23" ht="12.75">
      <c r="A16" s="255">
        <v>45859.623703703706</v>
      </c>
      <c r="B16" s="141" t="s">
        <v>109</v>
      </c>
      <c r="C16" s="141"/>
      <c r="D16" s="141" t="s">
        <v>24</v>
      </c>
      <c r="E16" s="256">
        <v>35154</v>
      </c>
      <c r="F16" s="141" t="s">
        <v>83</v>
      </c>
      <c r="G16" s="141" t="s">
        <v>110</v>
      </c>
      <c r="H16" s="141" t="s">
        <v>111</v>
      </c>
      <c r="I16" s="252" t="s">
        <v>4223</v>
      </c>
      <c r="J16" s="141" t="s">
        <v>112</v>
      </c>
      <c r="K16" s="141" t="s">
        <v>29</v>
      </c>
      <c r="L16" s="141" t="s">
        <v>30</v>
      </c>
      <c r="M16" s="141"/>
      <c r="N16" s="141"/>
      <c r="O16" s="141"/>
      <c r="P16" s="141" t="s">
        <v>31</v>
      </c>
      <c r="Q16" s="253" t="s">
        <v>32</v>
      </c>
      <c r="R16" s="152"/>
      <c r="S16" s="206" t="s">
        <v>113</v>
      </c>
      <c r="T16" s="261">
        <v>35632</v>
      </c>
      <c r="U16" s="206" t="s">
        <v>112</v>
      </c>
      <c r="V16" s="473" t="s">
        <v>114</v>
      </c>
      <c r="W16" s="474"/>
    </row>
    <row r="17" spans="1:23" ht="12.75">
      <c r="A17" s="268">
        <v>45859.628622685188</v>
      </c>
      <c r="B17" s="269" t="s">
        <v>115</v>
      </c>
      <c r="C17" s="269"/>
      <c r="D17" s="269" t="s">
        <v>45</v>
      </c>
      <c r="E17" s="270">
        <v>37457</v>
      </c>
      <c r="F17" s="269" t="s">
        <v>83</v>
      </c>
      <c r="G17" s="269" t="s">
        <v>116</v>
      </c>
      <c r="H17" s="269" t="s">
        <v>117</v>
      </c>
      <c r="I17" s="252" t="s">
        <v>4223</v>
      </c>
      <c r="J17" s="269" t="s">
        <v>118</v>
      </c>
      <c r="K17" s="269" t="s">
        <v>68</v>
      </c>
      <c r="L17" s="269" t="s">
        <v>30</v>
      </c>
      <c r="M17" s="269"/>
      <c r="N17" s="269"/>
      <c r="O17" s="269"/>
      <c r="P17" s="269" t="s">
        <v>31</v>
      </c>
      <c r="Q17" s="257" t="s">
        <v>56</v>
      </c>
      <c r="R17" s="24"/>
      <c r="S17" s="206"/>
      <c r="T17" s="258"/>
      <c r="U17" s="206"/>
      <c r="V17" s="206"/>
      <c r="W17" s="206"/>
    </row>
    <row r="18" spans="1:23" ht="12.75">
      <c r="A18" s="255">
        <v>45859.641261574077</v>
      </c>
      <c r="B18" s="141" t="s">
        <v>119</v>
      </c>
      <c r="C18" s="141" t="s">
        <v>119</v>
      </c>
      <c r="D18" s="141" t="s">
        <v>45</v>
      </c>
      <c r="E18" s="256">
        <v>37622</v>
      </c>
      <c r="F18" s="141" t="s">
        <v>83</v>
      </c>
      <c r="G18" s="141" t="s">
        <v>120</v>
      </c>
      <c r="H18" s="141" t="s">
        <v>66</v>
      </c>
      <c r="I18" s="252" t="s">
        <v>4223</v>
      </c>
      <c r="J18" s="141" t="s">
        <v>121</v>
      </c>
      <c r="K18" s="141" t="s">
        <v>29</v>
      </c>
      <c r="L18" s="267">
        <v>46207</v>
      </c>
      <c r="M18" s="141"/>
      <c r="N18" s="141"/>
      <c r="O18" s="141"/>
      <c r="P18" s="141" t="s">
        <v>31</v>
      </c>
      <c r="Q18" s="253" t="s">
        <v>32</v>
      </c>
      <c r="R18" s="148"/>
      <c r="S18" s="206" t="s">
        <v>119</v>
      </c>
      <c r="T18" s="261">
        <v>37622</v>
      </c>
      <c r="U18" s="206" t="s">
        <v>121</v>
      </c>
      <c r="V18" s="473" t="s">
        <v>80</v>
      </c>
      <c r="W18" s="474"/>
    </row>
    <row r="19" spans="1:23" ht="12.75">
      <c r="A19" s="255">
        <v>45859.642442129632</v>
      </c>
      <c r="B19" s="141" t="s">
        <v>122</v>
      </c>
      <c r="C19" s="141"/>
      <c r="D19" s="141" t="s">
        <v>24</v>
      </c>
      <c r="E19" s="256">
        <v>38330</v>
      </c>
      <c r="F19" s="141" t="s">
        <v>83</v>
      </c>
      <c r="G19" s="141" t="s">
        <v>123</v>
      </c>
      <c r="H19" s="141" t="s">
        <v>66</v>
      </c>
      <c r="I19" s="252" t="s">
        <v>4223</v>
      </c>
      <c r="J19" s="141" t="s">
        <v>124</v>
      </c>
      <c r="K19" s="141" t="s">
        <v>68</v>
      </c>
      <c r="L19" s="141" t="s">
        <v>30</v>
      </c>
      <c r="M19" s="141"/>
      <c r="N19" s="141"/>
      <c r="O19" s="141"/>
      <c r="P19" s="141" t="s">
        <v>31</v>
      </c>
      <c r="Q19" s="257" t="s">
        <v>56</v>
      </c>
      <c r="R19" s="24"/>
      <c r="S19" s="206"/>
      <c r="T19" s="258"/>
      <c r="U19" s="206"/>
      <c r="V19" s="206"/>
      <c r="W19" s="206"/>
    </row>
    <row r="20" spans="1:23" ht="12.75">
      <c r="A20" s="255">
        <v>45859.64640046296</v>
      </c>
      <c r="B20" s="141" t="s">
        <v>125</v>
      </c>
      <c r="C20" s="141"/>
      <c r="D20" s="141" t="s">
        <v>24</v>
      </c>
      <c r="E20" s="256">
        <v>37760</v>
      </c>
      <c r="F20" s="141" t="s">
        <v>64</v>
      </c>
      <c r="G20" s="141" t="s">
        <v>84</v>
      </c>
      <c r="H20" s="141" t="s">
        <v>66</v>
      </c>
      <c r="I20" s="252" t="s">
        <v>4219</v>
      </c>
      <c r="J20" s="141" t="s">
        <v>126</v>
      </c>
      <c r="K20" s="141" t="s">
        <v>29</v>
      </c>
      <c r="L20" s="267">
        <v>46207</v>
      </c>
      <c r="M20" s="141"/>
      <c r="N20" s="141"/>
      <c r="O20" s="141"/>
      <c r="P20" s="141" t="s">
        <v>31</v>
      </c>
      <c r="Q20" s="253" t="s">
        <v>32</v>
      </c>
      <c r="R20" s="152"/>
      <c r="S20" s="206" t="s">
        <v>127</v>
      </c>
      <c r="T20" s="261">
        <v>37760</v>
      </c>
      <c r="U20" s="206" t="s">
        <v>128</v>
      </c>
      <c r="V20" s="473" t="s">
        <v>129</v>
      </c>
      <c r="W20" s="474"/>
    </row>
    <row r="21" spans="1:23" ht="12.75">
      <c r="A21" s="255">
        <v>45859.654618055552</v>
      </c>
      <c r="B21" s="141" t="s">
        <v>130</v>
      </c>
      <c r="C21" s="141"/>
      <c r="D21" s="141" t="s">
        <v>45</v>
      </c>
      <c r="E21" s="256">
        <v>37756</v>
      </c>
      <c r="F21" s="141" t="s">
        <v>83</v>
      </c>
      <c r="G21" s="141" t="s">
        <v>123</v>
      </c>
      <c r="H21" s="141" t="s">
        <v>48</v>
      </c>
      <c r="I21" s="252" t="s">
        <v>4223</v>
      </c>
      <c r="J21" s="141" t="s">
        <v>131</v>
      </c>
      <c r="K21" s="141" t="s">
        <v>68</v>
      </c>
      <c r="L21" s="141" t="s">
        <v>30</v>
      </c>
      <c r="M21" s="141"/>
      <c r="N21" s="141"/>
      <c r="O21" s="141"/>
      <c r="P21" s="141" t="s">
        <v>31</v>
      </c>
      <c r="Q21" s="257" t="s">
        <v>56</v>
      </c>
      <c r="R21" s="24"/>
      <c r="S21" s="206"/>
      <c r="T21" s="258"/>
      <c r="U21" s="206"/>
      <c r="V21" s="206"/>
      <c r="W21" s="206"/>
    </row>
    <row r="22" spans="1:23" ht="12.75">
      <c r="A22" s="255">
        <v>45859.656956018516</v>
      </c>
      <c r="B22" s="141" t="s">
        <v>132</v>
      </c>
      <c r="C22" s="141"/>
      <c r="D22" s="141" t="s">
        <v>24</v>
      </c>
      <c r="E22" s="256">
        <v>38183</v>
      </c>
      <c r="F22" s="141" t="s">
        <v>83</v>
      </c>
      <c r="G22" s="141" t="s">
        <v>123</v>
      </c>
      <c r="H22" s="141" t="s">
        <v>66</v>
      </c>
      <c r="I22" s="252" t="s">
        <v>4223</v>
      </c>
      <c r="J22" s="141" t="s">
        <v>133</v>
      </c>
      <c r="K22" s="141" t="s">
        <v>68</v>
      </c>
      <c r="L22" s="141" t="s">
        <v>30</v>
      </c>
      <c r="M22" s="141" t="s">
        <v>4225</v>
      </c>
      <c r="N22" s="34" t="s">
        <v>4226</v>
      </c>
      <c r="O22" s="141" t="s">
        <v>42</v>
      </c>
      <c r="P22" s="141" t="s">
        <v>31</v>
      </c>
      <c r="Q22" s="257" t="s">
        <v>56</v>
      </c>
      <c r="R22" s="24"/>
      <c r="S22" s="206"/>
      <c r="T22" s="258"/>
      <c r="U22" s="206"/>
      <c r="V22" s="206"/>
      <c r="W22" s="206"/>
    </row>
    <row r="23" spans="1:23" ht="12.75">
      <c r="A23" s="255">
        <v>45859.674641203703</v>
      </c>
      <c r="B23" s="141" t="s">
        <v>136</v>
      </c>
      <c r="C23" s="141" t="s">
        <v>137</v>
      </c>
      <c r="D23" s="141" t="s">
        <v>45</v>
      </c>
      <c r="E23" s="256">
        <v>37594</v>
      </c>
      <c r="F23" s="141" t="s">
        <v>83</v>
      </c>
      <c r="G23" s="141" t="s">
        <v>123</v>
      </c>
      <c r="H23" s="141" t="s">
        <v>138</v>
      </c>
      <c r="I23" s="252" t="s">
        <v>4223</v>
      </c>
      <c r="J23" s="141" t="s">
        <v>139</v>
      </c>
      <c r="K23" s="141" t="s">
        <v>68</v>
      </c>
      <c r="L23" s="141" t="s">
        <v>30</v>
      </c>
      <c r="M23" s="141"/>
      <c r="N23" s="141"/>
      <c r="O23" s="141"/>
      <c r="P23" s="141" t="s">
        <v>31</v>
      </c>
      <c r="Q23" s="253" t="s">
        <v>32</v>
      </c>
      <c r="R23" s="148"/>
      <c r="S23" s="206" t="s">
        <v>136</v>
      </c>
      <c r="T23" s="261">
        <v>45762</v>
      </c>
      <c r="U23" s="206" t="s">
        <v>139</v>
      </c>
      <c r="V23" s="206" t="s">
        <v>140</v>
      </c>
      <c r="W23" s="206"/>
    </row>
    <row r="24" spans="1:23" ht="12.75">
      <c r="A24" s="255">
        <v>45859.791932870372</v>
      </c>
      <c r="B24" s="141" t="s">
        <v>141</v>
      </c>
      <c r="C24" s="141"/>
      <c r="D24" s="141" t="s">
        <v>45</v>
      </c>
      <c r="E24" s="256">
        <v>37455</v>
      </c>
      <c r="F24" s="141" t="s">
        <v>83</v>
      </c>
      <c r="G24" s="141" t="s">
        <v>142</v>
      </c>
      <c r="H24" s="141" t="s">
        <v>138</v>
      </c>
      <c r="I24" s="252" t="s">
        <v>4223</v>
      </c>
      <c r="J24" s="141" t="s">
        <v>143</v>
      </c>
      <c r="K24" s="141" t="s">
        <v>29</v>
      </c>
      <c r="L24" s="141" t="s">
        <v>30</v>
      </c>
      <c r="M24" s="141"/>
      <c r="N24" s="141"/>
      <c r="O24" s="141"/>
      <c r="P24" s="141" t="s">
        <v>31</v>
      </c>
      <c r="Q24" s="257" t="s">
        <v>56</v>
      </c>
      <c r="R24" s="24"/>
      <c r="S24" s="206"/>
      <c r="T24" s="258"/>
      <c r="U24" s="206"/>
      <c r="V24" s="206"/>
      <c r="W24" s="206"/>
    </row>
    <row r="25" spans="1:23" ht="12.75">
      <c r="A25" s="255">
        <v>45860.185416666667</v>
      </c>
      <c r="B25" s="141" t="s">
        <v>144</v>
      </c>
      <c r="C25" s="141" t="s">
        <v>144</v>
      </c>
      <c r="D25" s="141" t="s">
        <v>45</v>
      </c>
      <c r="E25" s="256">
        <v>38109</v>
      </c>
      <c r="F25" s="141" t="s">
        <v>83</v>
      </c>
      <c r="G25" s="141" t="s">
        <v>123</v>
      </c>
      <c r="H25" s="141" t="s">
        <v>54</v>
      </c>
      <c r="I25" s="252" t="s">
        <v>4223</v>
      </c>
      <c r="J25" s="141" t="s">
        <v>145</v>
      </c>
      <c r="K25" s="141" t="s">
        <v>68</v>
      </c>
      <c r="L25" s="141" t="s">
        <v>30</v>
      </c>
      <c r="M25" s="141"/>
      <c r="N25" s="141"/>
      <c r="O25" s="141"/>
      <c r="P25" s="141" t="s">
        <v>31</v>
      </c>
      <c r="Q25" s="253" t="s">
        <v>32</v>
      </c>
      <c r="R25" s="152"/>
      <c r="S25" s="206" t="s">
        <v>144</v>
      </c>
      <c r="T25" s="261">
        <v>38109</v>
      </c>
      <c r="U25" s="206" t="s">
        <v>145</v>
      </c>
      <c r="V25" s="473" t="s">
        <v>80</v>
      </c>
      <c r="W25" s="474"/>
    </row>
    <row r="26" spans="1:23" ht="12.75">
      <c r="A26" s="255">
        <v>45860.592650462961</v>
      </c>
      <c r="B26" s="141" t="s">
        <v>146</v>
      </c>
      <c r="C26" s="141"/>
      <c r="D26" s="141" t="s">
        <v>45</v>
      </c>
      <c r="E26" s="256">
        <v>34335</v>
      </c>
      <c r="F26" s="141" t="s">
        <v>83</v>
      </c>
      <c r="G26" s="141" t="s">
        <v>84</v>
      </c>
      <c r="H26" s="141" t="s">
        <v>66</v>
      </c>
      <c r="I26" s="252" t="s">
        <v>4223</v>
      </c>
      <c r="J26" s="141" t="s">
        <v>147</v>
      </c>
      <c r="K26" s="141" t="s">
        <v>29</v>
      </c>
      <c r="L26" s="267">
        <v>46207</v>
      </c>
      <c r="M26" s="141"/>
      <c r="N26" s="141"/>
      <c r="O26" s="141"/>
      <c r="P26" s="141" t="s">
        <v>31</v>
      </c>
      <c r="Q26" s="257" t="s">
        <v>56</v>
      </c>
      <c r="R26" s="24"/>
      <c r="S26" s="206"/>
      <c r="T26" s="258"/>
      <c r="U26" s="206"/>
      <c r="V26" s="206"/>
      <c r="W26" s="206"/>
    </row>
    <row r="27" spans="1:23" ht="12.75">
      <c r="A27" s="255">
        <v>45860.7965625</v>
      </c>
      <c r="B27" s="141" t="s">
        <v>148</v>
      </c>
      <c r="C27" s="141"/>
      <c r="D27" s="141" t="s">
        <v>24</v>
      </c>
      <c r="E27" s="256">
        <v>35013</v>
      </c>
      <c r="F27" s="141" t="s">
        <v>83</v>
      </c>
      <c r="G27" s="141" t="s">
        <v>149</v>
      </c>
      <c r="H27" s="141" t="s">
        <v>150</v>
      </c>
      <c r="I27" s="252" t="s">
        <v>4223</v>
      </c>
      <c r="J27" s="141" t="s">
        <v>151</v>
      </c>
      <c r="K27" s="141" t="s">
        <v>39</v>
      </c>
      <c r="L27" s="141" t="s">
        <v>152</v>
      </c>
      <c r="M27" s="141"/>
      <c r="N27" s="141"/>
      <c r="O27" s="141"/>
      <c r="P27" s="141" t="s">
        <v>31</v>
      </c>
      <c r="Q27" s="253" t="s">
        <v>32</v>
      </c>
      <c r="R27" s="148"/>
      <c r="S27" s="206" t="s">
        <v>153</v>
      </c>
      <c r="T27" s="261">
        <v>35013</v>
      </c>
      <c r="U27" s="206" t="s">
        <v>151</v>
      </c>
      <c r="V27" s="473" t="s">
        <v>154</v>
      </c>
      <c r="W27" s="474"/>
    </row>
    <row r="28" spans="1:23" ht="12.75">
      <c r="A28" s="255">
        <v>45860.807581018518</v>
      </c>
      <c r="B28" s="141" t="s">
        <v>155</v>
      </c>
      <c r="C28" s="141"/>
      <c r="D28" s="141" t="s">
        <v>24</v>
      </c>
      <c r="E28" s="256">
        <v>35285</v>
      </c>
      <c r="F28" s="141" t="s">
        <v>83</v>
      </c>
      <c r="G28" s="141" t="s">
        <v>123</v>
      </c>
      <c r="H28" s="141" t="s">
        <v>156</v>
      </c>
      <c r="I28" s="252" t="s">
        <v>4223</v>
      </c>
      <c r="J28" s="141" t="s">
        <v>157</v>
      </c>
      <c r="K28" s="141" t="s">
        <v>29</v>
      </c>
      <c r="L28" s="141" t="s">
        <v>30</v>
      </c>
      <c r="M28" s="141" t="s">
        <v>158</v>
      </c>
      <c r="N28" s="141"/>
      <c r="O28" s="141"/>
      <c r="P28" s="141" t="s">
        <v>31</v>
      </c>
      <c r="Q28" s="257" t="s">
        <v>56</v>
      </c>
      <c r="R28" s="24"/>
      <c r="S28" s="206"/>
      <c r="T28" s="258"/>
      <c r="U28" s="206"/>
      <c r="V28" s="206"/>
      <c r="W28" s="206"/>
    </row>
    <row r="29" spans="1:23" ht="12.75">
      <c r="A29" s="271">
        <v>45860.823298611111</v>
      </c>
      <c r="B29" s="272" t="s">
        <v>159</v>
      </c>
      <c r="C29" s="272"/>
      <c r="D29" s="272" t="s">
        <v>45</v>
      </c>
      <c r="E29" s="273">
        <v>36362</v>
      </c>
      <c r="F29" s="272" t="s">
        <v>83</v>
      </c>
      <c r="G29" s="272" t="s">
        <v>84</v>
      </c>
      <c r="H29" s="272" t="s">
        <v>160</v>
      </c>
      <c r="I29" s="252" t="s">
        <v>4223</v>
      </c>
      <c r="J29" s="272" t="s">
        <v>161</v>
      </c>
      <c r="K29" s="272" t="s">
        <v>29</v>
      </c>
      <c r="L29" s="272" t="s">
        <v>162</v>
      </c>
      <c r="M29" s="272"/>
      <c r="N29" s="272"/>
      <c r="O29" s="272"/>
      <c r="P29" s="272" t="s">
        <v>31</v>
      </c>
      <c r="Q29" s="257" t="s">
        <v>56</v>
      </c>
      <c r="R29" s="24"/>
      <c r="S29" s="206"/>
      <c r="T29" s="258"/>
      <c r="U29" s="206"/>
      <c r="V29" s="206"/>
      <c r="W29" s="206"/>
    </row>
    <row r="30" spans="1:23" ht="12.75">
      <c r="A30" s="259">
        <v>45860.982210648152</v>
      </c>
      <c r="B30" s="252" t="s">
        <v>163</v>
      </c>
      <c r="C30" s="141"/>
      <c r="D30" s="252" t="s">
        <v>24</v>
      </c>
      <c r="E30" s="260">
        <v>37253</v>
      </c>
      <c r="F30" s="252" t="s">
        <v>58</v>
      </c>
      <c r="G30" s="252" t="s">
        <v>164</v>
      </c>
      <c r="H30" s="252" t="s">
        <v>66</v>
      </c>
      <c r="I30" s="252" t="s">
        <v>4219</v>
      </c>
      <c r="J30" s="252" t="s">
        <v>165</v>
      </c>
      <c r="K30" s="252" t="s">
        <v>39</v>
      </c>
      <c r="L30" s="252" t="s">
        <v>162</v>
      </c>
      <c r="M30" s="141"/>
      <c r="N30" s="252"/>
      <c r="O30" s="252"/>
      <c r="P30" s="252" t="s">
        <v>31</v>
      </c>
      <c r="Q30" s="253" t="s">
        <v>32</v>
      </c>
      <c r="R30" s="152"/>
      <c r="S30" s="24" t="s">
        <v>163</v>
      </c>
      <c r="T30" s="206"/>
      <c r="U30" s="206"/>
      <c r="V30" s="206"/>
      <c r="W30" s="206"/>
    </row>
    <row r="31" spans="1:23" ht="12.75">
      <c r="A31" s="255">
        <v>45861.651932870373</v>
      </c>
      <c r="B31" s="141" t="s">
        <v>166</v>
      </c>
      <c r="C31" s="141"/>
      <c r="D31" s="141" t="s">
        <v>24</v>
      </c>
      <c r="E31" s="256">
        <v>36721</v>
      </c>
      <c r="F31" s="141" t="s">
        <v>83</v>
      </c>
      <c r="G31" s="141" t="s">
        <v>167</v>
      </c>
      <c r="H31" s="141" t="s">
        <v>66</v>
      </c>
      <c r="I31" s="252" t="s">
        <v>4223</v>
      </c>
      <c r="J31" s="141" t="s">
        <v>168</v>
      </c>
      <c r="K31" s="141" t="s">
        <v>68</v>
      </c>
      <c r="L31" s="141" t="s">
        <v>30</v>
      </c>
      <c r="M31" s="141"/>
      <c r="N31" s="141"/>
      <c r="O31" s="141"/>
      <c r="P31" s="141" t="s">
        <v>31</v>
      </c>
      <c r="Q31" s="257" t="s">
        <v>56</v>
      </c>
      <c r="R31" s="24"/>
      <c r="S31" s="206"/>
      <c r="T31" s="258"/>
      <c r="U31" s="206"/>
      <c r="V31" s="206"/>
      <c r="W31" s="206"/>
    </row>
    <row r="32" spans="1:23" ht="12.75">
      <c r="A32" s="255">
        <v>45862.864953703705</v>
      </c>
      <c r="B32" s="141" t="s">
        <v>169</v>
      </c>
      <c r="C32" s="141"/>
      <c r="D32" s="141" t="s">
        <v>45</v>
      </c>
      <c r="E32" s="256">
        <v>36536</v>
      </c>
      <c r="F32" s="141" t="s">
        <v>83</v>
      </c>
      <c r="G32" s="141" t="s">
        <v>170</v>
      </c>
      <c r="H32" s="141" t="s">
        <v>171</v>
      </c>
      <c r="I32" s="252" t="s">
        <v>4223</v>
      </c>
      <c r="J32" s="141" t="s">
        <v>172</v>
      </c>
      <c r="K32" s="141" t="s">
        <v>39</v>
      </c>
      <c r="L32" s="141" t="s">
        <v>162</v>
      </c>
      <c r="M32" s="141"/>
      <c r="N32" s="141"/>
      <c r="O32" s="141"/>
      <c r="P32" s="141" t="s">
        <v>31</v>
      </c>
      <c r="Q32" s="257" t="s">
        <v>56</v>
      </c>
      <c r="R32" s="24"/>
      <c r="S32" s="206"/>
      <c r="T32" s="258"/>
      <c r="U32" s="206"/>
      <c r="V32" s="206"/>
      <c r="W32" s="206"/>
    </row>
    <row r="33" spans="1:23" ht="12.75">
      <c r="A33" s="255">
        <v>45862.937175925923</v>
      </c>
      <c r="B33" s="141" t="s">
        <v>173</v>
      </c>
      <c r="C33" s="141" t="s">
        <v>174</v>
      </c>
      <c r="D33" s="141" t="s">
        <v>24</v>
      </c>
      <c r="E33" s="256">
        <v>38542</v>
      </c>
      <c r="F33" s="141" t="s">
        <v>83</v>
      </c>
      <c r="G33" s="141" t="s">
        <v>175</v>
      </c>
      <c r="H33" s="141" t="s">
        <v>66</v>
      </c>
      <c r="I33" s="252" t="s">
        <v>4223</v>
      </c>
      <c r="J33" s="141" t="s">
        <v>176</v>
      </c>
      <c r="K33" s="141" t="s">
        <v>68</v>
      </c>
      <c r="L33" s="141" t="s">
        <v>30</v>
      </c>
      <c r="M33" s="141"/>
      <c r="N33" s="141"/>
      <c r="O33" s="141"/>
      <c r="P33" s="141" t="s">
        <v>31</v>
      </c>
      <c r="Q33" s="257" t="s">
        <v>56</v>
      </c>
      <c r="R33" s="24"/>
      <c r="S33" s="206"/>
      <c r="T33" s="258"/>
      <c r="U33" s="206"/>
      <c r="V33" s="206"/>
      <c r="W33" s="206"/>
    </row>
    <row r="34" spans="1:23" ht="12.75">
      <c r="A34" s="268">
        <v>45865.161458333336</v>
      </c>
      <c r="B34" s="269" t="s">
        <v>177</v>
      </c>
      <c r="C34" s="269"/>
      <c r="D34" s="269" t="s">
        <v>45</v>
      </c>
      <c r="E34" s="270">
        <v>45908</v>
      </c>
      <c r="F34" s="269" t="s">
        <v>83</v>
      </c>
      <c r="G34" s="269" t="s">
        <v>178</v>
      </c>
      <c r="H34" s="269" t="s">
        <v>179</v>
      </c>
      <c r="I34" s="252" t="s">
        <v>4223</v>
      </c>
      <c r="J34" s="269" t="s">
        <v>180</v>
      </c>
      <c r="K34" s="269" t="s">
        <v>29</v>
      </c>
      <c r="L34" s="269" t="s">
        <v>30</v>
      </c>
      <c r="M34" s="269"/>
      <c r="N34" s="269"/>
      <c r="O34" s="269"/>
      <c r="P34" s="269" t="s">
        <v>31</v>
      </c>
      <c r="Q34" s="257" t="s">
        <v>56</v>
      </c>
      <c r="R34" s="24"/>
      <c r="S34" s="206"/>
      <c r="T34" s="258"/>
      <c r="U34" s="206"/>
      <c r="V34" s="206"/>
      <c r="W34" s="206"/>
    </row>
    <row r="35" spans="1:23" ht="12.75">
      <c r="A35" s="274">
        <v>45865.164687500001</v>
      </c>
      <c r="B35" s="242" t="s">
        <v>181</v>
      </c>
      <c r="C35" s="242"/>
      <c r="D35" s="242" t="s">
        <v>24</v>
      </c>
      <c r="E35" s="275">
        <v>32229</v>
      </c>
      <c r="F35" s="242" t="s">
        <v>52</v>
      </c>
      <c r="G35" s="242" t="s">
        <v>182</v>
      </c>
      <c r="H35" s="242" t="s">
        <v>183</v>
      </c>
      <c r="I35" s="241" t="s">
        <v>4219</v>
      </c>
      <c r="J35" s="242" t="s">
        <v>184</v>
      </c>
      <c r="K35" s="242" t="s">
        <v>29</v>
      </c>
      <c r="L35" s="242" t="s">
        <v>30</v>
      </c>
      <c r="M35" s="242"/>
      <c r="N35" s="242"/>
      <c r="O35" s="242"/>
      <c r="P35" s="242" t="s">
        <v>31</v>
      </c>
      <c r="Q35" s="244" t="s">
        <v>32</v>
      </c>
      <c r="R35" s="245" t="s">
        <v>43</v>
      </c>
      <c r="S35" s="242" t="s">
        <v>181</v>
      </c>
      <c r="T35" s="266">
        <v>32229</v>
      </c>
      <c r="U35" s="242" t="s">
        <v>184</v>
      </c>
      <c r="V35" s="475" t="s">
        <v>80</v>
      </c>
      <c r="W35" s="474"/>
    </row>
    <row r="36" spans="1:23" ht="12.75">
      <c r="A36" s="255">
        <v>45865.818796296298</v>
      </c>
      <c r="B36" s="141" t="s">
        <v>185</v>
      </c>
      <c r="C36" s="141"/>
      <c r="D36" s="141" t="s">
        <v>24</v>
      </c>
      <c r="E36" s="256">
        <v>28995</v>
      </c>
      <c r="F36" s="141" t="s">
        <v>83</v>
      </c>
      <c r="G36" s="141" t="s">
        <v>167</v>
      </c>
      <c r="H36" s="141" t="s">
        <v>186</v>
      </c>
      <c r="I36" s="252" t="s">
        <v>4223</v>
      </c>
      <c r="J36" s="141" t="s">
        <v>187</v>
      </c>
      <c r="K36" s="141" t="s">
        <v>29</v>
      </c>
      <c r="L36" s="141" t="s">
        <v>30</v>
      </c>
      <c r="M36" s="141"/>
      <c r="N36" s="141"/>
      <c r="O36" s="141"/>
      <c r="P36" s="141" t="s">
        <v>31</v>
      </c>
      <c r="Q36" s="253" t="s">
        <v>32</v>
      </c>
      <c r="R36" s="148"/>
      <c r="S36" s="206" t="s">
        <v>188</v>
      </c>
      <c r="T36" s="261">
        <v>28995</v>
      </c>
      <c r="U36" s="206" t="s">
        <v>187</v>
      </c>
      <c r="V36" s="473" t="s">
        <v>154</v>
      </c>
      <c r="W36" s="474"/>
    </row>
    <row r="37" spans="1:23" ht="12.75">
      <c r="A37" s="255">
        <v>45865.818981481483</v>
      </c>
      <c r="B37" s="141" t="s">
        <v>189</v>
      </c>
      <c r="C37" s="141"/>
      <c r="D37" s="141" t="s">
        <v>45</v>
      </c>
      <c r="E37" s="256">
        <v>35647</v>
      </c>
      <c r="F37" s="141" t="s">
        <v>83</v>
      </c>
      <c r="G37" s="141" t="s">
        <v>190</v>
      </c>
      <c r="H37" s="141" t="s">
        <v>191</v>
      </c>
      <c r="I37" s="252" t="s">
        <v>4223</v>
      </c>
      <c r="J37" s="141" t="s">
        <v>192</v>
      </c>
      <c r="K37" s="141" t="s">
        <v>29</v>
      </c>
      <c r="L37" s="141" t="s">
        <v>162</v>
      </c>
      <c r="M37" s="141"/>
      <c r="N37" s="141"/>
      <c r="O37" s="141"/>
      <c r="P37" s="141" t="s">
        <v>31</v>
      </c>
      <c r="Q37" s="257" t="s">
        <v>56</v>
      </c>
      <c r="R37" s="24"/>
      <c r="S37" s="206"/>
      <c r="T37" s="258"/>
      <c r="U37" s="206"/>
      <c r="V37" s="206"/>
      <c r="W37" s="206"/>
    </row>
    <row r="38" spans="1:23" ht="12.75">
      <c r="A38" s="255">
        <v>45866.256111111114</v>
      </c>
      <c r="B38" s="141" t="s">
        <v>193</v>
      </c>
      <c r="C38" s="141" t="s">
        <v>193</v>
      </c>
      <c r="D38" s="141" t="s">
        <v>45</v>
      </c>
      <c r="E38" s="256">
        <v>26966</v>
      </c>
      <c r="F38" s="141" t="s">
        <v>83</v>
      </c>
      <c r="G38" s="141" t="s">
        <v>194</v>
      </c>
      <c r="H38" s="141" t="s">
        <v>195</v>
      </c>
      <c r="I38" s="252" t="s">
        <v>4223</v>
      </c>
      <c r="J38" s="141" t="s">
        <v>196</v>
      </c>
      <c r="K38" s="141" t="s">
        <v>39</v>
      </c>
      <c r="L38" s="141" t="s">
        <v>152</v>
      </c>
      <c r="M38" s="141"/>
      <c r="N38" s="141"/>
      <c r="O38" s="141"/>
      <c r="P38" s="141" t="s">
        <v>31</v>
      </c>
      <c r="Q38" s="257" t="s">
        <v>56</v>
      </c>
      <c r="R38" s="24"/>
      <c r="S38" s="206"/>
      <c r="T38" s="258"/>
      <c r="U38" s="206"/>
      <c r="V38" s="206"/>
      <c r="W38" s="206"/>
    </row>
    <row r="39" spans="1:23" ht="12.75">
      <c r="A39" s="274">
        <v>45870.141527777778</v>
      </c>
      <c r="B39" s="242" t="s">
        <v>197</v>
      </c>
      <c r="C39" s="242" t="s">
        <v>197</v>
      </c>
      <c r="D39" s="242" t="s">
        <v>24</v>
      </c>
      <c r="E39" s="275">
        <v>32847</v>
      </c>
      <c r="F39" s="242" t="s">
        <v>198</v>
      </c>
      <c r="G39" s="242" t="s">
        <v>199</v>
      </c>
      <c r="H39" s="242" t="s">
        <v>200</v>
      </c>
      <c r="I39" s="241" t="s">
        <v>4219</v>
      </c>
      <c r="J39" s="242" t="s">
        <v>201</v>
      </c>
      <c r="K39" s="242" t="s">
        <v>68</v>
      </c>
      <c r="L39" s="242" t="s">
        <v>30</v>
      </c>
      <c r="M39" s="242"/>
      <c r="N39" s="242"/>
      <c r="O39" s="242"/>
      <c r="P39" s="242" t="s">
        <v>31</v>
      </c>
      <c r="Q39" s="244" t="s">
        <v>32</v>
      </c>
      <c r="R39" s="248" t="s">
        <v>43</v>
      </c>
      <c r="S39" s="242" t="s">
        <v>197</v>
      </c>
      <c r="T39" s="266">
        <v>32847</v>
      </c>
      <c r="U39" s="242" t="s">
        <v>201</v>
      </c>
      <c r="V39" s="475" t="s">
        <v>80</v>
      </c>
      <c r="W39" s="474"/>
    </row>
    <row r="40" spans="1:23" ht="12.75">
      <c r="A40" s="249">
        <v>45871.144456018519</v>
      </c>
      <c r="B40" s="250" t="s">
        <v>202</v>
      </c>
      <c r="C40" s="139"/>
      <c r="D40" s="250" t="s">
        <v>24</v>
      </c>
      <c r="E40" s="251">
        <v>31443</v>
      </c>
      <c r="F40" s="250" t="s">
        <v>203</v>
      </c>
      <c r="G40" s="250" t="s">
        <v>4227</v>
      </c>
      <c r="H40" s="250" t="s">
        <v>4228</v>
      </c>
      <c r="I40" s="252" t="s">
        <v>4219</v>
      </c>
      <c r="J40" s="250" t="s">
        <v>206</v>
      </c>
      <c r="K40" s="250" t="s">
        <v>39</v>
      </c>
      <c r="L40" s="250" t="s">
        <v>30</v>
      </c>
      <c r="M40" s="139"/>
      <c r="N40" s="250"/>
      <c r="O40" s="250"/>
      <c r="P40" s="250" t="s">
        <v>31</v>
      </c>
      <c r="Q40" s="257" t="s">
        <v>56</v>
      </c>
      <c r="R40" s="24"/>
      <c r="S40" s="139"/>
      <c r="T40" s="206"/>
      <c r="U40" s="206"/>
      <c r="V40" s="206"/>
      <c r="W40" s="206"/>
    </row>
    <row r="41" spans="1:23" ht="12.75">
      <c r="A41" s="255">
        <v>45871.236030092594</v>
      </c>
      <c r="B41" s="476" t="s">
        <v>207</v>
      </c>
      <c r="C41" s="474"/>
      <c r="D41" s="141" t="s">
        <v>45</v>
      </c>
      <c r="E41" s="256">
        <v>28186</v>
      </c>
      <c r="F41" s="141" t="s">
        <v>208</v>
      </c>
      <c r="G41" s="141" t="s">
        <v>209</v>
      </c>
      <c r="H41" s="141" t="s">
        <v>210</v>
      </c>
      <c r="I41" s="252" t="s">
        <v>4223</v>
      </c>
      <c r="J41" s="141" t="s">
        <v>211</v>
      </c>
      <c r="K41" s="141" t="s">
        <v>68</v>
      </c>
      <c r="L41" s="141" t="s">
        <v>30</v>
      </c>
      <c r="M41" s="141" t="s">
        <v>4229</v>
      </c>
      <c r="N41" s="141" t="s">
        <v>4230</v>
      </c>
      <c r="O41" s="141" t="s">
        <v>214</v>
      </c>
      <c r="P41" s="141" t="s">
        <v>31</v>
      </c>
      <c r="Q41" s="253" t="s">
        <v>32</v>
      </c>
      <c r="R41" s="152" t="s">
        <v>33</v>
      </c>
      <c r="S41" s="206" t="s">
        <v>215</v>
      </c>
      <c r="T41" s="261">
        <v>28186</v>
      </c>
      <c r="U41" s="206" t="s">
        <v>216</v>
      </c>
      <c r="V41" s="473" t="s">
        <v>80</v>
      </c>
      <c r="W41" s="474"/>
    </row>
    <row r="42" spans="1:23" ht="12.75">
      <c r="A42" s="240">
        <v>45874.229583333334</v>
      </c>
      <c r="B42" s="241" t="s">
        <v>4231</v>
      </c>
      <c r="C42" s="242"/>
      <c r="D42" s="241" t="s">
        <v>24</v>
      </c>
      <c r="E42" s="243">
        <v>28943</v>
      </c>
      <c r="F42" s="241" t="s">
        <v>208</v>
      </c>
      <c r="G42" s="241" t="s">
        <v>218</v>
      </c>
      <c r="H42" s="241" t="s">
        <v>4232</v>
      </c>
      <c r="I42" s="241" t="s">
        <v>4223</v>
      </c>
      <c r="J42" s="241" t="s">
        <v>220</v>
      </c>
      <c r="K42" s="241" t="s">
        <v>39</v>
      </c>
      <c r="L42" s="241" t="s">
        <v>162</v>
      </c>
      <c r="M42" s="242"/>
      <c r="N42" s="241"/>
      <c r="O42" s="241"/>
      <c r="P42" s="241" t="s">
        <v>31</v>
      </c>
      <c r="Q42" s="244" t="s">
        <v>32</v>
      </c>
      <c r="R42" s="248" t="s">
        <v>33</v>
      </c>
      <c r="S42" s="246" t="s">
        <v>221</v>
      </c>
      <c r="T42" s="242"/>
      <c r="U42" s="242"/>
      <c r="V42" s="242"/>
      <c r="W42" s="242"/>
    </row>
    <row r="43" spans="1:23" ht="12.75">
      <c r="A43" s="255">
        <v>45874.567488425928</v>
      </c>
      <c r="B43" s="141" t="s">
        <v>222</v>
      </c>
      <c r="C43" s="141"/>
      <c r="D43" s="141" t="s">
        <v>45</v>
      </c>
      <c r="E43" s="256">
        <v>36651</v>
      </c>
      <c r="F43" s="141" t="s">
        <v>208</v>
      </c>
      <c r="G43" s="141" t="s">
        <v>223</v>
      </c>
      <c r="H43" s="141" t="s">
        <v>224</v>
      </c>
      <c r="I43" s="252" t="s">
        <v>4223</v>
      </c>
      <c r="J43" s="141" t="s">
        <v>225</v>
      </c>
      <c r="K43" s="141" t="s">
        <v>68</v>
      </c>
      <c r="L43" s="141" t="s">
        <v>30</v>
      </c>
      <c r="M43" s="141"/>
      <c r="N43" s="141"/>
      <c r="O43" s="141"/>
      <c r="P43" s="141" t="s">
        <v>31</v>
      </c>
      <c r="Q43" s="253" t="s">
        <v>32</v>
      </c>
      <c r="R43" s="152"/>
      <c r="S43" s="206" t="s">
        <v>222</v>
      </c>
      <c r="T43" s="261">
        <v>36651</v>
      </c>
      <c r="U43" s="206" t="s">
        <v>225</v>
      </c>
      <c r="V43" s="473" t="s">
        <v>80</v>
      </c>
      <c r="W43" s="474"/>
    </row>
    <row r="44" spans="1:23" ht="12.75">
      <c r="A44" s="274">
        <v>45875.633298611108</v>
      </c>
      <c r="B44" s="242" t="s">
        <v>226</v>
      </c>
      <c r="C44" s="242"/>
      <c r="D44" s="242" t="s">
        <v>45</v>
      </c>
      <c r="E44" s="275">
        <v>32327</v>
      </c>
      <c r="F44" s="242" t="s">
        <v>227</v>
      </c>
      <c r="G44" s="242" t="s">
        <v>209</v>
      </c>
      <c r="H44" s="242" t="s">
        <v>228</v>
      </c>
      <c r="I44" s="241" t="s">
        <v>4219</v>
      </c>
      <c r="J44" s="242" t="s">
        <v>229</v>
      </c>
      <c r="K44" s="242" t="s">
        <v>29</v>
      </c>
      <c r="L44" s="242" t="s">
        <v>30</v>
      </c>
      <c r="M44" s="242"/>
      <c r="N44" s="242"/>
      <c r="O44" s="242"/>
      <c r="P44" s="242" t="s">
        <v>31</v>
      </c>
      <c r="Q44" s="244" t="s">
        <v>32</v>
      </c>
      <c r="R44" s="248" t="s">
        <v>43</v>
      </c>
      <c r="S44" s="242" t="s">
        <v>226</v>
      </c>
      <c r="T44" s="266">
        <v>32327</v>
      </c>
      <c r="U44" s="242" t="s">
        <v>229</v>
      </c>
      <c r="V44" s="475" t="s">
        <v>80</v>
      </c>
      <c r="W44" s="474"/>
    </row>
    <row r="45" spans="1:23" ht="12.75">
      <c r="A45" s="255">
        <v>45877.788344907407</v>
      </c>
      <c r="B45" s="141" t="s">
        <v>230</v>
      </c>
      <c r="C45" s="141" t="s">
        <v>231</v>
      </c>
      <c r="D45" s="141" t="s">
        <v>24</v>
      </c>
      <c r="E45" s="256">
        <v>45883</v>
      </c>
      <c r="F45" s="141" t="s">
        <v>232</v>
      </c>
      <c r="G45" s="141" t="s">
        <v>209</v>
      </c>
      <c r="H45" s="141" t="s">
        <v>233</v>
      </c>
      <c r="I45" s="252" t="s">
        <v>4219</v>
      </c>
      <c r="J45" s="141" t="s">
        <v>234</v>
      </c>
      <c r="K45" s="141" t="s">
        <v>29</v>
      </c>
      <c r="L45" s="141" t="s">
        <v>30</v>
      </c>
      <c r="M45" s="141"/>
      <c r="N45" s="141"/>
      <c r="O45" s="141"/>
      <c r="P45" s="141" t="s">
        <v>31</v>
      </c>
      <c r="Q45" s="253" t="s">
        <v>32</v>
      </c>
      <c r="R45" s="152"/>
      <c r="S45" s="206" t="s">
        <v>230</v>
      </c>
      <c r="T45" s="261">
        <v>20712</v>
      </c>
      <c r="U45" s="206" t="s">
        <v>235</v>
      </c>
      <c r="V45" s="206" t="s">
        <v>236</v>
      </c>
      <c r="W45" s="206"/>
    </row>
    <row r="46" spans="1:23" ht="12.75">
      <c r="A46" s="255">
        <v>45881.297222222223</v>
      </c>
      <c r="B46" s="141" t="s">
        <v>237</v>
      </c>
      <c r="C46" s="141" t="s">
        <v>238</v>
      </c>
      <c r="D46" s="141" t="s">
        <v>24</v>
      </c>
      <c r="E46" s="256">
        <v>24605</v>
      </c>
      <c r="F46" s="141" t="s">
        <v>83</v>
      </c>
      <c r="G46" s="141" t="s">
        <v>84</v>
      </c>
      <c r="H46" s="141" t="s">
        <v>239</v>
      </c>
      <c r="I46" s="252" t="s">
        <v>4223</v>
      </c>
      <c r="J46" s="141" t="s">
        <v>240</v>
      </c>
      <c r="K46" s="141" t="s">
        <v>39</v>
      </c>
      <c r="L46" s="141" t="s">
        <v>241</v>
      </c>
      <c r="M46" s="141" t="s">
        <v>4233</v>
      </c>
      <c r="N46" s="276" t="s">
        <v>4234</v>
      </c>
      <c r="O46" s="141" t="s">
        <v>42</v>
      </c>
      <c r="P46" s="141" t="s">
        <v>31</v>
      </c>
      <c r="Q46" s="257" t="s">
        <v>56</v>
      </c>
      <c r="R46" s="24"/>
      <c r="S46" s="206"/>
      <c r="T46" s="258"/>
      <c r="U46" s="206"/>
      <c r="V46" s="206"/>
      <c r="W46" s="206"/>
    </row>
    <row r="47" spans="1:23" ht="12.75">
      <c r="A47" s="274">
        <v>45883.567048611112</v>
      </c>
      <c r="B47" s="475" t="s">
        <v>244</v>
      </c>
      <c r="C47" s="474"/>
      <c r="D47" s="242" t="s">
        <v>45</v>
      </c>
      <c r="E47" s="275">
        <v>28573</v>
      </c>
      <c r="F47" s="242" t="s">
        <v>245</v>
      </c>
      <c r="G47" s="242" t="s">
        <v>246</v>
      </c>
      <c r="H47" s="242" t="s">
        <v>247</v>
      </c>
      <c r="I47" s="241" t="s">
        <v>4219</v>
      </c>
      <c r="J47" s="242" t="s">
        <v>248</v>
      </c>
      <c r="K47" s="242" t="s">
        <v>39</v>
      </c>
      <c r="L47" s="242" t="s">
        <v>152</v>
      </c>
      <c r="M47" s="242" t="s">
        <v>4235</v>
      </c>
      <c r="N47" s="247" t="s">
        <v>4236</v>
      </c>
      <c r="O47" s="242" t="s">
        <v>42</v>
      </c>
      <c r="P47" s="242" t="s">
        <v>31</v>
      </c>
      <c r="Q47" s="244" t="s">
        <v>32</v>
      </c>
      <c r="R47" s="245" t="s">
        <v>43</v>
      </c>
      <c r="S47" s="242" t="s">
        <v>244</v>
      </c>
      <c r="T47" s="266">
        <v>28573</v>
      </c>
      <c r="U47" s="242" t="s">
        <v>248</v>
      </c>
      <c r="V47" s="475" t="s">
        <v>80</v>
      </c>
      <c r="W47" s="474"/>
    </row>
    <row r="48" spans="1:23" ht="12.75">
      <c r="A48" s="240">
        <v>45890.989432870374</v>
      </c>
      <c r="B48" s="241" t="s">
        <v>251</v>
      </c>
      <c r="C48" s="242"/>
      <c r="D48" s="241" t="s">
        <v>24</v>
      </c>
      <c r="E48" s="243">
        <v>36334</v>
      </c>
      <c r="F48" s="241" t="s">
        <v>252</v>
      </c>
      <c r="G48" s="241" t="s">
        <v>253</v>
      </c>
      <c r="H48" s="241" t="s">
        <v>254</v>
      </c>
      <c r="I48" s="241" t="s">
        <v>4219</v>
      </c>
      <c r="J48" s="241" t="s">
        <v>255</v>
      </c>
      <c r="K48" s="241" t="s">
        <v>39</v>
      </c>
      <c r="L48" s="241" t="s">
        <v>30</v>
      </c>
      <c r="M48" s="242"/>
      <c r="N48" s="241"/>
      <c r="O48" s="241"/>
      <c r="P48" s="241" t="s">
        <v>31</v>
      </c>
      <c r="Q48" s="244" t="s">
        <v>32</v>
      </c>
      <c r="R48" s="245" t="s">
        <v>33</v>
      </c>
      <c r="S48" s="246" t="s">
        <v>256</v>
      </c>
      <c r="T48" s="242"/>
      <c r="U48" s="242"/>
      <c r="V48" s="242"/>
      <c r="W48" s="242"/>
    </row>
    <row r="49" spans="1:23" ht="12.75">
      <c r="A49" s="259">
        <v>45891.187592592592</v>
      </c>
      <c r="B49" s="252" t="s">
        <v>257</v>
      </c>
      <c r="C49" s="141"/>
      <c r="D49" s="252" t="s">
        <v>45</v>
      </c>
      <c r="E49" s="260">
        <v>34606</v>
      </c>
      <c r="F49" s="252" t="s">
        <v>64</v>
      </c>
      <c r="G49" s="252" t="s">
        <v>258</v>
      </c>
      <c r="H49" s="252" t="s">
        <v>90</v>
      </c>
      <c r="I49" s="252" t="s">
        <v>4219</v>
      </c>
      <c r="J49" s="252" t="s">
        <v>259</v>
      </c>
      <c r="K49" s="252" t="s">
        <v>29</v>
      </c>
      <c r="L49" s="252" t="s">
        <v>30</v>
      </c>
      <c r="M49" s="141"/>
      <c r="N49" s="252"/>
      <c r="O49" s="252"/>
      <c r="P49" s="252" t="s">
        <v>31</v>
      </c>
      <c r="Q49" s="253" t="s">
        <v>32</v>
      </c>
      <c r="R49" s="148"/>
      <c r="S49" s="24" t="s">
        <v>260</v>
      </c>
      <c r="T49" s="206"/>
      <c r="U49" s="206"/>
      <c r="V49" s="206"/>
      <c r="W49" s="206"/>
    </row>
    <row r="50" spans="1:23" ht="12.75">
      <c r="A50" s="255">
        <v>45893.856932870367</v>
      </c>
      <c r="B50" s="476" t="s">
        <v>261</v>
      </c>
      <c r="C50" s="474"/>
      <c r="D50" s="141" t="s">
        <v>24</v>
      </c>
      <c r="E50" s="256">
        <v>36839</v>
      </c>
      <c r="F50" s="141" t="s">
        <v>83</v>
      </c>
      <c r="G50" s="141" t="s">
        <v>262</v>
      </c>
      <c r="H50" s="141" t="s">
        <v>263</v>
      </c>
      <c r="I50" s="252" t="s">
        <v>4223</v>
      </c>
      <c r="J50" s="141" t="s">
        <v>264</v>
      </c>
      <c r="K50" s="141" t="s">
        <v>29</v>
      </c>
      <c r="L50" s="141" t="s">
        <v>30</v>
      </c>
      <c r="M50" s="141"/>
      <c r="N50" s="141"/>
      <c r="O50" s="141"/>
      <c r="P50" s="141" t="s">
        <v>31</v>
      </c>
      <c r="Q50" s="257" t="s">
        <v>56</v>
      </c>
      <c r="R50" s="24"/>
      <c r="S50" s="206"/>
      <c r="T50" s="258"/>
      <c r="U50" s="206"/>
      <c r="V50" s="206"/>
      <c r="W50" s="206"/>
    </row>
    <row r="51" spans="1:23" ht="12.75">
      <c r="A51" s="255">
        <v>45893.877083333333</v>
      </c>
      <c r="B51" s="141" t="s">
        <v>265</v>
      </c>
      <c r="C51" s="141"/>
      <c r="D51" s="141" t="s">
        <v>24</v>
      </c>
      <c r="E51" s="256">
        <v>37908</v>
      </c>
      <c r="F51" s="141" t="s">
        <v>83</v>
      </c>
      <c r="G51" s="141" t="s">
        <v>266</v>
      </c>
      <c r="H51" s="141" t="s">
        <v>267</v>
      </c>
      <c r="I51" s="252" t="s">
        <v>4223</v>
      </c>
      <c r="J51" s="141" t="s">
        <v>268</v>
      </c>
      <c r="K51" s="141" t="s">
        <v>68</v>
      </c>
      <c r="L51" s="141" t="s">
        <v>30</v>
      </c>
      <c r="M51" s="141"/>
      <c r="N51" s="141"/>
      <c r="O51" s="141"/>
      <c r="P51" s="141" t="s">
        <v>31</v>
      </c>
      <c r="Q51" s="253" t="s">
        <v>32</v>
      </c>
      <c r="R51" s="152"/>
      <c r="S51" s="206" t="s">
        <v>265</v>
      </c>
      <c r="T51" s="261">
        <v>37908</v>
      </c>
      <c r="U51" s="206" t="s">
        <v>268</v>
      </c>
      <c r="V51" s="473" t="s">
        <v>80</v>
      </c>
      <c r="W51" s="474"/>
    </row>
    <row r="52" spans="1:23" ht="12.75">
      <c r="A52" s="255">
        <v>45893.889479166668</v>
      </c>
      <c r="B52" s="141" t="s">
        <v>269</v>
      </c>
      <c r="C52" s="141"/>
      <c r="D52" s="141" t="s">
        <v>45</v>
      </c>
      <c r="E52" s="256">
        <v>36281</v>
      </c>
      <c r="F52" s="141" t="s">
        <v>83</v>
      </c>
      <c r="G52" s="141" t="s">
        <v>270</v>
      </c>
      <c r="H52" s="141" t="s">
        <v>271</v>
      </c>
      <c r="I52" s="252" t="s">
        <v>4223</v>
      </c>
      <c r="J52" s="141" t="s">
        <v>272</v>
      </c>
      <c r="K52" s="141" t="s">
        <v>29</v>
      </c>
      <c r="L52" s="141" t="s">
        <v>30</v>
      </c>
      <c r="M52" s="141"/>
      <c r="N52" s="141"/>
      <c r="O52" s="141"/>
      <c r="P52" s="141" t="s">
        <v>31</v>
      </c>
      <c r="Q52" s="257" t="s">
        <v>56</v>
      </c>
      <c r="R52" s="24"/>
      <c r="S52" s="206"/>
      <c r="T52" s="258"/>
      <c r="U52" s="206"/>
      <c r="V52" s="206"/>
      <c r="W52" s="206"/>
    </row>
    <row r="53" spans="1:23" ht="12.75">
      <c r="A53" s="255">
        <v>45893.920057870368</v>
      </c>
      <c r="B53" s="141" t="s">
        <v>273</v>
      </c>
      <c r="C53" s="141"/>
      <c r="D53" s="141" t="s">
        <v>45</v>
      </c>
      <c r="E53" s="256">
        <v>21091</v>
      </c>
      <c r="F53" s="141" t="s">
        <v>274</v>
      </c>
      <c r="G53" s="141" t="s">
        <v>275</v>
      </c>
      <c r="H53" s="141" t="s">
        <v>276</v>
      </c>
      <c r="I53" s="252" t="s">
        <v>4219</v>
      </c>
      <c r="J53" s="141" t="s">
        <v>277</v>
      </c>
      <c r="K53" s="141" t="s">
        <v>29</v>
      </c>
      <c r="L53" s="267">
        <v>46202</v>
      </c>
      <c r="M53" s="141" t="s">
        <v>278</v>
      </c>
      <c r="N53" s="141"/>
      <c r="O53" s="141"/>
      <c r="P53" s="141" t="s">
        <v>31</v>
      </c>
      <c r="Q53" s="253" t="s">
        <v>32</v>
      </c>
      <c r="R53" s="148"/>
      <c r="S53" s="206" t="s">
        <v>279</v>
      </c>
      <c r="T53" s="261">
        <v>21091</v>
      </c>
      <c r="U53" s="206" t="s">
        <v>277</v>
      </c>
      <c r="V53" s="473" t="s">
        <v>154</v>
      </c>
      <c r="W53" s="474"/>
    </row>
    <row r="54" spans="1:23" ht="12.75">
      <c r="A54" s="255">
        <v>45894.450254629628</v>
      </c>
      <c r="B54" s="476" t="s">
        <v>280</v>
      </c>
      <c r="C54" s="474"/>
      <c r="D54" s="141" t="s">
        <v>24</v>
      </c>
      <c r="E54" s="256">
        <v>36283</v>
      </c>
      <c r="F54" s="141" t="s">
        <v>198</v>
      </c>
      <c r="G54" s="141" t="s">
        <v>281</v>
      </c>
      <c r="H54" s="141" t="s">
        <v>282</v>
      </c>
      <c r="I54" s="252" t="s">
        <v>4219</v>
      </c>
      <c r="J54" s="141" t="s">
        <v>283</v>
      </c>
      <c r="K54" s="141" t="s">
        <v>39</v>
      </c>
      <c r="L54" s="141" t="s">
        <v>30</v>
      </c>
      <c r="M54" s="141"/>
      <c r="N54" s="141"/>
      <c r="O54" s="141"/>
      <c r="P54" s="141" t="s">
        <v>31</v>
      </c>
      <c r="Q54" s="253" t="s">
        <v>32</v>
      </c>
      <c r="R54" s="152"/>
      <c r="S54" s="206" t="s">
        <v>280</v>
      </c>
      <c r="T54" s="261">
        <v>36283</v>
      </c>
      <c r="U54" s="206" t="s">
        <v>283</v>
      </c>
      <c r="V54" s="473" t="s">
        <v>80</v>
      </c>
      <c r="W54" s="474"/>
    </row>
    <row r="55" spans="1:23" ht="12.75">
      <c r="A55" s="274">
        <v>45895.305358796293</v>
      </c>
      <c r="B55" s="242" t="s">
        <v>284</v>
      </c>
      <c r="C55" s="242"/>
      <c r="D55" s="242" t="s">
        <v>45</v>
      </c>
      <c r="E55" s="275">
        <v>24127</v>
      </c>
      <c r="F55" s="242" t="s">
        <v>285</v>
      </c>
      <c r="G55" s="242" t="s">
        <v>286</v>
      </c>
      <c r="H55" s="242" t="s">
        <v>287</v>
      </c>
      <c r="I55" s="241" t="s">
        <v>4237</v>
      </c>
      <c r="J55" s="242" t="s">
        <v>288</v>
      </c>
      <c r="K55" s="242" t="s">
        <v>29</v>
      </c>
      <c r="L55" s="242" t="s">
        <v>30</v>
      </c>
      <c r="M55" s="242" t="s">
        <v>289</v>
      </c>
      <c r="N55" s="247" t="s">
        <v>290</v>
      </c>
      <c r="O55" s="242" t="s">
        <v>42</v>
      </c>
      <c r="P55" s="242" t="s">
        <v>31</v>
      </c>
      <c r="Q55" s="244" t="s">
        <v>32</v>
      </c>
      <c r="R55" s="245" t="s">
        <v>43</v>
      </c>
      <c r="S55" s="242" t="s">
        <v>291</v>
      </c>
      <c r="T55" s="266">
        <v>24492</v>
      </c>
      <c r="U55" s="242" t="s">
        <v>288</v>
      </c>
      <c r="V55" s="475" t="s">
        <v>114</v>
      </c>
      <c r="W55" s="474"/>
    </row>
    <row r="56" spans="1:23" ht="12.75">
      <c r="A56" s="255">
        <v>45897.564722222225</v>
      </c>
      <c r="B56" s="141" t="s">
        <v>292</v>
      </c>
      <c r="C56" s="141"/>
      <c r="D56" s="141" t="s">
        <v>24</v>
      </c>
      <c r="E56" s="256">
        <v>38276</v>
      </c>
      <c r="F56" s="141" t="s">
        <v>64</v>
      </c>
      <c r="G56" s="141" t="s">
        <v>293</v>
      </c>
      <c r="H56" s="141" t="s">
        <v>294</v>
      </c>
      <c r="I56" s="252" t="s">
        <v>4219</v>
      </c>
      <c r="J56" s="141" t="s">
        <v>295</v>
      </c>
      <c r="K56" s="141" t="s">
        <v>68</v>
      </c>
      <c r="L56" s="141" t="s">
        <v>30</v>
      </c>
      <c r="M56" s="141"/>
      <c r="N56" s="141"/>
      <c r="O56" s="141"/>
      <c r="P56" s="141" t="s">
        <v>31</v>
      </c>
      <c r="Q56" s="257" t="s">
        <v>56</v>
      </c>
      <c r="R56" s="24"/>
      <c r="S56" s="206"/>
      <c r="T56" s="258"/>
      <c r="U56" s="206"/>
      <c r="V56" s="206"/>
      <c r="W56" s="206"/>
    </row>
    <row r="57" spans="1:23" ht="12.75">
      <c r="A57" s="274">
        <v>45900.025902777779</v>
      </c>
      <c r="B57" s="242" t="s">
        <v>296</v>
      </c>
      <c r="C57" s="242"/>
      <c r="D57" s="242" t="s">
        <v>24</v>
      </c>
      <c r="E57" s="275">
        <v>29297</v>
      </c>
      <c r="F57" s="242" t="s">
        <v>297</v>
      </c>
      <c r="G57" s="242" t="s">
        <v>209</v>
      </c>
      <c r="H57" s="242" t="s">
        <v>111</v>
      </c>
      <c r="I57" s="241" t="s">
        <v>4219</v>
      </c>
      <c r="J57" s="242" t="s">
        <v>298</v>
      </c>
      <c r="K57" s="242" t="s">
        <v>68</v>
      </c>
      <c r="L57" s="242" t="s">
        <v>30</v>
      </c>
      <c r="M57" s="242" t="s">
        <v>4238</v>
      </c>
      <c r="N57" s="247" t="s">
        <v>4239</v>
      </c>
      <c r="O57" s="241" t="s">
        <v>301</v>
      </c>
      <c r="P57" s="242" t="s">
        <v>31</v>
      </c>
      <c r="Q57" s="244" t="s">
        <v>32</v>
      </c>
      <c r="R57" s="248" t="s">
        <v>43</v>
      </c>
      <c r="S57" s="242" t="s">
        <v>302</v>
      </c>
      <c r="T57" s="266">
        <v>29297</v>
      </c>
      <c r="U57" s="242" t="s">
        <v>298</v>
      </c>
      <c r="V57" s="475" t="s">
        <v>80</v>
      </c>
      <c r="W57" s="474"/>
    </row>
    <row r="58" spans="1:23" ht="12.75">
      <c r="A58" s="255">
        <v>45908.02685185185</v>
      </c>
      <c r="B58" s="141" t="s">
        <v>303</v>
      </c>
      <c r="C58" s="141"/>
      <c r="D58" s="141" t="s">
        <v>45</v>
      </c>
      <c r="E58" s="256">
        <v>29582</v>
      </c>
      <c r="F58" s="141" t="s">
        <v>83</v>
      </c>
      <c r="G58" s="141" t="s">
        <v>304</v>
      </c>
      <c r="H58" s="141" t="s">
        <v>305</v>
      </c>
      <c r="I58" s="252" t="s">
        <v>4223</v>
      </c>
      <c r="J58" s="141" t="s">
        <v>306</v>
      </c>
      <c r="K58" s="141" t="s">
        <v>29</v>
      </c>
      <c r="L58" s="141" t="s">
        <v>30</v>
      </c>
      <c r="M58" s="141"/>
      <c r="N58" s="141"/>
      <c r="O58" s="141"/>
      <c r="P58" s="141" t="s">
        <v>31</v>
      </c>
      <c r="Q58" s="253" t="s">
        <v>32</v>
      </c>
      <c r="R58" s="148"/>
      <c r="S58" s="206" t="s">
        <v>307</v>
      </c>
      <c r="T58" s="261">
        <v>29582</v>
      </c>
      <c r="U58" s="206" t="s">
        <v>306</v>
      </c>
      <c r="V58" s="473" t="s">
        <v>154</v>
      </c>
      <c r="W58" s="474"/>
    </row>
    <row r="59" spans="1:23" ht="12.75">
      <c r="A59" s="274">
        <v>45908.781759259262</v>
      </c>
      <c r="B59" s="242" t="s">
        <v>308</v>
      </c>
      <c r="C59" s="242" t="s">
        <v>309</v>
      </c>
      <c r="D59" s="242" t="s">
        <v>24</v>
      </c>
      <c r="E59" s="275">
        <v>30253</v>
      </c>
      <c r="F59" s="242" t="s">
        <v>310</v>
      </c>
      <c r="G59" s="242" t="s">
        <v>209</v>
      </c>
      <c r="H59" s="242" t="s">
        <v>311</v>
      </c>
      <c r="I59" s="241" t="s">
        <v>4237</v>
      </c>
      <c r="J59" s="242" t="s">
        <v>312</v>
      </c>
      <c r="K59" s="242" t="s">
        <v>29</v>
      </c>
      <c r="L59" s="242" t="s">
        <v>30</v>
      </c>
      <c r="M59" s="242" t="s">
        <v>313</v>
      </c>
      <c r="N59" s="242" t="s">
        <v>4240</v>
      </c>
      <c r="O59" s="242" t="s">
        <v>42</v>
      </c>
      <c r="P59" s="242" t="s">
        <v>31</v>
      </c>
      <c r="Q59" s="244" t="s">
        <v>32</v>
      </c>
      <c r="R59" s="245" t="s">
        <v>33</v>
      </c>
      <c r="S59" s="242" t="s">
        <v>315</v>
      </c>
      <c r="T59" s="266">
        <v>30253</v>
      </c>
      <c r="U59" s="242" t="s">
        <v>312</v>
      </c>
      <c r="V59" s="475" t="s">
        <v>316</v>
      </c>
      <c r="W59" s="474"/>
    </row>
    <row r="60" spans="1:23" ht="12.75">
      <c r="A60" s="255">
        <v>45909.15766203704</v>
      </c>
      <c r="B60" s="141" t="s">
        <v>317</v>
      </c>
      <c r="C60" s="141"/>
      <c r="D60" s="141" t="s">
        <v>45</v>
      </c>
      <c r="E60" s="256">
        <v>37263</v>
      </c>
      <c r="F60" s="141" t="s">
        <v>310</v>
      </c>
      <c r="G60" s="141" t="s">
        <v>318</v>
      </c>
      <c r="H60" s="141" t="s">
        <v>66</v>
      </c>
      <c r="I60" s="252" t="s">
        <v>4237</v>
      </c>
      <c r="J60" s="141" t="s">
        <v>319</v>
      </c>
      <c r="K60" s="141" t="s">
        <v>68</v>
      </c>
      <c r="L60" s="141" t="s">
        <v>30</v>
      </c>
      <c r="M60" s="141"/>
      <c r="N60" s="141"/>
      <c r="O60" s="141"/>
      <c r="P60" s="141" t="s">
        <v>31</v>
      </c>
      <c r="Q60" s="253" t="s">
        <v>32</v>
      </c>
      <c r="R60" s="148"/>
      <c r="S60" s="206" t="s">
        <v>320</v>
      </c>
      <c r="T60" s="261">
        <v>37263</v>
      </c>
      <c r="U60" s="206" t="s">
        <v>319</v>
      </c>
      <c r="V60" s="473" t="s">
        <v>154</v>
      </c>
      <c r="W60" s="474"/>
    </row>
    <row r="61" spans="1:23" ht="12.75">
      <c r="A61" s="274">
        <v>45909.696238425924</v>
      </c>
      <c r="B61" s="242" t="s">
        <v>321</v>
      </c>
      <c r="C61" s="242"/>
      <c r="D61" s="242" t="s">
        <v>45</v>
      </c>
      <c r="E61" s="275">
        <v>35302</v>
      </c>
      <c r="F61" s="242" t="s">
        <v>322</v>
      </c>
      <c r="G61" s="242" t="s">
        <v>323</v>
      </c>
      <c r="H61" s="242" t="s">
        <v>324</v>
      </c>
      <c r="I61" s="241" t="s">
        <v>4219</v>
      </c>
      <c r="J61" s="242" t="s">
        <v>325</v>
      </c>
      <c r="K61" s="242" t="s">
        <v>68</v>
      </c>
      <c r="L61" s="242" t="s">
        <v>30</v>
      </c>
      <c r="M61" s="242"/>
      <c r="N61" s="242"/>
      <c r="O61" s="242"/>
      <c r="P61" s="242" t="s">
        <v>31</v>
      </c>
      <c r="Q61" s="244" t="s">
        <v>32</v>
      </c>
      <c r="R61" s="245" t="s">
        <v>33</v>
      </c>
      <c r="S61" s="242" t="s">
        <v>326</v>
      </c>
      <c r="T61" s="266">
        <v>35302</v>
      </c>
      <c r="U61" s="242" t="s">
        <v>325</v>
      </c>
      <c r="V61" s="475" t="s">
        <v>154</v>
      </c>
      <c r="W61" s="474"/>
    </row>
    <row r="62" spans="1:23" ht="12.75">
      <c r="A62" s="255">
        <v>45916.786400462966</v>
      </c>
      <c r="B62" s="141" t="s">
        <v>327</v>
      </c>
      <c r="C62" s="141"/>
      <c r="D62" s="141" t="s">
        <v>24</v>
      </c>
      <c r="E62" s="256">
        <v>30307</v>
      </c>
      <c r="F62" s="141" t="s">
        <v>227</v>
      </c>
      <c r="G62" s="141" t="s">
        <v>328</v>
      </c>
      <c r="H62" s="141" t="s">
        <v>329</v>
      </c>
      <c r="I62" s="252" t="s">
        <v>4219</v>
      </c>
      <c r="J62" s="141" t="s">
        <v>330</v>
      </c>
      <c r="K62" s="141" t="s">
        <v>39</v>
      </c>
      <c r="L62" s="141" t="s">
        <v>152</v>
      </c>
      <c r="M62" s="141"/>
      <c r="N62" s="141"/>
      <c r="O62" s="141"/>
      <c r="P62" s="141" t="s">
        <v>31</v>
      </c>
      <c r="Q62" s="253" t="s">
        <v>32</v>
      </c>
      <c r="R62" s="148"/>
      <c r="S62" s="206" t="s">
        <v>327</v>
      </c>
      <c r="T62" s="261">
        <v>30307</v>
      </c>
      <c r="U62" s="206" t="s">
        <v>330</v>
      </c>
      <c r="V62" s="473" t="s">
        <v>80</v>
      </c>
      <c r="W62" s="474"/>
    </row>
    <row r="63" spans="1:23" ht="12.75">
      <c r="A63" s="274">
        <v>45918.29042824074</v>
      </c>
      <c r="B63" s="242" t="s">
        <v>331</v>
      </c>
      <c r="C63" s="242"/>
      <c r="D63" s="242" t="s">
        <v>45</v>
      </c>
      <c r="E63" s="275">
        <v>28989</v>
      </c>
      <c r="F63" s="242" t="s">
        <v>332</v>
      </c>
      <c r="G63" s="242" t="s">
        <v>333</v>
      </c>
      <c r="H63" s="242" t="s">
        <v>334</v>
      </c>
      <c r="I63" s="241" t="s">
        <v>4237</v>
      </c>
      <c r="J63" s="242" t="s">
        <v>335</v>
      </c>
      <c r="K63" s="242" t="s">
        <v>29</v>
      </c>
      <c r="L63" s="242" t="s">
        <v>30</v>
      </c>
      <c r="M63" s="242" t="s">
        <v>4241</v>
      </c>
      <c r="N63" s="242" t="s">
        <v>4242</v>
      </c>
      <c r="O63" s="242" t="s">
        <v>338</v>
      </c>
      <c r="P63" s="242" t="s">
        <v>31</v>
      </c>
      <c r="Q63" s="244" t="s">
        <v>32</v>
      </c>
      <c r="R63" s="245" t="s">
        <v>43</v>
      </c>
      <c r="S63" s="242" t="s">
        <v>331</v>
      </c>
      <c r="T63" s="266">
        <v>28989</v>
      </c>
      <c r="U63" s="242" t="s">
        <v>335</v>
      </c>
      <c r="V63" s="475" t="s">
        <v>80</v>
      </c>
      <c r="W63" s="474"/>
    </row>
    <row r="64" spans="1:23" ht="12.75">
      <c r="A64" s="255">
        <v>45918.574583333335</v>
      </c>
      <c r="B64" s="141" t="s">
        <v>339</v>
      </c>
      <c r="C64" s="141" t="s">
        <v>340</v>
      </c>
      <c r="D64" s="141" t="s">
        <v>24</v>
      </c>
      <c r="E64" s="256">
        <v>34006</v>
      </c>
      <c r="F64" s="141" t="s">
        <v>208</v>
      </c>
      <c r="G64" s="141" t="s">
        <v>341</v>
      </c>
      <c r="H64" s="141" t="s">
        <v>342</v>
      </c>
      <c r="I64" s="252" t="s">
        <v>4219</v>
      </c>
      <c r="J64" s="141" t="s">
        <v>343</v>
      </c>
      <c r="K64" s="141" t="s">
        <v>29</v>
      </c>
      <c r="L64" s="141" t="s">
        <v>30</v>
      </c>
      <c r="M64" s="141"/>
      <c r="N64" s="141"/>
      <c r="O64" s="141"/>
      <c r="P64" s="141" t="s">
        <v>31</v>
      </c>
      <c r="Q64" s="253" t="s">
        <v>32</v>
      </c>
      <c r="R64" s="148" t="s">
        <v>33</v>
      </c>
      <c r="S64" s="206" t="s">
        <v>344</v>
      </c>
      <c r="T64" s="261">
        <v>34006</v>
      </c>
      <c r="U64" s="206" t="s">
        <v>343</v>
      </c>
      <c r="V64" s="473" t="s">
        <v>316</v>
      </c>
      <c r="W64" s="474"/>
    </row>
    <row r="65" spans="1:23" ht="12.75">
      <c r="A65" s="249">
        <v>45921.896863425929</v>
      </c>
      <c r="B65" s="477" t="s">
        <v>345</v>
      </c>
      <c r="C65" s="474"/>
      <c r="D65" s="250" t="s">
        <v>24</v>
      </c>
      <c r="E65" s="251">
        <v>36404</v>
      </c>
      <c r="F65" s="250" t="s">
        <v>346</v>
      </c>
      <c r="G65" s="250" t="s">
        <v>347</v>
      </c>
      <c r="H65" s="250" t="s">
        <v>348</v>
      </c>
      <c r="I65" s="206"/>
      <c r="J65" s="250" t="s">
        <v>349</v>
      </c>
      <c r="K65" s="250" t="s">
        <v>29</v>
      </c>
      <c r="L65" s="250" t="s">
        <v>30</v>
      </c>
      <c r="M65" s="250" t="s">
        <v>350</v>
      </c>
      <c r="N65" s="250"/>
      <c r="O65" s="250"/>
      <c r="P65" s="250" t="s">
        <v>31</v>
      </c>
      <c r="Q65" s="253" t="s">
        <v>32</v>
      </c>
      <c r="R65" s="152"/>
      <c r="S65" s="254" t="s">
        <v>351</v>
      </c>
      <c r="T65" s="206"/>
      <c r="U65" s="206"/>
      <c r="V65" s="206"/>
      <c r="W65" s="206"/>
    </row>
    <row r="66" spans="1:23" ht="12.75">
      <c r="A66" s="240">
        <v>45922.814502314817</v>
      </c>
      <c r="B66" s="241" t="s">
        <v>352</v>
      </c>
      <c r="C66" s="242"/>
      <c r="D66" s="241" t="s">
        <v>24</v>
      </c>
      <c r="E66" s="243">
        <v>30328</v>
      </c>
      <c r="F66" s="241" t="s">
        <v>346</v>
      </c>
      <c r="G66" s="241" t="s">
        <v>353</v>
      </c>
      <c r="H66" s="241" t="s">
        <v>354</v>
      </c>
      <c r="I66" s="241" t="s">
        <v>4219</v>
      </c>
      <c r="J66" s="241" t="s">
        <v>355</v>
      </c>
      <c r="K66" s="241" t="s">
        <v>29</v>
      </c>
      <c r="L66" s="241" t="s">
        <v>30</v>
      </c>
      <c r="M66" s="241" t="s">
        <v>4243</v>
      </c>
      <c r="N66" s="247" t="s">
        <v>4244</v>
      </c>
      <c r="O66" s="241" t="s">
        <v>301</v>
      </c>
      <c r="P66" s="241" t="s">
        <v>31</v>
      </c>
      <c r="Q66" s="244" t="s">
        <v>32</v>
      </c>
      <c r="R66" s="248" t="s">
        <v>33</v>
      </c>
      <c r="S66" s="246" t="s">
        <v>358</v>
      </c>
      <c r="T66" s="242"/>
      <c r="U66" s="242"/>
      <c r="V66" s="242"/>
      <c r="W66" s="242"/>
    </row>
    <row r="67" spans="1:23" ht="12.75">
      <c r="A67" s="255">
        <v>45923.699444444443</v>
      </c>
      <c r="B67" s="141" t="s">
        <v>359</v>
      </c>
      <c r="C67" s="141"/>
      <c r="D67" s="141" t="s">
        <v>24</v>
      </c>
      <c r="E67" s="256">
        <v>30073</v>
      </c>
      <c r="F67" s="141" t="s">
        <v>227</v>
      </c>
      <c r="G67" s="141" t="s">
        <v>360</v>
      </c>
      <c r="H67" s="141" t="s">
        <v>361</v>
      </c>
      <c r="I67" s="252" t="s">
        <v>4219</v>
      </c>
      <c r="J67" s="141" t="s">
        <v>362</v>
      </c>
      <c r="K67" s="141" t="s">
        <v>29</v>
      </c>
      <c r="L67" s="141" t="s">
        <v>30</v>
      </c>
      <c r="M67" s="141" t="s">
        <v>4245</v>
      </c>
      <c r="N67" s="141" t="s">
        <v>4246</v>
      </c>
      <c r="O67" s="141" t="s">
        <v>365</v>
      </c>
      <c r="P67" s="141" t="s">
        <v>31</v>
      </c>
      <c r="Q67" s="253" t="s">
        <v>32</v>
      </c>
      <c r="R67" s="152"/>
      <c r="S67" s="206" t="s">
        <v>359</v>
      </c>
      <c r="T67" s="261">
        <v>30073</v>
      </c>
      <c r="U67" s="206" t="s">
        <v>362</v>
      </c>
      <c r="V67" s="473" t="s">
        <v>80</v>
      </c>
      <c r="W67" s="474"/>
    </row>
    <row r="68" spans="1:23" ht="12.75">
      <c r="A68" s="255">
        <v>45924.787326388891</v>
      </c>
      <c r="B68" s="141" t="s">
        <v>366</v>
      </c>
      <c r="C68" s="141"/>
      <c r="D68" s="141" t="s">
        <v>45</v>
      </c>
      <c r="E68" s="256">
        <v>37309</v>
      </c>
      <c r="F68" s="141" t="s">
        <v>346</v>
      </c>
      <c r="G68" s="141" t="s">
        <v>367</v>
      </c>
      <c r="H68" s="141" t="s">
        <v>368</v>
      </c>
      <c r="I68" s="252" t="s">
        <v>4219</v>
      </c>
      <c r="J68" s="141" t="s">
        <v>369</v>
      </c>
      <c r="K68" s="141" t="s">
        <v>29</v>
      </c>
      <c r="L68" s="141" t="s">
        <v>30</v>
      </c>
      <c r="M68" s="141"/>
      <c r="N68" s="141"/>
      <c r="O68" s="141"/>
      <c r="P68" s="141" t="s">
        <v>31</v>
      </c>
      <c r="Q68" s="253" t="s">
        <v>32</v>
      </c>
      <c r="R68" s="148"/>
      <c r="S68" s="206" t="s">
        <v>370</v>
      </c>
      <c r="T68" s="261">
        <v>37309</v>
      </c>
      <c r="U68" s="206" t="s">
        <v>369</v>
      </c>
      <c r="V68" s="473" t="s">
        <v>80</v>
      </c>
      <c r="W68" s="474"/>
    </row>
    <row r="69" spans="1:23" ht="12.75">
      <c r="A69" s="255">
        <v>45925.890185185184</v>
      </c>
      <c r="B69" s="141" t="s">
        <v>371</v>
      </c>
      <c r="C69" s="141"/>
      <c r="D69" s="141" t="s">
        <v>45</v>
      </c>
      <c r="E69" s="256">
        <v>45927</v>
      </c>
      <c r="F69" s="141" t="s">
        <v>346</v>
      </c>
      <c r="G69" s="141" t="s">
        <v>372</v>
      </c>
      <c r="H69" s="141" t="s">
        <v>368</v>
      </c>
      <c r="I69" s="252" t="s">
        <v>4219</v>
      </c>
      <c r="J69" s="141" t="s">
        <v>373</v>
      </c>
      <c r="K69" s="141" t="s">
        <v>29</v>
      </c>
      <c r="L69" s="141" t="s">
        <v>30</v>
      </c>
      <c r="M69" s="141"/>
      <c r="N69" s="141"/>
      <c r="O69" s="141"/>
      <c r="P69" s="141" t="s">
        <v>31</v>
      </c>
      <c r="Q69" s="253" t="s">
        <v>32</v>
      </c>
      <c r="R69" s="152"/>
      <c r="S69" s="206" t="s">
        <v>371</v>
      </c>
      <c r="T69" s="261">
        <v>37372</v>
      </c>
      <c r="U69" s="206" t="s">
        <v>373</v>
      </c>
      <c r="V69" s="206" t="s">
        <v>236</v>
      </c>
      <c r="W69" s="206"/>
    </row>
    <row r="70" spans="1:23" ht="12.75">
      <c r="A70" s="255">
        <v>45926.518229166664</v>
      </c>
      <c r="B70" s="141" t="s">
        <v>374</v>
      </c>
      <c r="C70" s="141"/>
      <c r="D70" s="141" t="s">
        <v>24</v>
      </c>
      <c r="E70" s="256">
        <v>34121</v>
      </c>
      <c r="F70" s="141" t="s">
        <v>70</v>
      </c>
      <c r="G70" s="141" t="s">
        <v>375</v>
      </c>
      <c r="H70" s="141" t="s">
        <v>376</v>
      </c>
      <c r="I70" s="252" t="s">
        <v>4219</v>
      </c>
      <c r="J70" s="141" t="s">
        <v>377</v>
      </c>
      <c r="K70" s="141" t="s">
        <v>29</v>
      </c>
      <c r="L70" s="141" t="s">
        <v>30</v>
      </c>
      <c r="M70" s="141"/>
      <c r="N70" s="141"/>
      <c r="O70" s="141"/>
      <c r="P70" s="141" t="s">
        <v>31</v>
      </c>
      <c r="Q70" s="253" t="s">
        <v>32</v>
      </c>
      <c r="R70" s="148"/>
      <c r="S70" s="206" t="s">
        <v>378</v>
      </c>
      <c r="T70" s="261">
        <v>34121</v>
      </c>
      <c r="U70" s="206" t="s">
        <v>377</v>
      </c>
      <c r="V70" s="473" t="s">
        <v>154</v>
      </c>
      <c r="W70" s="474"/>
    </row>
    <row r="71" spans="1:23" ht="12.75">
      <c r="A71" s="249">
        <v>45927.529479166667</v>
      </c>
      <c r="B71" s="250" t="s">
        <v>4247</v>
      </c>
      <c r="C71" s="139"/>
      <c r="D71" s="250" t="s">
        <v>45</v>
      </c>
      <c r="E71" s="251">
        <v>26111</v>
      </c>
      <c r="F71" s="250" t="s">
        <v>380</v>
      </c>
      <c r="G71" s="250" t="s">
        <v>4248</v>
      </c>
      <c r="H71" s="250" t="s">
        <v>4249</v>
      </c>
      <c r="I71" s="252" t="s">
        <v>4223</v>
      </c>
      <c r="J71" s="250" t="s">
        <v>383</v>
      </c>
      <c r="K71" s="250" t="s">
        <v>39</v>
      </c>
      <c r="L71" s="250" t="s">
        <v>30</v>
      </c>
      <c r="M71" s="139"/>
      <c r="N71" s="250"/>
      <c r="O71" s="250"/>
      <c r="P71" s="250" t="s">
        <v>31</v>
      </c>
      <c r="Q71" s="257" t="s">
        <v>56</v>
      </c>
      <c r="R71" s="24"/>
      <c r="S71" s="139"/>
      <c r="T71" s="206"/>
      <c r="U71" s="206"/>
      <c r="V71" s="206"/>
      <c r="W71" s="206"/>
    </row>
    <row r="72" spans="1:23" ht="12.75">
      <c r="A72" s="274">
        <v>45927.903912037036</v>
      </c>
      <c r="B72" s="242" t="s">
        <v>384</v>
      </c>
      <c r="C72" s="242"/>
      <c r="D72" s="242" t="s">
        <v>24</v>
      </c>
      <c r="E72" s="275">
        <v>35457</v>
      </c>
      <c r="F72" s="242" t="s">
        <v>227</v>
      </c>
      <c r="G72" s="242" t="s">
        <v>209</v>
      </c>
      <c r="H72" s="242" t="s">
        <v>385</v>
      </c>
      <c r="I72" s="241" t="s">
        <v>4219</v>
      </c>
      <c r="J72" s="242" t="s">
        <v>386</v>
      </c>
      <c r="K72" s="242" t="s">
        <v>29</v>
      </c>
      <c r="L72" s="242" t="s">
        <v>162</v>
      </c>
      <c r="M72" s="277"/>
      <c r="N72" s="242"/>
      <c r="O72" s="242"/>
      <c r="P72" s="242" t="s">
        <v>31</v>
      </c>
      <c r="Q72" s="244" t="s">
        <v>32</v>
      </c>
      <c r="R72" s="245" t="s">
        <v>43</v>
      </c>
      <c r="S72" s="242" t="s">
        <v>384</v>
      </c>
      <c r="T72" s="266">
        <v>35457</v>
      </c>
      <c r="U72" s="242" t="s">
        <v>386</v>
      </c>
      <c r="V72" s="475" t="s">
        <v>80</v>
      </c>
      <c r="W72" s="474"/>
    </row>
    <row r="73" spans="1:23" ht="12.75">
      <c r="A73" s="240">
        <v>45927.983738425923</v>
      </c>
      <c r="B73" s="241" t="s">
        <v>387</v>
      </c>
      <c r="C73" s="242"/>
      <c r="D73" s="241" t="s">
        <v>45</v>
      </c>
      <c r="E73" s="243">
        <v>31257</v>
      </c>
      <c r="F73" s="241" t="s">
        <v>388</v>
      </c>
      <c r="G73" s="241" t="s">
        <v>389</v>
      </c>
      <c r="H73" s="241" t="s">
        <v>390</v>
      </c>
      <c r="I73" s="241" t="s">
        <v>4237</v>
      </c>
      <c r="J73" s="241" t="s">
        <v>391</v>
      </c>
      <c r="K73" s="241" t="s">
        <v>39</v>
      </c>
      <c r="L73" s="241" t="s">
        <v>30</v>
      </c>
      <c r="M73" s="242"/>
      <c r="N73" s="241"/>
      <c r="O73" s="241"/>
      <c r="P73" s="241" t="s">
        <v>31</v>
      </c>
      <c r="Q73" s="244" t="s">
        <v>32</v>
      </c>
      <c r="R73" s="248" t="s">
        <v>33</v>
      </c>
      <c r="S73" s="246" t="s">
        <v>387</v>
      </c>
      <c r="T73" s="242"/>
      <c r="U73" s="242"/>
      <c r="V73" s="242"/>
      <c r="W73" s="242"/>
    </row>
    <row r="74" spans="1:23" ht="12.75">
      <c r="A74" s="274">
        <v>45928.771412037036</v>
      </c>
      <c r="B74" s="242" t="s">
        <v>392</v>
      </c>
      <c r="C74" s="242"/>
      <c r="D74" s="242" t="s">
        <v>45</v>
      </c>
      <c r="E74" s="275">
        <v>38475</v>
      </c>
      <c r="F74" s="242" t="s">
        <v>393</v>
      </c>
      <c r="G74" s="242" t="s">
        <v>394</v>
      </c>
      <c r="H74" s="242" t="s">
        <v>138</v>
      </c>
      <c r="I74" s="241" t="s">
        <v>4237</v>
      </c>
      <c r="J74" s="242" t="s">
        <v>395</v>
      </c>
      <c r="K74" s="242" t="s">
        <v>29</v>
      </c>
      <c r="L74" s="242" t="s">
        <v>396</v>
      </c>
      <c r="M74" s="242" t="s">
        <v>397</v>
      </c>
      <c r="N74" s="242"/>
      <c r="O74" s="242"/>
      <c r="P74" s="242" t="s">
        <v>31</v>
      </c>
      <c r="Q74" s="244" t="s">
        <v>32</v>
      </c>
      <c r="R74" s="245" t="s">
        <v>43</v>
      </c>
      <c r="S74" s="242" t="s">
        <v>398</v>
      </c>
      <c r="T74" s="266">
        <v>38475</v>
      </c>
      <c r="U74" s="242" t="s">
        <v>395</v>
      </c>
      <c r="V74" s="475" t="s">
        <v>154</v>
      </c>
      <c r="W74" s="474"/>
    </row>
    <row r="75" spans="1:23" ht="12.75">
      <c r="A75" s="274">
        <v>45929.067048611112</v>
      </c>
      <c r="B75" s="242" t="s">
        <v>399</v>
      </c>
      <c r="C75" s="242"/>
      <c r="D75" s="242" t="s">
        <v>24</v>
      </c>
      <c r="E75" s="275">
        <v>35435</v>
      </c>
      <c r="F75" s="242" t="s">
        <v>400</v>
      </c>
      <c r="G75" s="242" t="s">
        <v>401</v>
      </c>
      <c r="H75" s="242" t="s">
        <v>276</v>
      </c>
      <c r="I75" s="241" t="s">
        <v>4219</v>
      </c>
      <c r="J75" s="242" t="s">
        <v>402</v>
      </c>
      <c r="K75" s="242" t="s">
        <v>29</v>
      </c>
      <c r="L75" s="242" t="s">
        <v>30</v>
      </c>
      <c r="M75" s="277"/>
      <c r="N75" s="242"/>
      <c r="O75" s="242"/>
      <c r="P75" s="242" t="s">
        <v>31</v>
      </c>
      <c r="Q75" s="244" t="s">
        <v>32</v>
      </c>
      <c r="R75" s="248" t="s">
        <v>33</v>
      </c>
      <c r="S75" s="242" t="s">
        <v>403</v>
      </c>
      <c r="T75" s="266">
        <v>35435</v>
      </c>
      <c r="U75" s="242" t="s">
        <v>404</v>
      </c>
      <c r="V75" s="475" t="s">
        <v>129</v>
      </c>
      <c r="W75" s="474"/>
    </row>
    <row r="76" spans="1:23" ht="12.75">
      <c r="A76" s="255">
        <v>45929.922511574077</v>
      </c>
      <c r="B76" s="141" t="s">
        <v>405</v>
      </c>
      <c r="C76" s="141"/>
      <c r="D76" s="141" t="s">
        <v>45</v>
      </c>
      <c r="E76" s="256">
        <v>36423</v>
      </c>
      <c r="F76" s="141" t="s">
        <v>406</v>
      </c>
      <c r="G76" s="141" t="s">
        <v>407</v>
      </c>
      <c r="H76" s="141" t="s">
        <v>408</v>
      </c>
      <c r="I76" s="252" t="s">
        <v>4223</v>
      </c>
      <c r="J76" s="141" t="s">
        <v>409</v>
      </c>
      <c r="K76" s="141" t="s">
        <v>29</v>
      </c>
      <c r="L76" s="141" t="s">
        <v>30</v>
      </c>
      <c r="M76" s="141"/>
      <c r="N76" s="141"/>
      <c r="O76" s="141"/>
      <c r="P76" s="141" t="s">
        <v>31</v>
      </c>
      <c r="Q76" s="253" t="s">
        <v>32</v>
      </c>
      <c r="R76" s="152"/>
      <c r="S76" s="206" t="s">
        <v>405</v>
      </c>
      <c r="T76" s="261">
        <v>36423</v>
      </c>
      <c r="U76" s="206" t="s">
        <v>410</v>
      </c>
      <c r="V76" s="473" t="s">
        <v>80</v>
      </c>
      <c r="W76" s="474"/>
    </row>
    <row r="77" spans="1:23" ht="12.75">
      <c r="A77" s="249">
        <v>45930.241828703707</v>
      </c>
      <c r="B77" s="250" t="s">
        <v>4250</v>
      </c>
      <c r="C77" s="139"/>
      <c r="D77" s="250" t="s">
        <v>24</v>
      </c>
      <c r="E77" s="251">
        <v>36388</v>
      </c>
      <c r="F77" s="250" t="s">
        <v>208</v>
      </c>
      <c r="G77" s="250" t="s">
        <v>2642</v>
      </c>
      <c r="H77" s="250" t="s">
        <v>66</v>
      </c>
      <c r="I77" s="252" t="s">
        <v>4223</v>
      </c>
      <c r="J77" s="250" t="s">
        <v>413</v>
      </c>
      <c r="K77" s="250" t="s">
        <v>29</v>
      </c>
      <c r="L77" s="250" t="s">
        <v>30</v>
      </c>
      <c r="M77" s="139"/>
      <c r="N77" s="250"/>
      <c r="O77" s="250"/>
      <c r="P77" s="250" t="s">
        <v>31</v>
      </c>
      <c r="Q77" s="253" t="s">
        <v>32</v>
      </c>
      <c r="R77" s="148"/>
      <c r="S77" s="254" t="s">
        <v>414</v>
      </c>
      <c r="T77" s="206"/>
      <c r="U77" s="206"/>
      <c r="V77" s="206"/>
      <c r="W77" s="206"/>
    </row>
    <row r="78" spans="1:23" ht="12.75">
      <c r="A78" s="255">
        <v>45930.647893518515</v>
      </c>
      <c r="B78" s="141" t="s">
        <v>415</v>
      </c>
      <c r="C78" s="141"/>
      <c r="D78" s="141" t="s">
        <v>24</v>
      </c>
      <c r="E78" s="256">
        <v>25119</v>
      </c>
      <c r="F78" s="141" t="s">
        <v>416</v>
      </c>
      <c r="G78" s="141" t="s">
        <v>417</v>
      </c>
      <c r="H78" s="141" t="s">
        <v>418</v>
      </c>
      <c r="I78" s="252" t="s">
        <v>4219</v>
      </c>
      <c r="J78" s="141" t="s">
        <v>419</v>
      </c>
      <c r="K78" s="141" t="s">
        <v>29</v>
      </c>
      <c r="L78" s="141" t="s">
        <v>30</v>
      </c>
      <c r="M78" s="141"/>
      <c r="N78" s="141"/>
      <c r="O78" s="141"/>
      <c r="P78" s="141" t="s">
        <v>31</v>
      </c>
      <c r="Q78" s="278" t="s">
        <v>32</v>
      </c>
      <c r="R78" s="152" t="s">
        <v>33</v>
      </c>
      <c r="S78" s="206" t="s">
        <v>415</v>
      </c>
      <c r="T78" s="279">
        <v>25119</v>
      </c>
      <c r="U78" s="206" t="s">
        <v>420</v>
      </c>
      <c r="V78" s="206"/>
      <c r="W78" s="206"/>
    </row>
    <row r="79" spans="1:23" ht="12.75">
      <c r="A79" s="259">
        <v>45930.815185185187</v>
      </c>
      <c r="B79" s="252" t="s">
        <v>4251</v>
      </c>
      <c r="C79" s="141"/>
      <c r="D79" s="252" t="s">
        <v>24</v>
      </c>
      <c r="E79" s="260">
        <v>23997</v>
      </c>
      <c r="F79" s="252" t="s">
        <v>422</v>
      </c>
      <c r="G79" s="252" t="s">
        <v>4252</v>
      </c>
      <c r="H79" s="252" t="s">
        <v>4253</v>
      </c>
      <c r="I79" s="252" t="s">
        <v>4219</v>
      </c>
      <c r="J79" s="252" t="s">
        <v>425</v>
      </c>
      <c r="K79" s="252" t="s">
        <v>39</v>
      </c>
      <c r="L79" s="252" t="s">
        <v>30</v>
      </c>
      <c r="M79" s="141"/>
      <c r="N79" s="252"/>
      <c r="O79" s="252"/>
      <c r="P79" s="252" t="s">
        <v>31</v>
      </c>
      <c r="Q79" s="253" t="s">
        <v>32</v>
      </c>
      <c r="R79" s="148"/>
      <c r="S79" s="24" t="s">
        <v>426</v>
      </c>
      <c r="T79" s="206"/>
      <c r="U79" s="206"/>
      <c r="V79" s="206"/>
      <c r="W79" s="206"/>
    </row>
    <row r="80" spans="1:23" ht="12.75">
      <c r="A80" s="255">
        <v>45930.815208333333</v>
      </c>
      <c r="B80" s="141" t="s">
        <v>427</v>
      </c>
      <c r="C80" s="141"/>
      <c r="D80" s="141" t="s">
        <v>45</v>
      </c>
      <c r="E80" s="256">
        <v>37516</v>
      </c>
      <c r="F80" s="141" t="s">
        <v>64</v>
      </c>
      <c r="G80" s="141" t="s">
        <v>428</v>
      </c>
      <c r="H80" s="141" t="s">
        <v>429</v>
      </c>
      <c r="I80" s="252" t="s">
        <v>4219</v>
      </c>
      <c r="J80" s="141" t="s">
        <v>430</v>
      </c>
      <c r="K80" s="141" t="s">
        <v>29</v>
      </c>
      <c r="L80" s="141" t="s">
        <v>30</v>
      </c>
      <c r="M80" s="141"/>
      <c r="N80" s="141"/>
      <c r="O80" s="141"/>
      <c r="P80" s="141" t="s">
        <v>31</v>
      </c>
      <c r="Q80" s="257" t="s">
        <v>56</v>
      </c>
      <c r="R80" s="24"/>
      <c r="S80" s="206"/>
      <c r="T80" s="258"/>
      <c r="U80" s="206"/>
      <c r="V80" s="206"/>
      <c r="W80" s="206"/>
    </row>
    <row r="81" spans="1:23" ht="12.75">
      <c r="A81" s="274">
        <v>45932.03570601852</v>
      </c>
      <c r="B81" s="242" t="s">
        <v>431</v>
      </c>
      <c r="C81" s="242" t="s">
        <v>432</v>
      </c>
      <c r="D81" s="242" t="s">
        <v>45</v>
      </c>
      <c r="E81" s="275">
        <v>31339</v>
      </c>
      <c r="F81" s="242" t="s">
        <v>433</v>
      </c>
      <c r="G81" s="242" t="s">
        <v>434</v>
      </c>
      <c r="H81" s="242" t="s">
        <v>435</v>
      </c>
      <c r="I81" s="241" t="s">
        <v>4223</v>
      </c>
      <c r="J81" s="242" t="s">
        <v>436</v>
      </c>
      <c r="K81" s="242" t="s">
        <v>29</v>
      </c>
      <c r="L81" s="242" t="s">
        <v>30</v>
      </c>
      <c r="M81" s="242"/>
      <c r="N81" s="242"/>
      <c r="O81" s="242"/>
      <c r="P81" s="242" t="s">
        <v>31</v>
      </c>
      <c r="Q81" s="244" t="s">
        <v>32</v>
      </c>
      <c r="R81" s="245" t="s">
        <v>33</v>
      </c>
      <c r="S81" s="242" t="s">
        <v>431</v>
      </c>
      <c r="T81" s="266">
        <v>31339</v>
      </c>
      <c r="U81" s="242" t="s">
        <v>436</v>
      </c>
      <c r="V81" s="475" t="s">
        <v>80</v>
      </c>
      <c r="W81" s="474"/>
    </row>
    <row r="82" spans="1:23" ht="12.75">
      <c r="A82" s="249">
        <v>45933.041493055556</v>
      </c>
      <c r="B82" s="250" t="s">
        <v>437</v>
      </c>
      <c r="C82" s="139"/>
      <c r="D82" s="250" t="s">
        <v>45</v>
      </c>
      <c r="E82" s="251">
        <v>29853</v>
      </c>
      <c r="F82" s="250" t="s">
        <v>438</v>
      </c>
      <c r="G82" s="250" t="s">
        <v>439</v>
      </c>
      <c r="H82" s="250" t="s">
        <v>440</v>
      </c>
      <c r="I82" s="252" t="s">
        <v>4219</v>
      </c>
      <c r="J82" s="250" t="s">
        <v>441</v>
      </c>
      <c r="K82" s="250" t="s">
        <v>29</v>
      </c>
      <c r="L82" s="250" t="s">
        <v>30</v>
      </c>
      <c r="M82" s="250" t="s">
        <v>442</v>
      </c>
      <c r="N82" s="280" t="s">
        <v>4254</v>
      </c>
      <c r="O82" s="250" t="s">
        <v>42</v>
      </c>
      <c r="P82" s="250" t="s">
        <v>31</v>
      </c>
      <c r="Q82" s="257" t="s">
        <v>56</v>
      </c>
      <c r="R82" s="24"/>
      <c r="S82" s="139"/>
      <c r="T82" s="206"/>
      <c r="U82" s="206"/>
      <c r="V82" s="206"/>
      <c r="W82" s="206"/>
    </row>
    <row r="83" spans="1:23" ht="12.75">
      <c r="A83" s="255">
        <v>45933.580405092594</v>
      </c>
      <c r="B83" s="141" t="s">
        <v>445</v>
      </c>
      <c r="C83" s="141"/>
      <c r="D83" s="141" t="s">
        <v>24</v>
      </c>
      <c r="E83" s="256">
        <v>36608</v>
      </c>
      <c r="F83" s="141" t="s">
        <v>227</v>
      </c>
      <c r="G83" s="141" t="s">
        <v>446</v>
      </c>
      <c r="H83" s="141" t="s">
        <v>90</v>
      </c>
      <c r="I83" s="252" t="s">
        <v>4219</v>
      </c>
      <c r="J83" s="141" t="s">
        <v>447</v>
      </c>
      <c r="K83" s="141" t="s">
        <v>29</v>
      </c>
      <c r="L83" s="141" t="s">
        <v>30</v>
      </c>
      <c r="M83" s="141"/>
      <c r="N83" s="141"/>
      <c r="O83" s="141"/>
      <c r="P83" s="141" t="s">
        <v>31</v>
      </c>
      <c r="Q83" s="253" t="s">
        <v>32</v>
      </c>
      <c r="R83" s="148"/>
      <c r="S83" s="206" t="s">
        <v>445</v>
      </c>
      <c r="T83" s="261">
        <v>36608</v>
      </c>
      <c r="U83" s="206" t="s">
        <v>447</v>
      </c>
      <c r="V83" s="473" t="s">
        <v>80</v>
      </c>
      <c r="W83" s="474"/>
    </row>
    <row r="84" spans="1:23" ht="12.75">
      <c r="A84" s="274">
        <v>45933.673692129632</v>
      </c>
      <c r="B84" s="242" t="s">
        <v>448</v>
      </c>
      <c r="C84" s="242" t="s">
        <v>449</v>
      </c>
      <c r="D84" s="242" t="s">
        <v>24</v>
      </c>
      <c r="E84" s="275">
        <v>36659</v>
      </c>
      <c r="F84" s="242" t="s">
        <v>227</v>
      </c>
      <c r="G84" s="242" t="s">
        <v>446</v>
      </c>
      <c r="H84" s="242" t="s">
        <v>90</v>
      </c>
      <c r="I84" s="241" t="s">
        <v>4219</v>
      </c>
      <c r="J84" s="242" t="s">
        <v>450</v>
      </c>
      <c r="K84" s="242" t="s">
        <v>39</v>
      </c>
      <c r="L84" s="242" t="s">
        <v>152</v>
      </c>
      <c r="M84" s="242"/>
      <c r="N84" s="242"/>
      <c r="O84" s="242"/>
      <c r="P84" s="242" t="s">
        <v>31</v>
      </c>
      <c r="Q84" s="244" t="s">
        <v>32</v>
      </c>
      <c r="R84" s="245" t="s">
        <v>33</v>
      </c>
      <c r="S84" s="242" t="s">
        <v>448</v>
      </c>
      <c r="T84" s="266">
        <v>36659</v>
      </c>
      <c r="U84" s="242" t="s">
        <v>450</v>
      </c>
      <c r="V84" s="475" t="s">
        <v>80</v>
      </c>
      <c r="W84" s="474"/>
    </row>
    <row r="85" spans="1:23" ht="12.75">
      <c r="A85" s="255">
        <v>45936.842638888891</v>
      </c>
      <c r="B85" s="141" t="s">
        <v>451</v>
      </c>
      <c r="C85" s="141"/>
      <c r="D85" s="141" t="s">
        <v>45</v>
      </c>
      <c r="E85" s="256">
        <v>36383</v>
      </c>
      <c r="F85" s="141" t="s">
        <v>208</v>
      </c>
      <c r="G85" s="141" t="s">
        <v>452</v>
      </c>
      <c r="H85" s="141" t="s">
        <v>66</v>
      </c>
      <c r="I85" s="252" t="s">
        <v>4223</v>
      </c>
      <c r="J85" s="141" t="s">
        <v>453</v>
      </c>
      <c r="K85" s="141" t="s">
        <v>29</v>
      </c>
      <c r="L85" s="141" t="s">
        <v>30</v>
      </c>
      <c r="M85" s="141"/>
      <c r="N85" s="141"/>
      <c r="O85" s="141"/>
      <c r="P85" s="141" t="s">
        <v>31</v>
      </c>
      <c r="Q85" s="253" t="s">
        <v>32</v>
      </c>
      <c r="R85" s="148"/>
      <c r="S85" s="206" t="s">
        <v>454</v>
      </c>
      <c r="T85" s="261">
        <v>36414</v>
      </c>
      <c r="U85" s="206" t="s">
        <v>453</v>
      </c>
      <c r="V85" s="206" t="s">
        <v>236</v>
      </c>
      <c r="W85" s="206"/>
    </row>
    <row r="86" spans="1:23" ht="12.75">
      <c r="A86" s="255">
        <v>45936.9450462963</v>
      </c>
      <c r="B86" s="141" t="s">
        <v>455</v>
      </c>
      <c r="C86" s="141"/>
      <c r="D86" s="141" t="s">
        <v>45</v>
      </c>
      <c r="E86" s="256">
        <v>37238</v>
      </c>
      <c r="F86" s="141" t="s">
        <v>208</v>
      </c>
      <c r="G86" s="141" t="s">
        <v>456</v>
      </c>
      <c r="H86" s="141" t="s">
        <v>66</v>
      </c>
      <c r="I86" s="252" t="s">
        <v>4223</v>
      </c>
      <c r="J86" s="141" t="s">
        <v>457</v>
      </c>
      <c r="K86" s="141" t="s">
        <v>29</v>
      </c>
      <c r="L86" s="141" t="s">
        <v>30</v>
      </c>
      <c r="M86" s="141"/>
      <c r="N86" s="141"/>
      <c r="O86" s="141"/>
      <c r="P86" s="141" t="s">
        <v>31</v>
      </c>
      <c r="Q86" s="253" t="s">
        <v>32</v>
      </c>
      <c r="R86" s="152"/>
      <c r="S86" s="206" t="s">
        <v>458</v>
      </c>
      <c r="T86" s="261">
        <v>37238</v>
      </c>
      <c r="U86" s="206" t="s">
        <v>457</v>
      </c>
      <c r="V86" s="473" t="s">
        <v>80</v>
      </c>
      <c r="W86" s="474"/>
    </row>
    <row r="87" spans="1:23" ht="12.75">
      <c r="A87" s="255">
        <v>45937.119791666664</v>
      </c>
      <c r="B87" s="141" t="s">
        <v>459</v>
      </c>
      <c r="C87" s="141"/>
      <c r="D87" s="141" t="s">
        <v>24</v>
      </c>
      <c r="E87" s="256">
        <v>37321</v>
      </c>
      <c r="F87" s="141" t="s">
        <v>208</v>
      </c>
      <c r="G87" s="141" t="s">
        <v>460</v>
      </c>
      <c r="H87" s="141" t="s">
        <v>461</v>
      </c>
      <c r="I87" s="252" t="s">
        <v>4223</v>
      </c>
      <c r="J87" s="141" t="s">
        <v>462</v>
      </c>
      <c r="K87" s="141" t="s">
        <v>29</v>
      </c>
      <c r="L87" s="141" t="s">
        <v>30</v>
      </c>
      <c r="M87" s="141"/>
      <c r="N87" s="141"/>
      <c r="O87" s="141"/>
      <c r="P87" s="141" t="s">
        <v>31</v>
      </c>
      <c r="Q87" s="253" t="s">
        <v>32</v>
      </c>
      <c r="R87" s="148"/>
      <c r="S87" s="206" t="s">
        <v>459</v>
      </c>
      <c r="T87" s="261">
        <v>37321</v>
      </c>
      <c r="U87" s="206" t="s">
        <v>462</v>
      </c>
      <c r="V87" s="206" t="s">
        <v>463</v>
      </c>
      <c r="W87" s="206"/>
    </row>
    <row r="88" spans="1:23" ht="12.75">
      <c r="A88" s="255">
        <v>45940.734467592592</v>
      </c>
      <c r="B88" s="141" t="s">
        <v>464</v>
      </c>
      <c r="C88" s="141"/>
      <c r="D88" s="141" t="s">
        <v>45</v>
      </c>
      <c r="E88" s="256">
        <v>30764</v>
      </c>
      <c r="F88" s="141" t="s">
        <v>433</v>
      </c>
      <c r="G88" s="141" t="s">
        <v>465</v>
      </c>
      <c r="H88" s="141" t="s">
        <v>466</v>
      </c>
      <c r="I88" s="252" t="s">
        <v>4223</v>
      </c>
      <c r="J88" s="141" t="s">
        <v>467</v>
      </c>
      <c r="K88" s="141" t="s">
        <v>29</v>
      </c>
      <c r="L88" s="141" t="s">
        <v>30</v>
      </c>
      <c r="M88" s="141"/>
      <c r="N88" s="141"/>
      <c r="O88" s="141"/>
      <c r="P88" s="141" t="s">
        <v>31</v>
      </c>
      <c r="Q88" s="253" t="s">
        <v>32</v>
      </c>
      <c r="R88" s="148"/>
      <c r="S88" s="206" t="s">
        <v>464</v>
      </c>
      <c r="T88" s="261">
        <v>30764</v>
      </c>
      <c r="U88" s="206" t="s">
        <v>467</v>
      </c>
      <c r="V88" s="473" t="s">
        <v>80</v>
      </c>
      <c r="W88" s="474"/>
    </row>
    <row r="89" spans="1:23" ht="12.75">
      <c r="A89" s="255">
        <v>45942.882754629631</v>
      </c>
      <c r="B89" s="141" t="s">
        <v>468</v>
      </c>
      <c r="C89" s="141" t="s">
        <v>469</v>
      </c>
      <c r="D89" s="141" t="s">
        <v>45</v>
      </c>
      <c r="E89" s="256">
        <v>28912</v>
      </c>
      <c r="F89" s="141" t="s">
        <v>470</v>
      </c>
      <c r="G89" s="141" t="s">
        <v>471</v>
      </c>
      <c r="H89" s="141" t="s">
        <v>90</v>
      </c>
      <c r="I89" s="252" t="s">
        <v>4219</v>
      </c>
      <c r="J89" s="141" t="s">
        <v>472</v>
      </c>
      <c r="K89" s="141" t="s">
        <v>29</v>
      </c>
      <c r="L89" s="141" t="s">
        <v>30</v>
      </c>
      <c r="M89" s="141" t="s">
        <v>473</v>
      </c>
      <c r="N89" s="141"/>
      <c r="O89" s="141"/>
      <c r="P89" s="141" t="s">
        <v>31</v>
      </c>
      <c r="Q89" s="257" t="s">
        <v>56</v>
      </c>
      <c r="R89" s="24"/>
      <c r="S89" s="206"/>
      <c r="T89" s="258"/>
      <c r="U89" s="206"/>
      <c r="V89" s="206"/>
      <c r="W89" s="206"/>
    </row>
    <row r="90" spans="1:23" ht="12.75">
      <c r="A90" s="274">
        <v>45943.15556712963</v>
      </c>
      <c r="B90" s="242" t="s">
        <v>474</v>
      </c>
      <c r="C90" s="242"/>
      <c r="D90" s="242" t="s">
        <v>45</v>
      </c>
      <c r="E90" s="275">
        <v>26224</v>
      </c>
      <c r="F90" s="242" t="s">
        <v>475</v>
      </c>
      <c r="G90" s="242" t="s">
        <v>476</v>
      </c>
      <c r="H90" s="242" t="s">
        <v>477</v>
      </c>
      <c r="I90" s="241" t="s">
        <v>4219</v>
      </c>
      <c r="J90" s="242" t="s">
        <v>478</v>
      </c>
      <c r="K90" s="242" t="s">
        <v>29</v>
      </c>
      <c r="L90" s="242" t="s">
        <v>30</v>
      </c>
      <c r="M90" s="242" t="s">
        <v>479</v>
      </c>
      <c r="N90" s="242"/>
      <c r="O90" s="242"/>
      <c r="P90" s="242" t="s">
        <v>31</v>
      </c>
      <c r="Q90" s="244" t="s">
        <v>32</v>
      </c>
      <c r="R90" s="245" t="s">
        <v>17</v>
      </c>
      <c r="S90" s="242" t="s">
        <v>480</v>
      </c>
      <c r="T90" s="266">
        <v>26224</v>
      </c>
      <c r="U90" s="242" t="s">
        <v>481</v>
      </c>
      <c r="V90" s="475" t="s">
        <v>154</v>
      </c>
      <c r="W90" s="474"/>
    </row>
    <row r="91" spans="1:23" ht="12.75">
      <c r="A91" s="255">
        <v>45945.977766203701</v>
      </c>
      <c r="B91" s="141" t="s">
        <v>482</v>
      </c>
      <c r="C91" s="141"/>
      <c r="D91" s="141" t="s">
        <v>24</v>
      </c>
      <c r="E91" s="256">
        <v>37213</v>
      </c>
      <c r="F91" s="141" t="s">
        <v>208</v>
      </c>
      <c r="G91" s="141" t="s">
        <v>483</v>
      </c>
      <c r="H91" s="141" t="s">
        <v>66</v>
      </c>
      <c r="I91" s="252" t="s">
        <v>4223</v>
      </c>
      <c r="J91" s="141" t="s">
        <v>484</v>
      </c>
      <c r="K91" s="141" t="s">
        <v>29</v>
      </c>
      <c r="L91" s="141" t="s">
        <v>30</v>
      </c>
      <c r="M91" s="141"/>
      <c r="N91" s="141"/>
      <c r="O91" s="141"/>
      <c r="P91" s="141" t="s">
        <v>31</v>
      </c>
      <c r="Q91" s="253" t="s">
        <v>32</v>
      </c>
      <c r="R91" s="148"/>
      <c r="S91" s="206" t="s">
        <v>482</v>
      </c>
      <c r="T91" s="261">
        <v>37213</v>
      </c>
      <c r="U91" s="206" t="s">
        <v>484</v>
      </c>
      <c r="V91" s="473" t="s">
        <v>80</v>
      </c>
      <c r="W91" s="474"/>
    </row>
    <row r="92" spans="1:23" ht="12.75">
      <c r="A92" s="274">
        <v>45946.596886574072</v>
      </c>
      <c r="B92" s="242" t="s">
        <v>485</v>
      </c>
      <c r="C92" s="242"/>
      <c r="D92" s="242" t="s">
        <v>24</v>
      </c>
      <c r="E92" s="275">
        <v>37372</v>
      </c>
      <c r="F92" s="242" t="s">
        <v>486</v>
      </c>
      <c r="G92" s="242" t="s">
        <v>487</v>
      </c>
      <c r="H92" s="242" t="s">
        <v>66</v>
      </c>
      <c r="I92" s="241" t="s">
        <v>4237</v>
      </c>
      <c r="J92" s="242" t="s">
        <v>488</v>
      </c>
      <c r="K92" s="242" t="s">
        <v>29</v>
      </c>
      <c r="L92" s="242" t="s">
        <v>30</v>
      </c>
      <c r="M92" s="242"/>
      <c r="N92" s="242"/>
      <c r="O92" s="242"/>
      <c r="P92" s="242" t="s">
        <v>31</v>
      </c>
      <c r="Q92" s="244" t="s">
        <v>32</v>
      </c>
      <c r="R92" s="245" t="s">
        <v>33</v>
      </c>
      <c r="S92" s="242" t="s">
        <v>489</v>
      </c>
      <c r="T92" s="266">
        <v>37372</v>
      </c>
      <c r="U92" s="242" t="s">
        <v>488</v>
      </c>
      <c r="V92" s="475" t="s">
        <v>154</v>
      </c>
      <c r="W92" s="474"/>
    </row>
    <row r="93" spans="1:23" ht="12.75">
      <c r="A93" s="255">
        <v>45946.731423611112</v>
      </c>
      <c r="B93" s="141" t="s">
        <v>490</v>
      </c>
      <c r="C93" s="141"/>
      <c r="D93" s="141" t="s">
        <v>24</v>
      </c>
      <c r="E93" s="256">
        <v>37052</v>
      </c>
      <c r="F93" s="141" t="s">
        <v>88</v>
      </c>
      <c r="G93" s="141" t="s">
        <v>491</v>
      </c>
      <c r="H93" s="141" t="s">
        <v>66</v>
      </c>
      <c r="I93" s="252" t="s">
        <v>4223</v>
      </c>
      <c r="J93" s="141" t="s">
        <v>492</v>
      </c>
      <c r="K93" s="141" t="s">
        <v>29</v>
      </c>
      <c r="L93" s="141" t="s">
        <v>30</v>
      </c>
      <c r="M93" s="141"/>
      <c r="N93" s="141"/>
      <c r="O93" s="141"/>
      <c r="P93" s="141" t="s">
        <v>31</v>
      </c>
      <c r="Q93" s="253" t="s">
        <v>32</v>
      </c>
      <c r="R93" s="148"/>
      <c r="S93" s="206" t="s">
        <v>493</v>
      </c>
      <c r="T93" s="261">
        <v>37052</v>
      </c>
      <c r="U93" s="206" t="s">
        <v>494</v>
      </c>
      <c r="V93" s="473" t="s">
        <v>101</v>
      </c>
      <c r="W93" s="474"/>
    </row>
    <row r="94" spans="1:23" ht="12.75">
      <c r="A94" s="255">
        <v>45946.974629629629</v>
      </c>
      <c r="B94" s="141" t="s">
        <v>495</v>
      </c>
      <c r="C94" s="141"/>
      <c r="D94" s="141" t="s">
        <v>45</v>
      </c>
      <c r="E94" s="256">
        <v>36184</v>
      </c>
      <c r="F94" s="141" t="s">
        <v>88</v>
      </c>
      <c r="G94" s="141" t="s">
        <v>496</v>
      </c>
      <c r="H94" s="141" t="s">
        <v>497</v>
      </c>
      <c r="I94" s="252" t="s">
        <v>4223</v>
      </c>
      <c r="J94" s="141" t="s">
        <v>498</v>
      </c>
      <c r="K94" s="141" t="s">
        <v>29</v>
      </c>
      <c r="L94" s="141" t="s">
        <v>30</v>
      </c>
      <c r="M94" s="141"/>
      <c r="N94" s="141"/>
      <c r="O94" s="141"/>
      <c r="P94" s="141" t="s">
        <v>31</v>
      </c>
      <c r="Q94" s="253" t="s">
        <v>32</v>
      </c>
      <c r="R94" s="152"/>
      <c r="S94" s="206" t="s">
        <v>495</v>
      </c>
      <c r="T94" s="261">
        <v>36184</v>
      </c>
      <c r="U94" s="206" t="s">
        <v>498</v>
      </c>
      <c r="V94" s="473" t="s">
        <v>80</v>
      </c>
      <c r="W94" s="474"/>
    </row>
    <row r="95" spans="1:23" ht="12.75">
      <c r="A95" s="268">
        <v>45947.178981481484</v>
      </c>
      <c r="B95" s="269" t="s">
        <v>499</v>
      </c>
      <c r="C95" s="269"/>
      <c r="D95" s="269" t="s">
        <v>45</v>
      </c>
      <c r="E95" s="270">
        <v>33297</v>
      </c>
      <c r="F95" s="141" t="s">
        <v>88</v>
      </c>
      <c r="G95" s="269" t="s">
        <v>500</v>
      </c>
      <c r="H95" s="269" t="s">
        <v>186</v>
      </c>
      <c r="I95" s="252" t="s">
        <v>4223</v>
      </c>
      <c r="J95" s="269" t="s">
        <v>501</v>
      </c>
      <c r="K95" s="269" t="s">
        <v>29</v>
      </c>
      <c r="L95" s="269" t="s">
        <v>30</v>
      </c>
      <c r="M95" s="269"/>
      <c r="N95" s="269"/>
      <c r="O95" s="269"/>
      <c r="P95" s="269" t="s">
        <v>31</v>
      </c>
      <c r="Q95" s="253" t="s">
        <v>32</v>
      </c>
      <c r="R95" s="148" t="s">
        <v>33</v>
      </c>
      <c r="S95" s="206" t="s">
        <v>499</v>
      </c>
      <c r="T95" s="261">
        <v>33297</v>
      </c>
      <c r="U95" s="206" t="s">
        <v>501</v>
      </c>
      <c r="V95" s="473" t="s">
        <v>80</v>
      </c>
      <c r="W95" s="474"/>
    </row>
    <row r="96" spans="1:23" ht="12.75">
      <c r="A96" s="255">
        <v>45947.179699074077</v>
      </c>
      <c r="B96" s="141" t="s">
        <v>502</v>
      </c>
      <c r="C96" s="141"/>
      <c r="D96" s="141" t="s">
        <v>24</v>
      </c>
      <c r="E96" s="256">
        <v>33702</v>
      </c>
      <c r="F96" s="141" t="s">
        <v>88</v>
      </c>
      <c r="G96" s="141" t="s">
        <v>500</v>
      </c>
      <c r="H96" s="141" t="s">
        <v>503</v>
      </c>
      <c r="I96" s="252" t="s">
        <v>4223</v>
      </c>
      <c r="J96" s="141" t="s">
        <v>504</v>
      </c>
      <c r="K96" s="141" t="s">
        <v>29</v>
      </c>
      <c r="L96" s="141" t="s">
        <v>30</v>
      </c>
      <c r="M96" s="141"/>
      <c r="N96" s="141"/>
      <c r="O96" s="141"/>
      <c r="P96" s="141" t="s">
        <v>31</v>
      </c>
      <c r="Q96" s="253" t="s">
        <v>32</v>
      </c>
      <c r="R96" s="152"/>
      <c r="S96" s="206" t="s">
        <v>505</v>
      </c>
      <c r="T96" s="261">
        <v>33702</v>
      </c>
      <c r="U96" s="206" t="s">
        <v>504</v>
      </c>
      <c r="V96" s="473" t="s">
        <v>154</v>
      </c>
      <c r="W96" s="474"/>
    </row>
    <row r="97" spans="1:23" ht="12.75">
      <c r="A97" s="255">
        <v>45947.313321759262</v>
      </c>
      <c r="B97" s="141" t="s">
        <v>506</v>
      </c>
      <c r="C97" s="141"/>
      <c r="D97" s="141" t="s">
        <v>24</v>
      </c>
      <c r="E97" s="256">
        <v>36417</v>
      </c>
      <c r="F97" s="141" t="s">
        <v>507</v>
      </c>
      <c r="G97" s="141" t="s">
        <v>508</v>
      </c>
      <c r="H97" s="141" t="s">
        <v>509</v>
      </c>
      <c r="I97" s="252" t="s">
        <v>4219</v>
      </c>
      <c r="J97" s="141" t="s">
        <v>510</v>
      </c>
      <c r="K97" s="141" t="s">
        <v>29</v>
      </c>
      <c r="L97" s="141" t="s">
        <v>30</v>
      </c>
      <c r="M97" s="141"/>
      <c r="N97" s="141"/>
      <c r="O97" s="141"/>
      <c r="P97" s="141" t="s">
        <v>31</v>
      </c>
      <c r="Q97" s="253" t="s">
        <v>32</v>
      </c>
      <c r="R97" s="152" t="s">
        <v>33</v>
      </c>
      <c r="S97" s="206" t="s">
        <v>511</v>
      </c>
      <c r="T97" s="261">
        <v>36417</v>
      </c>
      <c r="U97" s="206" t="s">
        <v>510</v>
      </c>
      <c r="V97" s="473" t="s">
        <v>80</v>
      </c>
      <c r="W97" s="474"/>
    </row>
    <row r="98" spans="1:23" ht="12.75">
      <c r="A98" s="274">
        <v>45947.313344907408</v>
      </c>
      <c r="B98" s="475" t="s">
        <v>512</v>
      </c>
      <c r="C98" s="474"/>
      <c r="D98" s="242" t="s">
        <v>24</v>
      </c>
      <c r="E98" s="275">
        <v>37086</v>
      </c>
      <c r="F98" s="242" t="s">
        <v>513</v>
      </c>
      <c r="G98" s="242" t="s">
        <v>514</v>
      </c>
      <c r="H98" s="242" t="s">
        <v>106</v>
      </c>
      <c r="I98" s="241" t="s">
        <v>4219</v>
      </c>
      <c r="J98" s="242" t="s">
        <v>515</v>
      </c>
      <c r="K98" s="242" t="s">
        <v>29</v>
      </c>
      <c r="L98" s="242" t="s">
        <v>30</v>
      </c>
      <c r="M98" s="242"/>
      <c r="N98" s="242"/>
      <c r="O98" s="242"/>
      <c r="P98" s="242" t="s">
        <v>31</v>
      </c>
      <c r="Q98" s="244" t="s">
        <v>32</v>
      </c>
      <c r="R98" s="245" t="s">
        <v>33</v>
      </c>
      <c r="S98" s="242" t="s">
        <v>516</v>
      </c>
      <c r="T98" s="266">
        <v>37086</v>
      </c>
      <c r="U98" s="242" t="s">
        <v>515</v>
      </c>
      <c r="V98" s="475" t="s">
        <v>154</v>
      </c>
      <c r="W98" s="474"/>
    </row>
    <row r="99" spans="1:23" ht="12.75">
      <c r="A99" s="274">
        <v>45947.313368055555</v>
      </c>
      <c r="B99" s="242" t="s">
        <v>517</v>
      </c>
      <c r="C99" s="242"/>
      <c r="D99" s="242" t="s">
        <v>24</v>
      </c>
      <c r="E99" s="275">
        <v>33994</v>
      </c>
      <c r="F99" s="242" t="s">
        <v>507</v>
      </c>
      <c r="G99" s="242" t="s">
        <v>508</v>
      </c>
      <c r="H99" s="242" t="s">
        <v>518</v>
      </c>
      <c r="I99" s="241" t="s">
        <v>4219</v>
      </c>
      <c r="J99" s="242" t="s">
        <v>519</v>
      </c>
      <c r="K99" s="242" t="s">
        <v>29</v>
      </c>
      <c r="L99" s="242" t="s">
        <v>30</v>
      </c>
      <c r="M99" s="242"/>
      <c r="N99" s="242"/>
      <c r="O99" s="242"/>
      <c r="P99" s="242" t="s">
        <v>31</v>
      </c>
      <c r="Q99" s="244" t="s">
        <v>32</v>
      </c>
      <c r="R99" s="248" t="s">
        <v>33</v>
      </c>
      <c r="S99" s="242" t="s">
        <v>517</v>
      </c>
      <c r="T99" s="266">
        <v>33994</v>
      </c>
      <c r="U99" s="242" t="s">
        <v>519</v>
      </c>
      <c r="V99" s="475" t="s">
        <v>80</v>
      </c>
      <c r="W99" s="474"/>
    </row>
    <row r="100" spans="1:23" ht="12.75">
      <c r="A100" s="255">
        <v>45948.034930555557</v>
      </c>
      <c r="B100" s="141" t="s">
        <v>520</v>
      </c>
      <c r="C100" s="141"/>
      <c r="D100" s="141" t="s">
        <v>45</v>
      </c>
      <c r="E100" s="256">
        <v>34555</v>
      </c>
      <c r="F100" s="141" t="s">
        <v>208</v>
      </c>
      <c r="G100" s="141" t="s">
        <v>521</v>
      </c>
      <c r="H100" s="141" t="s">
        <v>522</v>
      </c>
      <c r="I100" s="252" t="s">
        <v>4223</v>
      </c>
      <c r="J100" s="141" t="s">
        <v>523</v>
      </c>
      <c r="K100" s="141" t="s">
        <v>29</v>
      </c>
      <c r="L100" s="141" t="s">
        <v>524</v>
      </c>
      <c r="M100" s="141"/>
      <c r="N100" s="141"/>
      <c r="O100" s="141"/>
      <c r="P100" s="141" t="s">
        <v>31</v>
      </c>
      <c r="Q100" s="253" t="s">
        <v>32</v>
      </c>
      <c r="R100" s="152"/>
      <c r="S100" s="206" t="s">
        <v>525</v>
      </c>
      <c r="T100" s="261">
        <v>34555</v>
      </c>
      <c r="U100" s="206" t="s">
        <v>526</v>
      </c>
      <c r="V100" s="473" t="s">
        <v>129</v>
      </c>
      <c r="W100" s="474"/>
    </row>
    <row r="101" spans="1:23" ht="12.75">
      <c r="A101" s="274">
        <v>45948.297013888892</v>
      </c>
      <c r="B101" s="242" t="s">
        <v>527</v>
      </c>
      <c r="C101" s="242"/>
      <c r="D101" s="242" t="s">
        <v>45</v>
      </c>
      <c r="E101" s="275">
        <v>34126</v>
      </c>
      <c r="F101" s="242" t="s">
        <v>528</v>
      </c>
      <c r="G101" s="242" t="s">
        <v>529</v>
      </c>
      <c r="H101" s="242" t="s">
        <v>530</v>
      </c>
      <c r="I101" s="241" t="s">
        <v>4219</v>
      </c>
      <c r="J101" s="242" t="s">
        <v>531</v>
      </c>
      <c r="K101" s="242" t="s">
        <v>29</v>
      </c>
      <c r="L101" s="242" t="s">
        <v>30</v>
      </c>
      <c r="M101" s="242"/>
      <c r="N101" s="242"/>
      <c r="O101" s="242"/>
      <c r="P101" s="242" t="s">
        <v>31</v>
      </c>
      <c r="Q101" s="244" t="s">
        <v>32</v>
      </c>
      <c r="R101" s="248" t="s">
        <v>33</v>
      </c>
      <c r="S101" s="242" t="s">
        <v>527</v>
      </c>
      <c r="T101" s="266">
        <v>34126</v>
      </c>
      <c r="U101" s="242" t="s">
        <v>531</v>
      </c>
      <c r="V101" s="475" t="s">
        <v>80</v>
      </c>
      <c r="W101" s="474"/>
    </row>
    <row r="102" spans="1:23" ht="12.75">
      <c r="A102" s="255">
        <v>45948.303599537037</v>
      </c>
      <c r="B102" s="476" t="s">
        <v>532</v>
      </c>
      <c r="C102" s="474"/>
      <c r="D102" s="141" t="s">
        <v>24</v>
      </c>
      <c r="E102" s="256">
        <v>36923</v>
      </c>
      <c r="F102" s="141" t="s">
        <v>507</v>
      </c>
      <c r="G102" s="141" t="s">
        <v>533</v>
      </c>
      <c r="H102" s="141" t="s">
        <v>66</v>
      </c>
      <c r="I102" s="252" t="s">
        <v>4219</v>
      </c>
      <c r="J102" s="141" t="s">
        <v>534</v>
      </c>
      <c r="K102" s="141" t="s">
        <v>29</v>
      </c>
      <c r="L102" s="141" t="s">
        <v>30</v>
      </c>
      <c r="M102" s="141"/>
      <c r="N102" s="141"/>
      <c r="O102" s="141"/>
      <c r="P102" s="141" t="s">
        <v>31</v>
      </c>
      <c r="Q102" s="253" t="s">
        <v>32</v>
      </c>
      <c r="R102" s="152"/>
      <c r="S102" s="206" t="s">
        <v>532</v>
      </c>
      <c r="T102" s="261">
        <v>36923</v>
      </c>
      <c r="U102" s="206" t="s">
        <v>534</v>
      </c>
      <c r="V102" s="473" t="s">
        <v>80</v>
      </c>
      <c r="W102" s="474"/>
    </row>
    <row r="103" spans="1:23" ht="12.75">
      <c r="A103" s="255">
        <v>45948.800138888888</v>
      </c>
      <c r="B103" s="141" t="s">
        <v>535</v>
      </c>
      <c r="C103" s="141" t="s">
        <v>536</v>
      </c>
      <c r="D103" s="141" t="s">
        <v>24</v>
      </c>
      <c r="E103" s="256">
        <v>34099</v>
      </c>
      <c r="F103" s="141" t="s">
        <v>346</v>
      </c>
      <c r="G103" s="141" t="s">
        <v>537</v>
      </c>
      <c r="H103" s="141" t="s">
        <v>538</v>
      </c>
      <c r="I103" s="252" t="s">
        <v>4219</v>
      </c>
      <c r="J103" s="141" t="s">
        <v>539</v>
      </c>
      <c r="K103" s="141" t="s">
        <v>29</v>
      </c>
      <c r="L103" s="141" t="s">
        <v>30</v>
      </c>
      <c r="M103" s="141"/>
      <c r="N103" s="141"/>
      <c r="O103" s="141"/>
      <c r="P103" s="141" t="s">
        <v>31</v>
      </c>
      <c r="Q103" s="253" t="s">
        <v>32</v>
      </c>
      <c r="R103" s="148" t="s">
        <v>33</v>
      </c>
      <c r="S103" s="206" t="s">
        <v>540</v>
      </c>
      <c r="T103" s="261">
        <v>34099</v>
      </c>
      <c r="U103" s="206" t="s">
        <v>539</v>
      </c>
      <c r="V103" s="473" t="s">
        <v>154</v>
      </c>
      <c r="W103" s="474"/>
    </row>
    <row r="104" spans="1:23" ht="12.75">
      <c r="A104" s="255">
        <v>45948.813715277778</v>
      </c>
      <c r="B104" s="141" t="s">
        <v>541</v>
      </c>
      <c r="C104" s="141"/>
      <c r="D104" s="141" t="s">
        <v>24</v>
      </c>
      <c r="E104" s="256">
        <v>37525</v>
      </c>
      <c r="F104" s="141" t="s">
        <v>70</v>
      </c>
      <c r="G104" s="141" t="s">
        <v>542</v>
      </c>
      <c r="H104" s="141" t="s">
        <v>138</v>
      </c>
      <c r="I104" s="252" t="s">
        <v>4219</v>
      </c>
      <c r="J104" s="141" t="s">
        <v>543</v>
      </c>
      <c r="K104" s="141" t="s">
        <v>29</v>
      </c>
      <c r="L104" s="141" t="s">
        <v>30</v>
      </c>
      <c r="M104" s="141"/>
      <c r="N104" s="141"/>
      <c r="O104" s="141"/>
      <c r="P104" s="141" t="s">
        <v>31</v>
      </c>
      <c r="Q104" s="257" t="s">
        <v>56</v>
      </c>
      <c r="R104" s="24"/>
      <c r="S104" s="206"/>
      <c r="T104" s="258"/>
      <c r="U104" s="206"/>
      <c r="V104" s="206"/>
      <c r="W104" s="206"/>
    </row>
    <row r="105" spans="1:23" ht="12.75">
      <c r="A105" s="255">
        <v>45949.128912037035</v>
      </c>
      <c r="B105" s="141" t="s">
        <v>544</v>
      </c>
      <c r="C105" s="141"/>
      <c r="D105" s="141" t="s">
        <v>24</v>
      </c>
      <c r="E105" s="256">
        <v>36381</v>
      </c>
      <c r="F105" s="141" t="s">
        <v>346</v>
      </c>
      <c r="G105" s="141" t="s">
        <v>545</v>
      </c>
      <c r="H105" s="141" t="s">
        <v>546</v>
      </c>
      <c r="I105" s="252" t="s">
        <v>4219</v>
      </c>
      <c r="J105" s="141" t="s">
        <v>547</v>
      </c>
      <c r="K105" s="141" t="s">
        <v>29</v>
      </c>
      <c r="L105" s="141" t="s">
        <v>30</v>
      </c>
      <c r="M105" s="141"/>
      <c r="N105" s="141"/>
      <c r="O105" s="141"/>
      <c r="P105" s="141" t="s">
        <v>31</v>
      </c>
      <c r="Q105" s="253" t="s">
        <v>32</v>
      </c>
      <c r="R105" s="148" t="s">
        <v>33</v>
      </c>
      <c r="S105" s="206" t="s">
        <v>544</v>
      </c>
      <c r="T105" s="261">
        <v>36381</v>
      </c>
      <c r="U105" s="206" t="s">
        <v>547</v>
      </c>
      <c r="V105" s="473" t="s">
        <v>80</v>
      </c>
      <c r="W105" s="474"/>
    </row>
    <row r="106" spans="1:23" ht="12.75">
      <c r="A106" s="274">
        <v>45949.23201388889</v>
      </c>
      <c r="B106" s="242" t="s">
        <v>548</v>
      </c>
      <c r="C106" s="242"/>
      <c r="D106" s="242" t="s">
        <v>24</v>
      </c>
      <c r="E106" s="275">
        <v>37412</v>
      </c>
      <c r="F106" s="242" t="s">
        <v>528</v>
      </c>
      <c r="G106" s="242" t="s">
        <v>529</v>
      </c>
      <c r="H106" s="242" t="s">
        <v>368</v>
      </c>
      <c r="I106" s="241" t="s">
        <v>4219</v>
      </c>
      <c r="J106" s="242" t="s">
        <v>549</v>
      </c>
      <c r="K106" s="242" t="s">
        <v>29</v>
      </c>
      <c r="L106" s="242" t="s">
        <v>30</v>
      </c>
      <c r="M106" s="242"/>
      <c r="N106" s="242"/>
      <c r="O106" s="242"/>
      <c r="P106" s="242" t="s">
        <v>31</v>
      </c>
      <c r="Q106" s="244" t="s">
        <v>32</v>
      </c>
      <c r="R106" s="245" t="s">
        <v>33</v>
      </c>
      <c r="S106" s="242" t="s">
        <v>548</v>
      </c>
      <c r="T106" s="266">
        <v>37412</v>
      </c>
      <c r="U106" s="242" t="s">
        <v>549</v>
      </c>
      <c r="V106" s="475" t="s">
        <v>80</v>
      </c>
      <c r="W106" s="474"/>
    </row>
    <row r="107" spans="1:23" ht="12.75">
      <c r="A107" s="255">
        <v>45949.291805555556</v>
      </c>
      <c r="B107" s="141" t="s">
        <v>550</v>
      </c>
      <c r="C107" s="141"/>
      <c r="D107" s="141" t="s">
        <v>45</v>
      </c>
      <c r="E107" s="256">
        <v>37113</v>
      </c>
      <c r="F107" s="141" t="s">
        <v>208</v>
      </c>
      <c r="G107" s="141" t="s">
        <v>551</v>
      </c>
      <c r="H107" s="141" t="s">
        <v>54</v>
      </c>
      <c r="I107" s="252" t="s">
        <v>4223</v>
      </c>
      <c r="J107" s="141" t="s">
        <v>552</v>
      </c>
      <c r="K107" s="141" t="s">
        <v>29</v>
      </c>
      <c r="L107" s="141" t="s">
        <v>30</v>
      </c>
      <c r="M107" s="141"/>
      <c r="N107" s="141"/>
      <c r="O107" s="141"/>
      <c r="P107" s="141" t="s">
        <v>31</v>
      </c>
      <c r="Q107" s="253" t="s">
        <v>32</v>
      </c>
      <c r="R107" s="148"/>
      <c r="S107" s="206" t="s">
        <v>550</v>
      </c>
      <c r="T107" s="261">
        <v>37113</v>
      </c>
      <c r="U107" s="206" t="s">
        <v>552</v>
      </c>
      <c r="V107" s="473" t="s">
        <v>80</v>
      </c>
      <c r="W107" s="474"/>
    </row>
    <row r="108" spans="1:23" ht="12.75">
      <c r="A108" s="274">
        <v>45950.12636574074</v>
      </c>
      <c r="B108" s="242" t="s">
        <v>553</v>
      </c>
      <c r="C108" s="242"/>
      <c r="D108" s="242" t="s">
        <v>45</v>
      </c>
      <c r="E108" s="275">
        <v>28979</v>
      </c>
      <c r="F108" s="242" t="s">
        <v>475</v>
      </c>
      <c r="G108" s="242" t="s">
        <v>554</v>
      </c>
      <c r="H108" s="242" t="s">
        <v>555</v>
      </c>
      <c r="I108" s="241" t="s">
        <v>4219</v>
      </c>
      <c r="J108" s="242" t="s">
        <v>556</v>
      </c>
      <c r="K108" s="242" t="s">
        <v>29</v>
      </c>
      <c r="L108" s="242" t="s">
        <v>30</v>
      </c>
      <c r="M108" s="242" t="s">
        <v>557</v>
      </c>
      <c r="N108" s="242"/>
      <c r="O108" s="242"/>
      <c r="P108" s="242" t="s">
        <v>31</v>
      </c>
      <c r="Q108" s="244" t="s">
        <v>32</v>
      </c>
      <c r="R108" s="245" t="s">
        <v>43</v>
      </c>
      <c r="S108" s="242" t="s">
        <v>558</v>
      </c>
      <c r="T108" s="266">
        <v>28979</v>
      </c>
      <c r="U108" s="242" t="s">
        <v>556</v>
      </c>
      <c r="V108" s="475" t="s">
        <v>154</v>
      </c>
      <c r="W108" s="474"/>
    </row>
    <row r="109" spans="1:23" ht="12.75">
      <c r="A109" s="274">
        <v>45950.133796296293</v>
      </c>
      <c r="B109" s="475" t="s">
        <v>559</v>
      </c>
      <c r="C109" s="474"/>
      <c r="D109" s="242" t="s">
        <v>45</v>
      </c>
      <c r="E109" s="275">
        <v>27390</v>
      </c>
      <c r="F109" s="242" t="s">
        <v>64</v>
      </c>
      <c r="G109" s="242" t="s">
        <v>560</v>
      </c>
      <c r="H109" s="242" t="s">
        <v>561</v>
      </c>
      <c r="I109" s="241" t="s">
        <v>4219</v>
      </c>
      <c r="J109" s="242" t="s">
        <v>562</v>
      </c>
      <c r="K109" s="242" t="s">
        <v>29</v>
      </c>
      <c r="L109" s="242" t="s">
        <v>30</v>
      </c>
      <c r="M109" s="242"/>
      <c r="N109" s="242"/>
      <c r="O109" s="242"/>
      <c r="P109" s="242" t="s">
        <v>31</v>
      </c>
      <c r="Q109" s="244" t="s">
        <v>32</v>
      </c>
      <c r="R109" s="248" t="s">
        <v>33</v>
      </c>
      <c r="S109" s="242" t="s">
        <v>563</v>
      </c>
      <c r="T109" s="266">
        <v>27390</v>
      </c>
      <c r="U109" s="242" t="s">
        <v>562</v>
      </c>
      <c r="V109" s="475" t="s">
        <v>154</v>
      </c>
      <c r="W109" s="474"/>
    </row>
    <row r="110" spans="1:23" ht="12.75">
      <c r="A110" s="255">
        <v>45950.867245370369</v>
      </c>
      <c r="B110" s="141" t="s">
        <v>564</v>
      </c>
      <c r="C110" s="141"/>
      <c r="D110" s="141" t="s">
        <v>24</v>
      </c>
      <c r="E110" s="256">
        <v>37562</v>
      </c>
      <c r="F110" s="141" t="s">
        <v>208</v>
      </c>
      <c r="G110" s="141" t="s">
        <v>565</v>
      </c>
      <c r="H110" s="141" t="s">
        <v>368</v>
      </c>
      <c r="I110" s="252" t="s">
        <v>4223</v>
      </c>
      <c r="J110" s="141" t="s">
        <v>566</v>
      </c>
      <c r="K110" s="141" t="s">
        <v>29</v>
      </c>
      <c r="L110" s="141" t="s">
        <v>30</v>
      </c>
      <c r="M110" s="141"/>
      <c r="N110" s="141"/>
      <c r="O110" s="141"/>
      <c r="P110" s="141" t="s">
        <v>31</v>
      </c>
      <c r="Q110" s="253" t="s">
        <v>32</v>
      </c>
      <c r="R110" s="152"/>
      <c r="S110" s="206" t="s">
        <v>567</v>
      </c>
      <c r="T110" s="261">
        <v>37562</v>
      </c>
      <c r="U110" s="206" t="s">
        <v>566</v>
      </c>
      <c r="V110" s="473" t="s">
        <v>80</v>
      </c>
      <c r="W110" s="474"/>
    </row>
    <row r="111" spans="1:23" ht="12.75">
      <c r="A111" s="274">
        <v>45951.219884259262</v>
      </c>
      <c r="B111" s="242" t="s">
        <v>568</v>
      </c>
      <c r="C111" s="242" t="s">
        <v>569</v>
      </c>
      <c r="D111" s="242" t="s">
        <v>45</v>
      </c>
      <c r="E111" s="275">
        <v>38579</v>
      </c>
      <c r="F111" s="242" t="s">
        <v>64</v>
      </c>
      <c r="G111" s="242" t="s">
        <v>570</v>
      </c>
      <c r="H111" s="242" t="s">
        <v>48</v>
      </c>
      <c r="I111" s="241" t="s">
        <v>4219</v>
      </c>
      <c r="J111" s="242" t="s">
        <v>571</v>
      </c>
      <c r="K111" s="242" t="s">
        <v>29</v>
      </c>
      <c r="L111" s="242" t="s">
        <v>162</v>
      </c>
      <c r="M111" s="242"/>
      <c r="N111" s="242"/>
      <c r="O111" s="242"/>
      <c r="P111" s="242" t="s">
        <v>31</v>
      </c>
      <c r="Q111" s="244" t="s">
        <v>32</v>
      </c>
      <c r="R111" s="245" t="s">
        <v>33</v>
      </c>
      <c r="S111" s="242" t="s">
        <v>568</v>
      </c>
      <c r="T111" s="266">
        <v>38579</v>
      </c>
      <c r="U111" s="242" t="s">
        <v>571</v>
      </c>
      <c r="V111" s="475" t="s">
        <v>80</v>
      </c>
      <c r="W111" s="474"/>
    </row>
    <row r="112" spans="1:23" ht="12.75">
      <c r="A112" s="255">
        <v>45951.619641203702</v>
      </c>
      <c r="B112" s="141" t="s">
        <v>572</v>
      </c>
      <c r="C112" s="141"/>
      <c r="D112" s="141" t="s">
        <v>24</v>
      </c>
      <c r="E112" s="256">
        <v>31249</v>
      </c>
      <c r="F112" s="141" t="s">
        <v>274</v>
      </c>
      <c r="G112" s="141" t="s">
        <v>573</v>
      </c>
      <c r="H112" s="141" t="s">
        <v>90</v>
      </c>
      <c r="I112" s="252" t="s">
        <v>4219</v>
      </c>
      <c r="J112" s="141" t="s">
        <v>574</v>
      </c>
      <c r="K112" s="141" t="s">
        <v>39</v>
      </c>
      <c r="L112" s="267">
        <v>46202</v>
      </c>
      <c r="M112" s="141"/>
      <c r="N112" s="141"/>
      <c r="O112" s="141"/>
      <c r="P112" s="141" t="s">
        <v>31</v>
      </c>
      <c r="Q112" s="253" t="s">
        <v>32</v>
      </c>
      <c r="R112" s="152"/>
      <c r="S112" s="206" t="s">
        <v>575</v>
      </c>
      <c r="T112" s="261">
        <v>31249</v>
      </c>
      <c r="U112" s="206" t="s">
        <v>574</v>
      </c>
      <c r="V112" s="473" t="s">
        <v>154</v>
      </c>
      <c r="W112" s="474"/>
    </row>
    <row r="113" spans="1:23" ht="12.75">
      <c r="A113" s="255">
        <v>45952.287199074075</v>
      </c>
      <c r="B113" s="141" t="s">
        <v>576</v>
      </c>
      <c r="C113" s="141"/>
      <c r="D113" s="141" t="s">
        <v>45</v>
      </c>
      <c r="E113" s="256">
        <v>35236</v>
      </c>
      <c r="F113" s="141" t="s">
        <v>208</v>
      </c>
      <c r="G113" s="141" t="s">
        <v>577</v>
      </c>
      <c r="H113" s="141" t="s">
        <v>578</v>
      </c>
      <c r="I113" s="252" t="s">
        <v>4223</v>
      </c>
      <c r="J113" s="141" t="s">
        <v>579</v>
      </c>
      <c r="K113" s="141" t="s">
        <v>29</v>
      </c>
      <c r="L113" s="141" t="s">
        <v>30</v>
      </c>
      <c r="M113" s="141"/>
      <c r="N113" s="141"/>
      <c r="O113" s="141"/>
      <c r="P113" s="141" t="s">
        <v>31</v>
      </c>
      <c r="Q113" s="253" t="s">
        <v>32</v>
      </c>
      <c r="R113" s="148" t="s">
        <v>33</v>
      </c>
      <c r="S113" s="206" t="s">
        <v>580</v>
      </c>
      <c r="T113" s="261">
        <v>35236</v>
      </c>
      <c r="U113" s="206" t="s">
        <v>579</v>
      </c>
      <c r="V113" s="473" t="s">
        <v>80</v>
      </c>
      <c r="W113" s="474"/>
    </row>
    <row r="114" spans="1:23" ht="12.75">
      <c r="A114" s="255">
        <v>45952.340300925927</v>
      </c>
      <c r="B114" s="141" t="s">
        <v>581</v>
      </c>
      <c r="C114" s="141"/>
      <c r="D114" s="141" t="s">
        <v>24</v>
      </c>
      <c r="E114" s="256">
        <v>36103</v>
      </c>
      <c r="F114" s="141" t="s">
        <v>198</v>
      </c>
      <c r="G114" s="141" t="s">
        <v>582</v>
      </c>
      <c r="H114" s="141" t="s">
        <v>583</v>
      </c>
      <c r="I114" s="252" t="s">
        <v>4219</v>
      </c>
      <c r="J114" s="141" t="s">
        <v>584</v>
      </c>
      <c r="K114" s="141" t="s">
        <v>39</v>
      </c>
      <c r="L114" s="141" t="s">
        <v>152</v>
      </c>
      <c r="M114" s="141"/>
      <c r="N114" s="141"/>
      <c r="O114" s="141"/>
      <c r="P114" s="141" t="s">
        <v>31</v>
      </c>
      <c r="Q114" s="253" t="s">
        <v>32</v>
      </c>
      <c r="R114" s="152"/>
      <c r="S114" s="206" t="s">
        <v>581</v>
      </c>
      <c r="T114" s="261">
        <v>36103</v>
      </c>
      <c r="U114" s="206" t="s">
        <v>584</v>
      </c>
      <c r="V114" s="473" t="s">
        <v>80</v>
      </c>
      <c r="W114" s="474"/>
    </row>
    <row r="115" spans="1:23" ht="12.75">
      <c r="A115" s="255">
        <v>45952.442824074074</v>
      </c>
      <c r="B115" s="141" t="s">
        <v>585</v>
      </c>
      <c r="C115" s="141"/>
      <c r="D115" s="141" t="s">
        <v>24</v>
      </c>
      <c r="E115" s="256">
        <v>23283</v>
      </c>
      <c r="F115" s="141" t="s">
        <v>198</v>
      </c>
      <c r="G115" s="141" t="s">
        <v>586</v>
      </c>
      <c r="H115" s="141" t="s">
        <v>587</v>
      </c>
      <c r="I115" s="252" t="s">
        <v>4219</v>
      </c>
      <c r="J115" s="141" t="s">
        <v>588</v>
      </c>
      <c r="K115" s="141" t="s">
        <v>29</v>
      </c>
      <c r="L115" s="141" t="s">
        <v>30</v>
      </c>
      <c r="M115" s="141"/>
      <c r="N115" s="141"/>
      <c r="O115" s="141"/>
      <c r="P115" s="141" t="s">
        <v>31</v>
      </c>
      <c r="Q115" s="253" t="s">
        <v>32</v>
      </c>
      <c r="R115" s="152"/>
      <c r="S115" s="206" t="s">
        <v>589</v>
      </c>
      <c r="T115" s="261">
        <v>23283</v>
      </c>
      <c r="U115" s="206" t="s">
        <v>590</v>
      </c>
      <c r="V115" s="473" t="s">
        <v>80</v>
      </c>
      <c r="W115" s="474"/>
    </row>
    <row r="116" spans="1:23" ht="12.75">
      <c r="A116" s="255">
        <v>45952.50922453704</v>
      </c>
      <c r="B116" s="141" t="s">
        <v>591</v>
      </c>
      <c r="C116" s="141"/>
      <c r="D116" s="141" t="s">
        <v>45</v>
      </c>
      <c r="E116" s="256">
        <v>37547</v>
      </c>
      <c r="F116" s="141" t="s">
        <v>208</v>
      </c>
      <c r="G116" s="141" t="s">
        <v>592</v>
      </c>
      <c r="H116" s="141" t="s">
        <v>66</v>
      </c>
      <c r="I116" s="252" t="s">
        <v>4223</v>
      </c>
      <c r="J116" s="141" t="s">
        <v>593</v>
      </c>
      <c r="K116" s="141" t="s">
        <v>29</v>
      </c>
      <c r="L116" s="141" t="s">
        <v>30</v>
      </c>
      <c r="M116" s="141"/>
      <c r="N116" s="141"/>
      <c r="O116" s="141"/>
      <c r="P116" s="141" t="s">
        <v>31</v>
      </c>
      <c r="Q116" s="253" t="s">
        <v>32</v>
      </c>
      <c r="R116" s="148" t="s">
        <v>33</v>
      </c>
      <c r="S116" s="206" t="s">
        <v>591</v>
      </c>
      <c r="T116" s="261">
        <v>37182</v>
      </c>
      <c r="U116" s="206" t="s">
        <v>593</v>
      </c>
      <c r="V116" s="206" t="s">
        <v>236</v>
      </c>
      <c r="W116" s="206"/>
    </row>
    <row r="117" spans="1:23" ht="12.75">
      <c r="A117" s="255">
        <v>45952.512488425928</v>
      </c>
      <c r="B117" s="141" t="s">
        <v>594</v>
      </c>
      <c r="C117" s="141" t="s">
        <v>595</v>
      </c>
      <c r="D117" s="141" t="s">
        <v>45</v>
      </c>
      <c r="E117" s="256">
        <v>27621</v>
      </c>
      <c r="F117" s="141" t="s">
        <v>416</v>
      </c>
      <c r="G117" s="141" t="s">
        <v>596</v>
      </c>
      <c r="H117" s="141" t="s">
        <v>597</v>
      </c>
      <c r="I117" s="252" t="s">
        <v>4219</v>
      </c>
      <c r="J117" s="141" t="s">
        <v>598</v>
      </c>
      <c r="K117" s="141" t="s">
        <v>29</v>
      </c>
      <c r="L117" s="141" t="s">
        <v>30</v>
      </c>
      <c r="M117" s="141"/>
      <c r="N117" s="141"/>
      <c r="O117" s="141"/>
      <c r="P117" s="141" t="s">
        <v>31</v>
      </c>
      <c r="Q117" s="253" t="s">
        <v>32</v>
      </c>
      <c r="R117" s="152"/>
      <c r="S117" s="206" t="s">
        <v>594</v>
      </c>
      <c r="T117" s="261">
        <v>27736</v>
      </c>
      <c r="U117" s="206" t="s">
        <v>598</v>
      </c>
      <c r="V117" s="206" t="s">
        <v>236</v>
      </c>
      <c r="W117" s="206"/>
    </row>
    <row r="118" spans="1:23" ht="12.75">
      <c r="A118" s="262">
        <v>45952.557256944441</v>
      </c>
      <c r="B118" s="478" t="s">
        <v>599</v>
      </c>
      <c r="C118" s="474"/>
      <c r="D118" s="263" t="s">
        <v>24</v>
      </c>
      <c r="E118" s="264">
        <v>29011</v>
      </c>
      <c r="F118" s="263" t="s">
        <v>198</v>
      </c>
      <c r="G118" s="263" t="s">
        <v>586</v>
      </c>
      <c r="H118" s="263" t="s">
        <v>600</v>
      </c>
      <c r="I118" s="241" t="s">
        <v>4219</v>
      </c>
      <c r="J118" s="263" t="s">
        <v>601</v>
      </c>
      <c r="K118" s="263" t="s">
        <v>29</v>
      </c>
      <c r="L118" s="263" t="s">
        <v>30</v>
      </c>
      <c r="M118" s="263" t="s">
        <v>602</v>
      </c>
      <c r="N118" s="263"/>
      <c r="O118" s="263"/>
      <c r="P118" s="263" t="s">
        <v>31</v>
      </c>
      <c r="Q118" s="244" t="s">
        <v>32</v>
      </c>
      <c r="R118" s="248" t="s">
        <v>33</v>
      </c>
      <c r="S118" s="242" t="s">
        <v>603</v>
      </c>
      <c r="T118" s="266">
        <v>29011</v>
      </c>
      <c r="U118" s="242" t="s">
        <v>601</v>
      </c>
      <c r="V118" s="475" t="s">
        <v>80</v>
      </c>
      <c r="W118" s="474"/>
    </row>
    <row r="119" spans="1:23" ht="12.75">
      <c r="A119" s="274">
        <v>45952.739560185182</v>
      </c>
      <c r="B119" s="242" t="s">
        <v>604</v>
      </c>
      <c r="C119" s="242"/>
      <c r="D119" s="242" t="s">
        <v>24</v>
      </c>
      <c r="E119" s="275">
        <v>36498</v>
      </c>
      <c r="F119" s="242" t="s">
        <v>227</v>
      </c>
      <c r="G119" s="242" t="s">
        <v>209</v>
      </c>
      <c r="H119" s="242" t="s">
        <v>605</v>
      </c>
      <c r="I119" s="241" t="s">
        <v>4219</v>
      </c>
      <c r="J119" s="242" t="s">
        <v>606</v>
      </c>
      <c r="K119" s="242" t="s">
        <v>29</v>
      </c>
      <c r="L119" s="242" t="s">
        <v>162</v>
      </c>
      <c r="M119" s="242"/>
      <c r="N119" s="242"/>
      <c r="O119" s="242"/>
      <c r="P119" s="242" t="s">
        <v>31</v>
      </c>
      <c r="Q119" s="244" t="s">
        <v>32</v>
      </c>
      <c r="R119" s="245" t="s">
        <v>43</v>
      </c>
      <c r="S119" s="242" t="s">
        <v>604</v>
      </c>
      <c r="T119" s="266">
        <v>36498</v>
      </c>
      <c r="U119" s="242" t="s">
        <v>606</v>
      </c>
      <c r="V119" s="475" t="s">
        <v>80</v>
      </c>
      <c r="W119" s="474"/>
    </row>
    <row r="120" spans="1:23" ht="12.75">
      <c r="A120" s="255">
        <v>45952.820208333331</v>
      </c>
      <c r="B120" s="141" t="s">
        <v>607</v>
      </c>
      <c r="C120" s="141"/>
      <c r="D120" s="141" t="s">
        <v>24</v>
      </c>
      <c r="E120" s="256">
        <v>34494</v>
      </c>
      <c r="F120" s="141" t="s">
        <v>52</v>
      </c>
      <c r="G120" s="141" t="s">
        <v>608</v>
      </c>
      <c r="H120" s="141" t="s">
        <v>609</v>
      </c>
      <c r="I120" s="252" t="s">
        <v>4219</v>
      </c>
      <c r="J120" s="141" t="s">
        <v>610</v>
      </c>
      <c r="K120" s="141" t="s">
        <v>29</v>
      </c>
      <c r="L120" s="141" t="s">
        <v>30</v>
      </c>
      <c r="M120" s="141"/>
      <c r="N120" s="141"/>
      <c r="O120" s="141"/>
      <c r="P120" s="141" t="s">
        <v>31</v>
      </c>
      <c r="Q120" s="257" t="s">
        <v>56</v>
      </c>
      <c r="R120" s="24"/>
      <c r="S120" s="206"/>
      <c r="T120" s="258"/>
      <c r="U120" s="206"/>
      <c r="V120" s="206"/>
      <c r="W120" s="206"/>
    </row>
    <row r="121" spans="1:23" ht="12.75">
      <c r="A121" s="274">
        <v>45952.831932870373</v>
      </c>
      <c r="B121" s="242" t="s">
        <v>611</v>
      </c>
      <c r="C121" s="242"/>
      <c r="D121" s="242" t="s">
        <v>24</v>
      </c>
      <c r="E121" s="275">
        <v>37163</v>
      </c>
      <c r="F121" s="242" t="s">
        <v>612</v>
      </c>
      <c r="G121" s="242" t="s">
        <v>613</v>
      </c>
      <c r="H121" s="242" t="s">
        <v>614</v>
      </c>
      <c r="I121" s="241" t="s">
        <v>4223</v>
      </c>
      <c r="J121" s="242" t="s">
        <v>615</v>
      </c>
      <c r="K121" s="242" t="s">
        <v>29</v>
      </c>
      <c r="L121" s="242" t="s">
        <v>30</v>
      </c>
      <c r="M121" s="242"/>
      <c r="N121" s="242"/>
      <c r="O121" s="242"/>
      <c r="P121" s="242" t="s">
        <v>31</v>
      </c>
      <c r="Q121" s="244" t="s">
        <v>32</v>
      </c>
      <c r="R121" s="248" t="s">
        <v>33</v>
      </c>
      <c r="S121" s="242" t="s">
        <v>616</v>
      </c>
      <c r="T121" s="266">
        <v>37163</v>
      </c>
      <c r="U121" s="242" t="s">
        <v>615</v>
      </c>
      <c r="V121" s="475" t="s">
        <v>80</v>
      </c>
      <c r="W121" s="474"/>
    </row>
    <row r="122" spans="1:23" ht="12.75">
      <c r="A122" s="274">
        <v>45952.890497685185</v>
      </c>
      <c r="B122" s="242" t="s">
        <v>617</v>
      </c>
      <c r="C122" s="242"/>
      <c r="D122" s="242" t="s">
        <v>24</v>
      </c>
      <c r="E122" s="275">
        <v>34219</v>
      </c>
      <c r="F122" s="242" t="s">
        <v>227</v>
      </c>
      <c r="G122" s="242" t="s">
        <v>618</v>
      </c>
      <c r="H122" s="242" t="s">
        <v>619</v>
      </c>
      <c r="I122" s="241" t="s">
        <v>4219</v>
      </c>
      <c r="J122" s="242" t="s">
        <v>620</v>
      </c>
      <c r="K122" s="242" t="s">
        <v>39</v>
      </c>
      <c r="L122" s="242" t="s">
        <v>621</v>
      </c>
      <c r="M122" s="242"/>
      <c r="N122" s="242"/>
      <c r="O122" s="242"/>
      <c r="P122" s="242" t="s">
        <v>31</v>
      </c>
      <c r="Q122" s="244" t="s">
        <v>32</v>
      </c>
      <c r="R122" s="245" t="s">
        <v>33</v>
      </c>
      <c r="S122" s="242" t="s">
        <v>617</v>
      </c>
      <c r="T122" s="266">
        <v>34219</v>
      </c>
      <c r="U122" s="242" t="s">
        <v>620</v>
      </c>
      <c r="V122" s="475" t="s">
        <v>80</v>
      </c>
      <c r="W122" s="474"/>
    </row>
    <row r="123" spans="1:23" ht="12.75">
      <c r="A123" s="274">
        <v>45952.990497685183</v>
      </c>
      <c r="B123" s="242" t="s">
        <v>622</v>
      </c>
      <c r="C123" s="242"/>
      <c r="D123" s="242" t="s">
        <v>24</v>
      </c>
      <c r="E123" s="275">
        <v>35438</v>
      </c>
      <c r="F123" s="242" t="s">
        <v>623</v>
      </c>
      <c r="G123" s="242" t="s">
        <v>624</v>
      </c>
      <c r="H123" s="242" t="s">
        <v>625</v>
      </c>
      <c r="I123" s="241" t="s">
        <v>4219</v>
      </c>
      <c r="J123" s="242" t="s">
        <v>626</v>
      </c>
      <c r="K123" s="242" t="s">
        <v>39</v>
      </c>
      <c r="L123" s="242" t="s">
        <v>621</v>
      </c>
      <c r="M123" s="242"/>
      <c r="N123" s="242"/>
      <c r="O123" s="242"/>
      <c r="P123" s="242" t="s">
        <v>31</v>
      </c>
      <c r="Q123" s="244" t="s">
        <v>32</v>
      </c>
      <c r="R123" s="248" t="s">
        <v>33</v>
      </c>
      <c r="S123" s="242" t="s">
        <v>627</v>
      </c>
      <c r="T123" s="266">
        <v>35438</v>
      </c>
      <c r="U123" s="242" t="s">
        <v>626</v>
      </c>
      <c r="V123" s="475" t="s">
        <v>154</v>
      </c>
      <c r="W123" s="474"/>
    </row>
    <row r="124" spans="1:23" ht="12.75">
      <c r="A124" s="274">
        <v>45953.025266203702</v>
      </c>
      <c r="B124" s="242" t="s">
        <v>628</v>
      </c>
      <c r="C124" s="242"/>
      <c r="D124" s="242" t="s">
        <v>24</v>
      </c>
      <c r="E124" s="275">
        <v>23483</v>
      </c>
      <c r="F124" s="242" t="s">
        <v>623</v>
      </c>
      <c r="G124" s="242" t="s">
        <v>629</v>
      </c>
      <c r="H124" s="242" t="s">
        <v>630</v>
      </c>
      <c r="I124" s="241" t="s">
        <v>4219</v>
      </c>
      <c r="J124" s="242" t="s">
        <v>631</v>
      </c>
      <c r="K124" s="242" t="s">
        <v>29</v>
      </c>
      <c r="L124" s="242" t="s">
        <v>30</v>
      </c>
      <c r="M124" s="242" t="s">
        <v>632</v>
      </c>
      <c r="N124" s="242"/>
      <c r="O124" s="242"/>
      <c r="P124" s="242" t="s">
        <v>31</v>
      </c>
      <c r="Q124" s="244" t="s">
        <v>32</v>
      </c>
      <c r="R124" s="245" t="s">
        <v>33</v>
      </c>
      <c r="S124" s="242" t="s">
        <v>633</v>
      </c>
      <c r="T124" s="266">
        <v>22752</v>
      </c>
      <c r="U124" s="242" t="s">
        <v>631</v>
      </c>
      <c r="V124" s="475" t="s">
        <v>114</v>
      </c>
      <c r="W124" s="474"/>
    </row>
    <row r="125" spans="1:23" ht="12.75">
      <c r="A125" s="259">
        <v>45953.848993055559</v>
      </c>
      <c r="B125" s="252" t="s">
        <v>4255</v>
      </c>
      <c r="C125" s="252" t="s">
        <v>4256</v>
      </c>
      <c r="D125" s="252" t="s">
        <v>24</v>
      </c>
      <c r="E125" s="260">
        <v>36703</v>
      </c>
      <c r="F125" s="252" t="s">
        <v>380</v>
      </c>
      <c r="G125" s="252" t="s">
        <v>209</v>
      </c>
      <c r="H125" s="252" t="s">
        <v>4257</v>
      </c>
      <c r="I125" s="252" t="s">
        <v>4223</v>
      </c>
      <c r="J125" s="252" t="s">
        <v>637</v>
      </c>
      <c r="K125" s="252" t="s">
        <v>29</v>
      </c>
      <c r="L125" s="252" t="s">
        <v>30</v>
      </c>
      <c r="M125" s="141"/>
      <c r="N125" s="252"/>
      <c r="O125" s="252"/>
      <c r="P125" s="252" t="s">
        <v>31</v>
      </c>
      <c r="Q125" s="257" t="s">
        <v>56</v>
      </c>
      <c r="R125" s="24"/>
      <c r="S125" s="141"/>
      <c r="T125" s="206"/>
      <c r="U125" s="206"/>
      <c r="V125" s="206"/>
      <c r="W125" s="206"/>
    </row>
    <row r="126" spans="1:23" ht="12.75">
      <c r="A126" s="274">
        <v>45953.919502314813</v>
      </c>
      <c r="B126" s="242" t="s">
        <v>638</v>
      </c>
      <c r="C126" s="242"/>
      <c r="D126" s="242" t="s">
        <v>45</v>
      </c>
      <c r="E126" s="275">
        <v>31262</v>
      </c>
      <c r="F126" s="242" t="s">
        <v>227</v>
      </c>
      <c r="G126" s="242" t="s">
        <v>639</v>
      </c>
      <c r="H126" s="242" t="s">
        <v>640</v>
      </c>
      <c r="I126" s="241" t="s">
        <v>4219</v>
      </c>
      <c r="J126" s="242" t="s">
        <v>641</v>
      </c>
      <c r="K126" s="242" t="s">
        <v>39</v>
      </c>
      <c r="L126" s="242" t="s">
        <v>30</v>
      </c>
      <c r="M126" s="242"/>
      <c r="N126" s="242"/>
      <c r="O126" s="242"/>
      <c r="P126" s="242" t="s">
        <v>31</v>
      </c>
      <c r="Q126" s="244" t="s">
        <v>32</v>
      </c>
      <c r="R126" s="245" t="s">
        <v>33</v>
      </c>
      <c r="S126" s="242" t="s">
        <v>638</v>
      </c>
      <c r="T126" s="266">
        <v>31262</v>
      </c>
      <c r="U126" s="242" t="s">
        <v>641</v>
      </c>
      <c r="V126" s="475" t="s">
        <v>80</v>
      </c>
      <c r="W126" s="474"/>
    </row>
    <row r="127" spans="1:23" ht="12.75">
      <c r="A127" s="255">
        <v>45954.066493055558</v>
      </c>
      <c r="B127" s="141" t="s">
        <v>642</v>
      </c>
      <c r="C127" s="141"/>
      <c r="D127" s="141" t="s">
        <v>24</v>
      </c>
      <c r="E127" s="256">
        <v>36855</v>
      </c>
      <c r="F127" s="141" t="s">
        <v>208</v>
      </c>
      <c r="G127" s="141" t="s">
        <v>643</v>
      </c>
      <c r="H127" s="141" t="s">
        <v>98</v>
      </c>
      <c r="I127" s="252" t="s">
        <v>4223</v>
      </c>
      <c r="J127" s="141" t="s">
        <v>644</v>
      </c>
      <c r="K127" s="141" t="s">
        <v>29</v>
      </c>
      <c r="L127" s="267">
        <v>46203</v>
      </c>
      <c r="M127" s="141"/>
      <c r="N127" s="141"/>
      <c r="O127" s="141"/>
      <c r="P127" s="141" t="s">
        <v>31</v>
      </c>
      <c r="Q127" s="253" t="s">
        <v>32</v>
      </c>
      <c r="R127" s="148" t="s">
        <v>33</v>
      </c>
      <c r="S127" s="206" t="s">
        <v>642</v>
      </c>
      <c r="T127" s="261">
        <v>36855</v>
      </c>
      <c r="U127" s="206" t="s">
        <v>644</v>
      </c>
      <c r="V127" s="473" t="s">
        <v>80</v>
      </c>
      <c r="W127" s="474"/>
    </row>
    <row r="128" spans="1:23" ht="12.75">
      <c r="A128" s="255">
        <v>45954.082465277781</v>
      </c>
      <c r="B128" s="141" t="s">
        <v>645</v>
      </c>
      <c r="C128" s="141"/>
      <c r="D128" s="141" t="s">
        <v>45</v>
      </c>
      <c r="E128" s="256">
        <v>34928</v>
      </c>
      <c r="F128" s="141" t="s">
        <v>70</v>
      </c>
      <c r="G128" s="141" t="s">
        <v>71</v>
      </c>
      <c r="H128" s="141" t="s">
        <v>98</v>
      </c>
      <c r="I128" s="252" t="s">
        <v>4219</v>
      </c>
      <c r="J128" s="141" t="s">
        <v>646</v>
      </c>
      <c r="K128" s="141" t="s">
        <v>39</v>
      </c>
      <c r="L128" s="141" t="s">
        <v>30</v>
      </c>
      <c r="M128" s="141"/>
      <c r="N128" s="141"/>
      <c r="O128" s="141"/>
      <c r="P128" s="141" t="s">
        <v>31</v>
      </c>
      <c r="Q128" s="253" t="s">
        <v>32</v>
      </c>
      <c r="R128" s="152"/>
      <c r="S128" s="206" t="s">
        <v>645</v>
      </c>
      <c r="T128" s="261">
        <v>34928</v>
      </c>
      <c r="U128" s="206" t="s">
        <v>646</v>
      </c>
      <c r="V128" s="473" t="s">
        <v>80</v>
      </c>
      <c r="W128" s="474"/>
    </row>
    <row r="129" spans="1:23" ht="12.75">
      <c r="A129" s="255">
        <v>45954.202025462961</v>
      </c>
      <c r="B129" s="141" t="s">
        <v>647</v>
      </c>
      <c r="C129" s="141"/>
      <c r="D129" s="141" t="s">
        <v>24</v>
      </c>
      <c r="E129" s="256">
        <v>36796</v>
      </c>
      <c r="F129" s="141" t="s">
        <v>232</v>
      </c>
      <c r="G129" s="141" t="s">
        <v>648</v>
      </c>
      <c r="H129" s="141" t="s">
        <v>186</v>
      </c>
      <c r="I129" s="252" t="s">
        <v>4219</v>
      </c>
      <c r="J129" s="141" t="s">
        <v>649</v>
      </c>
      <c r="K129" s="141" t="s">
        <v>29</v>
      </c>
      <c r="L129" s="141" t="s">
        <v>30</v>
      </c>
      <c r="M129" s="141"/>
      <c r="N129" s="141"/>
      <c r="O129" s="141"/>
      <c r="P129" s="141" t="s">
        <v>31</v>
      </c>
      <c r="Q129" s="253" t="s">
        <v>32</v>
      </c>
      <c r="R129" s="148"/>
      <c r="S129" s="206" t="s">
        <v>650</v>
      </c>
      <c r="T129" s="261">
        <v>36796</v>
      </c>
      <c r="U129" s="206" t="s">
        <v>649</v>
      </c>
      <c r="V129" s="473" t="s">
        <v>154</v>
      </c>
      <c r="W129" s="474"/>
    </row>
    <row r="130" spans="1:23" ht="12.75">
      <c r="A130" s="249">
        <v>45955.025891203702</v>
      </c>
      <c r="B130" s="250" t="s">
        <v>4258</v>
      </c>
      <c r="C130" s="139"/>
      <c r="D130" s="250" t="s">
        <v>24</v>
      </c>
      <c r="E130" s="251">
        <v>31345</v>
      </c>
      <c r="F130" s="250" t="s">
        <v>652</v>
      </c>
      <c r="G130" s="250" t="s">
        <v>2804</v>
      </c>
      <c r="H130" s="250" t="s">
        <v>4259</v>
      </c>
      <c r="I130" s="252" t="s">
        <v>4219</v>
      </c>
      <c r="J130" s="250" t="s">
        <v>4260</v>
      </c>
      <c r="K130" s="250" t="s">
        <v>29</v>
      </c>
      <c r="L130" s="281">
        <v>46203</v>
      </c>
      <c r="M130" s="250" t="s">
        <v>4261</v>
      </c>
      <c r="N130" s="252"/>
      <c r="O130" s="250"/>
      <c r="P130" s="250" t="s">
        <v>31</v>
      </c>
      <c r="Q130" s="253" t="s">
        <v>32</v>
      </c>
      <c r="R130" s="152"/>
      <c r="S130" s="254" t="s">
        <v>658</v>
      </c>
      <c r="T130" s="206"/>
      <c r="U130" s="206"/>
      <c r="V130" s="206"/>
      <c r="W130" s="206"/>
    </row>
    <row r="131" spans="1:23" ht="12.75">
      <c r="A131" s="255">
        <v>45955.118090277778</v>
      </c>
      <c r="B131" s="141" t="s">
        <v>659</v>
      </c>
      <c r="C131" s="141"/>
      <c r="D131" s="141" t="s">
        <v>45</v>
      </c>
      <c r="E131" s="256">
        <v>35590</v>
      </c>
      <c r="F131" s="141" t="s">
        <v>513</v>
      </c>
      <c r="G131" s="141" t="s">
        <v>660</v>
      </c>
      <c r="H131" s="141" t="s">
        <v>90</v>
      </c>
      <c r="I131" s="252" t="s">
        <v>4219</v>
      </c>
      <c r="J131" s="141" t="s">
        <v>661</v>
      </c>
      <c r="K131" s="141" t="s">
        <v>29</v>
      </c>
      <c r="L131" s="141" t="s">
        <v>30</v>
      </c>
      <c r="M131" s="141"/>
      <c r="N131" s="141"/>
      <c r="O131" s="141"/>
      <c r="P131" s="141" t="s">
        <v>31</v>
      </c>
      <c r="Q131" s="253" t="s">
        <v>32</v>
      </c>
      <c r="R131" s="148"/>
      <c r="S131" s="206" t="s">
        <v>662</v>
      </c>
      <c r="T131" s="261">
        <v>35590</v>
      </c>
      <c r="U131" s="206" t="s">
        <v>661</v>
      </c>
      <c r="V131" s="473" t="s">
        <v>154</v>
      </c>
      <c r="W131" s="474"/>
    </row>
    <row r="132" spans="1:23" ht="12.75">
      <c r="A132" s="255">
        <v>45955.198657407411</v>
      </c>
      <c r="B132" s="141" t="s">
        <v>663</v>
      </c>
      <c r="C132" s="141"/>
      <c r="D132" s="141" t="s">
        <v>24</v>
      </c>
      <c r="E132" s="256">
        <v>36376</v>
      </c>
      <c r="F132" s="141" t="s">
        <v>52</v>
      </c>
      <c r="G132" s="141" t="s">
        <v>664</v>
      </c>
      <c r="H132" s="141" t="s">
        <v>66</v>
      </c>
      <c r="I132" s="252" t="s">
        <v>4219</v>
      </c>
      <c r="J132" s="141" t="s">
        <v>665</v>
      </c>
      <c r="K132" s="141" t="s">
        <v>29</v>
      </c>
      <c r="L132" s="141" t="s">
        <v>30</v>
      </c>
      <c r="M132" s="141"/>
      <c r="N132" s="141"/>
      <c r="O132" s="141"/>
      <c r="P132" s="141" t="s">
        <v>31</v>
      </c>
      <c r="Q132" s="253" t="s">
        <v>32</v>
      </c>
      <c r="R132" s="152" t="s">
        <v>33</v>
      </c>
      <c r="S132" s="206" t="s">
        <v>663</v>
      </c>
      <c r="T132" s="261">
        <v>36376</v>
      </c>
      <c r="U132" s="206" t="s">
        <v>666</v>
      </c>
      <c r="V132" s="473" t="s">
        <v>80</v>
      </c>
      <c r="W132" s="474"/>
    </row>
    <row r="133" spans="1:23" ht="12.75">
      <c r="A133" s="255">
        <v>45955.906666666669</v>
      </c>
      <c r="B133" s="141" t="s">
        <v>667</v>
      </c>
      <c r="C133" s="141"/>
      <c r="D133" s="141" t="s">
        <v>45</v>
      </c>
      <c r="E133" s="256">
        <v>36863</v>
      </c>
      <c r="F133" s="141" t="s">
        <v>612</v>
      </c>
      <c r="G133" s="141" t="s">
        <v>668</v>
      </c>
      <c r="H133" s="141" t="s">
        <v>669</v>
      </c>
      <c r="I133" s="252" t="s">
        <v>4223</v>
      </c>
      <c r="J133" s="141" t="s">
        <v>670</v>
      </c>
      <c r="K133" s="141" t="s">
        <v>39</v>
      </c>
      <c r="L133" s="141" t="s">
        <v>30</v>
      </c>
      <c r="M133" s="141" t="s">
        <v>671</v>
      </c>
      <c r="N133" s="141"/>
      <c r="O133" s="141"/>
      <c r="P133" s="141" t="s">
        <v>31</v>
      </c>
      <c r="Q133" s="253" t="s">
        <v>32</v>
      </c>
      <c r="R133" s="148"/>
      <c r="S133" s="206" t="s">
        <v>672</v>
      </c>
      <c r="T133" s="261">
        <v>36863</v>
      </c>
      <c r="U133" s="206" t="s">
        <v>670</v>
      </c>
      <c r="V133" s="473" t="s">
        <v>80</v>
      </c>
      <c r="W133" s="474"/>
    </row>
    <row r="134" spans="1:23" ht="12.75">
      <c r="A134" s="255">
        <v>45956.708113425928</v>
      </c>
      <c r="B134" s="141" t="s">
        <v>673</v>
      </c>
      <c r="C134" s="141"/>
      <c r="D134" s="141" t="s">
        <v>45</v>
      </c>
      <c r="E134" s="256">
        <v>34799</v>
      </c>
      <c r="F134" s="141" t="s">
        <v>88</v>
      </c>
      <c r="G134" s="141" t="s">
        <v>674</v>
      </c>
      <c r="H134" s="141" t="s">
        <v>675</v>
      </c>
      <c r="I134" s="252" t="s">
        <v>4223</v>
      </c>
      <c r="J134" s="141" t="s">
        <v>676</v>
      </c>
      <c r="K134" s="141" t="s">
        <v>29</v>
      </c>
      <c r="L134" s="141" t="s">
        <v>30</v>
      </c>
      <c r="M134" s="141"/>
      <c r="N134" s="141"/>
      <c r="O134" s="141"/>
      <c r="P134" s="141" t="s">
        <v>31</v>
      </c>
      <c r="Q134" s="253" t="s">
        <v>32</v>
      </c>
      <c r="R134" s="152"/>
      <c r="S134" s="206" t="s">
        <v>673</v>
      </c>
      <c r="T134" s="261">
        <v>34799</v>
      </c>
      <c r="U134" s="206" t="s">
        <v>676</v>
      </c>
      <c r="V134" s="473" t="s">
        <v>80</v>
      </c>
      <c r="W134" s="474"/>
    </row>
    <row r="135" spans="1:23" ht="12.75">
      <c r="A135" s="282">
        <v>45957.161712962959</v>
      </c>
      <c r="B135" s="479" t="s">
        <v>677</v>
      </c>
      <c r="C135" s="474"/>
      <c r="D135" s="283" t="s">
        <v>24</v>
      </c>
      <c r="E135" s="284">
        <v>36253</v>
      </c>
      <c r="F135" s="283" t="s">
        <v>678</v>
      </c>
      <c r="G135" s="283" t="s">
        <v>679</v>
      </c>
      <c r="H135" s="283" t="s">
        <v>680</v>
      </c>
      <c r="I135" s="241" t="s">
        <v>4219</v>
      </c>
      <c r="J135" s="283" t="s">
        <v>681</v>
      </c>
      <c r="K135" s="283" t="s">
        <v>29</v>
      </c>
      <c r="L135" s="283" t="s">
        <v>30</v>
      </c>
      <c r="M135" s="283"/>
      <c r="N135" s="283"/>
      <c r="O135" s="283"/>
      <c r="P135" s="283" t="s">
        <v>31</v>
      </c>
      <c r="Q135" s="244" t="s">
        <v>32</v>
      </c>
      <c r="R135" s="248" t="s">
        <v>17</v>
      </c>
      <c r="S135" s="242" t="s">
        <v>682</v>
      </c>
      <c r="T135" s="266">
        <v>36253</v>
      </c>
      <c r="U135" s="242" t="s">
        <v>681</v>
      </c>
      <c r="V135" s="475" t="s">
        <v>80</v>
      </c>
      <c r="W135" s="474"/>
    </row>
    <row r="136" spans="1:23" ht="12.75">
      <c r="A136" s="259">
        <v>45957.227881944447</v>
      </c>
      <c r="B136" s="480" t="s">
        <v>687</v>
      </c>
      <c r="C136" s="474"/>
      <c r="D136" s="252" t="s">
        <v>45</v>
      </c>
      <c r="E136" s="260">
        <v>37613</v>
      </c>
      <c r="F136" s="252" t="s">
        <v>64</v>
      </c>
      <c r="G136" s="252" t="s">
        <v>1599</v>
      </c>
      <c r="H136" s="252" t="s">
        <v>685</v>
      </c>
      <c r="I136" s="252" t="s">
        <v>4219</v>
      </c>
      <c r="J136" s="252" t="s">
        <v>686</v>
      </c>
      <c r="K136" s="252" t="s">
        <v>29</v>
      </c>
      <c r="L136" s="252" t="s">
        <v>30</v>
      </c>
      <c r="M136" s="141"/>
      <c r="N136" s="252"/>
      <c r="O136" s="252"/>
      <c r="P136" s="252" t="s">
        <v>31</v>
      </c>
      <c r="Q136" s="253" t="s">
        <v>32</v>
      </c>
      <c r="R136" s="152"/>
      <c r="S136" s="24" t="s">
        <v>687</v>
      </c>
      <c r="T136" s="206"/>
      <c r="U136" s="206"/>
      <c r="V136" s="206"/>
      <c r="W136" s="206"/>
    </row>
    <row r="137" spans="1:23" ht="12.75">
      <c r="A137" s="255">
        <v>45957.261435185188</v>
      </c>
      <c r="B137" s="141" t="s">
        <v>688</v>
      </c>
      <c r="C137" s="141"/>
      <c r="D137" s="141" t="s">
        <v>45</v>
      </c>
      <c r="E137" s="256">
        <v>35712</v>
      </c>
      <c r="F137" s="141" t="s">
        <v>64</v>
      </c>
      <c r="G137" s="141" t="s">
        <v>689</v>
      </c>
      <c r="H137" s="141" t="s">
        <v>111</v>
      </c>
      <c r="I137" s="252" t="s">
        <v>4219</v>
      </c>
      <c r="J137" s="141" t="s">
        <v>690</v>
      </c>
      <c r="K137" s="141" t="s">
        <v>29</v>
      </c>
      <c r="L137" s="141" t="s">
        <v>30</v>
      </c>
      <c r="M137" s="141"/>
      <c r="N137" s="141"/>
      <c r="O137" s="141"/>
      <c r="P137" s="141" t="s">
        <v>31</v>
      </c>
      <c r="Q137" s="253" t="s">
        <v>32</v>
      </c>
      <c r="R137" s="148" t="s">
        <v>33</v>
      </c>
      <c r="S137" s="206" t="s">
        <v>691</v>
      </c>
      <c r="T137" s="261">
        <v>35712</v>
      </c>
      <c r="U137" s="206" t="s">
        <v>690</v>
      </c>
      <c r="V137" s="473" t="s">
        <v>154</v>
      </c>
      <c r="W137" s="474"/>
    </row>
    <row r="138" spans="1:23" ht="12.75">
      <c r="A138" s="255">
        <v>45957.283680555556</v>
      </c>
      <c r="B138" s="141" t="s">
        <v>692</v>
      </c>
      <c r="C138" s="141"/>
      <c r="D138" s="141" t="s">
        <v>45</v>
      </c>
      <c r="E138" s="256">
        <v>30098</v>
      </c>
      <c r="F138" s="141" t="s">
        <v>64</v>
      </c>
      <c r="G138" s="141" t="s">
        <v>693</v>
      </c>
      <c r="H138" s="141" t="s">
        <v>694</v>
      </c>
      <c r="I138" s="252" t="s">
        <v>4219</v>
      </c>
      <c r="J138" s="141" t="s">
        <v>695</v>
      </c>
      <c r="K138" s="141" t="s">
        <v>29</v>
      </c>
      <c r="L138" s="141" t="s">
        <v>30</v>
      </c>
      <c r="M138" s="141"/>
      <c r="N138" s="141"/>
      <c r="O138" s="141"/>
      <c r="P138" s="141" t="s">
        <v>31</v>
      </c>
      <c r="Q138" s="253" t="s">
        <v>32</v>
      </c>
      <c r="R138" s="152" t="s">
        <v>33</v>
      </c>
      <c r="S138" s="206" t="s">
        <v>696</v>
      </c>
      <c r="T138" s="261">
        <v>30098</v>
      </c>
      <c r="U138" s="206" t="s">
        <v>695</v>
      </c>
      <c r="V138" s="473" t="s">
        <v>80</v>
      </c>
      <c r="W138" s="474"/>
    </row>
    <row r="139" spans="1:23" ht="12.75">
      <c r="A139" s="274">
        <v>45957.460034722222</v>
      </c>
      <c r="B139" s="242" t="s">
        <v>697</v>
      </c>
      <c r="C139" s="242"/>
      <c r="D139" s="242" t="s">
        <v>45</v>
      </c>
      <c r="E139" s="275">
        <v>35773</v>
      </c>
      <c r="F139" s="242" t="s">
        <v>64</v>
      </c>
      <c r="G139" s="242" t="s">
        <v>698</v>
      </c>
      <c r="H139" s="242" t="s">
        <v>276</v>
      </c>
      <c r="I139" s="241" t="s">
        <v>4219</v>
      </c>
      <c r="J139" s="242" t="s">
        <v>699</v>
      </c>
      <c r="K139" s="242" t="s">
        <v>29</v>
      </c>
      <c r="L139" s="242" t="s">
        <v>30</v>
      </c>
      <c r="M139" s="242"/>
      <c r="N139" s="242"/>
      <c r="O139" s="242"/>
      <c r="P139" s="242" t="s">
        <v>31</v>
      </c>
      <c r="Q139" s="244" t="s">
        <v>32</v>
      </c>
      <c r="R139" s="248" t="s">
        <v>33</v>
      </c>
      <c r="S139" s="242" t="s">
        <v>700</v>
      </c>
      <c r="T139" s="266">
        <v>35773</v>
      </c>
      <c r="U139" s="242" t="s">
        <v>699</v>
      </c>
      <c r="V139" s="475" t="s">
        <v>80</v>
      </c>
      <c r="W139" s="474"/>
    </row>
    <row r="140" spans="1:23" ht="12.75">
      <c r="A140" s="268">
        <v>45957.624768518515</v>
      </c>
      <c r="B140" s="269" t="s">
        <v>701</v>
      </c>
      <c r="C140" s="269"/>
      <c r="D140" s="269" t="s">
        <v>24</v>
      </c>
      <c r="E140" s="270">
        <v>35768</v>
      </c>
      <c r="F140" s="141" t="s">
        <v>208</v>
      </c>
      <c r="G140" s="269" t="s">
        <v>702</v>
      </c>
      <c r="H140" s="269" t="s">
        <v>138</v>
      </c>
      <c r="I140" s="252" t="s">
        <v>4223</v>
      </c>
      <c r="J140" s="269" t="s">
        <v>703</v>
      </c>
      <c r="K140" s="269" t="s">
        <v>29</v>
      </c>
      <c r="L140" s="269" t="s">
        <v>30</v>
      </c>
      <c r="M140" s="269"/>
      <c r="N140" s="269"/>
      <c r="O140" s="269"/>
      <c r="P140" s="269" t="s">
        <v>31</v>
      </c>
      <c r="Q140" s="253" t="s">
        <v>32</v>
      </c>
      <c r="R140" s="152"/>
      <c r="S140" s="206" t="s">
        <v>704</v>
      </c>
      <c r="T140" s="261">
        <v>35768</v>
      </c>
      <c r="U140" s="206" t="s">
        <v>703</v>
      </c>
      <c r="V140" s="473" t="s">
        <v>80</v>
      </c>
      <c r="W140" s="474"/>
    </row>
    <row r="141" spans="1:23" ht="12.75">
      <c r="A141" s="255">
        <v>45957.686678240738</v>
      </c>
      <c r="B141" s="141" t="s">
        <v>705</v>
      </c>
      <c r="C141" s="141"/>
      <c r="D141" s="141" t="s">
        <v>45</v>
      </c>
      <c r="E141" s="256">
        <v>31243</v>
      </c>
      <c r="F141" s="141" t="s">
        <v>438</v>
      </c>
      <c r="G141" s="141" t="s">
        <v>706</v>
      </c>
      <c r="H141" s="141" t="s">
        <v>707</v>
      </c>
      <c r="I141" s="252" t="s">
        <v>4219</v>
      </c>
      <c r="J141" s="141" t="s">
        <v>708</v>
      </c>
      <c r="K141" s="141" t="s">
        <v>29</v>
      </c>
      <c r="L141" s="141" t="s">
        <v>30</v>
      </c>
      <c r="M141" s="141"/>
      <c r="N141" s="141"/>
      <c r="O141" s="141"/>
      <c r="P141" s="141" t="s">
        <v>31</v>
      </c>
      <c r="Q141" s="253" t="s">
        <v>32</v>
      </c>
      <c r="R141" s="148"/>
      <c r="S141" s="206" t="s">
        <v>705</v>
      </c>
      <c r="T141" s="261">
        <v>31243</v>
      </c>
      <c r="U141" s="206" t="s">
        <v>708</v>
      </c>
      <c r="V141" s="473" t="s">
        <v>80</v>
      </c>
      <c r="W141" s="474"/>
    </row>
    <row r="142" spans="1:23" ht="12.75">
      <c r="A142" s="274">
        <v>45958.564745370371</v>
      </c>
      <c r="B142" s="242" t="s">
        <v>709</v>
      </c>
      <c r="C142" s="242"/>
      <c r="D142" s="242" t="s">
        <v>24</v>
      </c>
      <c r="E142" s="275">
        <v>27940</v>
      </c>
      <c r="F142" s="242" t="s">
        <v>227</v>
      </c>
      <c r="G142" s="242" t="s">
        <v>710</v>
      </c>
      <c r="H142" s="242" t="s">
        <v>711</v>
      </c>
      <c r="I142" s="241" t="s">
        <v>4219</v>
      </c>
      <c r="J142" s="242" t="s">
        <v>712</v>
      </c>
      <c r="K142" s="242" t="s">
        <v>29</v>
      </c>
      <c r="L142" s="242" t="s">
        <v>162</v>
      </c>
      <c r="M142" s="242"/>
      <c r="N142" s="242"/>
      <c r="O142" s="242"/>
      <c r="P142" s="242" t="s">
        <v>31</v>
      </c>
      <c r="Q142" s="244" t="s">
        <v>32</v>
      </c>
      <c r="R142" s="245" t="s">
        <v>33</v>
      </c>
      <c r="S142" s="242" t="s">
        <v>709</v>
      </c>
      <c r="T142" s="266">
        <v>27940</v>
      </c>
      <c r="U142" s="242" t="s">
        <v>712</v>
      </c>
      <c r="V142" s="475" t="s">
        <v>80</v>
      </c>
      <c r="W142" s="474"/>
    </row>
    <row r="143" spans="1:23" ht="12.75">
      <c r="A143" s="274">
        <v>45958.776678240742</v>
      </c>
      <c r="B143" s="242" t="s">
        <v>713</v>
      </c>
      <c r="C143" s="242"/>
      <c r="D143" s="242" t="s">
        <v>45</v>
      </c>
      <c r="E143" s="275">
        <v>31409</v>
      </c>
      <c r="F143" s="242" t="s">
        <v>64</v>
      </c>
      <c r="G143" s="242" t="s">
        <v>714</v>
      </c>
      <c r="H143" s="242" t="s">
        <v>715</v>
      </c>
      <c r="I143" s="241" t="s">
        <v>4219</v>
      </c>
      <c r="J143" s="242" t="s">
        <v>716</v>
      </c>
      <c r="K143" s="242" t="s">
        <v>29</v>
      </c>
      <c r="L143" s="242" t="s">
        <v>30</v>
      </c>
      <c r="M143" s="242"/>
      <c r="N143" s="242"/>
      <c r="O143" s="242"/>
      <c r="P143" s="242" t="s">
        <v>31</v>
      </c>
      <c r="Q143" s="244" t="s">
        <v>32</v>
      </c>
      <c r="R143" s="248" t="s">
        <v>33</v>
      </c>
      <c r="S143" s="242" t="s">
        <v>713</v>
      </c>
      <c r="T143" s="266">
        <v>31409</v>
      </c>
      <c r="U143" s="242" t="s">
        <v>716</v>
      </c>
      <c r="V143" s="475" t="s">
        <v>80</v>
      </c>
      <c r="W143" s="474"/>
    </row>
    <row r="144" spans="1:23" ht="12.75">
      <c r="A144" s="274">
        <v>45958.989363425928</v>
      </c>
      <c r="B144" s="242" t="s">
        <v>717</v>
      </c>
      <c r="C144" s="242"/>
      <c r="D144" s="242" t="s">
        <v>24</v>
      </c>
      <c r="E144" s="275">
        <v>34612</v>
      </c>
      <c r="F144" s="242" t="s">
        <v>70</v>
      </c>
      <c r="G144" s="242" t="s">
        <v>718</v>
      </c>
      <c r="H144" s="242" t="s">
        <v>719</v>
      </c>
      <c r="I144" s="241" t="s">
        <v>4219</v>
      </c>
      <c r="J144" s="242" t="s">
        <v>720</v>
      </c>
      <c r="K144" s="242" t="s">
        <v>29</v>
      </c>
      <c r="L144" s="285">
        <v>46202</v>
      </c>
      <c r="M144" s="242"/>
      <c r="N144" s="242"/>
      <c r="O144" s="242"/>
      <c r="P144" s="242" t="s">
        <v>31</v>
      </c>
      <c r="Q144" s="244" t="s">
        <v>32</v>
      </c>
      <c r="R144" s="245" t="s">
        <v>33</v>
      </c>
      <c r="S144" s="242" t="s">
        <v>721</v>
      </c>
      <c r="T144" s="266">
        <v>34612</v>
      </c>
      <c r="U144" s="242" t="s">
        <v>720</v>
      </c>
      <c r="V144" s="475" t="s">
        <v>722</v>
      </c>
      <c r="W144" s="474"/>
    </row>
    <row r="145" spans="1:23" ht="12.75">
      <c r="A145" s="255">
        <v>45960.660324074073</v>
      </c>
      <c r="B145" s="141" t="s">
        <v>723</v>
      </c>
      <c r="C145" s="141"/>
      <c r="D145" s="141" t="s">
        <v>24</v>
      </c>
      <c r="E145" s="256">
        <v>34968</v>
      </c>
      <c r="F145" s="141" t="s">
        <v>724</v>
      </c>
      <c r="G145" s="141" t="s">
        <v>725</v>
      </c>
      <c r="H145" s="141" t="s">
        <v>726</v>
      </c>
      <c r="I145" s="252" t="s">
        <v>4219</v>
      </c>
      <c r="J145" s="141" t="s">
        <v>727</v>
      </c>
      <c r="K145" s="141" t="s">
        <v>29</v>
      </c>
      <c r="L145" s="141" t="s">
        <v>30</v>
      </c>
      <c r="M145" s="141"/>
      <c r="N145" s="141"/>
      <c r="O145" s="141"/>
      <c r="P145" s="141" t="s">
        <v>31</v>
      </c>
      <c r="Q145" s="257" t="s">
        <v>56</v>
      </c>
      <c r="R145" s="24"/>
      <c r="S145" s="206"/>
      <c r="T145" s="258"/>
      <c r="U145" s="206"/>
      <c r="V145" s="206"/>
      <c r="W145" s="206"/>
    </row>
    <row r="146" spans="1:23" ht="12.75">
      <c r="A146" s="255">
        <v>45961.094328703701</v>
      </c>
      <c r="B146" s="141" t="s">
        <v>728</v>
      </c>
      <c r="C146" s="141"/>
      <c r="D146" s="141" t="s">
        <v>45</v>
      </c>
      <c r="E146" s="256">
        <v>36016</v>
      </c>
      <c r="F146" s="141" t="s">
        <v>70</v>
      </c>
      <c r="G146" s="141" t="s">
        <v>729</v>
      </c>
      <c r="H146" s="141" t="s">
        <v>186</v>
      </c>
      <c r="I146" s="252" t="s">
        <v>4219</v>
      </c>
      <c r="J146" s="141" t="s">
        <v>730</v>
      </c>
      <c r="K146" s="141" t="s">
        <v>29</v>
      </c>
      <c r="L146" s="141" t="s">
        <v>30</v>
      </c>
      <c r="M146" s="141"/>
      <c r="N146" s="141"/>
      <c r="O146" s="141"/>
      <c r="P146" s="141" t="s">
        <v>31</v>
      </c>
      <c r="Q146" s="253" t="s">
        <v>32</v>
      </c>
      <c r="R146" s="152" t="s">
        <v>33</v>
      </c>
      <c r="S146" s="206" t="s">
        <v>728</v>
      </c>
      <c r="T146" s="261">
        <v>36016</v>
      </c>
      <c r="U146" s="206" t="s">
        <v>730</v>
      </c>
      <c r="V146" s="473" t="s">
        <v>80</v>
      </c>
      <c r="W146" s="474"/>
    </row>
    <row r="147" spans="1:23" ht="12.75">
      <c r="A147" s="255">
        <v>45961.660601851851</v>
      </c>
      <c r="B147" s="141" t="s">
        <v>731</v>
      </c>
      <c r="C147" s="141"/>
      <c r="D147" s="141" t="s">
        <v>24</v>
      </c>
      <c r="E147" s="256">
        <v>35682</v>
      </c>
      <c r="F147" s="141" t="s">
        <v>732</v>
      </c>
      <c r="G147" s="141" t="s">
        <v>733</v>
      </c>
      <c r="H147" s="141" t="s">
        <v>734</v>
      </c>
      <c r="I147" s="252" t="s">
        <v>4219</v>
      </c>
      <c r="J147" s="141" t="s">
        <v>735</v>
      </c>
      <c r="K147" s="141" t="s">
        <v>39</v>
      </c>
      <c r="L147" s="141" t="s">
        <v>621</v>
      </c>
      <c r="M147" s="141"/>
      <c r="N147" s="141"/>
      <c r="O147" s="141"/>
      <c r="P147" s="141" t="s">
        <v>31</v>
      </c>
      <c r="Q147" s="253" t="s">
        <v>32</v>
      </c>
      <c r="R147" s="148"/>
      <c r="S147" s="206" t="s">
        <v>731</v>
      </c>
      <c r="T147" s="261">
        <v>35682</v>
      </c>
      <c r="U147" s="206" t="s">
        <v>735</v>
      </c>
      <c r="V147" s="473" t="s">
        <v>80</v>
      </c>
      <c r="W147" s="474"/>
    </row>
    <row r="148" spans="1:23" ht="12.75">
      <c r="A148" s="255">
        <v>45962.369756944441</v>
      </c>
      <c r="B148" s="141" t="s">
        <v>736</v>
      </c>
      <c r="C148" s="141"/>
      <c r="D148" s="141" t="s">
        <v>24</v>
      </c>
      <c r="E148" s="256">
        <v>35087</v>
      </c>
      <c r="F148" s="141" t="s">
        <v>724</v>
      </c>
      <c r="G148" s="141" t="s">
        <v>737</v>
      </c>
      <c r="H148" s="141" t="s">
        <v>738</v>
      </c>
      <c r="I148" s="252" t="s">
        <v>4219</v>
      </c>
      <c r="J148" s="141" t="s">
        <v>739</v>
      </c>
      <c r="K148" s="141" t="s">
        <v>29</v>
      </c>
      <c r="L148" s="141" t="s">
        <v>30</v>
      </c>
      <c r="M148" s="141"/>
      <c r="N148" s="141"/>
      <c r="O148" s="141"/>
      <c r="P148" s="141" t="s">
        <v>31</v>
      </c>
      <c r="Q148" s="257" t="s">
        <v>56</v>
      </c>
      <c r="R148" s="24"/>
      <c r="S148" s="206"/>
      <c r="T148" s="258"/>
      <c r="U148" s="206"/>
      <c r="V148" s="206"/>
      <c r="W148" s="206"/>
    </row>
    <row r="149" spans="1:23" ht="12.75">
      <c r="A149" s="240">
        <v>45962.906886574077</v>
      </c>
      <c r="B149" s="241" t="s">
        <v>740</v>
      </c>
      <c r="C149" s="242"/>
      <c r="D149" s="241" t="s">
        <v>45</v>
      </c>
      <c r="E149" s="243">
        <v>32013</v>
      </c>
      <c r="F149" s="241" t="s">
        <v>52</v>
      </c>
      <c r="G149" s="241" t="s">
        <v>741</v>
      </c>
      <c r="H149" s="241" t="s">
        <v>186</v>
      </c>
      <c r="I149" s="241" t="s">
        <v>4219</v>
      </c>
      <c r="J149" s="241" t="s">
        <v>742</v>
      </c>
      <c r="K149" s="241" t="s">
        <v>29</v>
      </c>
      <c r="L149" s="241" t="s">
        <v>30</v>
      </c>
      <c r="M149" s="242"/>
      <c r="N149" s="241"/>
      <c r="O149" s="241"/>
      <c r="P149" s="241" t="s">
        <v>31</v>
      </c>
      <c r="Q149" s="244" t="s">
        <v>32</v>
      </c>
      <c r="R149" s="245" t="s">
        <v>33</v>
      </c>
      <c r="S149" s="246" t="s">
        <v>740</v>
      </c>
      <c r="T149" s="242"/>
      <c r="U149" s="242"/>
      <c r="V149" s="242"/>
      <c r="W149" s="242"/>
    </row>
    <row r="150" spans="1:23" ht="12.75">
      <c r="A150" s="255">
        <v>45963.104594907411</v>
      </c>
      <c r="B150" s="141" t="s">
        <v>743</v>
      </c>
      <c r="C150" s="141"/>
      <c r="D150" s="141" t="s">
        <v>24</v>
      </c>
      <c r="E150" s="256">
        <v>36103</v>
      </c>
      <c r="F150" s="141" t="s">
        <v>227</v>
      </c>
      <c r="G150" s="141" t="s">
        <v>744</v>
      </c>
      <c r="H150" s="141" t="s">
        <v>66</v>
      </c>
      <c r="I150" s="252" t="s">
        <v>4219</v>
      </c>
      <c r="J150" s="141" t="s">
        <v>745</v>
      </c>
      <c r="K150" s="141" t="s">
        <v>39</v>
      </c>
      <c r="L150" s="141" t="s">
        <v>621</v>
      </c>
      <c r="M150" s="141"/>
      <c r="N150" s="141"/>
      <c r="O150" s="141"/>
      <c r="P150" s="141" t="s">
        <v>31</v>
      </c>
      <c r="Q150" s="253" t="s">
        <v>32</v>
      </c>
      <c r="R150" s="148"/>
      <c r="S150" s="206" t="s">
        <v>743</v>
      </c>
      <c r="T150" s="261">
        <v>36103</v>
      </c>
      <c r="U150" s="206" t="s">
        <v>745</v>
      </c>
      <c r="V150" s="473" t="s">
        <v>80</v>
      </c>
      <c r="W150" s="474"/>
    </row>
    <row r="151" spans="1:23" ht="12.75">
      <c r="A151" s="255">
        <v>45964.119108796294</v>
      </c>
      <c r="B151" s="141" t="s">
        <v>746</v>
      </c>
      <c r="C151" s="141"/>
      <c r="D151" s="141" t="s">
        <v>24</v>
      </c>
      <c r="E151" s="256">
        <v>35083</v>
      </c>
      <c r="F151" s="141" t="s">
        <v>52</v>
      </c>
      <c r="G151" s="141" t="s">
        <v>702</v>
      </c>
      <c r="H151" s="141" t="s">
        <v>66</v>
      </c>
      <c r="I151" s="252" t="s">
        <v>4219</v>
      </c>
      <c r="J151" s="141" t="s">
        <v>747</v>
      </c>
      <c r="K151" s="141" t="s">
        <v>29</v>
      </c>
      <c r="L151" s="141" t="s">
        <v>30</v>
      </c>
      <c r="M151" s="141"/>
      <c r="N151" s="141"/>
      <c r="O151" s="141"/>
      <c r="P151" s="141" t="s">
        <v>31</v>
      </c>
      <c r="Q151" s="253" t="s">
        <v>32</v>
      </c>
      <c r="R151" s="152"/>
      <c r="S151" s="206" t="s">
        <v>746</v>
      </c>
      <c r="T151" s="261">
        <v>35083</v>
      </c>
      <c r="U151" s="206" t="s">
        <v>747</v>
      </c>
      <c r="V151" s="473" t="s">
        <v>80</v>
      </c>
      <c r="W151" s="474"/>
    </row>
    <row r="152" spans="1:23" ht="12.75">
      <c r="A152" s="255">
        <v>45964.769606481481</v>
      </c>
      <c r="B152" s="141" t="s">
        <v>748</v>
      </c>
      <c r="C152" s="141"/>
      <c r="D152" s="141" t="s">
        <v>24</v>
      </c>
      <c r="E152" s="256">
        <v>37380</v>
      </c>
      <c r="F152" s="141" t="s">
        <v>208</v>
      </c>
      <c r="G152" s="141" t="s">
        <v>452</v>
      </c>
      <c r="H152" s="141" t="s">
        <v>66</v>
      </c>
      <c r="I152" s="252" t="s">
        <v>4223</v>
      </c>
      <c r="J152" s="141" t="s">
        <v>749</v>
      </c>
      <c r="K152" s="141" t="s">
        <v>29</v>
      </c>
      <c r="L152" s="141" t="s">
        <v>30</v>
      </c>
      <c r="M152" s="141"/>
      <c r="N152" s="141"/>
      <c r="O152" s="141"/>
      <c r="P152" s="141" t="s">
        <v>31</v>
      </c>
      <c r="Q152" s="253" t="s">
        <v>32</v>
      </c>
      <c r="R152" s="148" t="s">
        <v>33</v>
      </c>
      <c r="S152" s="206" t="s">
        <v>748</v>
      </c>
      <c r="T152" s="261">
        <v>45781</v>
      </c>
      <c r="U152" s="206" t="s">
        <v>749</v>
      </c>
      <c r="V152" s="206" t="s">
        <v>236</v>
      </c>
      <c r="W152" s="206"/>
    </row>
    <row r="153" spans="1:23" ht="12.75">
      <c r="A153" s="274">
        <v>45965.19090277778</v>
      </c>
      <c r="B153" s="242" t="s">
        <v>750</v>
      </c>
      <c r="C153" s="242"/>
      <c r="D153" s="242" t="s">
        <v>45</v>
      </c>
      <c r="E153" s="275">
        <v>28467</v>
      </c>
      <c r="F153" s="242" t="s">
        <v>751</v>
      </c>
      <c r="G153" s="242" t="s">
        <v>209</v>
      </c>
      <c r="H153" s="242" t="s">
        <v>186</v>
      </c>
      <c r="I153" s="241" t="s">
        <v>4223</v>
      </c>
      <c r="J153" s="242" t="s">
        <v>752</v>
      </c>
      <c r="K153" s="242" t="s">
        <v>29</v>
      </c>
      <c r="L153" s="242" t="s">
        <v>30</v>
      </c>
      <c r="M153" s="242"/>
      <c r="N153" s="242"/>
      <c r="O153" s="242"/>
      <c r="P153" s="242" t="s">
        <v>31</v>
      </c>
      <c r="Q153" s="244" t="s">
        <v>32</v>
      </c>
      <c r="R153" s="245" t="s">
        <v>33</v>
      </c>
      <c r="S153" s="242" t="s">
        <v>750</v>
      </c>
      <c r="T153" s="266">
        <v>28467</v>
      </c>
      <c r="U153" s="242" t="s">
        <v>752</v>
      </c>
      <c r="V153" s="475" t="s">
        <v>80</v>
      </c>
      <c r="W153" s="474"/>
    </row>
    <row r="154" spans="1:23" ht="12.75">
      <c r="A154" s="255">
        <v>45965.195451388892</v>
      </c>
      <c r="B154" s="141" t="s">
        <v>753</v>
      </c>
      <c r="C154" s="141"/>
      <c r="D154" s="141" t="s">
        <v>24</v>
      </c>
      <c r="E154" s="256">
        <v>23548</v>
      </c>
      <c r="F154" s="141" t="s">
        <v>208</v>
      </c>
      <c r="G154" s="141" t="s">
        <v>754</v>
      </c>
      <c r="H154" s="141" t="s">
        <v>755</v>
      </c>
      <c r="I154" s="252" t="s">
        <v>4223</v>
      </c>
      <c r="J154" s="141" t="s">
        <v>756</v>
      </c>
      <c r="K154" s="141" t="s">
        <v>29</v>
      </c>
      <c r="L154" s="141" t="s">
        <v>30</v>
      </c>
      <c r="M154" s="141"/>
      <c r="N154" s="141"/>
      <c r="O154" s="141"/>
      <c r="P154" s="141" t="s">
        <v>31</v>
      </c>
      <c r="Q154" s="257" t="s">
        <v>56</v>
      </c>
      <c r="R154" s="24"/>
      <c r="S154" s="206"/>
      <c r="T154" s="258"/>
      <c r="U154" s="206"/>
      <c r="V154" s="206"/>
      <c r="W154" s="206"/>
    </row>
    <row r="155" spans="1:23" ht="12.75">
      <c r="A155" s="274">
        <v>45965.231990740744</v>
      </c>
      <c r="B155" s="242" t="s">
        <v>757</v>
      </c>
      <c r="C155" s="242"/>
      <c r="D155" s="242" t="s">
        <v>45</v>
      </c>
      <c r="E155" s="275">
        <v>32128</v>
      </c>
      <c r="F155" s="242" t="s">
        <v>751</v>
      </c>
      <c r="G155" s="242" t="s">
        <v>758</v>
      </c>
      <c r="H155" s="242" t="s">
        <v>759</v>
      </c>
      <c r="I155" s="241" t="s">
        <v>4223</v>
      </c>
      <c r="J155" s="242" t="s">
        <v>760</v>
      </c>
      <c r="K155" s="242" t="s">
        <v>29</v>
      </c>
      <c r="L155" s="242" t="s">
        <v>30</v>
      </c>
      <c r="M155" s="242"/>
      <c r="N155" s="242"/>
      <c r="O155" s="242"/>
      <c r="P155" s="242" t="s">
        <v>31</v>
      </c>
      <c r="Q155" s="244" t="s">
        <v>32</v>
      </c>
      <c r="R155" s="248" t="s">
        <v>33</v>
      </c>
      <c r="S155" s="242" t="s">
        <v>761</v>
      </c>
      <c r="T155" s="266">
        <v>32128</v>
      </c>
      <c r="U155" s="242" t="s">
        <v>760</v>
      </c>
      <c r="V155" s="475" t="s">
        <v>80</v>
      </c>
      <c r="W155" s="474"/>
    </row>
    <row r="156" spans="1:23" ht="12.75">
      <c r="A156" s="255">
        <v>45965.376875000002</v>
      </c>
      <c r="B156" s="141" t="s">
        <v>762</v>
      </c>
      <c r="C156" s="141"/>
      <c r="D156" s="141" t="s">
        <v>45</v>
      </c>
      <c r="E156" s="256">
        <v>34722</v>
      </c>
      <c r="F156" s="141" t="s">
        <v>751</v>
      </c>
      <c r="G156" s="141" t="s">
        <v>763</v>
      </c>
      <c r="H156" s="141" t="s">
        <v>111</v>
      </c>
      <c r="I156" s="252" t="s">
        <v>4223</v>
      </c>
      <c r="J156" s="141" t="s">
        <v>764</v>
      </c>
      <c r="K156" s="141" t="s">
        <v>29</v>
      </c>
      <c r="L156" s="141" t="s">
        <v>30</v>
      </c>
      <c r="M156" s="141"/>
      <c r="N156" s="141"/>
      <c r="O156" s="141"/>
      <c r="P156" s="141" t="s">
        <v>31</v>
      </c>
      <c r="Q156" s="253" t="s">
        <v>32</v>
      </c>
      <c r="R156" s="152" t="s">
        <v>33</v>
      </c>
      <c r="S156" s="206" t="s">
        <v>762</v>
      </c>
      <c r="T156" s="261">
        <v>34722</v>
      </c>
      <c r="U156" s="206" t="s">
        <v>764</v>
      </c>
      <c r="V156" s="473" t="s">
        <v>80</v>
      </c>
      <c r="W156" s="474"/>
    </row>
    <row r="157" spans="1:23" ht="12.75">
      <c r="A157" s="255">
        <v>45966.15929398148</v>
      </c>
      <c r="B157" s="141" t="s">
        <v>765</v>
      </c>
      <c r="C157" s="141"/>
      <c r="D157" s="141" t="s">
        <v>24</v>
      </c>
      <c r="E157" s="256">
        <v>33801</v>
      </c>
      <c r="F157" s="141" t="s">
        <v>310</v>
      </c>
      <c r="G157" s="141" t="s">
        <v>766</v>
      </c>
      <c r="H157" s="141" t="s">
        <v>767</v>
      </c>
      <c r="I157" s="252" t="s">
        <v>4237</v>
      </c>
      <c r="J157" s="141" t="s">
        <v>768</v>
      </c>
      <c r="K157" s="141" t="s">
        <v>29</v>
      </c>
      <c r="L157" s="141" t="s">
        <v>30</v>
      </c>
      <c r="M157" s="141"/>
      <c r="N157" s="141"/>
      <c r="O157" s="141"/>
      <c r="P157" s="141" t="s">
        <v>31</v>
      </c>
      <c r="Q157" s="253" t="s">
        <v>32</v>
      </c>
      <c r="R157" s="148"/>
      <c r="S157" s="206" t="s">
        <v>769</v>
      </c>
      <c r="T157" s="261">
        <v>33801</v>
      </c>
      <c r="U157" s="206" t="s">
        <v>768</v>
      </c>
      <c r="V157" s="206" t="s">
        <v>463</v>
      </c>
      <c r="W157" s="206"/>
    </row>
    <row r="158" spans="1:23" ht="12.75">
      <c r="A158" s="255">
        <v>45966.819918981484</v>
      </c>
      <c r="B158" s="141" t="s">
        <v>770</v>
      </c>
      <c r="C158" s="141"/>
      <c r="D158" s="141" t="s">
        <v>24</v>
      </c>
      <c r="E158" s="256">
        <v>34721</v>
      </c>
      <c r="F158" s="141" t="s">
        <v>227</v>
      </c>
      <c r="G158" s="141" t="s">
        <v>209</v>
      </c>
      <c r="H158" s="141" t="s">
        <v>771</v>
      </c>
      <c r="I158" s="252" t="s">
        <v>4219</v>
      </c>
      <c r="J158" s="141" t="s">
        <v>772</v>
      </c>
      <c r="K158" s="141" t="s">
        <v>29</v>
      </c>
      <c r="L158" s="141" t="s">
        <v>30</v>
      </c>
      <c r="M158" s="141"/>
      <c r="N158" s="141"/>
      <c r="O158" s="141"/>
      <c r="P158" s="141" t="s">
        <v>31</v>
      </c>
      <c r="Q158" s="253" t="s">
        <v>32</v>
      </c>
      <c r="R158" s="152"/>
      <c r="S158" s="206" t="s">
        <v>773</v>
      </c>
      <c r="T158" s="261">
        <v>34721</v>
      </c>
      <c r="U158" s="206" t="s">
        <v>772</v>
      </c>
      <c r="V158" s="473" t="s">
        <v>154</v>
      </c>
      <c r="W158" s="474"/>
    </row>
    <row r="159" spans="1:23" ht="12.75">
      <c r="A159" s="274">
        <v>45966.82203703704</v>
      </c>
      <c r="B159" s="242" t="s">
        <v>774</v>
      </c>
      <c r="C159" s="242"/>
      <c r="D159" s="242" t="s">
        <v>24</v>
      </c>
      <c r="E159" s="275">
        <v>38402</v>
      </c>
      <c r="F159" s="242" t="s">
        <v>227</v>
      </c>
      <c r="G159" s="242" t="s">
        <v>775</v>
      </c>
      <c r="H159" s="242" t="s">
        <v>66</v>
      </c>
      <c r="I159" s="241" t="s">
        <v>4219</v>
      </c>
      <c r="J159" s="242" t="s">
        <v>776</v>
      </c>
      <c r="K159" s="242" t="s">
        <v>29</v>
      </c>
      <c r="L159" s="242" t="s">
        <v>30</v>
      </c>
      <c r="M159" s="242"/>
      <c r="N159" s="242"/>
      <c r="O159" s="242"/>
      <c r="P159" s="242" t="s">
        <v>31</v>
      </c>
      <c r="Q159" s="244" t="s">
        <v>32</v>
      </c>
      <c r="R159" s="248" t="s">
        <v>33</v>
      </c>
      <c r="S159" s="242" t="s">
        <v>774</v>
      </c>
      <c r="T159" s="266">
        <v>38402</v>
      </c>
      <c r="U159" s="242" t="s">
        <v>776</v>
      </c>
      <c r="V159" s="475" t="s">
        <v>80</v>
      </c>
      <c r="W159" s="474"/>
    </row>
    <row r="160" spans="1:23" ht="12.75">
      <c r="A160" s="274">
        <v>45969.149988425925</v>
      </c>
      <c r="B160" s="242" t="s">
        <v>777</v>
      </c>
      <c r="C160" s="242"/>
      <c r="D160" s="242" t="s">
        <v>45</v>
      </c>
      <c r="E160" s="275">
        <v>35695</v>
      </c>
      <c r="F160" s="242" t="s">
        <v>208</v>
      </c>
      <c r="G160" s="242" t="s">
        <v>778</v>
      </c>
      <c r="H160" s="242" t="s">
        <v>779</v>
      </c>
      <c r="I160" s="241" t="s">
        <v>4223</v>
      </c>
      <c r="J160" s="242" t="s">
        <v>780</v>
      </c>
      <c r="K160" s="242" t="s">
        <v>29</v>
      </c>
      <c r="L160" s="242" t="s">
        <v>30</v>
      </c>
      <c r="M160" s="242"/>
      <c r="N160" s="242"/>
      <c r="O160" s="242"/>
      <c r="P160" s="242" t="s">
        <v>31</v>
      </c>
      <c r="Q160" s="244" t="s">
        <v>32</v>
      </c>
      <c r="R160" s="245" t="s">
        <v>33</v>
      </c>
      <c r="S160" s="242" t="s">
        <v>777</v>
      </c>
      <c r="T160" s="266">
        <v>35695</v>
      </c>
      <c r="U160" s="242" t="s">
        <v>780</v>
      </c>
      <c r="V160" s="475" t="s">
        <v>80</v>
      </c>
      <c r="W160" s="474"/>
    </row>
    <row r="161" spans="1:23" ht="12.75">
      <c r="A161" s="274">
        <v>45970.186041666668</v>
      </c>
      <c r="B161" s="242" t="s">
        <v>781</v>
      </c>
      <c r="C161" s="242"/>
      <c r="D161" s="242" t="s">
        <v>24</v>
      </c>
      <c r="E161" s="275">
        <v>37575</v>
      </c>
      <c r="F161" s="242" t="s">
        <v>732</v>
      </c>
      <c r="G161" s="242" t="s">
        <v>782</v>
      </c>
      <c r="H161" s="242" t="s">
        <v>368</v>
      </c>
      <c r="I161" s="241" t="s">
        <v>4219</v>
      </c>
      <c r="J161" s="242" t="s">
        <v>783</v>
      </c>
      <c r="K161" s="242" t="s">
        <v>29</v>
      </c>
      <c r="L161" s="242" t="s">
        <v>30</v>
      </c>
      <c r="M161" s="242"/>
      <c r="N161" s="242"/>
      <c r="O161" s="242"/>
      <c r="P161" s="242" t="s">
        <v>31</v>
      </c>
      <c r="Q161" s="244" t="s">
        <v>32</v>
      </c>
      <c r="R161" s="248" t="s">
        <v>33</v>
      </c>
      <c r="S161" s="242" t="s">
        <v>781</v>
      </c>
      <c r="T161" s="266">
        <v>37575</v>
      </c>
      <c r="U161" s="242" t="s">
        <v>783</v>
      </c>
      <c r="V161" s="475" t="s">
        <v>80</v>
      </c>
      <c r="W161" s="474"/>
    </row>
    <row r="162" spans="1:23" ht="12.75">
      <c r="A162" s="255">
        <v>45971.427928240744</v>
      </c>
      <c r="B162" s="141" t="s">
        <v>784</v>
      </c>
      <c r="C162" s="141"/>
      <c r="D162" s="141" t="s">
        <v>45</v>
      </c>
      <c r="E162" s="256">
        <v>30689</v>
      </c>
      <c r="F162" s="141" t="s">
        <v>751</v>
      </c>
      <c r="G162" s="141" t="s">
        <v>763</v>
      </c>
      <c r="H162" s="141" t="s">
        <v>785</v>
      </c>
      <c r="I162" s="252" t="s">
        <v>4223</v>
      </c>
      <c r="J162" s="141" t="s">
        <v>786</v>
      </c>
      <c r="K162" s="141" t="s">
        <v>29</v>
      </c>
      <c r="L162" s="141" t="s">
        <v>30</v>
      </c>
      <c r="M162" s="141"/>
      <c r="N162" s="141"/>
      <c r="O162" s="141"/>
      <c r="P162" s="141" t="s">
        <v>31</v>
      </c>
      <c r="Q162" s="253" t="s">
        <v>32</v>
      </c>
      <c r="R162" s="152"/>
      <c r="S162" s="206" t="s">
        <v>787</v>
      </c>
      <c r="T162" s="261">
        <v>30689</v>
      </c>
      <c r="U162" s="206" t="s">
        <v>786</v>
      </c>
      <c r="V162" s="473" t="s">
        <v>80</v>
      </c>
      <c r="W162" s="474"/>
    </row>
    <row r="163" spans="1:23" ht="12.75">
      <c r="A163" s="240">
        <v>45971.840567129628</v>
      </c>
      <c r="B163" s="241" t="s">
        <v>788</v>
      </c>
      <c r="C163" s="242"/>
      <c r="D163" s="241" t="s">
        <v>45</v>
      </c>
      <c r="E163" s="243">
        <v>37385</v>
      </c>
      <c r="F163" s="241" t="s">
        <v>245</v>
      </c>
      <c r="G163" s="241" t="s">
        <v>789</v>
      </c>
      <c r="H163" s="241" t="s">
        <v>790</v>
      </c>
      <c r="I163" s="241" t="s">
        <v>4219</v>
      </c>
      <c r="J163" s="241" t="s">
        <v>791</v>
      </c>
      <c r="K163" s="241" t="s">
        <v>29</v>
      </c>
      <c r="L163" s="241" t="s">
        <v>30</v>
      </c>
      <c r="M163" s="242"/>
      <c r="N163" s="241"/>
      <c r="O163" s="241"/>
      <c r="P163" s="241" t="s">
        <v>31</v>
      </c>
      <c r="Q163" s="244" t="s">
        <v>32</v>
      </c>
      <c r="R163" s="248" t="s">
        <v>33</v>
      </c>
      <c r="S163" s="246" t="s">
        <v>792</v>
      </c>
      <c r="T163" s="242"/>
      <c r="U163" s="242"/>
      <c r="V163" s="242"/>
      <c r="W163" s="242"/>
    </row>
    <row r="164" spans="1:23" ht="12.75">
      <c r="A164" s="255">
        <v>45972.180428240739</v>
      </c>
      <c r="B164" s="141" t="s">
        <v>793</v>
      </c>
      <c r="C164" s="141"/>
      <c r="D164" s="141" t="s">
        <v>45</v>
      </c>
      <c r="E164" s="256">
        <v>34699</v>
      </c>
      <c r="F164" s="141" t="s">
        <v>751</v>
      </c>
      <c r="G164" s="141" t="s">
        <v>794</v>
      </c>
      <c r="H164" s="141" t="s">
        <v>795</v>
      </c>
      <c r="I164" s="252" t="s">
        <v>4223</v>
      </c>
      <c r="J164" s="141" t="s">
        <v>796</v>
      </c>
      <c r="K164" s="141" t="s">
        <v>29</v>
      </c>
      <c r="L164" s="141" t="s">
        <v>30</v>
      </c>
      <c r="M164" s="141"/>
      <c r="N164" s="141"/>
      <c r="O164" s="141"/>
      <c r="P164" s="141" t="s">
        <v>31</v>
      </c>
      <c r="Q164" s="253" t="s">
        <v>32</v>
      </c>
      <c r="R164" s="152" t="s">
        <v>33</v>
      </c>
      <c r="S164" s="206" t="s">
        <v>797</v>
      </c>
      <c r="T164" s="261">
        <v>34699</v>
      </c>
      <c r="U164" s="206" t="s">
        <v>796</v>
      </c>
      <c r="V164" s="206" t="s">
        <v>463</v>
      </c>
      <c r="W164" s="206"/>
    </row>
    <row r="165" spans="1:23" ht="12.75">
      <c r="A165" s="255">
        <v>45972.955127314817</v>
      </c>
      <c r="B165" s="141" t="s">
        <v>798</v>
      </c>
      <c r="C165" s="141"/>
      <c r="D165" s="141" t="s">
        <v>45</v>
      </c>
      <c r="E165" s="256">
        <v>32617</v>
      </c>
      <c r="F165" s="141" t="s">
        <v>799</v>
      </c>
      <c r="G165" s="141" t="s">
        <v>500</v>
      </c>
      <c r="H165" s="141" t="s">
        <v>111</v>
      </c>
      <c r="I165" s="252" t="s">
        <v>4223</v>
      </c>
      <c r="J165" s="141" t="s">
        <v>800</v>
      </c>
      <c r="K165" s="141" t="s">
        <v>29</v>
      </c>
      <c r="L165" s="141" t="s">
        <v>30</v>
      </c>
      <c r="M165" s="141" t="s">
        <v>4262</v>
      </c>
      <c r="N165" s="141" t="s">
        <v>4263</v>
      </c>
      <c r="O165" s="141" t="s">
        <v>365</v>
      </c>
      <c r="P165" s="141" t="s">
        <v>31</v>
      </c>
      <c r="Q165" s="253" t="s">
        <v>32</v>
      </c>
      <c r="R165" s="148"/>
      <c r="S165" s="206" t="s">
        <v>803</v>
      </c>
      <c r="T165" s="261">
        <v>32617</v>
      </c>
      <c r="U165" s="206" t="s">
        <v>800</v>
      </c>
      <c r="V165" s="473" t="s">
        <v>154</v>
      </c>
      <c r="W165" s="474"/>
    </row>
    <row r="166" spans="1:23" ht="12.75">
      <c r="A166" s="255">
        <v>45972.984675925924</v>
      </c>
      <c r="B166" s="141" t="s">
        <v>804</v>
      </c>
      <c r="C166" s="141"/>
      <c r="D166" s="141" t="s">
        <v>45</v>
      </c>
      <c r="E166" s="256">
        <v>33969</v>
      </c>
      <c r="F166" s="141" t="s">
        <v>799</v>
      </c>
      <c r="G166" s="141" t="s">
        <v>805</v>
      </c>
      <c r="H166" s="141" t="s">
        <v>806</v>
      </c>
      <c r="I166" s="252" t="s">
        <v>4223</v>
      </c>
      <c r="J166" s="141" t="s">
        <v>807</v>
      </c>
      <c r="K166" s="141" t="s">
        <v>29</v>
      </c>
      <c r="L166" s="141" t="s">
        <v>30</v>
      </c>
      <c r="M166" s="476" t="s">
        <v>808</v>
      </c>
      <c r="N166" s="474"/>
      <c r="O166" s="141"/>
      <c r="P166" s="141" t="s">
        <v>31</v>
      </c>
      <c r="Q166" s="253" t="s">
        <v>32</v>
      </c>
      <c r="R166" s="152"/>
      <c r="S166" s="206" t="s">
        <v>809</v>
      </c>
      <c r="T166" s="261">
        <v>33969</v>
      </c>
      <c r="U166" s="206" t="s">
        <v>807</v>
      </c>
      <c r="V166" s="473" t="s">
        <v>154</v>
      </c>
      <c r="W166" s="474"/>
    </row>
    <row r="167" spans="1:23" ht="12.75">
      <c r="A167" s="255">
        <v>45973.180532407408</v>
      </c>
      <c r="B167" s="141" t="s">
        <v>810</v>
      </c>
      <c r="C167" s="141"/>
      <c r="D167" s="141" t="s">
        <v>45</v>
      </c>
      <c r="E167" s="256">
        <v>36450</v>
      </c>
      <c r="F167" s="141" t="s">
        <v>70</v>
      </c>
      <c r="G167" s="141" t="s">
        <v>811</v>
      </c>
      <c r="H167" s="141" t="s">
        <v>90</v>
      </c>
      <c r="I167" s="252" t="s">
        <v>4219</v>
      </c>
      <c r="J167" s="141" t="s">
        <v>812</v>
      </c>
      <c r="K167" s="141" t="s">
        <v>39</v>
      </c>
      <c r="L167" s="141" t="s">
        <v>30</v>
      </c>
      <c r="M167" s="141"/>
      <c r="N167" s="141"/>
      <c r="O167" s="141"/>
      <c r="P167" s="141" t="s">
        <v>31</v>
      </c>
      <c r="Q167" s="253" t="s">
        <v>32</v>
      </c>
      <c r="R167" s="148"/>
      <c r="S167" s="206" t="s">
        <v>810</v>
      </c>
      <c r="T167" s="261">
        <v>36450</v>
      </c>
      <c r="U167" s="206" t="s">
        <v>812</v>
      </c>
      <c r="V167" s="473" t="s">
        <v>80</v>
      </c>
      <c r="W167" s="474"/>
    </row>
    <row r="168" spans="1:23" ht="12.75">
      <c r="A168" s="255">
        <v>45973.327685185184</v>
      </c>
      <c r="B168" s="476" t="s">
        <v>813</v>
      </c>
      <c r="C168" s="474"/>
      <c r="D168" s="141" t="s">
        <v>45</v>
      </c>
      <c r="E168" s="256">
        <v>35541</v>
      </c>
      <c r="F168" s="141" t="s">
        <v>751</v>
      </c>
      <c r="G168" s="141" t="s">
        <v>814</v>
      </c>
      <c r="H168" s="141" t="s">
        <v>815</v>
      </c>
      <c r="I168" s="252" t="s">
        <v>4223</v>
      </c>
      <c r="J168" s="141" t="s">
        <v>816</v>
      </c>
      <c r="K168" s="141" t="s">
        <v>29</v>
      </c>
      <c r="L168" s="141" t="s">
        <v>30</v>
      </c>
      <c r="M168" s="476" t="s">
        <v>817</v>
      </c>
      <c r="N168" s="474"/>
      <c r="O168" s="141"/>
      <c r="P168" s="141" t="s">
        <v>31</v>
      </c>
      <c r="Q168" s="253" t="s">
        <v>32</v>
      </c>
      <c r="R168" s="152"/>
      <c r="S168" s="206" t="s">
        <v>818</v>
      </c>
      <c r="T168" s="261">
        <v>35541</v>
      </c>
      <c r="U168" s="206" t="s">
        <v>816</v>
      </c>
      <c r="V168" s="473" t="s">
        <v>154</v>
      </c>
      <c r="W168" s="474"/>
    </row>
    <row r="169" spans="1:23" ht="12.75">
      <c r="A169" s="255">
        <v>45974.189027777778</v>
      </c>
      <c r="B169" s="141" t="s">
        <v>819</v>
      </c>
      <c r="C169" s="141"/>
      <c r="D169" s="141" t="s">
        <v>45</v>
      </c>
      <c r="E169" s="256">
        <v>25022</v>
      </c>
      <c r="F169" s="141" t="s">
        <v>438</v>
      </c>
      <c r="G169" s="141" t="s">
        <v>820</v>
      </c>
      <c r="H169" s="206" t="s">
        <v>821</v>
      </c>
      <c r="I169" s="252" t="s">
        <v>4219</v>
      </c>
      <c r="J169" s="141" t="s">
        <v>822</v>
      </c>
      <c r="K169" s="141" t="s">
        <v>29</v>
      </c>
      <c r="L169" s="141" t="s">
        <v>30</v>
      </c>
      <c r="M169" s="141" t="s">
        <v>823</v>
      </c>
      <c r="N169" s="141"/>
      <c r="O169" s="141"/>
      <c r="P169" s="141" t="s">
        <v>31</v>
      </c>
      <c r="Q169" s="253" t="s">
        <v>32</v>
      </c>
      <c r="R169" s="24"/>
      <c r="S169" s="206"/>
      <c r="T169" s="258"/>
      <c r="U169" s="206"/>
      <c r="V169" s="206"/>
      <c r="W169" s="206"/>
    </row>
    <row r="170" spans="1:23" ht="12.75">
      <c r="A170" s="255">
        <v>45974.441087962965</v>
      </c>
      <c r="B170" s="141" t="s">
        <v>824</v>
      </c>
      <c r="C170" s="141"/>
      <c r="D170" s="141" t="s">
        <v>24</v>
      </c>
      <c r="E170" s="256">
        <v>37888</v>
      </c>
      <c r="F170" s="141" t="s">
        <v>52</v>
      </c>
      <c r="G170" s="141" t="s">
        <v>825</v>
      </c>
      <c r="H170" s="141" t="s">
        <v>826</v>
      </c>
      <c r="I170" s="252" t="s">
        <v>4219</v>
      </c>
      <c r="J170" s="141" t="s">
        <v>827</v>
      </c>
      <c r="K170" s="141" t="s">
        <v>29</v>
      </c>
      <c r="L170" s="141" t="s">
        <v>30</v>
      </c>
      <c r="M170" s="141"/>
      <c r="N170" s="141"/>
      <c r="O170" s="141"/>
      <c r="P170" s="141" t="s">
        <v>31</v>
      </c>
      <c r="Q170" s="257" t="s">
        <v>56</v>
      </c>
      <c r="R170" s="24"/>
      <c r="S170" s="206"/>
      <c r="T170" s="258"/>
      <c r="U170" s="206"/>
      <c r="V170" s="206"/>
      <c r="W170" s="206"/>
    </row>
    <row r="171" spans="1:23" ht="12.75">
      <c r="A171" s="255">
        <v>45975.207569444443</v>
      </c>
      <c r="B171" s="476" t="s">
        <v>828</v>
      </c>
      <c r="C171" s="474"/>
      <c r="D171" s="141" t="s">
        <v>24</v>
      </c>
      <c r="E171" s="256">
        <v>35974</v>
      </c>
      <c r="F171" s="141" t="s">
        <v>751</v>
      </c>
      <c r="G171" s="141" t="s">
        <v>829</v>
      </c>
      <c r="H171" s="141" t="s">
        <v>815</v>
      </c>
      <c r="I171" s="252" t="s">
        <v>4223</v>
      </c>
      <c r="J171" s="141" t="s">
        <v>830</v>
      </c>
      <c r="K171" s="141" t="s">
        <v>29</v>
      </c>
      <c r="L171" s="141" t="s">
        <v>30</v>
      </c>
      <c r="M171" s="476" t="s">
        <v>831</v>
      </c>
      <c r="N171" s="474"/>
      <c r="O171" s="141"/>
      <c r="P171" s="141" t="s">
        <v>31</v>
      </c>
      <c r="Q171" s="253" t="s">
        <v>32</v>
      </c>
      <c r="R171" s="148"/>
      <c r="S171" s="206" t="s">
        <v>828</v>
      </c>
      <c r="T171" s="261">
        <v>35974</v>
      </c>
      <c r="U171" s="206" t="s">
        <v>830</v>
      </c>
      <c r="V171" s="473" t="s">
        <v>80</v>
      </c>
      <c r="W171" s="474"/>
    </row>
    <row r="172" spans="1:23" ht="12.75">
      <c r="A172" s="255">
        <v>45975.8515162037</v>
      </c>
      <c r="B172" s="141" t="s">
        <v>832</v>
      </c>
      <c r="C172" s="141"/>
      <c r="D172" s="141" t="s">
        <v>45</v>
      </c>
      <c r="E172" s="256">
        <v>26816</v>
      </c>
      <c r="F172" s="141" t="s">
        <v>433</v>
      </c>
      <c r="G172" s="141" t="s">
        <v>833</v>
      </c>
      <c r="H172" s="141" t="s">
        <v>834</v>
      </c>
      <c r="I172" s="252" t="s">
        <v>4223</v>
      </c>
      <c r="J172" s="141" t="s">
        <v>835</v>
      </c>
      <c r="K172" s="141" t="s">
        <v>29</v>
      </c>
      <c r="L172" s="141" t="s">
        <v>30</v>
      </c>
      <c r="M172" s="141"/>
      <c r="N172" s="141"/>
      <c r="O172" s="141"/>
      <c r="P172" s="141" t="s">
        <v>31</v>
      </c>
      <c r="Q172" s="253" t="s">
        <v>32</v>
      </c>
      <c r="R172" s="152" t="s">
        <v>33</v>
      </c>
      <c r="S172" s="206" t="s">
        <v>832</v>
      </c>
      <c r="T172" s="261">
        <v>26816</v>
      </c>
      <c r="U172" s="206" t="s">
        <v>836</v>
      </c>
      <c r="V172" s="473" t="s">
        <v>101</v>
      </c>
      <c r="W172" s="474"/>
    </row>
    <row r="173" spans="1:23" ht="12.75">
      <c r="A173" s="240">
        <v>45976.196469907409</v>
      </c>
      <c r="B173" s="241" t="s">
        <v>837</v>
      </c>
      <c r="C173" s="242"/>
      <c r="D173" s="241" t="s">
        <v>45</v>
      </c>
      <c r="E173" s="243">
        <v>36840</v>
      </c>
      <c r="F173" s="241" t="s">
        <v>838</v>
      </c>
      <c r="G173" s="241" t="s">
        <v>839</v>
      </c>
      <c r="H173" s="241" t="s">
        <v>840</v>
      </c>
      <c r="I173" s="241" t="s">
        <v>4219</v>
      </c>
      <c r="J173" s="241" t="s">
        <v>841</v>
      </c>
      <c r="K173" s="241" t="s">
        <v>29</v>
      </c>
      <c r="L173" s="241" t="s">
        <v>30</v>
      </c>
      <c r="M173" s="242"/>
      <c r="N173" s="241"/>
      <c r="O173" s="241"/>
      <c r="P173" s="241" t="s">
        <v>31</v>
      </c>
      <c r="Q173" s="244" t="s">
        <v>32</v>
      </c>
      <c r="R173" s="248" t="s">
        <v>33</v>
      </c>
      <c r="S173" s="246" t="s">
        <v>837</v>
      </c>
      <c r="T173" s="242"/>
      <c r="U173" s="242"/>
      <c r="V173" s="242"/>
      <c r="W173" s="242"/>
    </row>
    <row r="174" spans="1:23" ht="12.75">
      <c r="A174" s="255">
        <v>45976.352337962962</v>
      </c>
      <c r="B174" s="141" t="s">
        <v>842</v>
      </c>
      <c r="C174" s="141" t="s">
        <v>842</v>
      </c>
      <c r="D174" s="141" t="s">
        <v>45</v>
      </c>
      <c r="E174" s="256">
        <v>34699</v>
      </c>
      <c r="F174" s="141" t="s">
        <v>799</v>
      </c>
      <c r="G174" s="141" t="s">
        <v>843</v>
      </c>
      <c r="H174" s="141" t="s">
        <v>90</v>
      </c>
      <c r="I174" s="252" t="s">
        <v>4223</v>
      </c>
      <c r="J174" s="141" t="s">
        <v>844</v>
      </c>
      <c r="K174" s="141" t="s">
        <v>29</v>
      </c>
      <c r="L174" s="141" t="s">
        <v>30</v>
      </c>
      <c r="M174" s="141"/>
      <c r="N174" s="141"/>
      <c r="O174" s="141"/>
      <c r="P174" s="141" t="s">
        <v>31</v>
      </c>
      <c r="Q174" s="253" t="s">
        <v>32</v>
      </c>
      <c r="R174" s="152"/>
      <c r="S174" s="206" t="s">
        <v>842</v>
      </c>
      <c r="T174" s="261">
        <v>34699</v>
      </c>
      <c r="U174" s="206" t="s">
        <v>844</v>
      </c>
      <c r="V174" s="473" t="s">
        <v>80</v>
      </c>
      <c r="W174" s="474"/>
    </row>
    <row r="175" spans="1:23" ht="12.75">
      <c r="A175" s="255">
        <v>45977.958958333336</v>
      </c>
      <c r="B175" s="476" t="s">
        <v>845</v>
      </c>
      <c r="C175" s="474"/>
      <c r="D175" s="141" t="s">
        <v>24</v>
      </c>
      <c r="E175" s="256">
        <v>34624</v>
      </c>
      <c r="F175" s="141" t="s">
        <v>507</v>
      </c>
      <c r="G175" s="141" t="s">
        <v>514</v>
      </c>
      <c r="H175" s="141" t="s">
        <v>90</v>
      </c>
      <c r="I175" s="252" t="s">
        <v>4219</v>
      </c>
      <c r="J175" s="141" t="s">
        <v>846</v>
      </c>
      <c r="K175" s="141" t="s">
        <v>29</v>
      </c>
      <c r="L175" s="141" t="s">
        <v>30</v>
      </c>
      <c r="M175" s="141"/>
      <c r="N175" s="141"/>
      <c r="O175" s="141"/>
      <c r="P175" s="141" t="s">
        <v>31</v>
      </c>
      <c r="Q175" s="253" t="s">
        <v>32</v>
      </c>
      <c r="R175" s="152"/>
      <c r="S175" s="206" t="s">
        <v>847</v>
      </c>
      <c r="T175" s="261">
        <v>34624</v>
      </c>
      <c r="U175" s="206" t="s">
        <v>846</v>
      </c>
      <c r="V175" s="473" t="s">
        <v>154</v>
      </c>
      <c r="W175" s="474"/>
    </row>
    <row r="176" spans="1:23" ht="12.75">
      <c r="A176" s="255">
        <v>45978.249201388891</v>
      </c>
      <c r="B176" s="141" t="s">
        <v>848</v>
      </c>
      <c r="C176" s="141"/>
      <c r="D176" s="141" t="s">
        <v>24</v>
      </c>
      <c r="E176" s="256">
        <v>38009</v>
      </c>
      <c r="F176" s="141" t="s">
        <v>513</v>
      </c>
      <c r="G176" s="141" t="s">
        <v>849</v>
      </c>
      <c r="H176" s="141" t="s">
        <v>368</v>
      </c>
      <c r="I176" s="252" t="s">
        <v>4219</v>
      </c>
      <c r="J176" s="141" t="s">
        <v>850</v>
      </c>
      <c r="K176" s="141" t="s">
        <v>29</v>
      </c>
      <c r="L176" s="141" t="s">
        <v>30</v>
      </c>
      <c r="M176" s="141"/>
      <c r="N176" s="141"/>
      <c r="O176" s="141"/>
      <c r="P176" s="141" t="s">
        <v>31</v>
      </c>
      <c r="Q176" s="253" t="s">
        <v>32</v>
      </c>
      <c r="R176" s="148"/>
      <c r="S176" s="206" t="s">
        <v>848</v>
      </c>
      <c r="T176" s="261">
        <v>38009</v>
      </c>
      <c r="U176" s="206" t="s">
        <v>850</v>
      </c>
      <c r="V176" s="473" t="s">
        <v>80</v>
      </c>
      <c r="W176" s="474"/>
    </row>
    <row r="177" spans="1:23" ht="12.75">
      <c r="A177" s="259">
        <v>45978.989201388889</v>
      </c>
      <c r="B177" s="252" t="s">
        <v>851</v>
      </c>
      <c r="C177" s="141"/>
      <c r="D177" s="252" t="s">
        <v>45</v>
      </c>
      <c r="E177" s="260">
        <v>27273</v>
      </c>
      <c r="F177" s="252" t="s">
        <v>475</v>
      </c>
      <c r="G177" s="252" t="s">
        <v>852</v>
      </c>
      <c r="H177" s="252" t="s">
        <v>853</v>
      </c>
      <c r="I177" s="252" t="s">
        <v>4219</v>
      </c>
      <c r="J177" s="252" t="s">
        <v>854</v>
      </c>
      <c r="K177" s="252" t="s">
        <v>29</v>
      </c>
      <c r="L177" s="252" t="s">
        <v>30</v>
      </c>
      <c r="M177" s="141"/>
      <c r="N177" s="252"/>
      <c r="O177" s="252"/>
      <c r="P177" s="252" t="s">
        <v>31</v>
      </c>
      <c r="Q177" s="257" t="s">
        <v>56</v>
      </c>
      <c r="R177" s="24"/>
      <c r="S177" s="141"/>
      <c r="T177" s="206"/>
      <c r="U177" s="206"/>
      <c r="V177" s="206"/>
      <c r="W177" s="206"/>
    </row>
    <row r="178" spans="1:23" ht="12.75">
      <c r="A178" s="255">
        <v>45979.117245370369</v>
      </c>
      <c r="B178" s="141" t="s">
        <v>855</v>
      </c>
      <c r="C178" s="141"/>
      <c r="D178" s="141" t="s">
        <v>24</v>
      </c>
      <c r="E178" s="256">
        <v>37749</v>
      </c>
      <c r="F178" s="141" t="s">
        <v>70</v>
      </c>
      <c r="G178" s="141" t="s">
        <v>77</v>
      </c>
      <c r="H178" s="141" t="s">
        <v>138</v>
      </c>
      <c r="I178" s="252" t="s">
        <v>4219</v>
      </c>
      <c r="J178" s="141" t="s">
        <v>856</v>
      </c>
      <c r="K178" s="141" t="s">
        <v>29</v>
      </c>
      <c r="L178" s="141" t="s">
        <v>162</v>
      </c>
      <c r="M178" s="141"/>
      <c r="N178" s="141"/>
      <c r="O178" s="141"/>
      <c r="P178" s="141" t="s">
        <v>31</v>
      </c>
      <c r="Q178" s="253" t="s">
        <v>32</v>
      </c>
      <c r="R178" s="152"/>
      <c r="S178" s="206" t="s">
        <v>855</v>
      </c>
      <c r="T178" s="261">
        <v>37749</v>
      </c>
      <c r="U178" s="206" t="s">
        <v>856</v>
      </c>
      <c r="V178" s="473" t="s">
        <v>80</v>
      </c>
      <c r="W178" s="474"/>
    </row>
    <row r="179" spans="1:23" ht="12.75">
      <c r="A179" s="255">
        <v>45979.592997685184</v>
      </c>
      <c r="B179" s="141" t="s">
        <v>857</v>
      </c>
      <c r="C179" s="141"/>
      <c r="D179" s="141" t="s">
        <v>45</v>
      </c>
      <c r="E179" s="256">
        <v>35122</v>
      </c>
      <c r="F179" s="141" t="s">
        <v>70</v>
      </c>
      <c r="G179" s="141" t="s">
        <v>858</v>
      </c>
      <c r="H179" s="141" t="s">
        <v>859</v>
      </c>
      <c r="I179" s="252" t="s">
        <v>4219</v>
      </c>
      <c r="J179" s="141" t="s">
        <v>860</v>
      </c>
      <c r="K179" s="141" t="s">
        <v>29</v>
      </c>
      <c r="L179" s="141" t="s">
        <v>30</v>
      </c>
      <c r="M179" s="141"/>
      <c r="N179" s="141"/>
      <c r="O179" s="141"/>
      <c r="P179" s="141" t="s">
        <v>31</v>
      </c>
      <c r="Q179" s="253" t="s">
        <v>32</v>
      </c>
      <c r="R179" s="148" t="s">
        <v>33</v>
      </c>
      <c r="S179" s="206" t="s">
        <v>857</v>
      </c>
      <c r="T179" s="261">
        <v>35122</v>
      </c>
      <c r="U179" s="206" t="s">
        <v>860</v>
      </c>
      <c r="V179" s="473" t="s">
        <v>80</v>
      </c>
      <c r="W179" s="474"/>
    </row>
    <row r="180" spans="1:23" ht="12.75">
      <c r="A180" s="255">
        <v>45981.637546296297</v>
      </c>
      <c r="B180" s="141" t="s">
        <v>861</v>
      </c>
      <c r="C180" s="141"/>
      <c r="D180" s="141" t="s">
        <v>45</v>
      </c>
      <c r="E180" s="256">
        <v>33001</v>
      </c>
      <c r="F180" s="141" t="s">
        <v>88</v>
      </c>
      <c r="G180" s="141" t="s">
        <v>862</v>
      </c>
      <c r="H180" s="141" t="s">
        <v>156</v>
      </c>
      <c r="I180" s="252" t="s">
        <v>4223</v>
      </c>
      <c r="J180" s="141" t="s">
        <v>863</v>
      </c>
      <c r="K180" s="141" t="s">
        <v>29</v>
      </c>
      <c r="L180" s="141" t="s">
        <v>30</v>
      </c>
      <c r="M180" s="141"/>
      <c r="N180" s="141"/>
      <c r="O180" s="141"/>
      <c r="P180" s="141" t="s">
        <v>31</v>
      </c>
      <c r="Q180" s="253" t="s">
        <v>32</v>
      </c>
      <c r="R180" s="152"/>
      <c r="S180" s="206" t="s">
        <v>864</v>
      </c>
      <c r="T180" s="261">
        <v>33001</v>
      </c>
      <c r="U180" s="206" t="s">
        <v>863</v>
      </c>
      <c r="V180" s="473" t="s">
        <v>80</v>
      </c>
      <c r="W180" s="474"/>
    </row>
    <row r="181" spans="1:23" ht="12.75">
      <c r="A181" s="286">
        <v>45981.655694444446</v>
      </c>
      <c r="B181" s="287" t="s">
        <v>865</v>
      </c>
      <c r="C181" s="287"/>
      <c r="D181" s="287" t="s">
        <v>45</v>
      </c>
      <c r="E181" s="288">
        <v>32586</v>
      </c>
      <c r="F181" s="242" t="s">
        <v>88</v>
      </c>
      <c r="G181" s="287" t="s">
        <v>866</v>
      </c>
      <c r="H181" s="287" t="s">
        <v>867</v>
      </c>
      <c r="I181" s="241" t="s">
        <v>4223</v>
      </c>
      <c r="J181" s="287" t="s">
        <v>868</v>
      </c>
      <c r="K181" s="287" t="s">
        <v>29</v>
      </c>
      <c r="L181" s="287" t="s">
        <v>30</v>
      </c>
      <c r="M181" s="287"/>
      <c r="N181" s="287"/>
      <c r="O181" s="287"/>
      <c r="P181" s="287" t="s">
        <v>31</v>
      </c>
      <c r="Q181" s="244" t="s">
        <v>32</v>
      </c>
      <c r="R181" s="248" t="s">
        <v>33</v>
      </c>
      <c r="S181" s="242" t="s">
        <v>869</v>
      </c>
      <c r="T181" s="266">
        <v>32586</v>
      </c>
      <c r="U181" s="242" t="s">
        <v>868</v>
      </c>
      <c r="V181" s="475" t="s">
        <v>154</v>
      </c>
      <c r="W181" s="474"/>
    </row>
    <row r="182" spans="1:23" ht="12.75">
      <c r="A182" s="255">
        <v>45981.792500000003</v>
      </c>
      <c r="B182" s="476" t="s">
        <v>870</v>
      </c>
      <c r="C182" s="474"/>
      <c r="D182" s="141" t="s">
        <v>24</v>
      </c>
      <c r="E182" s="256">
        <v>34352</v>
      </c>
      <c r="F182" s="141" t="s">
        <v>799</v>
      </c>
      <c r="G182" s="141" t="s">
        <v>871</v>
      </c>
      <c r="H182" s="141" t="s">
        <v>871</v>
      </c>
      <c r="I182" s="252" t="s">
        <v>4223</v>
      </c>
      <c r="J182" s="141" t="s">
        <v>872</v>
      </c>
      <c r="K182" s="141" t="s">
        <v>29</v>
      </c>
      <c r="L182" s="141" t="s">
        <v>30</v>
      </c>
      <c r="M182" s="141" t="s">
        <v>4264</v>
      </c>
      <c r="N182" s="54" t="s">
        <v>4265</v>
      </c>
      <c r="O182" s="250" t="s">
        <v>301</v>
      </c>
      <c r="P182" s="141" t="s">
        <v>31</v>
      </c>
      <c r="Q182" s="253" t="s">
        <v>32</v>
      </c>
      <c r="R182" s="152"/>
      <c r="S182" s="206" t="s">
        <v>875</v>
      </c>
      <c r="T182" s="261">
        <v>34352</v>
      </c>
      <c r="U182" s="206" t="s">
        <v>872</v>
      </c>
      <c r="V182" s="473" t="s">
        <v>154</v>
      </c>
      <c r="W182" s="474"/>
    </row>
    <row r="183" spans="1:23" ht="12.75">
      <c r="A183" s="255">
        <v>45982.071921296294</v>
      </c>
      <c r="B183" s="141" t="s">
        <v>876</v>
      </c>
      <c r="C183" s="141"/>
      <c r="D183" s="141" t="s">
        <v>45</v>
      </c>
      <c r="E183" s="256">
        <v>36583</v>
      </c>
      <c r="F183" s="141" t="s">
        <v>88</v>
      </c>
      <c r="G183" s="141" t="s">
        <v>877</v>
      </c>
      <c r="H183" s="141" t="s">
        <v>138</v>
      </c>
      <c r="I183" s="252" t="s">
        <v>4223</v>
      </c>
      <c r="J183" s="141" t="s">
        <v>878</v>
      </c>
      <c r="K183" s="141" t="s">
        <v>39</v>
      </c>
      <c r="L183" s="141" t="s">
        <v>30</v>
      </c>
      <c r="M183" s="141"/>
      <c r="N183" s="141"/>
      <c r="O183" s="141"/>
      <c r="P183" s="141" t="s">
        <v>31</v>
      </c>
      <c r="Q183" s="253" t="s">
        <v>32</v>
      </c>
      <c r="R183" s="148"/>
      <c r="S183" s="206" t="s">
        <v>879</v>
      </c>
      <c r="T183" s="261">
        <v>36583</v>
      </c>
      <c r="U183" s="206" t="s">
        <v>878</v>
      </c>
      <c r="V183" s="473" t="s">
        <v>154</v>
      </c>
      <c r="W183" s="474"/>
    </row>
    <row r="184" spans="1:23" ht="12.75">
      <c r="A184" s="255">
        <v>45982.332314814812</v>
      </c>
      <c r="B184" s="141" t="s">
        <v>880</v>
      </c>
      <c r="C184" s="141"/>
      <c r="D184" s="141" t="s">
        <v>24</v>
      </c>
      <c r="E184" s="256">
        <v>36258</v>
      </c>
      <c r="F184" s="141" t="s">
        <v>198</v>
      </c>
      <c r="G184" s="141" t="s">
        <v>881</v>
      </c>
      <c r="H184" s="141" t="s">
        <v>882</v>
      </c>
      <c r="I184" s="252" t="s">
        <v>4219</v>
      </c>
      <c r="J184" s="141" t="s">
        <v>883</v>
      </c>
      <c r="K184" s="141" t="s">
        <v>29</v>
      </c>
      <c r="L184" s="141" t="s">
        <v>30</v>
      </c>
      <c r="M184" s="141"/>
      <c r="N184" s="141"/>
      <c r="O184" s="141"/>
      <c r="P184" s="141" t="s">
        <v>31</v>
      </c>
      <c r="Q184" s="253" t="s">
        <v>32</v>
      </c>
      <c r="R184" s="152"/>
      <c r="S184" s="206" t="s">
        <v>880</v>
      </c>
      <c r="T184" s="261">
        <v>36258</v>
      </c>
      <c r="U184" s="206" t="s">
        <v>883</v>
      </c>
      <c r="V184" s="473" t="s">
        <v>80</v>
      </c>
      <c r="W184" s="474"/>
    </row>
    <row r="185" spans="1:23" ht="12.75">
      <c r="A185" s="274">
        <v>45982.753576388888</v>
      </c>
      <c r="B185" s="242" t="s">
        <v>884</v>
      </c>
      <c r="C185" s="242"/>
      <c r="D185" s="242" t="s">
        <v>24</v>
      </c>
      <c r="E185" s="275">
        <v>32684</v>
      </c>
      <c r="F185" s="242" t="s">
        <v>422</v>
      </c>
      <c r="G185" s="242" t="s">
        <v>209</v>
      </c>
      <c r="H185" s="242" t="s">
        <v>885</v>
      </c>
      <c r="I185" s="241" t="s">
        <v>4219</v>
      </c>
      <c r="J185" s="242" t="s">
        <v>886</v>
      </c>
      <c r="K185" s="242" t="s">
        <v>39</v>
      </c>
      <c r="L185" s="242" t="s">
        <v>162</v>
      </c>
      <c r="M185" s="242"/>
      <c r="N185" s="242"/>
      <c r="O185" s="242"/>
      <c r="P185" s="242" t="s">
        <v>31</v>
      </c>
      <c r="Q185" s="244" t="s">
        <v>32</v>
      </c>
      <c r="R185" s="248" t="s">
        <v>33</v>
      </c>
      <c r="S185" s="242" t="s">
        <v>887</v>
      </c>
      <c r="T185" s="266">
        <v>32684</v>
      </c>
      <c r="U185" s="242" t="s">
        <v>886</v>
      </c>
      <c r="V185" s="475" t="s">
        <v>154</v>
      </c>
      <c r="W185" s="474"/>
    </row>
    <row r="186" spans="1:23" ht="12.75">
      <c r="A186" s="268">
        <v>45983.003078703703</v>
      </c>
      <c r="B186" s="269" t="s">
        <v>888</v>
      </c>
      <c r="C186" s="269"/>
      <c r="D186" s="269" t="s">
        <v>45</v>
      </c>
      <c r="E186" s="270">
        <v>36851</v>
      </c>
      <c r="F186" s="141" t="s">
        <v>88</v>
      </c>
      <c r="G186" s="269" t="s">
        <v>491</v>
      </c>
      <c r="H186" s="269" t="s">
        <v>368</v>
      </c>
      <c r="I186" s="252" t="s">
        <v>4223</v>
      </c>
      <c r="J186" s="269" t="s">
        <v>889</v>
      </c>
      <c r="K186" s="269" t="s">
        <v>29</v>
      </c>
      <c r="L186" s="269" t="s">
        <v>30</v>
      </c>
      <c r="M186" s="269"/>
      <c r="N186" s="269"/>
      <c r="O186" s="269"/>
      <c r="P186" s="269" t="s">
        <v>31</v>
      </c>
      <c r="Q186" s="253" t="s">
        <v>32</v>
      </c>
      <c r="R186" s="152"/>
      <c r="S186" s="206" t="s">
        <v>890</v>
      </c>
      <c r="T186" s="261">
        <v>36577</v>
      </c>
      <c r="U186" s="206" t="s">
        <v>889</v>
      </c>
      <c r="V186" s="206" t="s">
        <v>236</v>
      </c>
      <c r="W186" s="206"/>
    </row>
    <row r="187" spans="1:23" ht="12.75">
      <c r="A187" s="255">
        <v>45983.262696759259</v>
      </c>
      <c r="B187" s="141" t="s">
        <v>891</v>
      </c>
      <c r="C187" s="141" t="s">
        <v>871</v>
      </c>
      <c r="D187" s="141" t="s">
        <v>24</v>
      </c>
      <c r="E187" s="256">
        <v>36630</v>
      </c>
      <c r="F187" s="141" t="s">
        <v>70</v>
      </c>
      <c r="G187" s="141" t="s">
        <v>892</v>
      </c>
      <c r="H187" s="141" t="s">
        <v>893</v>
      </c>
      <c r="I187" s="252" t="s">
        <v>4219</v>
      </c>
      <c r="J187" s="141" t="s">
        <v>894</v>
      </c>
      <c r="K187" s="141" t="s">
        <v>29</v>
      </c>
      <c r="L187" s="141" t="s">
        <v>30</v>
      </c>
      <c r="M187" s="141"/>
      <c r="N187" s="141"/>
      <c r="O187" s="141"/>
      <c r="P187" s="141" t="s">
        <v>31</v>
      </c>
      <c r="Q187" s="253" t="s">
        <v>32</v>
      </c>
      <c r="R187" s="148"/>
      <c r="S187" s="206" t="s">
        <v>891</v>
      </c>
      <c r="T187" s="261">
        <v>36630</v>
      </c>
      <c r="U187" s="206" t="s">
        <v>894</v>
      </c>
      <c r="V187" s="473" t="s">
        <v>80</v>
      </c>
      <c r="W187" s="474"/>
    </row>
    <row r="188" spans="1:23" ht="12.75">
      <c r="A188" s="249">
        <v>45983.915868055556</v>
      </c>
      <c r="B188" s="250" t="s">
        <v>895</v>
      </c>
      <c r="C188" s="139"/>
      <c r="D188" s="250" t="s">
        <v>45</v>
      </c>
      <c r="E188" s="251">
        <v>37585</v>
      </c>
      <c r="F188" s="250" t="s">
        <v>64</v>
      </c>
      <c r="G188" s="250" t="s">
        <v>896</v>
      </c>
      <c r="H188" s="250" t="s">
        <v>897</v>
      </c>
      <c r="I188" s="252" t="s">
        <v>4219</v>
      </c>
      <c r="J188" s="250" t="s">
        <v>898</v>
      </c>
      <c r="K188" s="250" t="s">
        <v>29</v>
      </c>
      <c r="L188" s="250" t="s">
        <v>30</v>
      </c>
      <c r="M188" s="139"/>
      <c r="N188" s="250"/>
      <c r="O188" s="250"/>
      <c r="P188" s="250" t="s">
        <v>31</v>
      </c>
      <c r="Q188" s="253" t="s">
        <v>32</v>
      </c>
      <c r="R188" s="152"/>
      <c r="S188" s="254" t="s">
        <v>895</v>
      </c>
      <c r="T188" s="206"/>
      <c r="U188" s="206"/>
      <c r="V188" s="206"/>
      <c r="W188" s="206"/>
    </row>
    <row r="189" spans="1:23" ht="12.75">
      <c r="A189" s="255">
        <v>45984.086539351854</v>
      </c>
      <c r="B189" s="141" t="s">
        <v>899</v>
      </c>
      <c r="C189" s="141"/>
      <c r="D189" s="141" t="s">
        <v>24</v>
      </c>
      <c r="E189" s="256">
        <v>36818</v>
      </c>
      <c r="F189" s="141" t="s">
        <v>227</v>
      </c>
      <c r="G189" s="141" t="s">
        <v>900</v>
      </c>
      <c r="H189" s="141" t="s">
        <v>901</v>
      </c>
      <c r="I189" s="252" t="s">
        <v>4219</v>
      </c>
      <c r="J189" s="141" t="s">
        <v>902</v>
      </c>
      <c r="K189" s="141" t="s">
        <v>39</v>
      </c>
      <c r="L189" s="141" t="s">
        <v>162</v>
      </c>
      <c r="M189" s="141"/>
      <c r="N189" s="141"/>
      <c r="O189" s="141"/>
      <c r="P189" s="141" t="s">
        <v>31</v>
      </c>
      <c r="Q189" s="253" t="s">
        <v>32</v>
      </c>
      <c r="R189" s="148"/>
      <c r="S189" s="206" t="s">
        <v>903</v>
      </c>
      <c r="T189" s="261">
        <v>36818</v>
      </c>
      <c r="U189" s="206" t="s">
        <v>902</v>
      </c>
      <c r="V189" s="473" t="s">
        <v>904</v>
      </c>
      <c r="W189" s="474"/>
    </row>
    <row r="190" spans="1:23" ht="12.75">
      <c r="A190" s="274">
        <v>45984.227418981478</v>
      </c>
      <c r="B190" s="242" t="s">
        <v>905</v>
      </c>
      <c r="C190" s="242" t="s">
        <v>905</v>
      </c>
      <c r="D190" s="242" t="s">
        <v>45</v>
      </c>
      <c r="E190" s="275">
        <v>33434</v>
      </c>
      <c r="F190" s="242" t="s">
        <v>470</v>
      </c>
      <c r="G190" s="242" t="s">
        <v>906</v>
      </c>
      <c r="H190" s="242" t="s">
        <v>111</v>
      </c>
      <c r="I190" s="241" t="s">
        <v>4219</v>
      </c>
      <c r="J190" s="242" t="s">
        <v>907</v>
      </c>
      <c r="K190" s="242" t="s">
        <v>29</v>
      </c>
      <c r="L190" s="285">
        <v>46202</v>
      </c>
      <c r="M190" s="242"/>
      <c r="N190" s="242"/>
      <c r="O190" s="242"/>
      <c r="P190" s="242" t="s">
        <v>31</v>
      </c>
      <c r="Q190" s="244" t="s">
        <v>32</v>
      </c>
      <c r="R190" s="245" t="s">
        <v>33</v>
      </c>
      <c r="S190" s="242" t="s">
        <v>905</v>
      </c>
      <c r="T190" s="266">
        <v>33434</v>
      </c>
      <c r="U190" s="242" t="s">
        <v>907</v>
      </c>
      <c r="V190" s="475" t="s">
        <v>80</v>
      </c>
      <c r="W190" s="474"/>
    </row>
    <row r="191" spans="1:23" ht="12.75">
      <c r="A191" s="274">
        <v>45984.624571759261</v>
      </c>
      <c r="B191" s="242" t="s">
        <v>908</v>
      </c>
      <c r="C191" s="242"/>
      <c r="D191" s="242" t="s">
        <v>24</v>
      </c>
      <c r="E191" s="275">
        <v>37776</v>
      </c>
      <c r="F191" s="242" t="s">
        <v>64</v>
      </c>
      <c r="G191" s="242" t="s">
        <v>909</v>
      </c>
      <c r="H191" s="242" t="s">
        <v>910</v>
      </c>
      <c r="I191" s="241" t="s">
        <v>4219</v>
      </c>
      <c r="J191" s="242" t="s">
        <v>911</v>
      </c>
      <c r="K191" s="242" t="s">
        <v>29</v>
      </c>
      <c r="L191" s="242" t="s">
        <v>30</v>
      </c>
      <c r="M191" s="242"/>
      <c r="N191" s="242"/>
      <c r="O191" s="242"/>
      <c r="P191" s="242" t="s">
        <v>31</v>
      </c>
      <c r="Q191" s="244" t="s">
        <v>32</v>
      </c>
      <c r="R191" s="248" t="s">
        <v>17</v>
      </c>
      <c r="S191" s="242" t="s">
        <v>912</v>
      </c>
      <c r="T191" s="266">
        <v>38142</v>
      </c>
      <c r="U191" s="242" t="s">
        <v>911</v>
      </c>
      <c r="V191" s="475" t="s">
        <v>114</v>
      </c>
      <c r="W191" s="474"/>
    </row>
    <row r="192" spans="1:23" ht="12.75">
      <c r="A192" s="268">
        <v>45984.93440972222</v>
      </c>
      <c r="B192" s="269" t="s">
        <v>913</v>
      </c>
      <c r="C192" s="269"/>
      <c r="D192" s="269" t="s">
        <v>24</v>
      </c>
      <c r="E192" s="270">
        <v>37764</v>
      </c>
      <c r="F192" s="269" t="s">
        <v>83</v>
      </c>
      <c r="G192" s="269" t="s">
        <v>914</v>
      </c>
      <c r="H192" s="269" t="s">
        <v>915</v>
      </c>
      <c r="I192" s="252" t="s">
        <v>4223</v>
      </c>
      <c r="J192" s="269" t="s">
        <v>916</v>
      </c>
      <c r="K192" s="269" t="s">
        <v>29</v>
      </c>
      <c r="L192" s="269" t="s">
        <v>30</v>
      </c>
      <c r="M192" s="269"/>
      <c r="N192" s="269"/>
      <c r="O192" s="269"/>
      <c r="P192" s="269" t="s">
        <v>31</v>
      </c>
      <c r="Q192" s="253" t="s">
        <v>32</v>
      </c>
      <c r="R192" s="152"/>
      <c r="S192" s="206" t="s">
        <v>913</v>
      </c>
      <c r="T192" s="261">
        <v>37764</v>
      </c>
      <c r="U192" s="206" t="s">
        <v>916</v>
      </c>
      <c r="V192" s="473" t="s">
        <v>80</v>
      </c>
      <c r="W192" s="474"/>
    </row>
    <row r="193" spans="1:23" ht="12.75">
      <c r="A193" s="268">
        <v>45984.986701388887</v>
      </c>
      <c r="B193" s="269" t="s">
        <v>917</v>
      </c>
      <c r="C193" s="269"/>
      <c r="D193" s="269" t="s">
        <v>45</v>
      </c>
      <c r="E193" s="270">
        <v>31065</v>
      </c>
      <c r="F193" s="269" t="s">
        <v>612</v>
      </c>
      <c r="G193" s="269" t="s">
        <v>918</v>
      </c>
      <c r="H193" s="269" t="s">
        <v>919</v>
      </c>
      <c r="I193" s="252" t="s">
        <v>4223</v>
      </c>
      <c r="J193" s="269" t="s">
        <v>920</v>
      </c>
      <c r="K193" s="269" t="s">
        <v>29</v>
      </c>
      <c r="L193" s="269" t="s">
        <v>30</v>
      </c>
      <c r="M193" s="269" t="s">
        <v>4266</v>
      </c>
      <c r="N193" s="141" t="s">
        <v>4267</v>
      </c>
      <c r="O193" s="141" t="s">
        <v>365</v>
      </c>
      <c r="P193" s="269" t="s">
        <v>31</v>
      </c>
      <c r="Q193" s="253" t="s">
        <v>32</v>
      </c>
      <c r="R193" s="148" t="s">
        <v>33</v>
      </c>
      <c r="S193" s="206" t="s">
        <v>917</v>
      </c>
      <c r="T193" s="261">
        <v>31065</v>
      </c>
      <c r="U193" s="206" t="s">
        <v>920</v>
      </c>
      <c r="V193" s="473" t="s">
        <v>80</v>
      </c>
      <c r="W193" s="474"/>
    </row>
    <row r="194" spans="1:23" ht="12.75">
      <c r="A194" s="268">
        <v>45985.092604166668</v>
      </c>
      <c r="B194" s="269" t="s">
        <v>923</v>
      </c>
      <c r="C194" s="269"/>
      <c r="D194" s="269" t="s">
        <v>45</v>
      </c>
      <c r="E194" s="270">
        <v>37280</v>
      </c>
      <c r="F194" s="141" t="s">
        <v>88</v>
      </c>
      <c r="G194" s="269" t="s">
        <v>924</v>
      </c>
      <c r="H194" s="269" t="s">
        <v>785</v>
      </c>
      <c r="I194" s="252" t="s">
        <v>4223</v>
      </c>
      <c r="J194" s="269" t="s">
        <v>925</v>
      </c>
      <c r="K194" s="269" t="s">
        <v>29</v>
      </c>
      <c r="L194" s="269" t="s">
        <v>30</v>
      </c>
      <c r="M194" s="269"/>
      <c r="N194" s="269"/>
      <c r="O194" s="269"/>
      <c r="P194" s="269" t="s">
        <v>31</v>
      </c>
      <c r="Q194" s="253" t="s">
        <v>32</v>
      </c>
      <c r="R194" s="152"/>
      <c r="S194" s="206" t="s">
        <v>923</v>
      </c>
      <c r="T194" s="261">
        <v>37280</v>
      </c>
      <c r="U194" s="206" t="s">
        <v>925</v>
      </c>
      <c r="V194" s="473" t="s">
        <v>80</v>
      </c>
      <c r="W194" s="474"/>
    </row>
    <row r="195" spans="1:23" ht="12.75">
      <c r="A195" s="255">
        <v>45985.77716435185</v>
      </c>
      <c r="B195" s="141" t="s">
        <v>926</v>
      </c>
      <c r="C195" s="141" t="s">
        <v>927</v>
      </c>
      <c r="D195" s="141" t="s">
        <v>45</v>
      </c>
      <c r="E195" s="256">
        <v>36793</v>
      </c>
      <c r="F195" s="141" t="s">
        <v>64</v>
      </c>
      <c r="G195" s="141" t="s">
        <v>928</v>
      </c>
      <c r="H195" s="141" t="s">
        <v>929</v>
      </c>
      <c r="I195" s="252" t="s">
        <v>4219</v>
      </c>
      <c r="J195" s="141" t="s">
        <v>930</v>
      </c>
      <c r="K195" s="141" t="s">
        <v>29</v>
      </c>
      <c r="L195" s="141" t="s">
        <v>30</v>
      </c>
      <c r="M195" s="141"/>
      <c r="N195" s="141"/>
      <c r="O195" s="141"/>
      <c r="P195" s="141" t="s">
        <v>31</v>
      </c>
      <c r="Q195" s="253" t="s">
        <v>32</v>
      </c>
      <c r="R195" s="148" t="s">
        <v>33</v>
      </c>
      <c r="S195" s="206" t="s">
        <v>926</v>
      </c>
      <c r="T195" s="261">
        <v>36793</v>
      </c>
      <c r="U195" s="206" t="s">
        <v>930</v>
      </c>
      <c r="V195" s="473" t="s">
        <v>80</v>
      </c>
      <c r="W195" s="474"/>
    </row>
    <row r="196" spans="1:23" ht="12.75">
      <c r="A196" s="268">
        <v>45985.852708333332</v>
      </c>
      <c r="B196" s="269" t="s">
        <v>931</v>
      </c>
      <c r="C196" s="269" t="s">
        <v>931</v>
      </c>
      <c r="D196" s="269" t="s">
        <v>24</v>
      </c>
      <c r="E196" s="270">
        <v>33868</v>
      </c>
      <c r="F196" s="141" t="s">
        <v>88</v>
      </c>
      <c r="G196" s="269" t="s">
        <v>932</v>
      </c>
      <c r="H196" s="269" t="s">
        <v>933</v>
      </c>
      <c r="I196" s="252" t="s">
        <v>4223</v>
      </c>
      <c r="J196" s="269" t="s">
        <v>934</v>
      </c>
      <c r="K196" s="269" t="s">
        <v>29</v>
      </c>
      <c r="L196" s="269" t="s">
        <v>30</v>
      </c>
      <c r="M196" s="269"/>
      <c r="N196" s="269"/>
      <c r="O196" s="269"/>
      <c r="P196" s="269" t="s">
        <v>31</v>
      </c>
      <c r="Q196" s="253" t="s">
        <v>32</v>
      </c>
      <c r="R196" s="152" t="s">
        <v>33</v>
      </c>
      <c r="S196" s="206" t="s">
        <v>931</v>
      </c>
      <c r="T196" s="261">
        <v>33868</v>
      </c>
      <c r="U196" s="206" t="s">
        <v>934</v>
      </c>
      <c r="V196" s="473" t="s">
        <v>80</v>
      </c>
      <c r="W196" s="474"/>
    </row>
    <row r="197" spans="1:23" ht="12.75">
      <c r="A197" s="255">
        <v>45986.637199074074</v>
      </c>
      <c r="B197" s="141" t="s">
        <v>935</v>
      </c>
      <c r="C197" s="141"/>
      <c r="D197" s="141" t="s">
        <v>45</v>
      </c>
      <c r="E197" s="256">
        <v>37957</v>
      </c>
      <c r="F197" s="141" t="s">
        <v>83</v>
      </c>
      <c r="G197" s="141" t="s">
        <v>936</v>
      </c>
      <c r="H197" s="141" t="s">
        <v>937</v>
      </c>
      <c r="I197" s="252" t="s">
        <v>4223</v>
      </c>
      <c r="J197" s="141" t="s">
        <v>938</v>
      </c>
      <c r="K197" s="141" t="s">
        <v>29</v>
      </c>
      <c r="L197" s="267">
        <v>46203</v>
      </c>
      <c r="M197" s="141"/>
      <c r="N197" s="141"/>
      <c r="O197" s="141"/>
      <c r="P197" s="141" t="s">
        <v>31</v>
      </c>
      <c r="Q197" s="253" t="s">
        <v>32</v>
      </c>
      <c r="R197" s="148"/>
      <c r="S197" s="206" t="s">
        <v>939</v>
      </c>
      <c r="T197" s="261">
        <v>37957</v>
      </c>
      <c r="U197" s="206" t="s">
        <v>938</v>
      </c>
      <c r="V197" s="473" t="s">
        <v>80</v>
      </c>
      <c r="W197" s="474"/>
    </row>
    <row r="198" spans="1:23" ht="12.75">
      <c r="A198" s="255">
        <v>45986.869039351855</v>
      </c>
      <c r="B198" s="141" t="s">
        <v>940</v>
      </c>
      <c r="C198" s="141" t="s">
        <v>941</v>
      </c>
      <c r="D198" s="141" t="s">
        <v>24</v>
      </c>
      <c r="E198" s="256">
        <v>35875</v>
      </c>
      <c r="F198" s="141" t="s">
        <v>380</v>
      </c>
      <c r="G198" s="141" t="s">
        <v>942</v>
      </c>
      <c r="H198" s="141" t="s">
        <v>943</v>
      </c>
      <c r="I198" s="252" t="s">
        <v>4223</v>
      </c>
      <c r="J198" s="141" t="s">
        <v>944</v>
      </c>
      <c r="K198" s="141" t="s">
        <v>29</v>
      </c>
      <c r="L198" s="141" t="s">
        <v>30</v>
      </c>
      <c r="M198" s="141"/>
      <c r="N198" s="141"/>
      <c r="O198" s="141"/>
      <c r="P198" s="141" t="s">
        <v>31</v>
      </c>
      <c r="Q198" s="253" t="s">
        <v>32</v>
      </c>
      <c r="R198" s="152"/>
      <c r="S198" s="206" t="s">
        <v>940</v>
      </c>
      <c r="T198" s="261">
        <v>35875</v>
      </c>
      <c r="U198" s="206" t="s">
        <v>944</v>
      </c>
      <c r="V198" s="473" t="s">
        <v>80</v>
      </c>
      <c r="W198" s="474"/>
    </row>
    <row r="199" spans="1:23" ht="12.75">
      <c r="A199" s="259">
        <v>45987.001863425925</v>
      </c>
      <c r="B199" s="252" t="s">
        <v>945</v>
      </c>
      <c r="C199" s="141"/>
      <c r="D199" s="252" t="s">
        <v>45</v>
      </c>
      <c r="E199" s="260">
        <v>33338</v>
      </c>
      <c r="F199" s="252" t="s">
        <v>380</v>
      </c>
      <c r="G199" s="252" t="s">
        <v>946</v>
      </c>
      <c r="H199" s="252" t="s">
        <v>947</v>
      </c>
      <c r="I199" s="252" t="s">
        <v>4223</v>
      </c>
      <c r="J199" s="252" t="s">
        <v>948</v>
      </c>
      <c r="K199" s="252" t="s">
        <v>29</v>
      </c>
      <c r="L199" s="252" t="s">
        <v>30</v>
      </c>
      <c r="M199" s="141"/>
      <c r="N199" s="252"/>
      <c r="O199" s="252"/>
      <c r="P199" s="252" t="s">
        <v>31</v>
      </c>
      <c r="Q199" s="253" t="s">
        <v>32</v>
      </c>
      <c r="R199" s="148"/>
      <c r="S199" s="24" t="s">
        <v>949</v>
      </c>
      <c r="T199" s="206"/>
      <c r="U199" s="206"/>
      <c r="V199" s="206"/>
      <c r="W199" s="206"/>
    </row>
    <row r="200" spans="1:23" ht="12.75">
      <c r="A200" s="274">
        <v>45988.082071759258</v>
      </c>
      <c r="B200" s="242" t="s">
        <v>950</v>
      </c>
      <c r="C200" s="242"/>
      <c r="D200" s="242" t="s">
        <v>24</v>
      </c>
      <c r="E200" s="275">
        <v>33908</v>
      </c>
      <c r="F200" s="242" t="s">
        <v>252</v>
      </c>
      <c r="G200" s="242" t="s">
        <v>209</v>
      </c>
      <c r="H200" s="242" t="s">
        <v>951</v>
      </c>
      <c r="I200" s="241" t="s">
        <v>4219</v>
      </c>
      <c r="J200" s="242" t="s">
        <v>952</v>
      </c>
      <c r="K200" s="242" t="s">
        <v>39</v>
      </c>
      <c r="L200" s="242" t="s">
        <v>953</v>
      </c>
      <c r="M200" s="242"/>
      <c r="N200" s="242"/>
      <c r="O200" s="242"/>
      <c r="P200" s="242" t="s">
        <v>31</v>
      </c>
      <c r="Q200" s="244" t="s">
        <v>32</v>
      </c>
      <c r="R200" s="245" t="s">
        <v>33</v>
      </c>
      <c r="S200" s="242" t="s">
        <v>950</v>
      </c>
      <c r="T200" s="266">
        <v>33908</v>
      </c>
      <c r="U200" s="242" t="s">
        <v>952</v>
      </c>
      <c r="V200" s="475" t="s">
        <v>80</v>
      </c>
      <c r="W200" s="474"/>
    </row>
    <row r="201" spans="1:23" ht="12.75">
      <c r="A201" s="274">
        <v>45988.221620370372</v>
      </c>
      <c r="B201" s="242" t="s">
        <v>954</v>
      </c>
      <c r="C201" s="242"/>
      <c r="D201" s="242" t="s">
        <v>45</v>
      </c>
      <c r="E201" s="275">
        <v>17098</v>
      </c>
      <c r="F201" s="242" t="s">
        <v>955</v>
      </c>
      <c r="G201" s="242" t="s">
        <v>956</v>
      </c>
      <c r="H201" s="242" t="s">
        <v>957</v>
      </c>
      <c r="I201" s="241" t="s">
        <v>4237</v>
      </c>
      <c r="J201" s="242" t="s">
        <v>958</v>
      </c>
      <c r="K201" s="242" t="s">
        <v>29</v>
      </c>
      <c r="L201" s="242" t="s">
        <v>30</v>
      </c>
      <c r="M201" s="242" t="s">
        <v>959</v>
      </c>
      <c r="N201" s="242"/>
      <c r="O201" s="242"/>
      <c r="P201" s="242" t="s">
        <v>31</v>
      </c>
      <c r="Q201" s="244" t="s">
        <v>32</v>
      </c>
      <c r="R201" s="248" t="s">
        <v>43</v>
      </c>
      <c r="S201" s="242" t="s">
        <v>954</v>
      </c>
      <c r="T201" s="266">
        <v>17098</v>
      </c>
      <c r="U201" s="242" t="s">
        <v>958</v>
      </c>
      <c r="V201" s="475" t="s">
        <v>80</v>
      </c>
      <c r="W201" s="474"/>
    </row>
    <row r="202" spans="1:23" ht="12.75">
      <c r="A202" s="274">
        <v>45988.603101851855</v>
      </c>
      <c r="B202" s="242" t="s">
        <v>960</v>
      </c>
      <c r="C202" s="242"/>
      <c r="D202" s="242" t="s">
        <v>45</v>
      </c>
      <c r="E202" s="275">
        <v>22235</v>
      </c>
      <c r="F202" s="242" t="s">
        <v>416</v>
      </c>
      <c r="G202" s="242" t="s">
        <v>209</v>
      </c>
      <c r="H202" s="242" t="s">
        <v>961</v>
      </c>
      <c r="I202" s="241" t="s">
        <v>4219</v>
      </c>
      <c r="J202" s="242" t="s">
        <v>962</v>
      </c>
      <c r="K202" s="242" t="s">
        <v>29</v>
      </c>
      <c r="L202" s="242" t="s">
        <v>30</v>
      </c>
      <c r="M202" s="242" t="s">
        <v>963</v>
      </c>
      <c r="N202" s="242"/>
      <c r="O202" s="242"/>
      <c r="P202" s="242" t="s">
        <v>31</v>
      </c>
      <c r="Q202" s="244" t="s">
        <v>32</v>
      </c>
      <c r="R202" s="245" t="s">
        <v>33</v>
      </c>
      <c r="S202" s="242" t="s">
        <v>960</v>
      </c>
      <c r="T202" s="266">
        <v>22235</v>
      </c>
      <c r="U202" s="242" t="s">
        <v>962</v>
      </c>
      <c r="V202" s="475" t="s">
        <v>80</v>
      </c>
      <c r="W202" s="474"/>
    </row>
    <row r="203" spans="1:23" ht="12.75">
      <c r="A203" s="255">
        <v>45988.763622685183</v>
      </c>
      <c r="B203" s="141" t="s">
        <v>964</v>
      </c>
      <c r="C203" s="141"/>
      <c r="D203" s="141" t="s">
        <v>24</v>
      </c>
      <c r="E203" s="256">
        <v>31895</v>
      </c>
      <c r="F203" s="141" t="s">
        <v>475</v>
      </c>
      <c r="G203" s="141" t="s">
        <v>965</v>
      </c>
      <c r="H203" s="141" t="s">
        <v>966</v>
      </c>
      <c r="I203" s="252" t="s">
        <v>4219</v>
      </c>
      <c r="J203" s="141" t="s">
        <v>967</v>
      </c>
      <c r="K203" s="141" t="s">
        <v>29</v>
      </c>
      <c r="L203" s="141" t="s">
        <v>30</v>
      </c>
      <c r="M203" s="141" t="s">
        <v>968</v>
      </c>
      <c r="N203" s="141"/>
      <c r="O203" s="141"/>
      <c r="P203" s="141" t="s">
        <v>31</v>
      </c>
      <c r="Q203" s="253" t="s">
        <v>32</v>
      </c>
      <c r="R203" s="148"/>
      <c r="S203" s="206" t="s">
        <v>964</v>
      </c>
      <c r="T203" s="261">
        <v>31895</v>
      </c>
      <c r="U203" s="206" t="s">
        <v>967</v>
      </c>
      <c r="V203" s="473" t="s">
        <v>80</v>
      </c>
      <c r="W203" s="474"/>
    </row>
    <row r="204" spans="1:23" ht="12.75">
      <c r="A204" s="286">
        <v>45989.189976851849</v>
      </c>
      <c r="B204" s="287" t="s">
        <v>969</v>
      </c>
      <c r="C204" s="287"/>
      <c r="D204" s="287" t="s">
        <v>45</v>
      </c>
      <c r="E204" s="288">
        <v>29659</v>
      </c>
      <c r="F204" s="287" t="s">
        <v>751</v>
      </c>
      <c r="G204" s="287" t="s">
        <v>970</v>
      </c>
      <c r="H204" s="287" t="s">
        <v>111</v>
      </c>
      <c r="I204" s="241" t="s">
        <v>4223</v>
      </c>
      <c r="J204" s="287" t="s">
        <v>971</v>
      </c>
      <c r="K204" s="287" t="s">
        <v>29</v>
      </c>
      <c r="L204" s="287" t="s">
        <v>30</v>
      </c>
      <c r="M204" s="287" t="s">
        <v>4268</v>
      </c>
      <c r="N204" s="242" t="s">
        <v>4269</v>
      </c>
      <c r="O204" s="242" t="s">
        <v>365</v>
      </c>
      <c r="P204" s="287" t="s">
        <v>31</v>
      </c>
      <c r="Q204" s="244" t="s">
        <v>32</v>
      </c>
      <c r="R204" s="248" t="s">
        <v>33</v>
      </c>
      <c r="S204" s="242" t="s">
        <v>974</v>
      </c>
      <c r="T204" s="266">
        <v>29659</v>
      </c>
      <c r="U204" s="242" t="s">
        <v>971</v>
      </c>
      <c r="V204" s="475" t="s">
        <v>154</v>
      </c>
      <c r="W204" s="474"/>
    </row>
    <row r="205" spans="1:23" ht="12.75">
      <c r="A205" s="274">
        <v>45989.837361111109</v>
      </c>
      <c r="B205" s="242" t="s">
        <v>975</v>
      </c>
      <c r="C205" s="242"/>
      <c r="D205" s="242" t="s">
        <v>45</v>
      </c>
      <c r="E205" s="275">
        <v>33593</v>
      </c>
      <c r="F205" s="242" t="s">
        <v>227</v>
      </c>
      <c r="G205" s="242" t="s">
        <v>976</v>
      </c>
      <c r="H205" s="242" t="s">
        <v>977</v>
      </c>
      <c r="I205" s="241" t="s">
        <v>4219</v>
      </c>
      <c r="J205" s="242" t="s">
        <v>978</v>
      </c>
      <c r="K205" s="242" t="s">
        <v>29</v>
      </c>
      <c r="L205" s="242" t="s">
        <v>30</v>
      </c>
      <c r="M205" s="242"/>
      <c r="N205" s="242"/>
      <c r="O205" s="242"/>
      <c r="P205" s="242" t="s">
        <v>31</v>
      </c>
      <c r="Q205" s="244" t="s">
        <v>32</v>
      </c>
      <c r="R205" s="245" t="s">
        <v>33</v>
      </c>
      <c r="S205" s="242" t="s">
        <v>975</v>
      </c>
      <c r="T205" s="266">
        <v>33593</v>
      </c>
      <c r="U205" s="242" t="s">
        <v>978</v>
      </c>
      <c r="V205" s="475" t="s">
        <v>80</v>
      </c>
      <c r="W205" s="474"/>
    </row>
    <row r="206" spans="1:23" ht="12.75">
      <c r="A206" s="274">
        <v>45989.917847222219</v>
      </c>
      <c r="B206" s="242" t="s">
        <v>979</v>
      </c>
      <c r="C206" s="242"/>
      <c r="D206" s="242" t="s">
        <v>45</v>
      </c>
      <c r="E206" s="275">
        <v>37852</v>
      </c>
      <c r="F206" s="242" t="s">
        <v>980</v>
      </c>
      <c r="G206" s="242" t="s">
        <v>981</v>
      </c>
      <c r="H206" s="242" t="s">
        <v>138</v>
      </c>
      <c r="I206" s="241" t="s">
        <v>4219</v>
      </c>
      <c r="J206" s="242" t="s">
        <v>982</v>
      </c>
      <c r="K206" s="242" t="s">
        <v>39</v>
      </c>
      <c r="L206" s="242" t="s">
        <v>152</v>
      </c>
      <c r="M206" s="242" t="s">
        <v>983</v>
      </c>
      <c r="N206" s="242"/>
      <c r="O206" s="242"/>
      <c r="P206" s="242" t="s">
        <v>31</v>
      </c>
      <c r="Q206" s="244" t="s">
        <v>32</v>
      </c>
      <c r="R206" s="248" t="s">
        <v>33</v>
      </c>
      <c r="S206" s="242" t="s">
        <v>979</v>
      </c>
      <c r="T206" s="266">
        <v>37852</v>
      </c>
      <c r="U206" s="242" t="s">
        <v>982</v>
      </c>
      <c r="V206" s="475" t="s">
        <v>80</v>
      </c>
      <c r="W206" s="474"/>
    </row>
    <row r="207" spans="1:23" ht="12.75">
      <c r="A207" s="274">
        <v>45989.920011574075</v>
      </c>
      <c r="B207" s="242" t="s">
        <v>984</v>
      </c>
      <c r="C207" s="242"/>
      <c r="D207" s="242" t="s">
        <v>45</v>
      </c>
      <c r="E207" s="275">
        <v>37875</v>
      </c>
      <c r="F207" s="242" t="s">
        <v>980</v>
      </c>
      <c r="G207" s="242" t="s">
        <v>985</v>
      </c>
      <c r="H207" s="242" t="s">
        <v>368</v>
      </c>
      <c r="I207" s="241" t="s">
        <v>4219</v>
      </c>
      <c r="J207" s="242" t="s">
        <v>986</v>
      </c>
      <c r="K207" s="242" t="s">
        <v>39</v>
      </c>
      <c r="L207" s="242" t="s">
        <v>152</v>
      </c>
      <c r="M207" s="242" t="s">
        <v>987</v>
      </c>
      <c r="N207" s="242"/>
      <c r="O207" s="242"/>
      <c r="P207" s="242" t="s">
        <v>31</v>
      </c>
      <c r="Q207" s="244" t="s">
        <v>32</v>
      </c>
      <c r="R207" s="245" t="s">
        <v>33</v>
      </c>
      <c r="S207" s="242" t="s">
        <v>988</v>
      </c>
      <c r="T207" s="266">
        <v>37875</v>
      </c>
      <c r="U207" s="242" t="s">
        <v>986</v>
      </c>
      <c r="V207" s="475" t="s">
        <v>80</v>
      </c>
      <c r="W207" s="474"/>
    </row>
    <row r="208" spans="1:23" ht="12.75">
      <c r="A208" s="289">
        <v>45989.952928240738</v>
      </c>
      <c r="B208" s="290" t="s">
        <v>989</v>
      </c>
      <c r="C208" s="290"/>
      <c r="D208" s="290" t="s">
        <v>45</v>
      </c>
      <c r="E208" s="291">
        <v>38368</v>
      </c>
      <c r="F208" s="242" t="s">
        <v>980</v>
      </c>
      <c r="G208" s="290" t="s">
        <v>990</v>
      </c>
      <c r="H208" s="290" t="s">
        <v>991</v>
      </c>
      <c r="I208" s="241" t="s">
        <v>4219</v>
      </c>
      <c r="J208" s="290" t="s">
        <v>992</v>
      </c>
      <c r="K208" s="290" t="s">
        <v>39</v>
      </c>
      <c r="L208" s="290" t="s">
        <v>152</v>
      </c>
      <c r="M208" s="290"/>
      <c r="N208" s="290"/>
      <c r="O208" s="290"/>
      <c r="P208" s="290" t="s">
        <v>31</v>
      </c>
      <c r="Q208" s="244" t="s">
        <v>32</v>
      </c>
      <c r="R208" s="248" t="s">
        <v>33</v>
      </c>
      <c r="S208" s="242" t="s">
        <v>993</v>
      </c>
      <c r="T208" s="266">
        <v>38368</v>
      </c>
      <c r="U208" s="242" t="s">
        <v>992</v>
      </c>
      <c r="V208" s="475" t="s">
        <v>80</v>
      </c>
      <c r="W208" s="474"/>
    </row>
    <row r="209" spans="1:23" ht="12.75">
      <c r="A209" s="274">
        <v>45989.953750000001</v>
      </c>
      <c r="B209" s="242" t="s">
        <v>994</v>
      </c>
      <c r="C209" s="242"/>
      <c r="D209" s="242" t="s">
        <v>24</v>
      </c>
      <c r="E209" s="275">
        <v>37925</v>
      </c>
      <c r="F209" s="242" t="s">
        <v>980</v>
      </c>
      <c r="G209" s="242" t="s">
        <v>995</v>
      </c>
      <c r="H209" s="242" t="s">
        <v>66</v>
      </c>
      <c r="I209" s="241" t="s">
        <v>4219</v>
      </c>
      <c r="J209" s="242" t="s">
        <v>996</v>
      </c>
      <c r="K209" s="242" t="s">
        <v>39</v>
      </c>
      <c r="L209" s="242" t="s">
        <v>152</v>
      </c>
      <c r="M209" s="242"/>
      <c r="N209" s="242"/>
      <c r="O209" s="242"/>
      <c r="P209" s="242" t="s">
        <v>31</v>
      </c>
      <c r="Q209" s="244" t="s">
        <v>32</v>
      </c>
      <c r="R209" s="245" t="s">
        <v>33</v>
      </c>
      <c r="S209" s="242" t="s">
        <v>997</v>
      </c>
      <c r="T209" s="266">
        <v>37925</v>
      </c>
      <c r="U209" s="242" t="s">
        <v>996</v>
      </c>
      <c r="V209" s="475" t="s">
        <v>154</v>
      </c>
      <c r="W209" s="474"/>
    </row>
    <row r="210" spans="1:23" ht="12.75">
      <c r="A210" s="274">
        <v>45989.995046296295</v>
      </c>
      <c r="B210" s="242" t="s">
        <v>998</v>
      </c>
      <c r="C210" s="242"/>
      <c r="D210" s="242" t="s">
        <v>45</v>
      </c>
      <c r="E210" s="275">
        <v>36466</v>
      </c>
      <c r="F210" s="242" t="s">
        <v>980</v>
      </c>
      <c r="G210" s="242" t="s">
        <v>999</v>
      </c>
      <c r="H210" s="242" t="s">
        <v>368</v>
      </c>
      <c r="I210" s="241" t="s">
        <v>4219</v>
      </c>
      <c r="J210" s="242" t="s">
        <v>1000</v>
      </c>
      <c r="K210" s="242" t="s">
        <v>39</v>
      </c>
      <c r="L210" s="242" t="s">
        <v>621</v>
      </c>
      <c r="M210" s="242"/>
      <c r="N210" s="242"/>
      <c r="O210" s="242"/>
      <c r="P210" s="242" t="s">
        <v>31</v>
      </c>
      <c r="Q210" s="244" t="s">
        <v>32</v>
      </c>
      <c r="R210" s="248" t="s">
        <v>33</v>
      </c>
      <c r="S210" s="242" t="s">
        <v>1001</v>
      </c>
      <c r="T210" s="266">
        <v>36466</v>
      </c>
      <c r="U210" s="242" t="s">
        <v>1000</v>
      </c>
      <c r="V210" s="475" t="s">
        <v>80</v>
      </c>
      <c r="W210" s="474"/>
    </row>
    <row r="211" spans="1:23" ht="12.75">
      <c r="A211" s="274">
        <v>45990.019178240742</v>
      </c>
      <c r="B211" s="242" t="s">
        <v>1002</v>
      </c>
      <c r="C211" s="242"/>
      <c r="D211" s="242" t="s">
        <v>24</v>
      </c>
      <c r="E211" s="275">
        <v>37495</v>
      </c>
      <c r="F211" s="242" t="s">
        <v>980</v>
      </c>
      <c r="G211" s="242" t="s">
        <v>985</v>
      </c>
      <c r="H211" s="242" t="s">
        <v>138</v>
      </c>
      <c r="I211" s="241" t="s">
        <v>4219</v>
      </c>
      <c r="J211" s="242" t="s">
        <v>1003</v>
      </c>
      <c r="K211" s="242" t="s">
        <v>39</v>
      </c>
      <c r="L211" s="242" t="s">
        <v>621</v>
      </c>
      <c r="M211" s="242"/>
      <c r="N211" s="242"/>
      <c r="O211" s="242"/>
      <c r="P211" s="242" t="s">
        <v>31</v>
      </c>
      <c r="Q211" s="244" t="s">
        <v>32</v>
      </c>
      <c r="R211" s="245" t="s">
        <v>33</v>
      </c>
      <c r="S211" s="242" t="s">
        <v>1002</v>
      </c>
      <c r="T211" s="266">
        <v>37495</v>
      </c>
      <c r="U211" s="242" t="s">
        <v>1003</v>
      </c>
      <c r="V211" s="475" t="s">
        <v>80</v>
      </c>
      <c r="W211" s="474"/>
    </row>
    <row r="212" spans="1:23" ht="12.75">
      <c r="A212" s="255">
        <v>45990.201168981483</v>
      </c>
      <c r="B212" s="141" t="s">
        <v>1004</v>
      </c>
      <c r="C212" s="141"/>
      <c r="D212" s="141" t="s">
        <v>45</v>
      </c>
      <c r="E212" s="256">
        <v>32844</v>
      </c>
      <c r="F212" s="141" t="s">
        <v>346</v>
      </c>
      <c r="G212" s="141" t="s">
        <v>1005</v>
      </c>
      <c r="H212" s="141" t="s">
        <v>1006</v>
      </c>
      <c r="I212" s="252" t="s">
        <v>4219</v>
      </c>
      <c r="J212" s="141" t="s">
        <v>1007</v>
      </c>
      <c r="K212" s="141" t="s">
        <v>29</v>
      </c>
      <c r="L212" s="141" t="s">
        <v>30</v>
      </c>
      <c r="M212" s="141"/>
      <c r="N212" s="141"/>
      <c r="O212" s="141"/>
      <c r="P212" s="141" t="s">
        <v>31</v>
      </c>
      <c r="Q212" s="253" t="s">
        <v>32</v>
      </c>
      <c r="R212" s="148" t="s">
        <v>1008</v>
      </c>
      <c r="S212" s="206" t="s">
        <v>1009</v>
      </c>
      <c r="T212" s="261">
        <v>32844</v>
      </c>
      <c r="U212" s="206" t="s">
        <v>1010</v>
      </c>
      <c r="V212" s="473" t="s">
        <v>1011</v>
      </c>
      <c r="W212" s="474"/>
    </row>
    <row r="213" spans="1:23" ht="12.75">
      <c r="A213" s="255">
        <v>45991.081053240741</v>
      </c>
      <c r="B213" s="141" t="s">
        <v>1012</v>
      </c>
      <c r="C213" s="141"/>
      <c r="D213" s="141" t="s">
        <v>24</v>
      </c>
      <c r="E213" s="256">
        <v>38619</v>
      </c>
      <c r="F213" s="141" t="s">
        <v>980</v>
      </c>
      <c r="G213" s="141" t="s">
        <v>1013</v>
      </c>
      <c r="H213" s="141" t="s">
        <v>1014</v>
      </c>
      <c r="I213" s="252" t="s">
        <v>4219</v>
      </c>
      <c r="J213" s="141" t="s">
        <v>1015</v>
      </c>
      <c r="K213" s="141" t="s">
        <v>39</v>
      </c>
      <c r="L213" s="141" t="s">
        <v>621</v>
      </c>
      <c r="M213" s="141" t="s">
        <v>1016</v>
      </c>
      <c r="N213" s="141"/>
      <c r="O213" s="141"/>
      <c r="P213" s="141" t="s">
        <v>31</v>
      </c>
      <c r="Q213" s="253" t="s">
        <v>32</v>
      </c>
      <c r="R213" s="152" t="s">
        <v>33</v>
      </c>
      <c r="S213" s="206" t="s">
        <v>1017</v>
      </c>
      <c r="T213" s="261">
        <v>38619</v>
      </c>
      <c r="U213" s="206" t="s">
        <v>1015</v>
      </c>
      <c r="V213" s="473" t="s">
        <v>80</v>
      </c>
      <c r="W213" s="474"/>
    </row>
    <row r="214" spans="1:23" ht="12.75">
      <c r="A214" s="255">
        <v>45991.880393518521</v>
      </c>
      <c r="B214" s="141" t="s">
        <v>1018</v>
      </c>
      <c r="C214" s="141" t="s">
        <v>1019</v>
      </c>
      <c r="D214" s="141" t="s">
        <v>24</v>
      </c>
      <c r="E214" s="256">
        <v>38139</v>
      </c>
      <c r="F214" s="141" t="s">
        <v>980</v>
      </c>
      <c r="G214" s="141" t="s">
        <v>1020</v>
      </c>
      <c r="H214" s="141" t="s">
        <v>66</v>
      </c>
      <c r="I214" s="252" t="s">
        <v>4219</v>
      </c>
      <c r="J214" s="141" t="s">
        <v>1021</v>
      </c>
      <c r="K214" s="141" t="s">
        <v>39</v>
      </c>
      <c r="L214" s="141" t="s">
        <v>152</v>
      </c>
      <c r="M214" s="476" t="s">
        <v>1022</v>
      </c>
      <c r="N214" s="474"/>
      <c r="O214" s="141"/>
      <c r="P214" s="141" t="s">
        <v>31</v>
      </c>
      <c r="Q214" s="253" t="s">
        <v>32</v>
      </c>
      <c r="R214" s="148" t="s">
        <v>33</v>
      </c>
      <c r="S214" s="206" t="s">
        <v>1023</v>
      </c>
      <c r="T214" s="261">
        <v>38139</v>
      </c>
      <c r="U214" s="206" t="s">
        <v>1021</v>
      </c>
      <c r="V214" s="473" t="s">
        <v>154</v>
      </c>
      <c r="W214" s="474"/>
    </row>
    <row r="215" spans="1:23" ht="12.75">
      <c r="A215" s="292">
        <v>45992.336111111108</v>
      </c>
      <c r="B215" s="293" t="s">
        <v>1024</v>
      </c>
      <c r="C215" s="293" t="s">
        <v>1025</v>
      </c>
      <c r="D215" s="293" t="s">
        <v>24</v>
      </c>
      <c r="E215" s="294">
        <v>35248</v>
      </c>
      <c r="F215" s="293" t="s">
        <v>198</v>
      </c>
      <c r="G215" s="293" t="s">
        <v>1026</v>
      </c>
      <c r="H215" s="293" t="s">
        <v>1027</v>
      </c>
      <c r="I215" s="252" t="s">
        <v>4219</v>
      </c>
      <c r="J215" s="293" t="s">
        <v>1028</v>
      </c>
      <c r="K215" s="293" t="s">
        <v>29</v>
      </c>
      <c r="L215" s="293" t="s">
        <v>30</v>
      </c>
      <c r="M215" s="293"/>
      <c r="N215" s="293"/>
      <c r="O215" s="293"/>
      <c r="P215" s="293" t="s">
        <v>31</v>
      </c>
      <c r="Q215" s="253" t="s">
        <v>32</v>
      </c>
      <c r="R215" s="152" t="s">
        <v>33</v>
      </c>
      <c r="S215" s="206" t="s">
        <v>1024</v>
      </c>
      <c r="T215" s="261">
        <v>35248</v>
      </c>
      <c r="U215" s="206" t="s">
        <v>1028</v>
      </c>
      <c r="V215" s="473" t="s">
        <v>80</v>
      </c>
      <c r="W215" s="474"/>
    </row>
    <row r="216" spans="1:23" ht="15">
      <c r="A216" s="255">
        <v>45993.164479166669</v>
      </c>
      <c r="B216" s="141" t="s">
        <v>1029</v>
      </c>
      <c r="C216" s="141"/>
      <c r="D216" s="141" t="s">
        <v>45</v>
      </c>
      <c r="E216" s="256">
        <v>33281</v>
      </c>
      <c r="F216" s="141" t="s">
        <v>799</v>
      </c>
      <c r="G216" s="141" t="s">
        <v>1030</v>
      </c>
      <c r="H216" s="141" t="s">
        <v>1031</v>
      </c>
      <c r="I216" s="252" t="s">
        <v>4223</v>
      </c>
      <c r="J216" s="141" t="s">
        <v>1032</v>
      </c>
      <c r="K216" s="141" t="s">
        <v>29</v>
      </c>
      <c r="L216" s="141" t="s">
        <v>30</v>
      </c>
      <c r="M216" s="141" t="s">
        <v>1033</v>
      </c>
      <c r="N216" s="295" t="s">
        <v>4270</v>
      </c>
      <c r="O216" s="295" t="s">
        <v>1035</v>
      </c>
      <c r="P216" s="141" t="s">
        <v>31</v>
      </c>
      <c r="Q216" s="253" t="s">
        <v>32</v>
      </c>
      <c r="R216" s="152"/>
      <c r="S216" s="206" t="s">
        <v>1036</v>
      </c>
      <c r="T216" s="261">
        <v>33281</v>
      </c>
      <c r="U216" s="206" t="s">
        <v>1032</v>
      </c>
      <c r="V216" s="473" t="s">
        <v>154</v>
      </c>
      <c r="W216" s="474"/>
    </row>
    <row r="217" spans="1:23" ht="12.75">
      <c r="A217" s="292">
        <v>45993.611990740741</v>
      </c>
      <c r="B217" s="293" t="s">
        <v>1037</v>
      </c>
      <c r="C217" s="293"/>
      <c r="D217" s="293" t="s">
        <v>45</v>
      </c>
      <c r="E217" s="294">
        <v>24838</v>
      </c>
      <c r="F217" s="293" t="s">
        <v>1038</v>
      </c>
      <c r="G217" s="293" t="s">
        <v>1039</v>
      </c>
      <c r="H217" s="293" t="s">
        <v>1040</v>
      </c>
      <c r="I217" s="252" t="s">
        <v>4219</v>
      </c>
      <c r="J217" s="293" t="s">
        <v>1041</v>
      </c>
      <c r="K217" s="293" t="s">
        <v>1042</v>
      </c>
      <c r="L217" s="293" t="s">
        <v>162</v>
      </c>
      <c r="M217" s="293"/>
      <c r="N217" s="293"/>
      <c r="O217" s="293"/>
      <c r="P217" s="293" t="s">
        <v>31</v>
      </c>
      <c r="Q217" s="253" t="s">
        <v>32</v>
      </c>
      <c r="R217" s="148" t="s">
        <v>33</v>
      </c>
      <c r="S217" s="206" t="s">
        <v>1037</v>
      </c>
      <c r="T217" s="261">
        <v>24838</v>
      </c>
      <c r="U217" s="206" t="s">
        <v>1041</v>
      </c>
      <c r="V217" s="473" t="s">
        <v>80</v>
      </c>
      <c r="W217" s="474"/>
    </row>
    <row r="218" spans="1:23" ht="12.75">
      <c r="A218" s="255">
        <v>45993.750011574077</v>
      </c>
      <c r="B218" s="141" t="s">
        <v>1043</v>
      </c>
      <c r="C218" s="141"/>
      <c r="D218" s="141" t="s">
        <v>45</v>
      </c>
      <c r="E218" s="256">
        <v>37591</v>
      </c>
      <c r="F218" s="141" t="s">
        <v>52</v>
      </c>
      <c r="G218" s="141" t="s">
        <v>1044</v>
      </c>
      <c r="H218" s="141" t="s">
        <v>1045</v>
      </c>
      <c r="I218" s="252" t="s">
        <v>4219</v>
      </c>
      <c r="J218" s="141" t="s">
        <v>1046</v>
      </c>
      <c r="K218" s="141" t="s">
        <v>29</v>
      </c>
      <c r="L218" s="141" t="s">
        <v>30</v>
      </c>
      <c r="M218" s="141"/>
      <c r="N218" s="141"/>
      <c r="O218" s="141"/>
      <c r="P218" s="141" t="s">
        <v>31</v>
      </c>
      <c r="Q218" s="253" t="s">
        <v>32</v>
      </c>
      <c r="R218" s="152"/>
      <c r="S218" s="206" t="s">
        <v>1047</v>
      </c>
      <c r="T218" s="261">
        <v>37591</v>
      </c>
      <c r="U218" s="206" t="s">
        <v>1046</v>
      </c>
      <c r="V218" s="473" t="s">
        <v>154</v>
      </c>
      <c r="W218" s="474"/>
    </row>
    <row r="219" spans="1:23" ht="12.75">
      <c r="A219" s="274">
        <v>45993.840671296297</v>
      </c>
      <c r="B219" s="242" t="s">
        <v>1048</v>
      </c>
      <c r="C219" s="242"/>
      <c r="D219" s="242" t="s">
        <v>24</v>
      </c>
      <c r="E219" s="275">
        <v>34383</v>
      </c>
      <c r="F219" s="242" t="s">
        <v>88</v>
      </c>
      <c r="G219" s="242" t="s">
        <v>866</v>
      </c>
      <c r="H219" s="242" t="s">
        <v>1049</v>
      </c>
      <c r="I219" s="241" t="s">
        <v>4223</v>
      </c>
      <c r="J219" s="242" t="s">
        <v>1050</v>
      </c>
      <c r="K219" s="242" t="s">
        <v>29</v>
      </c>
      <c r="L219" s="242" t="s">
        <v>30</v>
      </c>
      <c r="M219" s="242"/>
      <c r="N219" s="242"/>
      <c r="O219" s="242"/>
      <c r="P219" s="242" t="s">
        <v>31</v>
      </c>
      <c r="Q219" s="244" t="s">
        <v>32</v>
      </c>
      <c r="R219" s="248" t="s">
        <v>33</v>
      </c>
      <c r="S219" s="242" t="s">
        <v>1048</v>
      </c>
      <c r="T219" s="266">
        <v>34383</v>
      </c>
      <c r="U219" s="242" t="s">
        <v>1050</v>
      </c>
      <c r="V219" s="475" t="s">
        <v>80</v>
      </c>
      <c r="W219" s="474"/>
    </row>
    <row r="220" spans="1:23" ht="12.75">
      <c r="A220" s="274">
        <v>45994.137314814812</v>
      </c>
      <c r="B220" s="242" t="s">
        <v>1051</v>
      </c>
      <c r="C220" s="242" t="s">
        <v>1052</v>
      </c>
      <c r="D220" s="242" t="s">
        <v>45</v>
      </c>
      <c r="E220" s="275">
        <v>30184</v>
      </c>
      <c r="F220" s="242" t="s">
        <v>1053</v>
      </c>
      <c r="G220" s="242" t="s">
        <v>1054</v>
      </c>
      <c r="H220" s="242" t="s">
        <v>1055</v>
      </c>
      <c r="I220" s="241" t="s">
        <v>4237</v>
      </c>
      <c r="J220" s="242" t="s">
        <v>1056</v>
      </c>
      <c r="K220" s="242" t="s">
        <v>39</v>
      </c>
      <c r="L220" s="242" t="s">
        <v>621</v>
      </c>
      <c r="M220" s="242"/>
      <c r="N220" s="242"/>
      <c r="O220" s="242"/>
      <c r="P220" s="242" t="s">
        <v>31</v>
      </c>
      <c r="Q220" s="244" t="s">
        <v>32</v>
      </c>
      <c r="R220" s="245" t="s">
        <v>33</v>
      </c>
      <c r="S220" s="242" t="s">
        <v>1057</v>
      </c>
      <c r="T220" s="266">
        <v>30184</v>
      </c>
      <c r="U220" s="242" t="s">
        <v>1056</v>
      </c>
      <c r="V220" s="475" t="s">
        <v>154</v>
      </c>
      <c r="W220" s="474"/>
    </row>
    <row r="221" spans="1:23" ht="12.75">
      <c r="A221" s="255">
        <v>45994.188287037039</v>
      </c>
      <c r="B221" s="141" t="s">
        <v>1058</v>
      </c>
      <c r="C221" s="141"/>
      <c r="D221" s="141" t="s">
        <v>45</v>
      </c>
      <c r="E221" s="256">
        <v>29882</v>
      </c>
      <c r="F221" s="141" t="s">
        <v>380</v>
      </c>
      <c r="G221" s="141" t="s">
        <v>1059</v>
      </c>
      <c r="H221" s="141" t="s">
        <v>90</v>
      </c>
      <c r="I221" s="252" t="s">
        <v>4223</v>
      </c>
      <c r="J221" s="141" t="s">
        <v>1060</v>
      </c>
      <c r="K221" s="141" t="s">
        <v>29</v>
      </c>
      <c r="L221" s="141" t="s">
        <v>30</v>
      </c>
      <c r="M221" s="141"/>
      <c r="N221" s="141"/>
      <c r="O221" s="141"/>
      <c r="P221" s="141" t="s">
        <v>31</v>
      </c>
      <c r="Q221" s="253" t="s">
        <v>32</v>
      </c>
      <c r="R221" s="148"/>
      <c r="S221" s="206" t="s">
        <v>1061</v>
      </c>
      <c r="T221" s="261">
        <v>29882</v>
      </c>
      <c r="U221" s="206" t="s">
        <v>1060</v>
      </c>
      <c r="V221" s="473" t="s">
        <v>154</v>
      </c>
      <c r="W221" s="474"/>
    </row>
    <row r="222" spans="1:23" ht="12.75">
      <c r="A222" s="274">
        <v>45994.546724537038</v>
      </c>
      <c r="B222" s="242" t="s">
        <v>1062</v>
      </c>
      <c r="C222" s="242"/>
      <c r="D222" s="242" t="s">
        <v>24</v>
      </c>
      <c r="E222" s="275">
        <v>32386</v>
      </c>
      <c r="F222" s="242" t="s">
        <v>1063</v>
      </c>
      <c r="G222" s="242" t="s">
        <v>1064</v>
      </c>
      <c r="H222" s="242" t="s">
        <v>1065</v>
      </c>
      <c r="I222" s="241" t="s">
        <v>4219</v>
      </c>
      <c r="J222" s="242" t="s">
        <v>1066</v>
      </c>
      <c r="K222" s="242" t="s">
        <v>29</v>
      </c>
      <c r="L222" s="242" t="s">
        <v>162</v>
      </c>
      <c r="M222" s="242"/>
      <c r="N222" s="242"/>
      <c r="O222" s="242"/>
      <c r="P222" s="242" t="s">
        <v>31</v>
      </c>
      <c r="Q222" s="244" t="s">
        <v>32</v>
      </c>
      <c r="R222" s="245" t="s">
        <v>33</v>
      </c>
      <c r="S222" s="242" t="s">
        <v>1062</v>
      </c>
      <c r="T222" s="266">
        <v>32386</v>
      </c>
      <c r="U222" s="242" t="s">
        <v>1066</v>
      </c>
      <c r="V222" s="475" t="s">
        <v>80</v>
      </c>
      <c r="W222" s="474"/>
    </row>
    <row r="223" spans="1:23" ht="12.75">
      <c r="A223" s="274">
        <v>45994.893842592595</v>
      </c>
      <c r="B223" s="242" t="s">
        <v>1067</v>
      </c>
      <c r="C223" s="242"/>
      <c r="D223" s="242" t="s">
        <v>45</v>
      </c>
      <c r="E223" s="275">
        <v>35708</v>
      </c>
      <c r="F223" s="242" t="s">
        <v>438</v>
      </c>
      <c r="G223" s="242" t="s">
        <v>1068</v>
      </c>
      <c r="H223" s="242" t="s">
        <v>1069</v>
      </c>
      <c r="I223" s="241" t="s">
        <v>4219</v>
      </c>
      <c r="J223" s="242" t="s">
        <v>1070</v>
      </c>
      <c r="K223" s="242" t="s">
        <v>39</v>
      </c>
      <c r="L223" s="242" t="s">
        <v>30</v>
      </c>
      <c r="M223" s="242"/>
      <c r="N223" s="242"/>
      <c r="O223" s="242"/>
      <c r="P223" s="242" t="s">
        <v>31</v>
      </c>
      <c r="Q223" s="244" t="s">
        <v>32</v>
      </c>
      <c r="R223" s="248" t="s">
        <v>33</v>
      </c>
      <c r="S223" s="242" t="s">
        <v>1067</v>
      </c>
      <c r="T223" s="266">
        <v>35708</v>
      </c>
      <c r="U223" s="242" t="s">
        <v>1070</v>
      </c>
      <c r="V223" s="475" t="s">
        <v>80</v>
      </c>
      <c r="W223" s="474"/>
    </row>
    <row r="224" spans="1:23" ht="12.75">
      <c r="A224" s="255">
        <v>45994.995312500003</v>
      </c>
      <c r="B224" s="141" t="s">
        <v>1071</v>
      </c>
      <c r="C224" s="141"/>
      <c r="D224" s="141" t="s">
        <v>24</v>
      </c>
      <c r="E224" s="256">
        <v>38389</v>
      </c>
      <c r="F224" s="141" t="s">
        <v>980</v>
      </c>
      <c r="G224" s="141" t="s">
        <v>1072</v>
      </c>
      <c r="H224" s="141" t="s">
        <v>66</v>
      </c>
      <c r="I224" s="252" t="s">
        <v>4219</v>
      </c>
      <c r="J224" s="141" t="s">
        <v>1073</v>
      </c>
      <c r="K224" s="141" t="s">
        <v>39</v>
      </c>
      <c r="L224" s="141" t="s">
        <v>152</v>
      </c>
      <c r="M224" s="141"/>
      <c r="N224" s="141"/>
      <c r="O224" s="141"/>
      <c r="P224" s="141" t="s">
        <v>31</v>
      </c>
      <c r="Q224" s="253" t="s">
        <v>32</v>
      </c>
      <c r="R224" s="152" t="s">
        <v>33</v>
      </c>
      <c r="S224" s="206" t="s">
        <v>1071</v>
      </c>
      <c r="T224" s="261">
        <v>38389</v>
      </c>
      <c r="U224" s="206" t="s">
        <v>1073</v>
      </c>
      <c r="V224" s="473" t="s">
        <v>80</v>
      </c>
      <c r="W224" s="474"/>
    </row>
    <row r="225" spans="1:23" ht="12.75">
      <c r="A225" s="255">
        <v>45994.998344907406</v>
      </c>
      <c r="B225" s="141" t="s">
        <v>1074</v>
      </c>
      <c r="C225" s="141"/>
      <c r="D225" s="141" t="s">
        <v>45</v>
      </c>
      <c r="E225" s="256">
        <v>38977</v>
      </c>
      <c r="F225" s="141" t="s">
        <v>980</v>
      </c>
      <c r="G225" s="141" t="s">
        <v>1075</v>
      </c>
      <c r="H225" s="141" t="s">
        <v>66</v>
      </c>
      <c r="I225" s="252" t="s">
        <v>4219</v>
      </c>
      <c r="J225" s="141" t="s">
        <v>1076</v>
      </c>
      <c r="K225" s="141" t="s">
        <v>39</v>
      </c>
      <c r="L225" s="141" t="s">
        <v>152</v>
      </c>
      <c r="M225" s="141"/>
      <c r="N225" s="141"/>
      <c r="O225" s="141"/>
      <c r="P225" s="141" t="s">
        <v>31</v>
      </c>
      <c r="Q225" s="278" t="s">
        <v>32</v>
      </c>
      <c r="R225" s="148" t="s">
        <v>33</v>
      </c>
      <c r="S225" s="206"/>
      <c r="T225" s="258"/>
      <c r="U225" s="206"/>
      <c r="V225" s="206"/>
      <c r="W225" s="206"/>
    </row>
    <row r="226" spans="1:23" ht="12.75">
      <c r="A226" s="255">
        <v>45995.008425925924</v>
      </c>
      <c r="B226" s="141" t="s">
        <v>1077</v>
      </c>
      <c r="C226" s="141"/>
      <c r="D226" s="141" t="s">
        <v>24</v>
      </c>
      <c r="E226" s="256">
        <v>38508</v>
      </c>
      <c r="F226" s="141" t="s">
        <v>980</v>
      </c>
      <c r="G226" s="141" t="s">
        <v>1072</v>
      </c>
      <c r="H226" s="141" t="s">
        <v>66</v>
      </c>
      <c r="I226" s="252" t="s">
        <v>4219</v>
      </c>
      <c r="J226" s="141" t="s">
        <v>1078</v>
      </c>
      <c r="K226" s="141" t="s">
        <v>39</v>
      </c>
      <c r="L226" s="141" t="s">
        <v>152</v>
      </c>
      <c r="M226" s="141"/>
      <c r="N226" s="141"/>
      <c r="O226" s="141"/>
      <c r="P226" s="141" t="s">
        <v>31</v>
      </c>
      <c r="Q226" s="253" t="s">
        <v>32</v>
      </c>
      <c r="R226" s="152" t="s">
        <v>33</v>
      </c>
      <c r="S226" s="206" t="s">
        <v>1077</v>
      </c>
      <c r="T226" s="261">
        <v>38508</v>
      </c>
      <c r="U226" s="206" t="s">
        <v>1078</v>
      </c>
      <c r="V226" s="473" t="s">
        <v>80</v>
      </c>
      <c r="W226" s="474"/>
    </row>
    <row r="227" spans="1:23" ht="12.75">
      <c r="A227" s="255">
        <v>45996.041030092594</v>
      </c>
      <c r="B227" s="141" t="s">
        <v>1079</v>
      </c>
      <c r="C227" s="141"/>
      <c r="D227" s="141" t="s">
        <v>45</v>
      </c>
      <c r="E227" s="256">
        <v>32733</v>
      </c>
      <c r="F227" s="141" t="s">
        <v>980</v>
      </c>
      <c r="G227" s="141" t="s">
        <v>1080</v>
      </c>
      <c r="H227" s="141" t="s">
        <v>90</v>
      </c>
      <c r="I227" s="252" t="s">
        <v>4219</v>
      </c>
      <c r="J227" s="141" t="s">
        <v>1081</v>
      </c>
      <c r="K227" s="141" t="s">
        <v>39</v>
      </c>
      <c r="L227" s="141" t="s">
        <v>621</v>
      </c>
      <c r="M227" s="141" t="s">
        <v>1082</v>
      </c>
      <c r="N227" s="34" t="s">
        <v>4271</v>
      </c>
      <c r="O227" s="141" t="s">
        <v>365</v>
      </c>
      <c r="P227" s="141" t="s">
        <v>31</v>
      </c>
      <c r="Q227" s="253" t="s">
        <v>32</v>
      </c>
      <c r="R227" s="148" t="s">
        <v>33</v>
      </c>
      <c r="S227" s="206" t="s">
        <v>1079</v>
      </c>
      <c r="T227" s="261">
        <v>32733</v>
      </c>
      <c r="U227" s="206" t="s">
        <v>1081</v>
      </c>
      <c r="V227" s="473" t="s">
        <v>80</v>
      </c>
      <c r="W227" s="474"/>
    </row>
    <row r="228" spans="1:23" ht="12.75">
      <c r="A228" s="274">
        <v>45997.913298611114</v>
      </c>
      <c r="B228" s="242" t="s">
        <v>1084</v>
      </c>
      <c r="C228" s="242"/>
      <c r="D228" s="242" t="s">
        <v>45</v>
      </c>
      <c r="E228" s="275">
        <v>36956</v>
      </c>
      <c r="F228" s="242" t="s">
        <v>64</v>
      </c>
      <c r="G228" s="242" t="s">
        <v>1085</v>
      </c>
      <c r="H228" s="242" t="s">
        <v>54</v>
      </c>
      <c r="I228" s="241" t="s">
        <v>4219</v>
      </c>
      <c r="J228" s="242" t="s">
        <v>1086</v>
      </c>
      <c r="K228" s="242" t="s">
        <v>29</v>
      </c>
      <c r="L228" s="242" t="s">
        <v>30</v>
      </c>
      <c r="M228" s="242"/>
      <c r="N228" s="242"/>
      <c r="O228" s="242"/>
      <c r="P228" s="242" t="s">
        <v>31</v>
      </c>
      <c r="Q228" s="244" t="s">
        <v>32</v>
      </c>
      <c r="R228" s="245" t="s">
        <v>33</v>
      </c>
      <c r="S228" s="242" t="s">
        <v>1084</v>
      </c>
      <c r="T228" s="266">
        <v>36956</v>
      </c>
      <c r="U228" s="242" t="s">
        <v>1086</v>
      </c>
      <c r="V228" s="475" t="s">
        <v>80</v>
      </c>
      <c r="W228" s="474"/>
    </row>
    <row r="229" spans="1:23" ht="12.75">
      <c r="A229" s="255">
        <v>45999.920925925922</v>
      </c>
      <c r="B229" s="141" t="s">
        <v>1087</v>
      </c>
      <c r="C229" s="141" t="s">
        <v>1088</v>
      </c>
      <c r="D229" s="141" t="s">
        <v>24</v>
      </c>
      <c r="E229" s="256">
        <v>37314</v>
      </c>
      <c r="F229" s="141" t="s">
        <v>1063</v>
      </c>
      <c r="G229" s="141" t="s">
        <v>1089</v>
      </c>
      <c r="H229" s="141" t="s">
        <v>1090</v>
      </c>
      <c r="I229" s="252" t="s">
        <v>4219</v>
      </c>
      <c r="J229" s="141" t="s">
        <v>1091</v>
      </c>
      <c r="K229" s="141" t="s">
        <v>29</v>
      </c>
      <c r="L229" s="141" t="s">
        <v>30</v>
      </c>
      <c r="M229" s="141"/>
      <c r="N229" s="141"/>
      <c r="O229" s="141"/>
      <c r="P229" s="141" t="s">
        <v>31</v>
      </c>
      <c r="Q229" s="253" t="s">
        <v>32</v>
      </c>
      <c r="R229" s="148" t="s">
        <v>33</v>
      </c>
      <c r="S229" s="206" t="s">
        <v>1087</v>
      </c>
      <c r="T229" s="261">
        <v>37314</v>
      </c>
      <c r="U229" s="206" t="s">
        <v>1091</v>
      </c>
      <c r="V229" s="473" t="s">
        <v>80</v>
      </c>
      <c r="W229" s="474"/>
    </row>
    <row r="230" spans="1:23" ht="12.75">
      <c r="A230" s="255">
        <v>45999.960219907407</v>
      </c>
      <c r="B230" s="141" t="s">
        <v>1092</v>
      </c>
      <c r="C230" s="141"/>
      <c r="D230" s="141" t="s">
        <v>45</v>
      </c>
      <c r="E230" s="256">
        <v>37542</v>
      </c>
      <c r="F230" s="141" t="s">
        <v>1063</v>
      </c>
      <c r="G230" s="141" t="s">
        <v>1093</v>
      </c>
      <c r="H230" s="141" t="s">
        <v>66</v>
      </c>
      <c r="I230" s="252" t="s">
        <v>4219</v>
      </c>
      <c r="J230" s="141" t="s">
        <v>1094</v>
      </c>
      <c r="K230" s="141" t="s">
        <v>29</v>
      </c>
      <c r="L230" s="141" t="s">
        <v>30</v>
      </c>
      <c r="M230" s="141"/>
      <c r="N230" s="141"/>
      <c r="O230" s="141"/>
      <c r="P230" s="141" t="s">
        <v>31</v>
      </c>
      <c r="Q230" s="253" t="s">
        <v>32</v>
      </c>
      <c r="R230" s="152"/>
      <c r="S230" s="206" t="s">
        <v>1092</v>
      </c>
      <c r="T230" s="261">
        <v>37542</v>
      </c>
      <c r="U230" s="206" t="s">
        <v>1094</v>
      </c>
      <c r="V230" s="473" t="s">
        <v>80</v>
      </c>
      <c r="W230" s="474"/>
    </row>
    <row r="231" spans="1:23" ht="12.75">
      <c r="A231" s="240">
        <v>46001.29420138889</v>
      </c>
      <c r="B231" s="241" t="s">
        <v>1095</v>
      </c>
      <c r="C231" s="242"/>
      <c r="D231" s="241" t="s">
        <v>24</v>
      </c>
      <c r="E231" s="243">
        <v>34048</v>
      </c>
      <c r="F231" s="241" t="s">
        <v>310</v>
      </c>
      <c r="G231" s="241" t="s">
        <v>209</v>
      </c>
      <c r="H231" s="241" t="s">
        <v>4272</v>
      </c>
      <c r="I231" s="241" t="s">
        <v>4237</v>
      </c>
      <c r="J231" s="241" t="s">
        <v>1098</v>
      </c>
      <c r="K231" s="241" t="s">
        <v>29</v>
      </c>
      <c r="L231" s="241" t="s">
        <v>30</v>
      </c>
      <c r="M231" s="242"/>
      <c r="N231" s="241"/>
      <c r="O231" s="241"/>
      <c r="P231" s="241" t="s">
        <v>31</v>
      </c>
      <c r="Q231" s="244" t="s">
        <v>32</v>
      </c>
      <c r="R231" s="248" t="s">
        <v>33</v>
      </c>
      <c r="S231" s="246" t="s">
        <v>1095</v>
      </c>
      <c r="T231" s="242"/>
      <c r="U231" s="242"/>
      <c r="V231" s="242"/>
      <c r="W231" s="242"/>
    </row>
    <row r="232" spans="1:23" ht="12.75">
      <c r="A232" s="255">
        <v>46001.703275462962</v>
      </c>
      <c r="B232" s="141" t="s">
        <v>1099</v>
      </c>
      <c r="C232" s="141" t="s">
        <v>1100</v>
      </c>
      <c r="D232" s="141" t="s">
        <v>24</v>
      </c>
      <c r="E232" s="256">
        <v>36638</v>
      </c>
      <c r="F232" s="141" t="s">
        <v>70</v>
      </c>
      <c r="G232" s="141" t="s">
        <v>71</v>
      </c>
      <c r="H232" s="141" t="s">
        <v>376</v>
      </c>
      <c r="I232" s="252" t="s">
        <v>4219</v>
      </c>
      <c r="J232" s="141" t="s">
        <v>1101</v>
      </c>
      <c r="K232" s="141" t="s">
        <v>29</v>
      </c>
      <c r="L232" s="141" t="s">
        <v>30</v>
      </c>
      <c r="M232" s="141"/>
      <c r="N232" s="141"/>
      <c r="O232" s="141"/>
      <c r="P232" s="141" t="s">
        <v>31</v>
      </c>
      <c r="Q232" s="253" t="s">
        <v>32</v>
      </c>
      <c r="R232" s="152" t="s">
        <v>33</v>
      </c>
      <c r="S232" s="206" t="s">
        <v>1099</v>
      </c>
      <c r="T232" s="261">
        <v>36638</v>
      </c>
      <c r="U232" s="206" t="s">
        <v>1101</v>
      </c>
      <c r="V232" s="473" t="s">
        <v>80</v>
      </c>
      <c r="W232" s="474"/>
    </row>
    <row r="233" spans="1:23" ht="12.75">
      <c r="A233" s="255">
        <v>46001.911145833335</v>
      </c>
      <c r="B233" s="141" t="s">
        <v>1102</v>
      </c>
      <c r="C233" s="141"/>
      <c r="D233" s="141" t="s">
        <v>45</v>
      </c>
      <c r="E233" s="256">
        <v>34365</v>
      </c>
      <c r="F233" s="141" t="s">
        <v>380</v>
      </c>
      <c r="G233" s="141" t="s">
        <v>1103</v>
      </c>
      <c r="H233" s="141" t="s">
        <v>1104</v>
      </c>
      <c r="I233" s="252" t="s">
        <v>4223</v>
      </c>
      <c r="J233" s="141" t="s">
        <v>1105</v>
      </c>
      <c r="K233" s="141" t="s">
        <v>29</v>
      </c>
      <c r="L233" s="141" t="s">
        <v>30</v>
      </c>
      <c r="M233" s="141"/>
      <c r="N233" s="141"/>
      <c r="O233" s="141"/>
      <c r="P233" s="141" t="s">
        <v>31</v>
      </c>
      <c r="Q233" s="253" t="s">
        <v>32</v>
      </c>
      <c r="R233" s="148"/>
      <c r="S233" s="206" t="s">
        <v>1102</v>
      </c>
      <c r="T233" s="261">
        <v>34365</v>
      </c>
      <c r="U233" s="206" t="s">
        <v>1105</v>
      </c>
      <c r="V233" s="473" t="s">
        <v>80</v>
      </c>
      <c r="W233" s="474"/>
    </row>
    <row r="234" spans="1:23" ht="12.75">
      <c r="A234" s="274">
        <v>46002.060347222221</v>
      </c>
      <c r="B234" s="242" t="s">
        <v>1106</v>
      </c>
      <c r="C234" s="242"/>
      <c r="D234" s="242" t="s">
        <v>24</v>
      </c>
      <c r="E234" s="275">
        <v>34207</v>
      </c>
      <c r="F234" s="242" t="s">
        <v>1107</v>
      </c>
      <c r="G234" s="242" t="s">
        <v>1108</v>
      </c>
      <c r="H234" s="242" t="s">
        <v>1109</v>
      </c>
      <c r="I234" s="241" t="s">
        <v>4219</v>
      </c>
      <c r="J234" s="242" t="s">
        <v>1110</v>
      </c>
      <c r="K234" s="242" t="s">
        <v>29</v>
      </c>
      <c r="L234" s="242" t="s">
        <v>30</v>
      </c>
      <c r="M234" s="242"/>
      <c r="N234" s="242"/>
      <c r="O234" s="242"/>
      <c r="P234" s="242" t="s">
        <v>31</v>
      </c>
      <c r="Q234" s="244" t="s">
        <v>32</v>
      </c>
      <c r="R234" s="245" t="s">
        <v>33</v>
      </c>
      <c r="S234" s="242" t="s">
        <v>1106</v>
      </c>
      <c r="T234" s="266">
        <v>34207</v>
      </c>
      <c r="U234" s="242" t="s">
        <v>1110</v>
      </c>
      <c r="V234" s="475" t="s">
        <v>80</v>
      </c>
      <c r="W234" s="474"/>
    </row>
    <row r="235" spans="1:23" ht="12.75">
      <c r="A235" s="274">
        <v>46002.060393518521</v>
      </c>
      <c r="B235" s="242" t="s">
        <v>1111</v>
      </c>
      <c r="C235" s="242"/>
      <c r="D235" s="242" t="s">
        <v>45</v>
      </c>
      <c r="E235" s="275">
        <v>36040</v>
      </c>
      <c r="F235" s="242" t="s">
        <v>1112</v>
      </c>
      <c r="G235" s="242" t="s">
        <v>1113</v>
      </c>
      <c r="H235" s="242" t="s">
        <v>1114</v>
      </c>
      <c r="I235" s="241" t="s">
        <v>4223</v>
      </c>
      <c r="J235" s="242" t="s">
        <v>1115</v>
      </c>
      <c r="K235" s="242" t="s">
        <v>29</v>
      </c>
      <c r="L235" s="242" t="s">
        <v>30</v>
      </c>
      <c r="M235" s="242"/>
      <c r="N235" s="242"/>
      <c r="O235" s="242"/>
      <c r="P235" s="242" t="s">
        <v>31</v>
      </c>
      <c r="Q235" s="244" t="s">
        <v>32</v>
      </c>
      <c r="R235" s="248" t="s">
        <v>33</v>
      </c>
      <c r="S235" s="242" t="s">
        <v>1111</v>
      </c>
      <c r="T235" s="266">
        <v>35835</v>
      </c>
      <c r="U235" s="242" t="s">
        <v>1115</v>
      </c>
      <c r="V235" s="242" t="s">
        <v>236</v>
      </c>
      <c r="W235" s="242"/>
    </row>
    <row r="236" spans="1:23" ht="12.75">
      <c r="A236" s="255">
        <v>46004.082199074073</v>
      </c>
      <c r="B236" s="141" t="s">
        <v>1116</v>
      </c>
      <c r="C236" s="141"/>
      <c r="D236" s="141" t="s">
        <v>45</v>
      </c>
      <c r="E236" s="256">
        <v>35243</v>
      </c>
      <c r="F236" s="141" t="s">
        <v>70</v>
      </c>
      <c r="G236" s="141" t="s">
        <v>77</v>
      </c>
      <c r="H236" s="141" t="s">
        <v>1117</v>
      </c>
      <c r="I236" s="252" t="s">
        <v>4219</v>
      </c>
      <c r="J236" s="141" t="s">
        <v>1118</v>
      </c>
      <c r="K236" s="141" t="s">
        <v>29</v>
      </c>
      <c r="L236" s="141" t="s">
        <v>30</v>
      </c>
      <c r="M236" s="141"/>
      <c r="N236" s="141"/>
      <c r="O236" s="141"/>
      <c r="P236" s="141" t="s">
        <v>31</v>
      </c>
      <c r="Q236" s="253" t="s">
        <v>32</v>
      </c>
      <c r="R236" s="152"/>
      <c r="S236" s="206" t="s">
        <v>1119</v>
      </c>
      <c r="T236" s="261">
        <v>35243</v>
      </c>
      <c r="U236" s="206" t="s">
        <v>1118</v>
      </c>
      <c r="V236" s="473" t="s">
        <v>154</v>
      </c>
      <c r="W236" s="474"/>
    </row>
    <row r="237" spans="1:23" ht="12.75">
      <c r="A237" s="255">
        <v>46005.601759259262</v>
      </c>
      <c r="B237" s="141" t="s">
        <v>1120</v>
      </c>
      <c r="C237" s="141" t="s">
        <v>1121</v>
      </c>
      <c r="D237" s="141" t="s">
        <v>24</v>
      </c>
      <c r="E237" s="256">
        <v>32884</v>
      </c>
      <c r="F237" s="141" t="s">
        <v>380</v>
      </c>
      <c r="G237" s="141" t="s">
        <v>1122</v>
      </c>
      <c r="H237" s="141" t="s">
        <v>1123</v>
      </c>
      <c r="I237" s="252" t="s">
        <v>4223</v>
      </c>
      <c r="J237" s="141" t="s">
        <v>1124</v>
      </c>
      <c r="K237" s="141" t="s">
        <v>29</v>
      </c>
      <c r="L237" s="141" t="s">
        <v>30</v>
      </c>
      <c r="M237" s="141" t="s">
        <v>1125</v>
      </c>
      <c r="N237" s="141"/>
      <c r="O237" s="141"/>
      <c r="P237" s="141" t="s">
        <v>31</v>
      </c>
      <c r="Q237" s="253" t="s">
        <v>32</v>
      </c>
      <c r="R237" s="148"/>
      <c r="S237" s="206" t="s">
        <v>1126</v>
      </c>
      <c r="T237" s="261">
        <v>32884</v>
      </c>
      <c r="U237" s="206" t="s">
        <v>1127</v>
      </c>
      <c r="V237" s="473" t="s">
        <v>101</v>
      </c>
      <c r="W237" s="474"/>
    </row>
    <row r="238" spans="1:23" ht="12.75">
      <c r="A238" s="255">
        <v>46005.60796296296</v>
      </c>
      <c r="B238" s="141" t="s">
        <v>1128</v>
      </c>
      <c r="C238" s="141" t="s">
        <v>1129</v>
      </c>
      <c r="D238" s="141" t="s">
        <v>45</v>
      </c>
      <c r="E238" s="256">
        <v>31030</v>
      </c>
      <c r="F238" s="141" t="s">
        <v>380</v>
      </c>
      <c r="G238" s="141" t="s">
        <v>1130</v>
      </c>
      <c r="H238" s="141" t="s">
        <v>1123</v>
      </c>
      <c r="I238" s="252" t="s">
        <v>4223</v>
      </c>
      <c r="J238" s="141" t="s">
        <v>1131</v>
      </c>
      <c r="K238" s="141" t="s">
        <v>29</v>
      </c>
      <c r="L238" s="141" t="s">
        <v>30</v>
      </c>
      <c r="M238" s="141" t="s">
        <v>1132</v>
      </c>
      <c r="N238" s="141"/>
      <c r="O238" s="141"/>
      <c r="P238" s="141" t="s">
        <v>31</v>
      </c>
      <c r="Q238" s="253" t="s">
        <v>32</v>
      </c>
      <c r="R238" s="152"/>
      <c r="S238" s="206" t="s">
        <v>1128</v>
      </c>
      <c r="T238" s="261">
        <v>31030</v>
      </c>
      <c r="U238" s="206" t="s">
        <v>1131</v>
      </c>
      <c r="V238" s="473" t="s">
        <v>80</v>
      </c>
      <c r="W238" s="474"/>
    </row>
    <row r="239" spans="1:23" ht="12.75">
      <c r="A239" s="255">
        <v>46006.693368055552</v>
      </c>
      <c r="B239" s="141" t="s">
        <v>1133</v>
      </c>
      <c r="C239" s="141"/>
      <c r="D239" s="141" t="s">
        <v>45</v>
      </c>
      <c r="E239" s="256">
        <v>25932</v>
      </c>
      <c r="F239" s="141" t="s">
        <v>232</v>
      </c>
      <c r="G239" s="141" t="s">
        <v>1134</v>
      </c>
      <c r="H239" s="141" t="s">
        <v>1135</v>
      </c>
      <c r="I239" s="252" t="s">
        <v>4219</v>
      </c>
      <c r="J239" s="141" t="s">
        <v>1136</v>
      </c>
      <c r="K239" s="141" t="s">
        <v>29</v>
      </c>
      <c r="L239" s="141" t="s">
        <v>30</v>
      </c>
      <c r="M239" s="141"/>
      <c r="N239" s="141"/>
      <c r="O239" s="141"/>
      <c r="P239" s="141" t="s">
        <v>31</v>
      </c>
      <c r="Q239" s="253" t="s">
        <v>32</v>
      </c>
      <c r="R239" s="148" t="s">
        <v>33</v>
      </c>
      <c r="S239" s="206" t="s">
        <v>1137</v>
      </c>
      <c r="T239" s="261">
        <v>25932</v>
      </c>
      <c r="U239" s="206" t="s">
        <v>1136</v>
      </c>
      <c r="V239" s="473" t="s">
        <v>154</v>
      </c>
      <c r="W239" s="474"/>
    </row>
    <row r="240" spans="1:23" ht="12.75">
      <c r="A240" s="274">
        <v>46007.604178240741</v>
      </c>
      <c r="B240" s="242" t="s">
        <v>1138</v>
      </c>
      <c r="C240" s="242"/>
      <c r="D240" s="242" t="s">
        <v>24</v>
      </c>
      <c r="E240" s="275">
        <v>36554</v>
      </c>
      <c r="F240" s="242" t="s">
        <v>70</v>
      </c>
      <c r="G240" s="242" t="s">
        <v>1139</v>
      </c>
      <c r="H240" s="242" t="s">
        <v>263</v>
      </c>
      <c r="I240" s="241" t="s">
        <v>4219</v>
      </c>
      <c r="J240" s="242" t="s">
        <v>1140</v>
      </c>
      <c r="K240" s="242" t="s">
        <v>29</v>
      </c>
      <c r="L240" s="242" t="s">
        <v>30</v>
      </c>
      <c r="M240" s="242"/>
      <c r="N240" s="242"/>
      <c r="O240" s="242"/>
      <c r="P240" s="242" t="s">
        <v>31</v>
      </c>
      <c r="Q240" s="244" t="s">
        <v>32</v>
      </c>
      <c r="R240" s="245" t="s">
        <v>33</v>
      </c>
      <c r="S240" s="242" t="s">
        <v>1141</v>
      </c>
      <c r="T240" s="266">
        <v>36554</v>
      </c>
      <c r="U240" s="242" t="s">
        <v>1140</v>
      </c>
      <c r="V240" s="475" t="s">
        <v>154</v>
      </c>
      <c r="W240" s="474"/>
    </row>
    <row r="241" spans="1:23" ht="12.75">
      <c r="A241" s="255">
        <v>46007.604178240741</v>
      </c>
      <c r="B241" s="141" t="s">
        <v>1142</v>
      </c>
      <c r="C241" s="141"/>
      <c r="D241" s="141" t="s">
        <v>24</v>
      </c>
      <c r="E241" s="256">
        <v>37217</v>
      </c>
      <c r="F241" s="141" t="s">
        <v>70</v>
      </c>
      <c r="G241" s="141" t="s">
        <v>1143</v>
      </c>
      <c r="H241" s="141" t="s">
        <v>263</v>
      </c>
      <c r="I241" s="252" t="s">
        <v>4219</v>
      </c>
      <c r="J241" s="141" t="s">
        <v>1144</v>
      </c>
      <c r="K241" s="141" t="s">
        <v>29</v>
      </c>
      <c r="L241" s="141" t="s">
        <v>30</v>
      </c>
      <c r="M241" s="141"/>
      <c r="N241" s="141"/>
      <c r="O241" s="141"/>
      <c r="P241" s="141" t="s">
        <v>31</v>
      </c>
      <c r="Q241" s="253" t="s">
        <v>32</v>
      </c>
      <c r="R241" s="148"/>
      <c r="S241" s="206" t="s">
        <v>1145</v>
      </c>
      <c r="T241" s="261">
        <v>37217</v>
      </c>
      <c r="U241" s="206" t="s">
        <v>1144</v>
      </c>
      <c r="V241" s="473" t="s">
        <v>154</v>
      </c>
      <c r="W241" s="474"/>
    </row>
    <row r="242" spans="1:23" ht="12.75">
      <c r="A242" s="282">
        <v>46007.891782407409</v>
      </c>
      <c r="B242" s="283" t="s">
        <v>1146</v>
      </c>
      <c r="C242" s="283" t="s">
        <v>1147</v>
      </c>
      <c r="D242" s="283" t="s">
        <v>24</v>
      </c>
      <c r="E242" s="284">
        <v>33954</v>
      </c>
      <c r="F242" s="283" t="s">
        <v>64</v>
      </c>
      <c r="G242" s="283" t="s">
        <v>1148</v>
      </c>
      <c r="H242" s="283" t="s">
        <v>186</v>
      </c>
      <c r="I242" s="241" t="s">
        <v>4219</v>
      </c>
      <c r="J242" s="283" t="s">
        <v>1149</v>
      </c>
      <c r="K242" s="283" t="s">
        <v>29</v>
      </c>
      <c r="L242" s="283" t="s">
        <v>30</v>
      </c>
      <c r="M242" s="283"/>
      <c r="N242" s="283"/>
      <c r="O242" s="283"/>
      <c r="P242" s="283" t="s">
        <v>31</v>
      </c>
      <c r="Q242" s="244" t="s">
        <v>32</v>
      </c>
      <c r="R242" s="245" t="s">
        <v>33</v>
      </c>
      <c r="S242" s="242" t="s">
        <v>1150</v>
      </c>
      <c r="T242" s="266">
        <v>33682</v>
      </c>
      <c r="U242" s="242" t="s">
        <v>1149</v>
      </c>
      <c r="V242" s="475" t="s">
        <v>114</v>
      </c>
      <c r="W242" s="474"/>
    </row>
    <row r="243" spans="1:23" ht="12.75">
      <c r="A243" s="255">
        <v>46008.021018518521</v>
      </c>
      <c r="B243" s="141" t="s">
        <v>1151</v>
      </c>
      <c r="C243" s="141"/>
      <c r="D243" s="141" t="s">
        <v>24</v>
      </c>
      <c r="E243" s="256">
        <v>34513</v>
      </c>
      <c r="F243" s="141" t="s">
        <v>475</v>
      </c>
      <c r="G243" s="141" t="s">
        <v>1152</v>
      </c>
      <c r="H243" s="141" t="s">
        <v>276</v>
      </c>
      <c r="I243" s="252" t="s">
        <v>4219</v>
      </c>
      <c r="J243" s="141" t="s">
        <v>1153</v>
      </c>
      <c r="K243" s="141" t="s">
        <v>29</v>
      </c>
      <c r="L243" s="141" t="s">
        <v>30</v>
      </c>
      <c r="M243" s="141"/>
      <c r="N243" s="141"/>
      <c r="O243" s="141"/>
      <c r="P243" s="141" t="s">
        <v>31</v>
      </c>
      <c r="Q243" s="253" t="s">
        <v>32</v>
      </c>
      <c r="R243" s="148"/>
      <c r="S243" s="206" t="s">
        <v>1154</v>
      </c>
      <c r="T243" s="261">
        <v>34513</v>
      </c>
      <c r="U243" s="206" t="s">
        <v>1153</v>
      </c>
      <c r="V243" s="473" t="s">
        <v>154</v>
      </c>
      <c r="W243" s="474"/>
    </row>
    <row r="244" spans="1:23" ht="12.75">
      <c r="A244" s="274">
        <v>46008.216574074075</v>
      </c>
      <c r="B244" s="242" t="s">
        <v>1155</v>
      </c>
      <c r="C244" s="242"/>
      <c r="D244" s="242" t="s">
        <v>45</v>
      </c>
      <c r="E244" s="275">
        <v>36733</v>
      </c>
      <c r="F244" s="242" t="s">
        <v>70</v>
      </c>
      <c r="G244" s="242" t="s">
        <v>1156</v>
      </c>
      <c r="H244" s="242" t="s">
        <v>98</v>
      </c>
      <c r="I244" s="241" t="s">
        <v>4219</v>
      </c>
      <c r="J244" s="242" t="s">
        <v>1157</v>
      </c>
      <c r="K244" s="242" t="s">
        <v>29</v>
      </c>
      <c r="L244" s="242" t="s">
        <v>30</v>
      </c>
      <c r="M244" s="242"/>
      <c r="N244" s="242"/>
      <c r="O244" s="242"/>
      <c r="P244" s="242" t="s">
        <v>31</v>
      </c>
      <c r="Q244" s="244" t="s">
        <v>32</v>
      </c>
      <c r="R244" s="245" t="s">
        <v>33</v>
      </c>
      <c r="S244" s="242" t="s">
        <v>1158</v>
      </c>
      <c r="T244" s="266">
        <v>36733</v>
      </c>
      <c r="U244" s="242" t="s">
        <v>1157</v>
      </c>
      <c r="V244" s="475" t="s">
        <v>1159</v>
      </c>
      <c r="W244" s="474"/>
    </row>
    <row r="245" spans="1:23" ht="12.75">
      <c r="A245" s="249">
        <v>46008.480555555558</v>
      </c>
      <c r="B245" s="250" t="s">
        <v>1163</v>
      </c>
      <c r="C245" s="139"/>
      <c r="D245" s="250" t="s">
        <v>24</v>
      </c>
      <c r="E245" s="251">
        <v>37930</v>
      </c>
      <c r="F245" s="250" t="s">
        <v>52</v>
      </c>
      <c r="G245" s="250" t="s">
        <v>1161</v>
      </c>
      <c r="H245" s="250" t="s">
        <v>66</v>
      </c>
      <c r="I245" s="252" t="s">
        <v>4219</v>
      </c>
      <c r="J245" s="250" t="s">
        <v>1162</v>
      </c>
      <c r="K245" s="250" t="s">
        <v>29</v>
      </c>
      <c r="L245" s="250" t="s">
        <v>30</v>
      </c>
      <c r="M245" s="139"/>
      <c r="N245" s="250"/>
      <c r="O245" s="250"/>
      <c r="P245" s="250" t="s">
        <v>31</v>
      </c>
      <c r="Q245" s="253" t="s">
        <v>32</v>
      </c>
      <c r="R245" s="148"/>
      <c r="S245" s="254" t="s">
        <v>1163</v>
      </c>
      <c r="T245" s="206"/>
      <c r="U245" s="206"/>
      <c r="V245" s="206"/>
      <c r="W245" s="206"/>
    </row>
    <row r="246" spans="1:23" ht="12.75">
      <c r="A246" s="259">
        <v>46008.896643518521</v>
      </c>
      <c r="B246" s="252" t="s">
        <v>4273</v>
      </c>
      <c r="C246" s="141"/>
      <c r="D246" s="252" t="s">
        <v>45</v>
      </c>
      <c r="E246" s="260">
        <v>35544</v>
      </c>
      <c r="F246" s="252" t="s">
        <v>380</v>
      </c>
      <c r="G246" s="252" t="s">
        <v>1165</v>
      </c>
      <c r="H246" s="252" t="s">
        <v>4274</v>
      </c>
      <c r="I246" s="252" t="s">
        <v>4223</v>
      </c>
      <c r="J246" s="252" t="s">
        <v>1167</v>
      </c>
      <c r="K246" s="252" t="s">
        <v>29</v>
      </c>
      <c r="L246" s="296">
        <v>46202</v>
      </c>
      <c r="M246" s="141"/>
      <c r="N246" s="252"/>
      <c r="O246" s="252"/>
      <c r="P246" s="252" t="s">
        <v>31</v>
      </c>
      <c r="Q246" s="253" t="s">
        <v>32</v>
      </c>
      <c r="R246" s="152"/>
      <c r="S246" s="24" t="s">
        <v>1169</v>
      </c>
      <c r="T246" s="206"/>
      <c r="U246" s="206"/>
      <c r="V246" s="206"/>
      <c r="W246" s="206"/>
    </row>
    <row r="247" spans="1:23" ht="12.75">
      <c r="A247" s="274">
        <v>46009.054027777776</v>
      </c>
      <c r="B247" s="242" t="s">
        <v>1170</v>
      </c>
      <c r="C247" s="242"/>
      <c r="D247" s="242" t="s">
        <v>24</v>
      </c>
      <c r="E247" s="275">
        <v>31289</v>
      </c>
      <c r="F247" s="242" t="s">
        <v>416</v>
      </c>
      <c r="G247" s="242" t="s">
        <v>1171</v>
      </c>
      <c r="H247" s="242" t="s">
        <v>1172</v>
      </c>
      <c r="I247" s="241" t="s">
        <v>4219</v>
      </c>
      <c r="J247" s="242" t="s">
        <v>1173</v>
      </c>
      <c r="K247" s="242" t="s">
        <v>39</v>
      </c>
      <c r="L247" s="242" t="s">
        <v>152</v>
      </c>
      <c r="M247" s="242"/>
      <c r="N247" s="242"/>
      <c r="O247" s="242"/>
      <c r="P247" s="242" t="s">
        <v>31</v>
      </c>
      <c r="Q247" s="244" t="s">
        <v>32</v>
      </c>
      <c r="R247" s="248" t="s">
        <v>33</v>
      </c>
      <c r="S247" s="242" t="s">
        <v>1170</v>
      </c>
      <c r="T247" s="266">
        <v>31289</v>
      </c>
      <c r="U247" s="242" t="s">
        <v>1173</v>
      </c>
      <c r="V247" s="475" t="s">
        <v>80</v>
      </c>
      <c r="W247" s="474"/>
    </row>
    <row r="248" spans="1:23" ht="12.75">
      <c r="A248" s="274">
        <v>46009.056770833333</v>
      </c>
      <c r="B248" s="242" t="s">
        <v>1174</v>
      </c>
      <c r="C248" s="242"/>
      <c r="D248" s="242" t="s">
        <v>24</v>
      </c>
      <c r="E248" s="275">
        <v>32539</v>
      </c>
      <c r="F248" s="242" t="s">
        <v>416</v>
      </c>
      <c r="G248" s="242" t="s">
        <v>1175</v>
      </c>
      <c r="H248" s="242" t="s">
        <v>1176</v>
      </c>
      <c r="I248" s="241" t="s">
        <v>4219</v>
      </c>
      <c r="J248" s="242" t="s">
        <v>1177</v>
      </c>
      <c r="K248" s="242" t="s">
        <v>39</v>
      </c>
      <c r="L248" s="242" t="s">
        <v>152</v>
      </c>
      <c r="M248" s="242"/>
      <c r="N248" s="242"/>
      <c r="O248" s="242"/>
      <c r="P248" s="242" t="s">
        <v>31</v>
      </c>
      <c r="Q248" s="244" t="s">
        <v>32</v>
      </c>
      <c r="R248" s="245" t="s">
        <v>33</v>
      </c>
      <c r="S248" s="242" t="s">
        <v>1174</v>
      </c>
      <c r="T248" s="266">
        <v>32539</v>
      </c>
      <c r="U248" s="242" t="s">
        <v>1177</v>
      </c>
      <c r="V248" s="475" t="s">
        <v>80</v>
      </c>
      <c r="W248" s="474"/>
    </row>
    <row r="249" spans="1:23" ht="12.75">
      <c r="A249" s="255">
        <v>46009.236643518518</v>
      </c>
      <c r="B249" s="141" t="s">
        <v>1178</v>
      </c>
      <c r="C249" s="141"/>
      <c r="D249" s="141" t="s">
        <v>24</v>
      </c>
      <c r="E249" s="256">
        <v>36568</v>
      </c>
      <c r="F249" s="141" t="s">
        <v>1179</v>
      </c>
      <c r="G249" s="141" t="s">
        <v>1180</v>
      </c>
      <c r="H249" s="141" t="s">
        <v>1181</v>
      </c>
      <c r="I249" s="252" t="s">
        <v>4237</v>
      </c>
      <c r="J249" s="141" t="s">
        <v>1182</v>
      </c>
      <c r="K249" s="141" t="s">
        <v>29</v>
      </c>
      <c r="L249" s="141" t="s">
        <v>30</v>
      </c>
      <c r="M249" s="141"/>
      <c r="N249" s="141"/>
      <c r="O249" s="141"/>
      <c r="P249" s="141" t="s">
        <v>31</v>
      </c>
      <c r="Q249" s="253" t="s">
        <v>32</v>
      </c>
      <c r="R249" s="148" t="s">
        <v>1183</v>
      </c>
      <c r="S249" s="206" t="s">
        <v>1178</v>
      </c>
      <c r="T249" s="261">
        <v>36568</v>
      </c>
      <c r="U249" s="206" t="s">
        <v>1182</v>
      </c>
      <c r="V249" s="473" t="s">
        <v>80</v>
      </c>
      <c r="W249" s="474"/>
    </row>
    <row r="250" spans="1:23" ht="12.75">
      <c r="A250" s="255">
        <v>46009.378761574073</v>
      </c>
      <c r="B250" s="141" t="s">
        <v>1184</v>
      </c>
      <c r="C250" s="141"/>
      <c r="D250" s="141" t="s">
        <v>24</v>
      </c>
      <c r="E250" s="256">
        <v>37171</v>
      </c>
      <c r="F250" s="141" t="s">
        <v>64</v>
      </c>
      <c r="G250" s="141" t="s">
        <v>1185</v>
      </c>
      <c r="H250" s="141" t="s">
        <v>191</v>
      </c>
      <c r="I250" s="252" t="s">
        <v>4219</v>
      </c>
      <c r="J250" s="141" t="s">
        <v>1186</v>
      </c>
      <c r="K250" s="141" t="s">
        <v>39</v>
      </c>
      <c r="L250" s="141" t="s">
        <v>30</v>
      </c>
      <c r="M250" s="141"/>
      <c r="N250" s="141"/>
      <c r="O250" s="141"/>
      <c r="P250" s="141" t="s">
        <v>31</v>
      </c>
      <c r="Q250" s="253" t="s">
        <v>32</v>
      </c>
      <c r="R250" s="152"/>
      <c r="S250" s="206" t="s">
        <v>1184</v>
      </c>
      <c r="T250" s="261">
        <v>37171</v>
      </c>
      <c r="U250" s="206" t="s">
        <v>1186</v>
      </c>
      <c r="V250" s="473" t="s">
        <v>80</v>
      </c>
      <c r="W250" s="474"/>
    </row>
    <row r="251" spans="1:23" ht="12.75">
      <c r="A251" s="274">
        <v>46009.3828587963</v>
      </c>
      <c r="B251" s="242" t="s">
        <v>1187</v>
      </c>
      <c r="C251" s="242"/>
      <c r="D251" s="242" t="s">
        <v>45</v>
      </c>
      <c r="E251" s="275">
        <v>37319</v>
      </c>
      <c r="F251" s="242" t="s">
        <v>1188</v>
      </c>
      <c r="G251" s="242" t="s">
        <v>1189</v>
      </c>
      <c r="H251" s="242" t="s">
        <v>138</v>
      </c>
      <c r="I251" s="241" t="s">
        <v>4237</v>
      </c>
      <c r="J251" s="242" t="s">
        <v>1190</v>
      </c>
      <c r="K251" s="242" t="s">
        <v>29</v>
      </c>
      <c r="L251" s="242" t="s">
        <v>30</v>
      </c>
      <c r="M251" s="242"/>
      <c r="N251" s="242"/>
      <c r="O251" s="242"/>
      <c r="P251" s="242" t="s">
        <v>31</v>
      </c>
      <c r="Q251" s="244" t="s">
        <v>32</v>
      </c>
      <c r="R251" s="248" t="s">
        <v>43</v>
      </c>
      <c r="S251" s="242" t="s">
        <v>1191</v>
      </c>
      <c r="T251" s="266">
        <v>37319</v>
      </c>
      <c r="U251" s="242" t="s">
        <v>1190</v>
      </c>
      <c r="V251" s="475" t="s">
        <v>1192</v>
      </c>
      <c r="W251" s="474"/>
    </row>
    <row r="252" spans="1:23" ht="12.75">
      <c r="A252" s="255">
        <v>46009.764351851853</v>
      </c>
      <c r="B252" s="476" t="s">
        <v>1193</v>
      </c>
      <c r="C252" s="474"/>
      <c r="D252" s="141" t="s">
        <v>45</v>
      </c>
      <c r="E252" s="256">
        <v>21647</v>
      </c>
      <c r="F252" s="141" t="s">
        <v>1194</v>
      </c>
      <c r="G252" s="141" t="s">
        <v>1195</v>
      </c>
      <c r="H252" s="141" t="s">
        <v>186</v>
      </c>
      <c r="I252" s="252" t="s">
        <v>4219</v>
      </c>
      <c r="J252" s="141" t="s">
        <v>1196</v>
      </c>
      <c r="K252" s="141" t="s">
        <v>29</v>
      </c>
      <c r="L252" s="141" t="s">
        <v>30</v>
      </c>
      <c r="M252" s="141"/>
      <c r="N252" s="141"/>
      <c r="O252" s="141"/>
      <c r="P252" s="141" t="s">
        <v>31</v>
      </c>
      <c r="Q252" s="253" t="s">
        <v>32</v>
      </c>
      <c r="R252" s="152" t="s">
        <v>33</v>
      </c>
      <c r="S252" s="206" t="s">
        <v>1197</v>
      </c>
      <c r="T252" s="261">
        <v>21647</v>
      </c>
      <c r="U252" s="206" t="s">
        <v>1196</v>
      </c>
      <c r="V252" s="473" t="s">
        <v>80</v>
      </c>
      <c r="W252" s="474"/>
    </row>
    <row r="253" spans="1:23" ht="12.75">
      <c r="A253" s="274">
        <v>46009.945509259262</v>
      </c>
      <c r="B253" s="475" t="s">
        <v>1198</v>
      </c>
      <c r="C253" s="474"/>
      <c r="D253" s="242" t="s">
        <v>24</v>
      </c>
      <c r="E253" s="275">
        <v>30376</v>
      </c>
      <c r="F253" s="242" t="s">
        <v>799</v>
      </c>
      <c r="G253" s="242" t="s">
        <v>1199</v>
      </c>
      <c r="H253" s="242" t="s">
        <v>795</v>
      </c>
      <c r="I253" s="241" t="s">
        <v>4223</v>
      </c>
      <c r="J253" s="242" t="s">
        <v>1200</v>
      </c>
      <c r="K253" s="242" t="s">
        <v>29</v>
      </c>
      <c r="L253" s="242" t="s">
        <v>30</v>
      </c>
      <c r="M253" s="242"/>
      <c r="N253" s="242"/>
      <c r="O253" s="242"/>
      <c r="P253" s="242" t="s">
        <v>31</v>
      </c>
      <c r="Q253" s="244" t="s">
        <v>32</v>
      </c>
      <c r="R253" s="245" t="s">
        <v>33</v>
      </c>
      <c r="S253" s="242" t="s">
        <v>1198</v>
      </c>
      <c r="T253" s="266">
        <v>30376</v>
      </c>
      <c r="U253" s="242" t="s">
        <v>1200</v>
      </c>
      <c r="V253" s="475" t="s">
        <v>80</v>
      </c>
      <c r="W253" s="474"/>
    </row>
    <row r="254" spans="1:23" ht="12.75">
      <c r="A254" s="255">
        <v>46009.976030092592</v>
      </c>
      <c r="B254" s="141" t="s">
        <v>1201</v>
      </c>
      <c r="C254" s="141" t="s">
        <v>1202</v>
      </c>
      <c r="D254" s="141" t="s">
        <v>45</v>
      </c>
      <c r="E254" s="256">
        <v>34334</v>
      </c>
      <c r="F254" s="141" t="s">
        <v>799</v>
      </c>
      <c r="G254" s="141" t="s">
        <v>1203</v>
      </c>
      <c r="H254" s="141" t="s">
        <v>1204</v>
      </c>
      <c r="I254" s="252" t="s">
        <v>4223</v>
      </c>
      <c r="J254" s="141" t="s">
        <v>1205</v>
      </c>
      <c r="K254" s="141" t="s">
        <v>39</v>
      </c>
      <c r="L254" s="141" t="s">
        <v>30</v>
      </c>
      <c r="M254" s="141" t="s">
        <v>1206</v>
      </c>
      <c r="N254" s="17" t="s">
        <v>4275</v>
      </c>
      <c r="O254" s="141" t="s">
        <v>365</v>
      </c>
      <c r="P254" s="141" t="s">
        <v>31</v>
      </c>
      <c r="Q254" s="253" t="s">
        <v>32</v>
      </c>
      <c r="R254" s="148"/>
      <c r="S254" s="206" t="s">
        <v>1208</v>
      </c>
      <c r="T254" s="261">
        <v>34334</v>
      </c>
      <c r="U254" s="206" t="s">
        <v>1205</v>
      </c>
      <c r="V254" s="473" t="s">
        <v>316</v>
      </c>
      <c r="W254" s="474"/>
    </row>
    <row r="255" spans="1:23" ht="12.75">
      <c r="A255" s="255">
        <v>46010.378530092596</v>
      </c>
      <c r="B255" s="141" t="s">
        <v>1209</v>
      </c>
      <c r="C255" s="141" t="s">
        <v>1210</v>
      </c>
      <c r="D255" s="141" t="s">
        <v>45</v>
      </c>
      <c r="E255" s="256">
        <v>33438</v>
      </c>
      <c r="F255" s="141" t="s">
        <v>198</v>
      </c>
      <c r="G255" s="141" t="s">
        <v>1211</v>
      </c>
      <c r="H255" s="141" t="s">
        <v>111</v>
      </c>
      <c r="I255" s="252" t="s">
        <v>4219</v>
      </c>
      <c r="J255" s="141" t="s">
        <v>1212</v>
      </c>
      <c r="K255" s="141" t="s">
        <v>29</v>
      </c>
      <c r="L255" s="141" t="s">
        <v>30</v>
      </c>
      <c r="M255" s="141"/>
      <c r="N255" s="141"/>
      <c r="O255" s="141"/>
      <c r="P255" s="141" t="s">
        <v>31</v>
      </c>
      <c r="Q255" s="253" t="s">
        <v>32</v>
      </c>
      <c r="R255" s="152"/>
      <c r="S255" s="206" t="s">
        <v>1209</v>
      </c>
      <c r="T255" s="261">
        <v>33469</v>
      </c>
      <c r="U255" s="206" t="s">
        <v>1212</v>
      </c>
      <c r="V255" s="206" t="s">
        <v>236</v>
      </c>
      <c r="W255" s="206"/>
    </row>
    <row r="256" spans="1:23" ht="12.75">
      <c r="A256" s="255">
        <v>46010.746782407405</v>
      </c>
      <c r="B256" s="141" t="s">
        <v>1213</v>
      </c>
      <c r="C256" s="141" t="s">
        <v>1214</v>
      </c>
      <c r="D256" s="141" t="s">
        <v>45</v>
      </c>
      <c r="E256" s="256">
        <v>37167</v>
      </c>
      <c r="F256" s="141" t="s">
        <v>64</v>
      </c>
      <c r="G256" s="141" t="s">
        <v>1215</v>
      </c>
      <c r="H256" s="141" t="s">
        <v>66</v>
      </c>
      <c r="I256" s="252" t="s">
        <v>4219</v>
      </c>
      <c r="J256" s="141" t="s">
        <v>1216</v>
      </c>
      <c r="K256" s="141" t="s">
        <v>29</v>
      </c>
      <c r="L256" s="141" t="s">
        <v>30</v>
      </c>
      <c r="M256" s="141"/>
      <c r="N256" s="141"/>
      <c r="O256" s="141"/>
      <c r="P256" s="141" t="s">
        <v>31</v>
      </c>
      <c r="Q256" s="253" t="s">
        <v>32</v>
      </c>
      <c r="R256" s="148"/>
      <c r="S256" s="206" t="s">
        <v>1217</v>
      </c>
      <c r="T256" s="261">
        <v>37167</v>
      </c>
      <c r="U256" s="206" t="s">
        <v>1218</v>
      </c>
      <c r="V256" s="473" t="s">
        <v>154</v>
      </c>
      <c r="W256" s="474"/>
    </row>
    <row r="257" spans="1:23" ht="12.75">
      <c r="A257" s="297">
        <v>46010.941296296296</v>
      </c>
      <c r="B257" s="298" t="s">
        <v>1219</v>
      </c>
      <c r="C257" s="298"/>
      <c r="D257" s="298" t="s">
        <v>45</v>
      </c>
      <c r="E257" s="299">
        <v>34966</v>
      </c>
      <c r="F257" s="141" t="s">
        <v>208</v>
      </c>
      <c r="G257" s="298" t="s">
        <v>1220</v>
      </c>
      <c r="H257" s="298" t="s">
        <v>186</v>
      </c>
      <c r="I257" s="252" t="s">
        <v>4223</v>
      </c>
      <c r="J257" s="298" t="s">
        <v>1221</v>
      </c>
      <c r="K257" s="298" t="s">
        <v>29</v>
      </c>
      <c r="L257" s="298" t="s">
        <v>30</v>
      </c>
      <c r="M257" s="298"/>
      <c r="N257" s="298"/>
      <c r="O257" s="298"/>
      <c r="P257" s="298" t="s">
        <v>31</v>
      </c>
      <c r="Q257" s="253" t="s">
        <v>32</v>
      </c>
      <c r="R257" s="152"/>
      <c r="S257" s="206" t="s">
        <v>1219</v>
      </c>
      <c r="T257" s="261">
        <v>34966</v>
      </c>
      <c r="U257" s="206" t="s">
        <v>1222</v>
      </c>
      <c r="V257" s="473" t="s">
        <v>101</v>
      </c>
      <c r="W257" s="474"/>
    </row>
    <row r="258" spans="1:23" ht="12.75">
      <c r="A258" s="255">
        <v>46011.046053240738</v>
      </c>
      <c r="B258" s="476" t="s">
        <v>1223</v>
      </c>
      <c r="C258" s="474"/>
      <c r="D258" s="141" t="s">
        <v>24</v>
      </c>
      <c r="E258" s="256">
        <v>37520</v>
      </c>
      <c r="F258" s="141" t="s">
        <v>64</v>
      </c>
      <c r="G258" s="141" t="s">
        <v>1224</v>
      </c>
      <c r="H258" s="141" t="s">
        <v>461</v>
      </c>
      <c r="I258" s="252" t="s">
        <v>4219</v>
      </c>
      <c r="J258" s="141" t="s">
        <v>1225</v>
      </c>
      <c r="K258" s="141" t="s">
        <v>29</v>
      </c>
      <c r="L258" s="141" t="s">
        <v>30</v>
      </c>
      <c r="M258" s="141"/>
      <c r="N258" s="141"/>
      <c r="O258" s="141"/>
      <c r="P258" s="141" t="s">
        <v>31</v>
      </c>
      <c r="Q258" s="253" t="s">
        <v>32</v>
      </c>
      <c r="R258" s="148"/>
      <c r="S258" s="206" t="s">
        <v>1226</v>
      </c>
      <c r="T258" s="261">
        <v>37520</v>
      </c>
      <c r="U258" s="206" t="s">
        <v>1225</v>
      </c>
      <c r="V258" s="473" t="s">
        <v>154</v>
      </c>
      <c r="W258" s="474"/>
    </row>
    <row r="259" spans="1:23" ht="12.75">
      <c r="A259" s="255">
        <v>46011.587581018517</v>
      </c>
      <c r="B259" s="141" t="s">
        <v>1227</v>
      </c>
      <c r="C259" s="141"/>
      <c r="D259" s="141" t="s">
        <v>24</v>
      </c>
      <c r="E259" s="256">
        <v>31038</v>
      </c>
      <c r="F259" s="141" t="s">
        <v>52</v>
      </c>
      <c r="G259" s="141" t="s">
        <v>1228</v>
      </c>
      <c r="H259" s="141" t="s">
        <v>1229</v>
      </c>
      <c r="I259" s="252" t="s">
        <v>4219</v>
      </c>
      <c r="J259" s="141" t="s">
        <v>1230</v>
      </c>
      <c r="K259" s="141" t="s">
        <v>29</v>
      </c>
      <c r="L259" s="141" t="s">
        <v>30</v>
      </c>
      <c r="M259" s="141"/>
      <c r="N259" s="141"/>
      <c r="O259" s="141"/>
      <c r="P259" s="141" t="s">
        <v>31</v>
      </c>
      <c r="Q259" s="253" t="s">
        <v>32</v>
      </c>
      <c r="R259" s="152" t="s">
        <v>33</v>
      </c>
      <c r="S259" s="206" t="s">
        <v>1231</v>
      </c>
      <c r="T259" s="261">
        <v>31038</v>
      </c>
      <c r="U259" s="206" t="s">
        <v>1230</v>
      </c>
      <c r="V259" s="473" t="s">
        <v>154</v>
      </c>
      <c r="W259" s="474"/>
    </row>
    <row r="260" spans="1:23" ht="12.75">
      <c r="A260" s="249">
        <v>46011.98028935185</v>
      </c>
      <c r="B260" s="250" t="s">
        <v>4276</v>
      </c>
      <c r="C260" s="250" t="s">
        <v>1233</v>
      </c>
      <c r="D260" s="250" t="s">
        <v>24</v>
      </c>
      <c r="E260" s="251">
        <v>34749</v>
      </c>
      <c r="F260" s="250" t="s">
        <v>297</v>
      </c>
      <c r="G260" s="250" t="s">
        <v>1234</v>
      </c>
      <c r="H260" s="250" t="s">
        <v>111</v>
      </c>
      <c r="I260" s="252" t="s">
        <v>4219</v>
      </c>
      <c r="J260" s="250" t="s">
        <v>1235</v>
      </c>
      <c r="K260" s="250" t="s">
        <v>29</v>
      </c>
      <c r="L260" s="250" t="s">
        <v>30</v>
      </c>
      <c r="M260" s="139"/>
      <c r="N260" s="250"/>
      <c r="O260" s="250"/>
      <c r="P260" s="250" t="s">
        <v>31</v>
      </c>
      <c r="Q260" s="253" t="s">
        <v>32</v>
      </c>
      <c r="R260" s="152"/>
      <c r="S260" s="254" t="s">
        <v>1236</v>
      </c>
      <c r="T260" s="206"/>
      <c r="U260" s="206"/>
      <c r="V260" s="206"/>
      <c r="W260" s="206"/>
    </row>
    <row r="261" spans="1:23" ht="12.75">
      <c r="A261" s="255">
        <v>46012.20684027778</v>
      </c>
      <c r="B261" s="141" t="s">
        <v>1237</v>
      </c>
      <c r="C261" s="141" t="s">
        <v>1238</v>
      </c>
      <c r="D261" s="141" t="s">
        <v>24</v>
      </c>
      <c r="E261" s="256">
        <v>38586</v>
      </c>
      <c r="F261" s="141" t="s">
        <v>83</v>
      </c>
      <c r="G261" s="141" t="s">
        <v>1239</v>
      </c>
      <c r="H261" s="141" t="s">
        <v>368</v>
      </c>
      <c r="I261" s="252" t="s">
        <v>4223</v>
      </c>
      <c r="J261" s="141" t="s">
        <v>1240</v>
      </c>
      <c r="K261" s="141" t="s">
        <v>39</v>
      </c>
      <c r="L261" s="141" t="s">
        <v>1241</v>
      </c>
      <c r="M261" s="141"/>
      <c r="N261" s="141"/>
      <c r="O261" s="141"/>
      <c r="P261" s="141" t="s">
        <v>31</v>
      </c>
      <c r="Q261" s="257" t="s">
        <v>56</v>
      </c>
      <c r="R261" s="24"/>
      <c r="S261" s="206"/>
      <c r="T261" s="258"/>
      <c r="U261" s="206"/>
      <c r="V261" s="206"/>
      <c r="W261" s="206"/>
    </row>
    <row r="262" spans="1:23" ht="12.75">
      <c r="A262" s="255">
        <v>46012.209583333337</v>
      </c>
      <c r="B262" s="141" t="s">
        <v>1242</v>
      </c>
      <c r="C262" s="141"/>
      <c r="D262" s="141" t="s">
        <v>45</v>
      </c>
      <c r="E262" s="256">
        <v>37622</v>
      </c>
      <c r="F262" s="141" t="s">
        <v>83</v>
      </c>
      <c r="G262" s="141" t="s">
        <v>1243</v>
      </c>
      <c r="H262" s="141" t="s">
        <v>66</v>
      </c>
      <c r="I262" s="252" t="s">
        <v>4223</v>
      </c>
      <c r="J262" s="141" t="s">
        <v>1244</v>
      </c>
      <c r="K262" s="141" t="s">
        <v>29</v>
      </c>
      <c r="L262" s="141" t="s">
        <v>30</v>
      </c>
      <c r="M262" s="141"/>
      <c r="N262" s="141"/>
      <c r="O262" s="141"/>
      <c r="P262" s="141" t="s">
        <v>31</v>
      </c>
      <c r="Q262" s="253" t="s">
        <v>32</v>
      </c>
      <c r="R262" s="148"/>
      <c r="S262" s="206" t="s">
        <v>1242</v>
      </c>
      <c r="T262" s="261">
        <v>37622</v>
      </c>
      <c r="U262" s="206" t="s">
        <v>1244</v>
      </c>
      <c r="V262" s="473" t="s">
        <v>80</v>
      </c>
      <c r="W262" s="474"/>
    </row>
    <row r="263" spans="1:23" ht="12.75">
      <c r="A263" s="255">
        <v>46012.221122685187</v>
      </c>
      <c r="B263" s="141" t="s">
        <v>1245</v>
      </c>
      <c r="C263" s="141"/>
      <c r="D263" s="141" t="s">
        <v>45</v>
      </c>
      <c r="E263" s="256">
        <v>36282</v>
      </c>
      <c r="F263" s="141" t="s">
        <v>83</v>
      </c>
      <c r="G263" s="141" t="s">
        <v>123</v>
      </c>
      <c r="H263" s="141" t="s">
        <v>66</v>
      </c>
      <c r="I263" s="252" t="s">
        <v>4223</v>
      </c>
      <c r="J263" s="141" t="s">
        <v>1246</v>
      </c>
      <c r="K263" s="141" t="s">
        <v>29</v>
      </c>
      <c r="L263" s="141" t="s">
        <v>30</v>
      </c>
      <c r="M263" s="141"/>
      <c r="N263" s="141"/>
      <c r="O263" s="141"/>
      <c r="P263" s="141" t="s">
        <v>31</v>
      </c>
      <c r="Q263" s="253" t="s">
        <v>32</v>
      </c>
      <c r="R263" s="152"/>
      <c r="S263" s="206" t="s">
        <v>1247</v>
      </c>
      <c r="T263" s="261">
        <v>36282</v>
      </c>
      <c r="U263" s="206" t="s">
        <v>1246</v>
      </c>
      <c r="V263" s="473" t="s">
        <v>80</v>
      </c>
      <c r="W263" s="474"/>
    </row>
    <row r="264" spans="1:23" ht="12.75">
      <c r="A264" s="255">
        <v>46012.463217592594</v>
      </c>
      <c r="B264" s="141" t="s">
        <v>1248</v>
      </c>
      <c r="C264" s="141" t="s">
        <v>1248</v>
      </c>
      <c r="D264" s="141" t="s">
        <v>45</v>
      </c>
      <c r="E264" s="256">
        <v>34980</v>
      </c>
      <c r="F264" s="141" t="s">
        <v>1249</v>
      </c>
      <c r="G264" s="141" t="s">
        <v>1250</v>
      </c>
      <c r="H264" s="141" t="s">
        <v>418</v>
      </c>
      <c r="I264" s="252" t="s">
        <v>4219</v>
      </c>
      <c r="J264" s="141" t="s">
        <v>1251</v>
      </c>
      <c r="K264" s="141" t="s">
        <v>39</v>
      </c>
      <c r="L264" s="141" t="s">
        <v>152</v>
      </c>
      <c r="M264" s="141"/>
      <c r="N264" s="141"/>
      <c r="O264" s="141"/>
      <c r="P264" s="141" t="s">
        <v>31</v>
      </c>
      <c r="Q264" s="253" t="s">
        <v>32</v>
      </c>
      <c r="R264" s="148"/>
      <c r="S264" s="206" t="s">
        <v>1252</v>
      </c>
      <c r="T264" s="261">
        <v>34980</v>
      </c>
      <c r="U264" s="206" t="s">
        <v>1251</v>
      </c>
      <c r="V264" s="473" t="s">
        <v>80</v>
      </c>
      <c r="W264" s="474"/>
    </row>
    <row r="265" spans="1:23" ht="12.75">
      <c r="A265" s="255">
        <v>46012.631203703706</v>
      </c>
      <c r="B265" s="141" t="s">
        <v>1253</v>
      </c>
      <c r="C265" s="141"/>
      <c r="D265" s="141" t="s">
        <v>45</v>
      </c>
      <c r="E265" s="256">
        <v>33045</v>
      </c>
      <c r="F265" s="141" t="s">
        <v>838</v>
      </c>
      <c r="G265" s="141" t="s">
        <v>1254</v>
      </c>
      <c r="H265" s="141" t="s">
        <v>66</v>
      </c>
      <c r="I265" s="252" t="s">
        <v>4219</v>
      </c>
      <c r="J265" s="141" t="s">
        <v>1255</v>
      </c>
      <c r="K265" s="141" t="s">
        <v>29</v>
      </c>
      <c r="L265" s="141" t="s">
        <v>30</v>
      </c>
      <c r="M265" s="141" t="s">
        <v>1256</v>
      </c>
      <c r="N265" s="141"/>
      <c r="O265" s="141"/>
      <c r="P265" s="141" t="s">
        <v>31</v>
      </c>
      <c r="Q265" s="278" t="s">
        <v>32</v>
      </c>
      <c r="R265" s="152"/>
      <c r="S265" s="206"/>
      <c r="T265" s="258"/>
      <c r="U265" s="206"/>
      <c r="V265" s="206"/>
      <c r="W265" s="206"/>
    </row>
    <row r="266" spans="1:23" ht="12.75">
      <c r="A266" s="268">
        <v>46012.652037037034</v>
      </c>
      <c r="B266" s="269" t="s">
        <v>1257</v>
      </c>
      <c r="C266" s="269"/>
      <c r="D266" s="269" t="s">
        <v>24</v>
      </c>
      <c r="E266" s="270">
        <v>32980</v>
      </c>
      <c r="F266" s="269" t="s">
        <v>346</v>
      </c>
      <c r="G266" s="269" t="s">
        <v>1258</v>
      </c>
      <c r="H266" s="269" t="s">
        <v>1259</v>
      </c>
      <c r="I266" s="252" t="s">
        <v>4219</v>
      </c>
      <c r="J266" s="269" t="s">
        <v>1260</v>
      </c>
      <c r="K266" s="269" t="s">
        <v>29</v>
      </c>
      <c r="L266" s="269" t="s">
        <v>30</v>
      </c>
      <c r="M266" s="269" t="s">
        <v>4277</v>
      </c>
      <c r="N266" s="54" t="s">
        <v>4278</v>
      </c>
      <c r="O266" s="250" t="s">
        <v>301</v>
      </c>
      <c r="P266" s="269" t="s">
        <v>31</v>
      </c>
      <c r="Q266" s="253" t="s">
        <v>32</v>
      </c>
      <c r="R266" s="148" t="s">
        <v>33</v>
      </c>
      <c r="S266" s="206" t="s">
        <v>1257</v>
      </c>
      <c r="T266" s="261">
        <v>32980</v>
      </c>
      <c r="U266" s="206" t="s">
        <v>1260</v>
      </c>
      <c r="V266" s="473" t="s">
        <v>80</v>
      </c>
      <c r="W266" s="474"/>
    </row>
    <row r="267" spans="1:23" ht="12.75">
      <c r="A267" s="255">
        <v>46012.736493055556</v>
      </c>
      <c r="B267" s="141" t="s">
        <v>1263</v>
      </c>
      <c r="C267" s="141"/>
      <c r="D267" s="141" t="s">
        <v>45</v>
      </c>
      <c r="E267" s="256">
        <v>36694</v>
      </c>
      <c r="F267" s="141" t="s">
        <v>70</v>
      </c>
      <c r="G267" s="141" t="s">
        <v>1264</v>
      </c>
      <c r="H267" s="141" t="s">
        <v>1265</v>
      </c>
      <c r="I267" s="252" t="s">
        <v>4219</v>
      </c>
      <c r="J267" s="141" t="s">
        <v>1266</v>
      </c>
      <c r="K267" s="141" t="s">
        <v>29</v>
      </c>
      <c r="L267" s="141" t="s">
        <v>30</v>
      </c>
      <c r="M267" s="141"/>
      <c r="N267" s="141"/>
      <c r="O267" s="141"/>
      <c r="P267" s="141" t="s">
        <v>31</v>
      </c>
      <c r="Q267" s="253" t="s">
        <v>32</v>
      </c>
      <c r="R267" s="152"/>
      <c r="S267" s="206" t="s">
        <v>1263</v>
      </c>
      <c r="T267" s="261">
        <v>36694</v>
      </c>
      <c r="U267" s="206" t="s">
        <v>1266</v>
      </c>
      <c r="V267" s="473" t="s">
        <v>80</v>
      </c>
      <c r="W267" s="474"/>
    </row>
    <row r="268" spans="1:23" ht="12.75">
      <c r="A268" s="255">
        <v>46012.861087962963</v>
      </c>
      <c r="B268" s="141" t="s">
        <v>1267</v>
      </c>
      <c r="C268" s="141"/>
      <c r="D268" s="141" t="s">
        <v>24</v>
      </c>
      <c r="E268" s="256">
        <v>35802</v>
      </c>
      <c r="F268" s="141" t="s">
        <v>52</v>
      </c>
      <c r="G268" s="141" t="s">
        <v>1268</v>
      </c>
      <c r="H268" s="141" t="s">
        <v>1269</v>
      </c>
      <c r="I268" s="252" t="s">
        <v>4219</v>
      </c>
      <c r="J268" s="141" t="s">
        <v>1270</v>
      </c>
      <c r="K268" s="141" t="s">
        <v>39</v>
      </c>
      <c r="L268" s="141" t="s">
        <v>30</v>
      </c>
      <c r="M268" s="141"/>
      <c r="N268" s="141"/>
      <c r="O268" s="141"/>
      <c r="P268" s="141" t="s">
        <v>31</v>
      </c>
      <c r="Q268" s="253" t="s">
        <v>32</v>
      </c>
      <c r="R268" s="148"/>
      <c r="S268" s="206" t="s">
        <v>1267</v>
      </c>
      <c r="T268" s="261">
        <v>35802</v>
      </c>
      <c r="U268" s="206" t="s">
        <v>1270</v>
      </c>
      <c r="V268" s="473" t="s">
        <v>80</v>
      </c>
      <c r="W268" s="474"/>
    </row>
    <row r="269" spans="1:23" ht="12.75">
      <c r="A269" s="274">
        <v>46012.938622685186</v>
      </c>
      <c r="B269" s="242" t="s">
        <v>1271</v>
      </c>
      <c r="C269" s="242"/>
      <c r="D269" s="242" t="s">
        <v>45</v>
      </c>
      <c r="E269" s="275">
        <v>33105</v>
      </c>
      <c r="F269" s="242" t="s">
        <v>1272</v>
      </c>
      <c r="G269" s="242" t="s">
        <v>1273</v>
      </c>
      <c r="H269" s="242" t="s">
        <v>1274</v>
      </c>
      <c r="I269" s="241" t="s">
        <v>4223</v>
      </c>
      <c r="J269" s="242" t="s">
        <v>1275</v>
      </c>
      <c r="K269" s="242" t="s">
        <v>29</v>
      </c>
      <c r="L269" s="242" t="s">
        <v>30</v>
      </c>
      <c r="M269" s="242"/>
      <c r="N269" s="242"/>
      <c r="O269" s="242"/>
      <c r="P269" s="242" t="s">
        <v>31</v>
      </c>
      <c r="Q269" s="244" t="s">
        <v>32</v>
      </c>
      <c r="R269" s="245" t="s">
        <v>33</v>
      </c>
      <c r="S269" s="242" t="s">
        <v>1271</v>
      </c>
      <c r="T269" s="266">
        <v>33105</v>
      </c>
      <c r="U269" s="242" t="s">
        <v>1275</v>
      </c>
      <c r="V269" s="475" t="s">
        <v>80</v>
      </c>
      <c r="W269" s="474"/>
    </row>
    <row r="270" spans="1:23" ht="12.75">
      <c r="A270" s="274">
        <v>46013.748796296299</v>
      </c>
      <c r="B270" s="242" t="s">
        <v>1276</v>
      </c>
      <c r="C270" s="242"/>
      <c r="D270" s="242" t="s">
        <v>45</v>
      </c>
      <c r="E270" s="275">
        <v>28068</v>
      </c>
      <c r="F270" s="242" t="s">
        <v>1277</v>
      </c>
      <c r="G270" s="242" t="s">
        <v>1278</v>
      </c>
      <c r="H270" s="242" t="s">
        <v>98</v>
      </c>
      <c r="I270" s="241" t="s">
        <v>4219</v>
      </c>
      <c r="J270" s="242" t="s">
        <v>1279</v>
      </c>
      <c r="K270" s="242" t="s">
        <v>29</v>
      </c>
      <c r="L270" s="242" t="s">
        <v>1280</v>
      </c>
      <c r="M270" s="242" t="s">
        <v>1281</v>
      </c>
      <c r="N270" s="242" t="s">
        <v>1282</v>
      </c>
      <c r="O270" s="241" t="s">
        <v>42</v>
      </c>
      <c r="P270" s="242" t="s">
        <v>31</v>
      </c>
      <c r="Q270" s="244" t="s">
        <v>32</v>
      </c>
      <c r="R270" s="248" t="s">
        <v>33</v>
      </c>
      <c r="S270" s="242" t="s">
        <v>1276</v>
      </c>
      <c r="T270" s="266">
        <v>28068</v>
      </c>
      <c r="U270" s="242" t="s">
        <v>1279</v>
      </c>
      <c r="V270" s="475" t="s">
        <v>80</v>
      </c>
      <c r="W270" s="474"/>
    </row>
    <row r="271" spans="1:23" ht="12.75">
      <c r="A271" s="255">
        <v>46013.891273148147</v>
      </c>
      <c r="B271" s="141" t="s">
        <v>1283</v>
      </c>
      <c r="C271" s="141"/>
      <c r="D271" s="141" t="s">
        <v>24</v>
      </c>
      <c r="E271" s="256">
        <v>36333</v>
      </c>
      <c r="F271" s="141" t="s">
        <v>52</v>
      </c>
      <c r="G271" s="141" t="s">
        <v>1161</v>
      </c>
      <c r="H271" s="141" t="s">
        <v>368</v>
      </c>
      <c r="I271" s="252" t="s">
        <v>4219</v>
      </c>
      <c r="J271" s="141" t="s">
        <v>1284</v>
      </c>
      <c r="K271" s="141" t="s">
        <v>39</v>
      </c>
      <c r="L271" s="141" t="s">
        <v>30</v>
      </c>
      <c r="M271" s="141"/>
      <c r="N271" s="141"/>
      <c r="O271" s="141"/>
      <c r="P271" s="141" t="s">
        <v>31</v>
      </c>
      <c r="Q271" s="253" t="s">
        <v>32</v>
      </c>
      <c r="R271" s="152"/>
      <c r="S271" s="206" t="s">
        <v>1285</v>
      </c>
      <c r="T271" s="261">
        <v>36333</v>
      </c>
      <c r="U271" s="206" t="s">
        <v>1284</v>
      </c>
      <c r="V271" s="473" t="s">
        <v>154</v>
      </c>
      <c r="W271" s="474"/>
    </row>
    <row r="272" spans="1:23" ht="12.75">
      <c r="A272" s="255">
        <v>46014.264710648145</v>
      </c>
      <c r="B272" s="141" t="s">
        <v>1286</v>
      </c>
      <c r="C272" s="141"/>
      <c r="D272" s="141" t="s">
        <v>24</v>
      </c>
      <c r="E272" s="256">
        <v>37952</v>
      </c>
      <c r="F272" s="141" t="s">
        <v>83</v>
      </c>
      <c r="G272" s="141" t="s">
        <v>123</v>
      </c>
      <c r="H272" s="141" t="s">
        <v>66</v>
      </c>
      <c r="I272" s="252" t="s">
        <v>4223</v>
      </c>
      <c r="J272" s="141" t="s">
        <v>1287</v>
      </c>
      <c r="K272" s="141" t="s">
        <v>29</v>
      </c>
      <c r="L272" s="141" t="s">
        <v>30</v>
      </c>
      <c r="M272" s="141"/>
      <c r="N272" s="141"/>
      <c r="O272" s="141"/>
      <c r="P272" s="141" t="s">
        <v>31</v>
      </c>
      <c r="Q272" s="253" t="s">
        <v>32</v>
      </c>
      <c r="R272" s="152"/>
      <c r="S272" s="206" t="s">
        <v>1286</v>
      </c>
      <c r="T272" s="261">
        <v>37952</v>
      </c>
      <c r="U272" s="206" t="s">
        <v>1287</v>
      </c>
      <c r="V272" s="473" t="s">
        <v>80</v>
      </c>
      <c r="W272" s="474"/>
    </row>
    <row r="273" spans="1:23" ht="12.75">
      <c r="A273" s="255">
        <v>46014.310243055559</v>
      </c>
      <c r="B273" s="141" t="s">
        <v>1288</v>
      </c>
      <c r="C273" s="141" t="s">
        <v>1289</v>
      </c>
      <c r="D273" s="141" t="s">
        <v>24</v>
      </c>
      <c r="E273" s="256">
        <v>38356</v>
      </c>
      <c r="F273" s="141" t="s">
        <v>83</v>
      </c>
      <c r="G273" s="141" t="s">
        <v>1290</v>
      </c>
      <c r="H273" s="141" t="s">
        <v>368</v>
      </c>
      <c r="I273" s="252" t="s">
        <v>4223</v>
      </c>
      <c r="J273" s="141" t="s">
        <v>1291</v>
      </c>
      <c r="K273" s="141" t="s">
        <v>29</v>
      </c>
      <c r="L273" s="141" t="s">
        <v>30</v>
      </c>
      <c r="M273" s="141"/>
      <c r="N273" s="141"/>
      <c r="O273" s="141"/>
      <c r="P273" s="141" t="s">
        <v>31</v>
      </c>
      <c r="Q273" s="257" t="s">
        <v>56</v>
      </c>
      <c r="R273" s="24"/>
      <c r="S273" s="206"/>
      <c r="T273" s="258"/>
      <c r="U273" s="206"/>
      <c r="V273" s="206"/>
      <c r="W273" s="206"/>
    </row>
    <row r="274" spans="1:23" ht="12.75">
      <c r="A274" s="274">
        <v>46014.312222222223</v>
      </c>
      <c r="B274" s="242" t="s">
        <v>1292</v>
      </c>
      <c r="C274" s="242" t="s">
        <v>1293</v>
      </c>
      <c r="D274" s="242" t="s">
        <v>45</v>
      </c>
      <c r="E274" s="275">
        <v>38455</v>
      </c>
      <c r="F274" s="242" t="s">
        <v>83</v>
      </c>
      <c r="G274" s="242" t="s">
        <v>123</v>
      </c>
      <c r="H274" s="242" t="s">
        <v>66</v>
      </c>
      <c r="I274" s="241" t="s">
        <v>4223</v>
      </c>
      <c r="J274" s="242" t="s">
        <v>1294</v>
      </c>
      <c r="K274" s="242" t="s">
        <v>29</v>
      </c>
      <c r="L274" s="242" t="s">
        <v>30</v>
      </c>
      <c r="M274" s="242"/>
      <c r="N274" s="242"/>
      <c r="O274" s="242"/>
      <c r="P274" s="242" t="s">
        <v>31</v>
      </c>
      <c r="Q274" s="244" t="s">
        <v>32</v>
      </c>
      <c r="R274" s="248" t="s">
        <v>33</v>
      </c>
      <c r="S274" s="242" t="s">
        <v>1295</v>
      </c>
      <c r="T274" s="266">
        <v>38455</v>
      </c>
      <c r="U274" s="242" t="s">
        <v>1294</v>
      </c>
      <c r="V274" s="475" t="s">
        <v>154</v>
      </c>
      <c r="W274" s="474"/>
    </row>
    <row r="275" spans="1:23" ht="12.75">
      <c r="A275" s="255">
        <v>46014.314027777778</v>
      </c>
      <c r="B275" s="141" t="s">
        <v>1296</v>
      </c>
      <c r="C275" s="141" t="s">
        <v>1297</v>
      </c>
      <c r="D275" s="141" t="s">
        <v>24</v>
      </c>
      <c r="E275" s="256">
        <v>38512</v>
      </c>
      <c r="F275" s="141" t="s">
        <v>83</v>
      </c>
      <c r="G275" s="141" t="s">
        <v>1298</v>
      </c>
      <c r="H275" s="141" t="s">
        <v>368</v>
      </c>
      <c r="I275" s="252" t="s">
        <v>4223</v>
      </c>
      <c r="J275" s="141" t="s">
        <v>1299</v>
      </c>
      <c r="K275" s="141" t="s">
        <v>29</v>
      </c>
      <c r="L275" s="141" t="s">
        <v>30</v>
      </c>
      <c r="M275" s="141"/>
      <c r="N275" s="141"/>
      <c r="O275" s="141"/>
      <c r="P275" s="141" t="s">
        <v>31</v>
      </c>
      <c r="Q275" s="257" t="s">
        <v>56</v>
      </c>
      <c r="R275" s="24"/>
      <c r="S275" s="206"/>
      <c r="T275" s="258"/>
      <c r="U275" s="206"/>
      <c r="V275" s="206"/>
      <c r="W275" s="206"/>
    </row>
    <row r="276" spans="1:23" ht="12.75">
      <c r="A276" s="274">
        <v>46014.57917824074</v>
      </c>
      <c r="B276" s="475" t="s">
        <v>1300</v>
      </c>
      <c r="C276" s="474"/>
      <c r="D276" s="242" t="s">
        <v>24</v>
      </c>
      <c r="E276" s="275">
        <v>34091</v>
      </c>
      <c r="F276" s="242" t="s">
        <v>1301</v>
      </c>
      <c r="G276" s="242" t="s">
        <v>1302</v>
      </c>
      <c r="H276" s="242" t="s">
        <v>1303</v>
      </c>
      <c r="I276" s="241" t="s">
        <v>4219</v>
      </c>
      <c r="J276" s="242" t="s">
        <v>1304</v>
      </c>
      <c r="K276" s="242" t="s">
        <v>39</v>
      </c>
      <c r="L276" s="242" t="s">
        <v>30</v>
      </c>
      <c r="M276" s="242"/>
      <c r="N276" s="242"/>
      <c r="O276" s="242"/>
      <c r="P276" s="242" t="s">
        <v>31</v>
      </c>
      <c r="Q276" s="244" t="s">
        <v>32</v>
      </c>
      <c r="R276" s="245" t="s">
        <v>33</v>
      </c>
      <c r="S276" s="242" t="s">
        <v>1300</v>
      </c>
      <c r="T276" s="266">
        <v>34091</v>
      </c>
      <c r="U276" s="242" t="s">
        <v>1304</v>
      </c>
      <c r="V276" s="475" t="s">
        <v>80</v>
      </c>
      <c r="W276" s="474"/>
    </row>
    <row r="277" spans="1:23" ht="12.75">
      <c r="A277" s="268">
        <v>46014.724317129629</v>
      </c>
      <c r="B277" s="269" t="s">
        <v>1305</v>
      </c>
      <c r="C277" s="269"/>
      <c r="D277" s="269" t="s">
        <v>45</v>
      </c>
      <c r="E277" s="270">
        <v>38131</v>
      </c>
      <c r="F277" s="269" t="s">
        <v>83</v>
      </c>
      <c r="G277" s="269" t="s">
        <v>262</v>
      </c>
      <c r="H277" s="269" t="s">
        <v>90</v>
      </c>
      <c r="I277" s="252" t="s">
        <v>4223</v>
      </c>
      <c r="J277" s="269" t="s">
        <v>1306</v>
      </c>
      <c r="K277" s="269" t="s">
        <v>29</v>
      </c>
      <c r="L277" s="269" t="s">
        <v>30</v>
      </c>
      <c r="M277" s="269"/>
      <c r="N277" s="269"/>
      <c r="O277" s="269"/>
      <c r="P277" s="269" t="s">
        <v>31</v>
      </c>
      <c r="Q277" s="253" t="s">
        <v>32</v>
      </c>
      <c r="R277" s="148"/>
      <c r="S277" s="206" t="s">
        <v>1307</v>
      </c>
      <c r="T277" s="261">
        <v>38132</v>
      </c>
      <c r="U277" s="206" t="s">
        <v>1306</v>
      </c>
      <c r="V277" s="473" t="s">
        <v>114</v>
      </c>
      <c r="W277" s="474"/>
    </row>
    <row r="278" spans="1:23" ht="12.75">
      <c r="A278" s="255">
        <v>46014.751782407409</v>
      </c>
      <c r="B278" s="141" t="s">
        <v>1308</v>
      </c>
      <c r="C278" s="141" t="s">
        <v>1308</v>
      </c>
      <c r="D278" s="141" t="s">
        <v>24</v>
      </c>
      <c r="E278" s="256">
        <v>34719</v>
      </c>
      <c r="F278" s="141" t="s">
        <v>297</v>
      </c>
      <c r="G278" s="141" t="s">
        <v>1309</v>
      </c>
      <c r="H278" s="141" t="s">
        <v>1310</v>
      </c>
      <c r="I278" s="252" t="s">
        <v>4219</v>
      </c>
      <c r="J278" s="141" t="s">
        <v>1311</v>
      </c>
      <c r="K278" s="141" t="s">
        <v>39</v>
      </c>
      <c r="L278" s="141" t="s">
        <v>30</v>
      </c>
      <c r="M278" s="141" t="s">
        <v>1312</v>
      </c>
      <c r="N278" s="141"/>
      <c r="O278" s="141"/>
      <c r="P278" s="141" t="s">
        <v>31</v>
      </c>
      <c r="Q278" s="253" t="s">
        <v>32</v>
      </c>
      <c r="R278" s="152"/>
      <c r="S278" s="206" t="s">
        <v>1308</v>
      </c>
      <c r="T278" s="261">
        <v>34719</v>
      </c>
      <c r="U278" s="206" t="s">
        <v>1311</v>
      </c>
      <c r="V278" s="473" t="s">
        <v>80</v>
      </c>
      <c r="W278" s="474"/>
    </row>
    <row r="279" spans="1:23" ht="12.75">
      <c r="A279" s="255">
        <v>46014.806203703702</v>
      </c>
      <c r="B279" s="141" t="s">
        <v>1313</v>
      </c>
      <c r="C279" s="141"/>
      <c r="D279" s="141" t="s">
        <v>24</v>
      </c>
      <c r="E279" s="256">
        <v>35909</v>
      </c>
      <c r="F279" s="141" t="s">
        <v>83</v>
      </c>
      <c r="G279" s="141" t="s">
        <v>262</v>
      </c>
      <c r="H279" s="141" t="s">
        <v>90</v>
      </c>
      <c r="I279" s="252" t="s">
        <v>4223</v>
      </c>
      <c r="J279" s="141" t="s">
        <v>1314</v>
      </c>
      <c r="K279" s="141" t="s">
        <v>29</v>
      </c>
      <c r="L279" s="141" t="s">
        <v>30</v>
      </c>
      <c r="M279" s="141"/>
      <c r="N279" s="141"/>
      <c r="O279" s="141"/>
      <c r="P279" s="141" t="s">
        <v>31</v>
      </c>
      <c r="Q279" s="257" t="s">
        <v>56</v>
      </c>
      <c r="R279" s="24"/>
      <c r="S279" s="206"/>
      <c r="T279" s="258"/>
      <c r="U279" s="206"/>
      <c r="V279" s="206"/>
      <c r="W279" s="206"/>
    </row>
    <row r="280" spans="1:23" ht="12.75">
      <c r="A280" s="274">
        <v>46014.877974537034</v>
      </c>
      <c r="B280" s="475" t="s">
        <v>1315</v>
      </c>
      <c r="C280" s="474"/>
      <c r="D280" s="242" t="s">
        <v>24</v>
      </c>
      <c r="E280" s="275">
        <v>22759</v>
      </c>
      <c r="F280" s="242" t="s">
        <v>1316</v>
      </c>
      <c r="G280" s="242" t="s">
        <v>1317</v>
      </c>
      <c r="H280" s="242" t="s">
        <v>1318</v>
      </c>
      <c r="I280" s="241" t="s">
        <v>4223</v>
      </c>
      <c r="J280" s="242" t="s">
        <v>1319</v>
      </c>
      <c r="K280" s="242" t="s">
        <v>39</v>
      </c>
      <c r="L280" s="242" t="s">
        <v>30</v>
      </c>
      <c r="M280" s="277"/>
      <c r="N280" s="242"/>
      <c r="O280" s="242"/>
      <c r="P280" s="242" t="s">
        <v>31</v>
      </c>
      <c r="Q280" s="244" t="s">
        <v>32</v>
      </c>
      <c r="R280" s="248" t="s">
        <v>33</v>
      </c>
      <c r="S280" s="242" t="s">
        <v>1320</v>
      </c>
      <c r="T280" s="266">
        <v>22759</v>
      </c>
      <c r="U280" s="242" t="s">
        <v>1319</v>
      </c>
      <c r="V280" s="475" t="s">
        <v>80</v>
      </c>
      <c r="W280" s="474"/>
    </row>
    <row r="281" spans="1:23" ht="12.75">
      <c r="A281" s="255">
        <v>46015.010312500002</v>
      </c>
      <c r="B281" s="476" t="s">
        <v>1321</v>
      </c>
      <c r="C281" s="474"/>
      <c r="D281" s="141" t="s">
        <v>24</v>
      </c>
      <c r="E281" s="256">
        <v>32915</v>
      </c>
      <c r="F281" s="141" t="s">
        <v>1272</v>
      </c>
      <c r="G281" s="141" t="s">
        <v>1322</v>
      </c>
      <c r="H281" s="141" t="s">
        <v>368</v>
      </c>
      <c r="I281" s="252" t="s">
        <v>4223</v>
      </c>
      <c r="J281" s="141" t="s">
        <v>1323</v>
      </c>
      <c r="K281" s="141" t="s">
        <v>29</v>
      </c>
      <c r="L281" s="141" t="s">
        <v>1324</v>
      </c>
      <c r="M281" s="141"/>
      <c r="N281" s="141"/>
      <c r="O281" s="141"/>
      <c r="P281" s="141" t="s">
        <v>31</v>
      </c>
      <c r="Q281" s="253" t="s">
        <v>32</v>
      </c>
      <c r="R281" s="152"/>
      <c r="S281" s="206" t="s">
        <v>1325</v>
      </c>
      <c r="T281" s="261">
        <v>32915</v>
      </c>
      <c r="U281" s="206" t="s">
        <v>1323</v>
      </c>
      <c r="V281" s="473" t="s">
        <v>80</v>
      </c>
      <c r="W281" s="474"/>
    </row>
    <row r="282" spans="1:23" ht="12.75">
      <c r="A282" s="268">
        <v>46015.010671296295</v>
      </c>
      <c r="B282" s="269" t="s">
        <v>1326</v>
      </c>
      <c r="C282" s="269" t="s">
        <v>1327</v>
      </c>
      <c r="D282" s="269" t="s">
        <v>24</v>
      </c>
      <c r="E282" s="270">
        <v>38467</v>
      </c>
      <c r="F282" s="269" t="s">
        <v>232</v>
      </c>
      <c r="G282" s="269" t="s">
        <v>1328</v>
      </c>
      <c r="H282" s="269" t="s">
        <v>138</v>
      </c>
      <c r="I282" s="252" t="s">
        <v>4219</v>
      </c>
      <c r="J282" s="269" t="s">
        <v>1329</v>
      </c>
      <c r="K282" s="269" t="s">
        <v>29</v>
      </c>
      <c r="L282" s="269" t="s">
        <v>162</v>
      </c>
      <c r="M282" s="269"/>
      <c r="N282" s="269"/>
      <c r="O282" s="269"/>
      <c r="P282" s="269" t="s">
        <v>31</v>
      </c>
      <c r="Q282" s="253" t="s">
        <v>32</v>
      </c>
      <c r="R282" s="148"/>
      <c r="S282" s="206" t="s">
        <v>1330</v>
      </c>
      <c r="T282" s="261">
        <v>38467</v>
      </c>
      <c r="U282" s="206" t="s">
        <v>1329</v>
      </c>
      <c r="V282" s="473" t="s">
        <v>316</v>
      </c>
      <c r="W282" s="474"/>
    </row>
    <row r="283" spans="1:23" ht="12.75">
      <c r="A283" s="274">
        <v>46015.102384259262</v>
      </c>
      <c r="B283" s="242" t="s">
        <v>1331</v>
      </c>
      <c r="C283" s="242"/>
      <c r="D283" s="242" t="s">
        <v>24</v>
      </c>
      <c r="E283" s="275">
        <v>35053</v>
      </c>
      <c r="F283" s="242" t="s">
        <v>52</v>
      </c>
      <c r="G283" s="242" t="s">
        <v>1332</v>
      </c>
      <c r="H283" s="242" t="s">
        <v>156</v>
      </c>
      <c r="I283" s="241" t="s">
        <v>4219</v>
      </c>
      <c r="J283" s="242" t="s">
        <v>1333</v>
      </c>
      <c r="K283" s="242" t="s">
        <v>29</v>
      </c>
      <c r="L283" s="242" t="s">
        <v>30</v>
      </c>
      <c r="M283" s="242"/>
      <c r="N283" s="242"/>
      <c r="O283" s="242"/>
      <c r="P283" s="242" t="s">
        <v>31</v>
      </c>
      <c r="Q283" s="244" t="s">
        <v>32</v>
      </c>
      <c r="R283" s="245" t="s">
        <v>43</v>
      </c>
      <c r="S283" s="242" t="s">
        <v>1331</v>
      </c>
      <c r="T283" s="266">
        <v>35053</v>
      </c>
      <c r="U283" s="242" t="s">
        <v>1333</v>
      </c>
      <c r="V283" s="475" t="s">
        <v>80</v>
      </c>
      <c r="W283" s="474"/>
    </row>
    <row r="284" spans="1:23" ht="12.75">
      <c r="A284" s="274">
        <v>46015.335729166669</v>
      </c>
      <c r="B284" s="242" t="s">
        <v>1334</v>
      </c>
      <c r="C284" s="242"/>
      <c r="D284" s="242" t="s">
        <v>45</v>
      </c>
      <c r="E284" s="275">
        <v>37530</v>
      </c>
      <c r="F284" s="242" t="s">
        <v>1335</v>
      </c>
      <c r="G284" s="242" t="s">
        <v>1336</v>
      </c>
      <c r="H284" s="242" t="s">
        <v>66</v>
      </c>
      <c r="I284" s="241" t="s">
        <v>4237</v>
      </c>
      <c r="J284" s="242" t="s">
        <v>1337</v>
      </c>
      <c r="K284" s="242" t="s">
        <v>29</v>
      </c>
      <c r="L284" s="242" t="s">
        <v>30</v>
      </c>
      <c r="M284" s="242"/>
      <c r="N284" s="242"/>
      <c r="O284" s="242"/>
      <c r="P284" s="242" t="s">
        <v>31</v>
      </c>
      <c r="Q284" s="244" t="s">
        <v>32</v>
      </c>
      <c r="R284" s="248" t="s">
        <v>33</v>
      </c>
      <c r="S284" s="242" t="s">
        <v>1334</v>
      </c>
      <c r="T284" s="266">
        <v>37530</v>
      </c>
      <c r="U284" s="242" t="s">
        <v>1337</v>
      </c>
      <c r="V284" s="475" t="s">
        <v>80</v>
      </c>
      <c r="W284" s="474"/>
    </row>
    <row r="285" spans="1:23" ht="12.75">
      <c r="A285" s="255">
        <v>46015.628229166665</v>
      </c>
      <c r="B285" s="141" t="s">
        <v>1338</v>
      </c>
      <c r="C285" s="141"/>
      <c r="D285" s="141" t="s">
        <v>45</v>
      </c>
      <c r="E285" s="256">
        <v>37441</v>
      </c>
      <c r="F285" s="141" t="s">
        <v>438</v>
      </c>
      <c r="G285" s="141" t="s">
        <v>1339</v>
      </c>
      <c r="H285" s="141" t="s">
        <v>138</v>
      </c>
      <c r="I285" s="252" t="s">
        <v>4219</v>
      </c>
      <c r="J285" s="141" t="s">
        <v>1340</v>
      </c>
      <c r="K285" s="141" t="s">
        <v>29</v>
      </c>
      <c r="L285" s="141" t="s">
        <v>30</v>
      </c>
      <c r="M285" s="141"/>
      <c r="N285" s="141"/>
      <c r="O285" s="141"/>
      <c r="P285" s="141" t="s">
        <v>31</v>
      </c>
      <c r="Q285" s="253" t="s">
        <v>32</v>
      </c>
      <c r="R285" s="152"/>
      <c r="S285" s="206" t="s">
        <v>1338</v>
      </c>
      <c r="T285" s="261">
        <v>37441</v>
      </c>
      <c r="U285" s="206" t="s">
        <v>1340</v>
      </c>
      <c r="V285" s="473" t="s">
        <v>80</v>
      </c>
      <c r="W285" s="474"/>
    </row>
    <row r="286" spans="1:23" ht="12.75">
      <c r="A286" s="255">
        <v>46015.772731481484</v>
      </c>
      <c r="B286" s="141" t="s">
        <v>1341</v>
      </c>
      <c r="C286" s="141"/>
      <c r="D286" s="141" t="s">
        <v>24</v>
      </c>
      <c r="E286" s="256">
        <v>35790</v>
      </c>
      <c r="F286" s="141" t="s">
        <v>52</v>
      </c>
      <c r="G286" s="141" t="s">
        <v>1342</v>
      </c>
      <c r="H286" s="141" t="s">
        <v>1343</v>
      </c>
      <c r="I286" s="252" t="s">
        <v>4219</v>
      </c>
      <c r="J286" s="141" t="s">
        <v>1344</v>
      </c>
      <c r="K286" s="141" t="s">
        <v>39</v>
      </c>
      <c r="L286" s="267">
        <v>46202</v>
      </c>
      <c r="M286" s="141"/>
      <c r="N286" s="141"/>
      <c r="O286" s="141"/>
      <c r="P286" s="141" t="s">
        <v>31</v>
      </c>
      <c r="Q286" s="253" t="s">
        <v>32</v>
      </c>
      <c r="R286" s="148" t="s">
        <v>33</v>
      </c>
      <c r="S286" s="206" t="s">
        <v>1341</v>
      </c>
      <c r="T286" s="261">
        <v>35790</v>
      </c>
      <c r="U286" s="206" t="s">
        <v>1344</v>
      </c>
      <c r="V286" s="473" t="s">
        <v>80</v>
      </c>
      <c r="W286" s="474"/>
    </row>
    <row r="287" spans="1:23" ht="12.75">
      <c r="A287" s="274">
        <v>46015.906504629631</v>
      </c>
      <c r="B287" s="242" t="s">
        <v>1345</v>
      </c>
      <c r="C287" s="242"/>
      <c r="D287" s="242" t="s">
        <v>24</v>
      </c>
      <c r="E287" s="275">
        <v>34001</v>
      </c>
      <c r="F287" s="242" t="s">
        <v>198</v>
      </c>
      <c r="G287" s="242" t="s">
        <v>1346</v>
      </c>
      <c r="H287" s="242" t="s">
        <v>1347</v>
      </c>
      <c r="I287" s="241" t="s">
        <v>4219</v>
      </c>
      <c r="J287" s="242" t="s">
        <v>1348</v>
      </c>
      <c r="K287" s="242" t="s">
        <v>29</v>
      </c>
      <c r="L287" s="242" t="s">
        <v>30</v>
      </c>
      <c r="M287" s="242"/>
      <c r="N287" s="242"/>
      <c r="O287" s="242"/>
      <c r="P287" s="242" t="s">
        <v>31</v>
      </c>
      <c r="Q287" s="244" t="s">
        <v>32</v>
      </c>
      <c r="R287" s="245" t="s">
        <v>33</v>
      </c>
      <c r="S287" s="242" t="s">
        <v>1345</v>
      </c>
      <c r="T287" s="266">
        <v>34001</v>
      </c>
      <c r="U287" s="242" t="s">
        <v>1348</v>
      </c>
      <c r="V287" s="475" t="s">
        <v>80</v>
      </c>
      <c r="W287" s="474"/>
    </row>
    <row r="288" spans="1:23" ht="12.75">
      <c r="A288" s="255">
        <v>46016.165625000001</v>
      </c>
      <c r="B288" s="141" t="s">
        <v>1349</v>
      </c>
      <c r="C288" s="141"/>
      <c r="D288" s="141" t="s">
        <v>45</v>
      </c>
      <c r="E288" s="256">
        <v>28859</v>
      </c>
      <c r="F288" s="141" t="s">
        <v>1272</v>
      </c>
      <c r="G288" s="141" t="s">
        <v>1350</v>
      </c>
      <c r="H288" s="141" t="s">
        <v>66</v>
      </c>
      <c r="I288" s="252" t="s">
        <v>4223</v>
      </c>
      <c r="J288" s="141" t="s">
        <v>1351</v>
      </c>
      <c r="K288" s="141" t="s">
        <v>29</v>
      </c>
      <c r="L288" s="267">
        <v>46202</v>
      </c>
      <c r="M288" s="141"/>
      <c r="N288" s="141"/>
      <c r="O288" s="141"/>
      <c r="P288" s="141" t="s">
        <v>31</v>
      </c>
      <c r="Q288" s="253" t="s">
        <v>32</v>
      </c>
      <c r="R288" s="152"/>
      <c r="S288" s="206" t="s">
        <v>1349</v>
      </c>
      <c r="T288" s="261">
        <v>28859</v>
      </c>
      <c r="U288" s="206" t="s">
        <v>1351</v>
      </c>
      <c r="V288" s="473" t="s">
        <v>80</v>
      </c>
      <c r="W288" s="474"/>
    </row>
    <row r="289" spans="1:23" ht="12.75">
      <c r="A289" s="255">
        <v>46016.259050925924</v>
      </c>
      <c r="B289" s="476" t="s">
        <v>1352</v>
      </c>
      <c r="C289" s="474"/>
      <c r="D289" s="141" t="s">
        <v>45</v>
      </c>
      <c r="E289" s="256">
        <v>35415</v>
      </c>
      <c r="F289" s="141" t="s">
        <v>64</v>
      </c>
      <c r="G289" s="141" t="s">
        <v>1353</v>
      </c>
      <c r="H289" s="141" t="s">
        <v>186</v>
      </c>
      <c r="I289" s="252" t="s">
        <v>4219</v>
      </c>
      <c r="J289" s="141" t="s">
        <v>1354</v>
      </c>
      <c r="K289" s="141" t="s">
        <v>29</v>
      </c>
      <c r="L289" s="141" t="s">
        <v>30</v>
      </c>
      <c r="M289" s="141"/>
      <c r="N289" s="141"/>
      <c r="O289" s="141"/>
      <c r="P289" s="141" t="s">
        <v>31</v>
      </c>
      <c r="Q289" s="253" t="s">
        <v>32</v>
      </c>
      <c r="R289" s="148"/>
      <c r="S289" s="206" t="s">
        <v>1355</v>
      </c>
      <c r="T289" s="261">
        <v>35415</v>
      </c>
      <c r="U289" s="206" t="s">
        <v>1354</v>
      </c>
      <c r="V289" s="473" t="s">
        <v>154</v>
      </c>
      <c r="W289" s="474"/>
    </row>
    <row r="290" spans="1:23" ht="12.75">
      <c r="A290" s="274">
        <v>46017.499490740738</v>
      </c>
      <c r="B290" s="242" t="s">
        <v>1356</v>
      </c>
      <c r="C290" s="242"/>
      <c r="D290" s="242" t="s">
        <v>24</v>
      </c>
      <c r="E290" s="275">
        <v>37458</v>
      </c>
      <c r="F290" s="242" t="s">
        <v>1357</v>
      </c>
      <c r="G290" s="242" t="s">
        <v>394</v>
      </c>
      <c r="H290" s="242" t="s">
        <v>1358</v>
      </c>
      <c r="I290" s="241" t="s">
        <v>4237</v>
      </c>
      <c r="J290" s="242" t="s">
        <v>1359</v>
      </c>
      <c r="K290" s="242" t="s">
        <v>29</v>
      </c>
      <c r="L290" s="242" t="s">
        <v>30</v>
      </c>
      <c r="M290" s="242"/>
      <c r="N290" s="242"/>
      <c r="O290" s="242"/>
      <c r="P290" s="242" t="s">
        <v>31</v>
      </c>
      <c r="Q290" s="244" t="s">
        <v>32</v>
      </c>
      <c r="R290" s="245" t="s">
        <v>43</v>
      </c>
      <c r="S290" s="242" t="s">
        <v>1360</v>
      </c>
      <c r="T290" s="266">
        <v>37458</v>
      </c>
      <c r="U290" s="242" t="s">
        <v>1359</v>
      </c>
      <c r="V290" s="242" t="s">
        <v>463</v>
      </c>
      <c r="W290" s="242"/>
    </row>
    <row r="291" spans="1:23" ht="12.75">
      <c r="A291" s="255">
        <v>46017.703888888886</v>
      </c>
      <c r="B291" s="141" t="s">
        <v>1361</v>
      </c>
      <c r="C291" s="141" t="s">
        <v>871</v>
      </c>
      <c r="D291" s="141" t="s">
        <v>24</v>
      </c>
      <c r="E291" s="256">
        <v>37734</v>
      </c>
      <c r="F291" s="141" t="s">
        <v>1362</v>
      </c>
      <c r="G291" s="141" t="s">
        <v>1363</v>
      </c>
      <c r="H291" s="141" t="s">
        <v>66</v>
      </c>
      <c r="I291" s="252" t="s">
        <v>4219</v>
      </c>
      <c r="J291" s="141" t="s">
        <v>1364</v>
      </c>
      <c r="K291" s="141" t="s">
        <v>29</v>
      </c>
      <c r="L291" s="141" t="s">
        <v>30</v>
      </c>
      <c r="M291" s="141"/>
      <c r="N291" s="141"/>
      <c r="O291" s="141"/>
      <c r="P291" s="141" t="s">
        <v>31</v>
      </c>
      <c r="Q291" s="253" t="s">
        <v>32</v>
      </c>
      <c r="R291" s="148"/>
      <c r="S291" s="206" t="s">
        <v>1361</v>
      </c>
      <c r="T291" s="261">
        <v>37734</v>
      </c>
      <c r="U291" s="206" t="s">
        <v>1364</v>
      </c>
      <c r="V291" s="473" t="s">
        <v>80</v>
      </c>
      <c r="W291" s="474"/>
    </row>
    <row r="292" spans="1:23" ht="12.75">
      <c r="A292" s="255">
        <v>46017.943229166667</v>
      </c>
      <c r="B292" s="141" t="s">
        <v>1365</v>
      </c>
      <c r="C292" s="141"/>
      <c r="D292" s="141" t="s">
        <v>45</v>
      </c>
      <c r="E292" s="256">
        <v>38214</v>
      </c>
      <c r="F292" s="141" t="s">
        <v>980</v>
      </c>
      <c r="G292" s="141" t="s">
        <v>1013</v>
      </c>
      <c r="H292" s="141" t="s">
        <v>138</v>
      </c>
      <c r="I292" s="252" t="s">
        <v>4219</v>
      </c>
      <c r="J292" s="141" t="s">
        <v>1366</v>
      </c>
      <c r="K292" s="141" t="s">
        <v>39</v>
      </c>
      <c r="L292" s="141" t="s">
        <v>152</v>
      </c>
      <c r="M292" s="141"/>
      <c r="N292" s="141"/>
      <c r="O292" s="141"/>
      <c r="P292" s="141" t="s">
        <v>31</v>
      </c>
      <c r="Q292" s="257" t="s">
        <v>56</v>
      </c>
      <c r="R292" s="24"/>
      <c r="S292" s="206"/>
      <c r="T292" s="258"/>
      <c r="U292" s="206"/>
      <c r="V292" s="206"/>
      <c r="W292" s="206"/>
    </row>
    <row r="293" spans="1:23" ht="12.75">
      <c r="A293" s="274">
        <v>46017.943622685183</v>
      </c>
      <c r="B293" s="242" t="s">
        <v>1367</v>
      </c>
      <c r="C293" s="242"/>
      <c r="D293" s="242" t="s">
        <v>24</v>
      </c>
      <c r="E293" s="275">
        <v>36742</v>
      </c>
      <c r="F293" s="242" t="s">
        <v>980</v>
      </c>
      <c r="G293" s="242" t="s">
        <v>1020</v>
      </c>
      <c r="H293" s="242" t="s">
        <v>368</v>
      </c>
      <c r="I293" s="241" t="s">
        <v>4219</v>
      </c>
      <c r="J293" s="242" t="s">
        <v>1368</v>
      </c>
      <c r="K293" s="242" t="s">
        <v>39</v>
      </c>
      <c r="L293" s="242" t="s">
        <v>152</v>
      </c>
      <c r="M293" s="242"/>
      <c r="N293" s="242"/>
      <c r="O293" s="242"/>
      <c r="P293" s="242" t="s">
        <v>31</v>
      </c>
      <c r="Q293" s="244" t="s">
        <v>32</v>
      </c>
      <c r="R293" s="248" t="s">
        <v>33</v>
      </c>
      <c r="S293" s="242" t="s">
        <v>1367</v>
      </c>
      <c r="T293" s="266">
        <v>36742</v>
      </c>
      <c r="U293" s="242" t="s">
        <v>1368</v>
      </c>
      <c r="V293" s="475" t="s">
        <v>80</v>
      </c>
      <c r="W293" s="474"/>
    </row>
    <row r="294" spans="1:23" ht="12.75">
      <c r="A294" s="255">
        <v>46017.945104166669</v>
      </c>
      <c r="B294" s="141" t="s">
        <v>1369</v>
      </c>
      <c r="C294" s="141"/>
      <c r="D294" s="141" t="s">
        <v>45</v>
      </c>
      <c r="E294" s="256">
        <v>38492</v>
      </c>
      <c r="F294" s="141" t="s">
        <v>980</v>
      </c>
      <c r="G294" s="141" t="s">
        <v>1013</v>
      </c>
      <c r="H294" s="141" t="s">
        <v>368</v>
      </c>
      <c r="I294" s="252" t="s">
        <v>4219</v>
      </c>
      <c r="J294" s="141" t="s">
        <v>1370</v>
      </c>
      <c r="K294" s="141" t="s">
        <v>39</v>
      </c>
      <c r="L294" s="141" t="s">
        <v>152</v>
      </c>
      <c r="M294" s="141"/>
      <c r="N294" s="141"/>
      <c r="O294" s="141"/>
      <c r="P294" s="141" t="s">
        <v>31</v>
      </c>
      <c r="Q294" s="257" t="s">
        <v>56</v>
      </c>
      <c r="R294" s="24"/>
      <c r="S294" s="206"/>
      <c r="T294" s="258"/>
      <c r="U294" s="206"/>
      <c r="V294" s="206"/>
      <c r="W294" s="206"/>
    </row>
    <row r="295" spans="1:23" ht="12.75">
      <c r="A295" s="240">
        <v>46018.179594907408</v>
      </c>
      <c r="B295" s="241" t="s">
        <v>1371</v>
      </c>
      <c r="C295" s="242"/>
      <c r="D295" s="241" t="s">
        <v>24</v>
      </c>
      <c r="E295" s="243">
        <v>37865</v>
      </c>
      <c r="F295" s="241" t="s">
        <v>1357</v>
      </c>
      <c r="G295" s="241" t="s">
        <v>394</v>
      </c>
      <c r="H295" s="241" t="s">
        <v>138</v>
      </c>
      <c r="I295" s="241" t="s">
        <v>4237</v>
      </c>
      <c r="J295" s="241" t="s">
        <v>1372</v>
      </c>
      <c r="K295" s="241" t="s">
        <v>29</v>
      </c>
      <c r="L295" s="241" t="s">
        <v>30</v>
      </c>
      <c r="M295" s="242"/>
      <c r="N295" s="241"/>
      <c r="O295" s="241"/>
      <c r="P295" s="241" t="s">
        <v>31</v>
      </c>
      <c r="Q295" s="244" t="s">
        <v>32</v>
      </c>
      <c r="R295" s="245" t="s">
        <v>43</v>
      </c>
      <c r="S295" s="246" t="s">
        <v>1373</v>
      </c>
      <c r="T295" s="242"/>
      <c r="U295" s="242"/>
      <c r="V295" s="242"/>
      <c r="W295" s="242"/>
    </row>
    <row r="296" spans="1:23" ht="12.75">
      <c r="A296" s="255">
        <v>46018.255462962959</v>
      </c>
      <c r="B296" s="141" t="s">
        <v>1374</v>
      </c>
      <c r="C296" s="141"/>
      <c r="D296" s="141" t="s">
        <v>24</v>
      </c>
      <c r="E296" s="256">
        <v>37761</v>
      </c>
      <c r="F296" s="141" t="s">
        <v>64</v>
      </c>
      <c r="G296" s="141" t="s">
        <v>1375</v>
      </c>
      <c r="H296" s="141" t="s">
        <v>461</v>
      </c>
      <c r="I296" s="252" t="s">
        <v>4219</v>
      </c>
      <c r="J296" s="141" t="s">
        <v>1376</v>
      </c>
      <c r="K296" s="141" t="s">
        <v>29</v>
      </c>
      <c r="L296" s="141" t="s">
        <v>30</v>
      </c>
      <c r="M296" s="141"/>
      <c r="N296" s="141"/>
      <c r="O296" s="141"/>
      <c r="P296" s="141" t="s">
        <v>31</v>
      </c>
      <c r="Q296" s="253" t="s">
        <v>32</v>
      </c>
      <c r="R296" s="148" t="s">
        <v>33</v>
      </c>
      <c r="S296" s="206" t="s">
        <v>1374</v>
      </c>
      <c r="T296" s="261">
        <v>37761</v>
      </c>
      <c r="U296" s="206" t="s">
        <v>1376</v>
      </c>
      <c r="V296" s="473" t="s">
        <v>80</v>
      </c>
      <c r="W296" s="474"/>
    </row>
    <row r="297" spans="1:23" ht="12.75">
      <c r="A297" s="255">
        <v>46018.823310185187</v>
      </c>
      <c r="B297" s="141" t="s">
        <v>1377</v>
      </c>
      <c r="C297" s="141" t="s">
        <v>1378</v>
      </c>
      <c r="D297" s="141" t="s">
        <v>45</v>
      </c>
      <c r="E297" s="256">
        <v>37994</v>
      </c>
      <c r="F297" s="141" t="s">
        <v>70</v>
      </c>
      <c r="G297" s="141" t="s">
        <v>1379</v>
      </c>
      <c r="H297" s="141" t="s">
        <v>368</v>
      </c>
      <c r="I297" s="252" t="s">
        <v>4219</v>
      </c>
      <c r="J297" s="141" t="s">
        <v>1380</v>
      </c>
      <c r="K297" s="141" t="s">
        <v>39</v>
      </c>
      <c r="L297" s="141" t="s">
        <v>30</v>
      </c>
      <c r="M297" s="141"/>
      <c r="N297" s="141"/>
      <c r="O297" s="141"/>
      <c r="P297" s="141" t="s">
        <v>31</v>
      </c>
      <c r="Q297" s="253" t="s">
        <v>32</v>
      </c>
      <c r="R297" s="152"/>
      <c r="S297" s="206" t="s">
        <v>1377</v>
      </c>
      <c r="T297" s="261">
        <v>37994</v>
      </c>
      <c r="U297" s="206" t="s">
        <v>1380</v>
      </c>
      <c r="V297" s="473" t="s">
        <v>80</v>
      </c>
      <c r="W297" s="474"/>
    </row>
    <row r="298" spans="1:23" ht="12.75">
      <c r="A298" s="255">
        <v>46019.127627314818</v>
      </c>
      <c r="B298" s="141" t="s">
        <v>1381</v>
      </c>
      <c r="C298" s="141" t="s">
        <v>1382</v>
      </c>
      <c r="D298" s="141" t="s">
        <v>45</v>
      </c>
      <c r="E298" s="256">
        <v>37259</v>
      </c>
      <c r="F298" s="141" t="s">
        <v>208</v>
      </c>
      <c r="G298" s="141" t="s">
        <v>1383</v>
      </c>
      <c r="H298" s="141" t="s">
        <v>1384</v>
      </c>
      <c r="I298" s="252" t="s">
        <v>4223</v>
      </c>
      <c r="J298" s="141" t="s">
        <v>1385</v>
      </c>
      <c r="K298" s="141" t="s">
        <v>29</v>
      </c>
      <c r="L298" s="141" t="s">
        <v>30</v>
      </c>
      <c r="M298" s="141"/>
      <c r="N298" s="141"/>
      <c r="O298" s="141"/>
      <c r="P298" s="141" t="s">
        <v>31</v>
      </c>
      <c r="Q298" s="253" t="s">
        <v>32</v>
      </c>
      <c r="R298" s="148"/>
      <c r="S298" s="206" t="s">
        <v>1381</v>
      </c>
      <c r="T298" s="261">
        <v>37259</v>
      </c>
      <c r="U298" s="206" t="s">
        <v>1385</v>
      </c>
      <c r="V298" s="473" t="s">
        <v>80</v>
      </c>
      <c r="W298" s="474"/>
    </row>
    <row r="299" spans="1:23" ht="12.75">
      <c r="A299" s="274">
        <v>46019.448113425926</v>
      </c>
      <c r="B299" s="475" t="s">
        <v>1386</v>
      </c>
      <c r="C299" s="474"/>
      <c r="D299" s="242" t="s">
        <v>24</v>
      </c>
      <c r="E299" s="275">
        <v>30435</v>
      </c>
      <c r="F299" s="242" t="s">
        <v>1387</v>
      </c>
      <c r="G299" s="242" t="s">
        <v>209</v>
      </c>
      <c r="H299" s="242" t="s">
        <v>1388</v>
      </c>
      <c r="I299" s="241" t="s">
        <v>4219</v>
      </c>
      <c r="J299" s="242" t="s">
        <v>1389</v>
      </c>
      <c r="K299" s="242" t="s">
        <v>39</v>
      </c>
      <c r="L299" s="242" t="s">
        <v>30</v>
      </c>
      <c r="M299" s="242"/>
      <c r="N299" s="242"/>
      <c r="O299" s="242"/>
      <c r="P299" s="242" t="s">
        <v>31</v>
      </c>
      <c r="Q299" s="244" t="s">
        <v>32</v>
      </c>
      <c r="R299" s="245" t="s">
        <v>33</v>
      </c>
      <c r="S299" s="242" t="s">
        <v>1386</v>
      </c>
      <c r="T299" s="266">
        <v>30435</v>
      </c>
      <c r="U299" s="242" t="s">
        <v>1389</v>
      </c>
      <c r="V299" s="475" t="s">
        <v>80</v>
      </c>
      <c r="W299" s="474"/>
    </row>
    <row r="300" spans="1:23" ht="12.75">
      <c r="A300" s="268">
        <v>46019.495625000003</v>
      </c>
      <c r="B300" s="269" t="s">
        <v>1390</v>
      </c>
      <c r="C300" s="269"/>
      <c r="D300" s="269" t="s">
        <v>24</v>
      </c>
      <c r="E300" s="270">
        <v>37441</v>
      </c>
      <c r="F300" s="269" t="s">
        <v>64</v>
      </c>
      <c r="G300" s="269" t="s">
        <v>1391</v>
      </c>
      <c r="H300" s="269" t="s">
        <v>1238</v>
      </c>
      <c r="I300" s="252" t="s">
        <v>4219</v>
      </c>
      <c r="J300" s="269" t="s">
        <v>1392</v>
      </c>
      <c r="K300" s="269" t="s">
        <v>29</v>
      </c>
      <c r="L300" s="269" t="s">
        <v>30</v>
      </c>
      <c r="M300" s="269"/>
      <c r="N300" s="269"/>
      <c r="O300" s="269"/>
      <c r="P300" s="269" t="s">
        <v>31</v>
      </c>
      <c r="Q300" s="253" t="s">
        <v>32</v>
      </c>
      <c r="R300" s="148"/>
      <c r="S300" s="206" t="s">
        <v>1390</v>
      </c>
      <c r="T300" s="261">
        <v>37441</v>
      </c>
      <c r="U300" s="206" t="s">
        <v>1392</v>
      </c>
      <c r="V300" s="473" t="s">
        <v>80</v>
      </c>
      <c r="W300" s="474"/>
    </row>
    <row r="301" spans="1:23" ht="12.75">
      <c r="A301" s="274">
        <v>46019.814305555556</v>
      </c>
      <c r="B301" s="242" t="s">
        <v>1393</v>
      </c>
      <c r="C301" s="242"/>
      <c r="D301" s="242" t="s">
        <v>24</v>
      </c>
      <c r="E301" s="275">
        <v>35223</v>
      </c>
      <c r="F301" s="242" t="s">
        <v>52</v>
      </c>
      <c r="G301" s="242" t="s">
        <v>1394</v>
      </c>
      <c r="H301" s="242" t="s">
        <v>530</v>
      </c>
      <c r="I301" s="241" t="s">
        <v>4219</v>
      </c>
      <c r="J301" s="242" t="s">
        <v>1395</v>
      </c>
      <c r="K301" s="242" t="s">
        <v>29</v>
      </c>
      <c r="L301" s="242" t="s">
        <v>30</v>
      </c>
      <c r="M301" s="242"/>
      <c r="N301" s="242"/>
      <c r="O301" s="242"/>
      <c r="P301" s="242" t="s">
        <v>31</v>
      </c>
      <c r="Q301" s="244" t="s">
        <v>32</v>
      </c>
      <c r="R301" s="245" t="s">
        <v>43</v>
      </c>
      <c r="S301" s="242" t="s">
        <v>1396</v>
      </c>
      <c r="T301" s="266">
        <v>35223</v>
      </c>
      <c r="U301" s="242" t="s">
        <v>1395</v>
      </c>
      <c r="V301" s="475" t="s">
        <v>154</v>
      </c>
      <c r="W301" s="474"/>
    </row>
    <row r="302" spans="1:23" ht="12.75">
      <c r="A302" s="255">
        <v>46019.824212962965</v>
      </c>
      <c r="B302" s="476" t="s">
        <v>1397</v>
      </c>
      <c r="C302" s="474"/>
      <c r="D302" s="141" t="s">
        <v>24</v>
      </c>
      <c r="E302" s="256">
        <v>37216</v>
      </c>
      <c r="F302" s="141" t="s">
        <v>232</v>
      </c>
      <c r="G302" s="141" t="s">
        <v>1398</v>
      </c>
      <c r="H302" s="141" t="s">
        <v>1399</v>
      </c>
      <c r="I302" s="252" t="s">
        <v>4219</v>
      </c>
      <c r="J302" s="141" t="s">
        <v>1400</v>
      </c>
      <c r="K302" s="141" t="s">
        <v>29</v>
      </c>
      <c r="L302" s="141" t="s">
        <v>162</v>
      </c>
      <c r="M302" s="141"/>
      <c r="N302" s="141"/>
      <c r="O302" s="141"/>
      <c r="P302" s="141" t="s">
        <v>31</v>
      </c>
      <c r="Q302" s="253" t="s">
        <v>32</v>
      </c>
      <c r="R302" s="148"/>
      <c r="S302" s="206" t="s">
        <v>1401</v>
      </c>
      <c r="T302" s="261">
        <v>37216</v>
      </c>
      <c r="U302" s="206" t="s">
        <v>1400</v>
      </c>
      <c r="V302" s="473" t="s">
        <v>80</v>
      </c>
      <c r="W302" s="474"/>
    </row>
    <row r="303" spans="1:23" ht="12.75">
      <c r="A303" s="274">
        <v>46020.02071759259</v>
      </c>
      <c r="B303" s="242" t="s">
        <v>1402</v>
      </c>
      <c r="C303" s="242"/>
      <c r="D303" s="242" t="s">
        <v>24</v>
      </c>
      <c r="E303" s="275">
        <v>37597</v>
      </c>
      <c r="F303" s="242" t="s">
        <v>1335</v>
      </c>
      <c r="G303" s="242" t="s">
        <v>1403</v>
      </c>
      <c r="H303" s="242" t="s">
        <v>160</v>
      </c>
      <c r="I303" s="241" t="s">
        <v>4237</v>
      </c>
      <c r="J303" s="242" t="s">
        <v>1404</v>
      </c>
      <c r="K303" s="242" t="s">
        <v>29</v>
      </c>
      <c r="L303" s="285">
        <v>46202</v>
      </c>
      <c r="M303" s="242"/>
      <c r="N303" s="242"/>
      <c r="O303" s="242"/>
      <c r="P303" s="242" t="s">
        <v>31</v>
      </c>
      <c r="Q303" s="244" t="s">
        <v>32</v>
      </c>
      <c r="R303" s="245" t="s">
        <v>33</v>
      </c>
      <c r="S303" s="242" t="s">
        <v>1402</v>
      </c>
      <c r="T303" s="266">
        <v>37597</v>
      </c>
      <c r="U303" s="242" t="s">
        <v>1404</v>
      </c>
      <c r="V303" s="475" t="s">
        <v>80</v>
      </c>
      <c r="W303" s="474"/>
    </row>
    <row r="304" spans="1:23" ht="12.75">
      <c r="A304" s="255">
        <v>46020.150856481479</v>
      </c>
      <c r="B304" s="476" t="s">
        <v>1405</v>
      </c>
      <c r="C304" s="474"/>
      <c r="D304" s="141" t="s">
        <v>45</v>
      </c>
      <c r="E304" s="256">
        <v>34964</v>
      </c>
      <c r="F304" s="141" t="s">
        <v>799</v>
      </c>
      <c r="G304" s="141" t="s">
        <v>1406</v>
      </c>
      <c r="H304" s="141" t="s">
        <v>1407</v>
      </c>
      <c r="I304" s="252" t="s">
        <v>4223</v>
      </c>
      <c r="J304" s="141" t="s">
        <v>1408</v>
      </c>
      <c r="K304" s="141" t="s">
        <v>29</v>
      </c>
      <c r="L304" s="141" t="s">
        <v>30</v>
      </c>
      <c r="M304" s="141"/>
      <c r="N304" s="141"/>
      <c r="O304" s="141"/>
      <c r="P304" s="141" t="s">
        <v>31</v>
      </c>
      <c r="Q304" s="253" t="s">
        <v>32</v>
      </c>
      <c r="R304" s="148" t="s">
        <v>33</v>
      </c>
      <c r="S304" s="206" t="s">
        <v>1405</v>
      </c>
      <c r="T304" s="261">
        <v>34964</v>
      </c>
      <c r="U304" s="206" t="s">
        <v>1408</v>
      </c>
      <c r="V304" s="473" t="s">
        <v>80</v>
      </c>
      <c r="W304" s="474"/>
    </row>
    <row r="305" spans="1:23" ht="12.75">
      <c r="A305" s="268">
        <v>46020.151226851849</v>
      </c>
      <c r="B305" s="269" t="s">
        <v>1409</v>
      </c>
      <c r="C305" s="269"/>
      <c r="D305" s="269" t="s">
        <v>45</v>
      </c>
      <c r="E305" s="270">
        <v>28912</v>
      </c>
      <c r="F305" s="269" t="s">
        <v>380</v>
      </c>
      <c r="G305" s="269" t="s">
        <v>1410</v>
      </c>
      <c r="H305" s="269" t="s">
        <v>1411</v>
      </c>
      <c r="I305" s="252" t="s">
        <v>4223</v>
      </c>
      <c r="J305" s="269" t="s">
        <v>1412</v>
      </c>
      <c r="K305" s="269" t="s">
        <v>29</v>
      </c>
      <c r="L305" s="269" t="s">
        <v>30</v>
      </c>
      <c r="M305" s="481" t="s">
        <v>1413</v>
      </c>
      <c r="N305" s="474"/>
      <c r="O305" s="269"/>
      <c r="P305" s="269" t="s">
        <v>31</v>
      </c>
      <c r="Q305" s="253" t="s">
        <v>32</v>
      </c>
      <c r="R305" s="152"/>
      <c r="S305" s="206" t="s">
        <v>1414</v>
      </c>
      <c r="T305" s="261">
        <v>28912</v>
      </c>
      <c r="U305" s="206" t="s">
        <v>1412</v>
      </c>
      <c r="V305" s="473" t="s">
        <v>80</v>
      </c>
      <c r="W305" s="474"/>
    </row>
    <row r="306" spans="1:23" ht="12.75">
      <c r="A306" s="274">
        <v>46020.19332175926</v>
      </c>
      <c r="B306" s="242" t="s">
        <v>1415</v>
      </c>
      <c r="C306" s="242"/>
      <c r="D306" s="242" t="s">
        <v>24</v>
      </c>
      <c r="E306" s="275">
        <v>35440</v>
      </c>
      <c r="F306" s="242" t="s">
        <v>52</v>
      </c>
      <c r="G306" s="242" t="s">
        <v>1416</v>
      </c>
      <c r="H306" s="242" t="s">
        <v>738</v>
      </c>
      <c r="I306" s="241" t="s">
        <v>4219</v>
      </c>
      <c r="J306" s="242" t="s">
        <v>1417</v>
      </c>
      <c r="K306" s="242" t="s">
        <v>29</v>
      </c>
      <c r="L306" s="242" t="s">
        <v>30</v>
      </c>
      <c r="M306" s="242"/>
      <c r="N306" s="242"/>
      <c r="O306" s="242"/>
      <c r="P306" s="242" t="s">
        <v>31</v>
      </c>
      <c r="Q306" s="244" t="s">
        <v>32</v>
      </c>
      <c r="R306" s="248" t="s">
        <v>33</v>
      </c>
      <c r="S306" s="242" t="s">
        <v>1415</v>
      </c>
      <c r="T306" s="266">
        <v>35440</v>
      </c>
      <c r="U306" s="242" t="s">
        <v>1417</v>
      </c>
      <c r="V306" s="475" t="s">
        <v>80</v>
      </c>
      <c r="W306" s="474"/>
    </row>
    <row r="307" spans="1:23" ht="12.75">
      <c r="A307" s="255">
        <v>46020.224675925929</v>
      </c>
      <c r="B307" s="141" t="s">
        <v>1418</v>
      </c>
      <c r="C307" s="141"/>
      <c r="D307" s="141" t="s">
        <v>45</v>
      </c>
      <c r="E307" s="256">
        <v>37764</v>
      </c>
      <c r="F307" s="141" t="s">
        <v>208</v>
      </c>
      <c r="G307" s="141" t="s">
        <v>1419</v>
      </c>
      <c r="H307" s="141" t="s">
        <v>48</v>
      </c>
      <c r="I307" s="252" t="s">
        <v>4223</v>
      </c>
      <c r="J307" s="141" t="s">
        <v>1420</v>
      </c>
      <c r="K307" s="141" t="s">
        <v>29</v>
      </c>
      <c r="L307" s="141" t="s">
        <v>30</v>
      </c>
      <c r="M307" s="141"/>
      <c r="N307" s="141"/>
      <c r="O307" s="141"/>
      <c r="P307" s="141" t="s">
        <v>31</v>
      </c>
      <c r="Q307" s="253" t="s">
        <v>32</v>
      </c>
      <c r="R307" s="152"/>
      <c r="S307" s="206" t="s">
        <v>1418</v>
      </c>
      <c r="T307" s="261">
        <v>37764</v>
      </c>
      <c r="U307" s="206" t="s">
        <v>1420</v>
      </c>
      <c r="V307" s="473" t="s">
        <v>80</v>
      </c>
      <c r="W307" s="474"/>
    </row>
    <row r="308" spans="1:23" ht="12.75">
      <c r="A308" s="255">
        <v>46020.30872685185</v>
      </c>
      <c r="B308" s="141" t="s">
        <v>1421</v>
      </c>
      <c r="C308" s="141"/>
      <c r="D308" s="141" t="s">
        <v>45</v>
      </c>
      <c r="E308" s="256">
        <v>34168</v>
      </c>
      <c r="F308" s="141" t="s">
        <v>274</v>
      </c>
      <c r="G308" s="141" t="s">
        <v>1422</v>
      </c>
      <c r="H308" s="141" t="s">
        <v>1423</v>
      </c>
      <c r="I308" s="252" t="s">
        <v>4219</v>
      </c>
      <c r="J308" s="141" t="s">
        <v>1424</v>
      </c>
      <c r="K308" s="141" t="s">
        <v>39</v>
      </c>
      <c r="L308" s="141" t="s">
        <v>162</v>
      </c>
      <c r="M308" s="141"/>
      <c r="N308" s="141"/>
      <c r="O308" s="141"/>
      <c r="P308" s="141" t="s">
        <v>31</v>
      </c>
      <c r="Q308" s="253" t="s">
        <v>32</v>
      </c>
      <c r="R308" s="148"/>
      <c r="S308" s="206" t="s">
        <v>1425</v>
      </c>
      <c r="T308" s="261">
        <v>34168</v>
      </c>
      <c r="U308" s="206" t="s">
        <v>1424</v>
      </c>
      <c r="V308" s="473" t="s">
        <v>80</v>
      </c>
      <c r="W308" s="474"/>
    </row>
    <row r="309" spans="1:23" ht="12.75">
      <c r="A309" s="274">
        <v>46020.428333333337</v>
      </c>
      <c r="B309" s="242" t="s">
        <v>1426</v>
      </c>
      <c r="C309" s="242"/>
      <c r="D309" s="242" t="s">
        <v>45</v>
      </c>
      <c r="E309" s="275">
        <v>33649</v>
      </c>
      <c r="F309" s="242" t="s">
        <v>1427</v>
      </c>
      <c r="G309" s="242" t="s">
        <v>1428</v>
      </c>
      <c r="H309" s="242" t="s">
        <v>1429</v>
      </c>
      <c r="I309" s="241" t="s">
        <v>4223</v>
      </c>
      <c r="J309" s="242" t="s">
        <v>1430</v>
      </c>
      <c r="K309" s="242" t="s">
        <v>29</v>
      </c>
      <c r="L309" s="242" t="s">
        <v>1431</v>
      </c>
      <c r="M309" s="242"/>
      <c r="N309" s="242"/>
      <c r="O309" s="242"/>
      <c r="P309" s="242" t="s">
        <v>31</v>
      </c>
      <c r="Q309" s="244" t="s">
        <v>32</v>
      </c>
      <c r="R309" s="245" t="s">
        <v>33</v>
      </c>
      <c r="S309" s="242" t="s">
        <v>1432</v>
      </c>
      <c r="T309" s="266">
        <v>33649</v>
      </c>
      <c r="U309" s="242" t="s">
        <v>1430</v>
      </c>
      <c r="V309" s="475" t="s">
        <v>154</v>
      </c>
      <c r="W309" s="474"/>
    </row>
    <row r="310" spans="1:23" ht="12.75">
      <c r="A310" s="274">
        <v>46020.688252314816</v>
      </c>
      <c r="B310" s="475" t="s">
        <v>1433</v>
      </c>
      <c r="C310" s="474"/>
      <c r="D310" s="242" t="s">
        <v>24</v>
      </c>
      <c r="E310" s="300" t="s">
        <v>1434</v>
      </c>
      <c r="F310" s="242" t="s">
        <v>35</v>
      </c>
      <c r="G310" s="242" t="s">
        <v>1435</v>
      </c>
      <c r="H310" s="242" t="s">
        <v>943</v>
      </c>
      <c r="I310" s="241" t="s">
        <v>4219</v>
      </c>
      <c r="J310" s="242" t="s">
        <v>1436</v>
      </c>
      <c r="K310" s="242" t="s">
        <v>29</v>
      </c>
      <c r="L310" s="285">
        <v>46202</v>
      </c>
      <c r="M310" s="242" t="s">
        <v>1437</v>
      </c>
      <c r="N310" s="242"/>
      <c r="O310" s="242"/>
      <c r="P310" s="242" t="s">
        <v>31</v>
      </c>
      <c r="Q310" s="244" t="s">
        <v>32</v>
      </c>
      <c r="R310" s="248" t="s">
        <v>43</v>
      </c>
      <c r="S310" s="242" t="s">
        <v>1433</v>
      </c>
      <c r="T310" s="266">
        <v>28603</v>
      </c>
      <c r="U310" s="242" t="s">
        <v>1438</v>
      </c>
      <c r="V310" s="242" t="s">
        <v>236</v>
      </c>
      <c r="W310" s="242"/>
    </row>
    <row r="311" spans="1:23" ht="12.75">
      <c r="A311" s="255">
        <v>46020.793796296297</v>
      </c>
      <c r="B311" s="141" t="s">
        <v>1439</v>
      </c>
      <c r="C311" s="141"/>
      <c r="D311" s="141" t="s">
        <v>24</v>
      </c>
      <c r="E311" s="256">
        <v>35906</v>
      </c>
      <c r="F311" s="141" t="s">
        <v>208</v>
      </c>
      <c r="G311" s="141" t="s">
        <v>1419</v>
      </c>
      <c r="H311" s="141" t="s">
        <v>1440</v>
      </c>
      <c r="I311" s="252" t="s">
        <v>4223</v>
      </c>
      <c r="J311" s="141" t="s">
        <v>1441</v>
      </c>
      <c r="K311" s="141" t="s">
        <v>39</v>
      </c>
      <c r="L311" s="141" t="s">
        <v>162</v>
      </c>
      <c r="M311" s="141"/>
      <c r="N311" s="141"/>
      <c r="O311" s="141"/>
      <c r="P311" s="141" t="s">
        <v>31</v>
      </c>
      <c r="Q311" s="253" t="s">
        <v>32</v>
      </c>
      <c r="R311" s="152"/>
      <c r="S311" s="206" t="s">
        <v>1442</v>
      </c>
      <c r="T311" s="261">
        <v>35906</v>
      </c>
      <c r="U311" s="206" t="s">
        <v>1441</v>
      </c>
      <c r="V311" s="473" t="s">
        <v>154</v>
      </c>
      <c r="W311" s="474"/>
    </row>
    <row r="312" spans="1:23" ht="12.75">
      <c r="A312" s="240">
        <v>46020.823622685188</v>
      </c>
      <c r="B312" s="241" t="s">
        <v>1443</v>
      </c>
      <c r="C312" s="241" t="s">
        <v>1444</v>
      </c>
      <c r="D312" s="241" t="s">
        <v>45</v>
      </c>
      <c r="E312" s="243">
        <v>33835</v>
      </c>
      <c r="F312" s="241" t="s">
        <v>1053</v>
      </c>
      <c r="G312" s="241" t="s">
        <v>1445</v>
      </c>
      <c r="H312" s="241" t="s">
        <v>1446</v>
      </c>
      <c r="I312" s="241" t="s">
        <v>4237</v>
      </c>
      <c r="J312" s="241" t="s">
        <v>1447</v>
      </c>
      <c r="K312" s="241" t="s">
        <v>29</v>
      </c>
      <c r="L312" s="241" t="s">
        <v>162</v>
      </c>
      <c r="M312" s="242"/>
      <c r="N312" s="241"/>
      <c r="O312" s="241"/>
      <c r="P312" s="241" t="s">
        <v>31</v>
      </c>
      <c r="Q312" s="244" t="s">
        <v>32</v>
      </c>
      <c r="R312" s="248" t="s">
        <v>43</v>
      </c>
      <c r="S312" s="246" t="s">
        <v>1443</v>
      </c>
      <c r="T312" s="242"/>
      <c r="U312" s="242"/>
      <c r="V312" s="242"/>
      <c r="W312" s="242"/>
    </row>
    <row r="313" spans="1:23" ht="12.75">
      <c r="A313" s="249">
        <v>46020.858078703706</v>
      </c>
      <c r="B313" s="250" t="s">
        <v>1448</v>
      </c>
      <c r="C313" s="139"/>
      <c r="D313" s="250" t="s">
        <v>24</v>
      </c>
      <c r="E313" s="251">
        <v>36954</v>
      </c>
      <c r="F313" s="250" t="s">
        <v>1449</v>
      </c>
      <c r="G313" s="250" t="s">
        <v>4279</v>
      </c>
      <c r="H313" s="250" t="s">
        <v>368</v>
      </c>
      <c r="I313" s="252" t="s">
        <v>4219</v>
      </c>
      <c r="J313" s="250" t="s">
        <v>1452</v>
      </c>
      <c r="K313" s="250" t="s">
        <v>29</v>
      </c>
      <c r="L313" s="250" t="s">
        <v>162</v>
      </c>
      <c r="M313" s="139"/>
      <c r="N313" s="250"/>
      <c r="O313" s="250"/>
      <c r="P313" s="250" t="s">
        <v>31</v>
      </c>
      <c r="Q313" s="253" t="s">
        <v>32</v>
      </c>
      <c r="R313" s="152"/>
      <c r="S313" s="254" t="s">
        <v>1448</v>
      </c>
      <c r="T313" s="206"/>
      <c r="U313" s="206"/>
      <c r="V313" s="206"/>
      <c r="W313" s="206"/>
    </row>
    <row r="314" spans="1:23" ht="12.75">
      <c r="A314" s="271">
        <v>46020.960474537038</v>
      </c>
      <c r="B314" s="272" t="s">
        <v>1453</v>
      </c>
      <c r="C314" s="272" t="s">
        <v>1454</v>
      </c>
      <c r="D314" s="272" t="s">
        <v>45</v>
      </c>
      <c r="E314" s="273">
        <v>35687</v>
      </c>
      <c r="F314" s="141" t="s">
        <v>1427</v>
      </c>
      <c r="G314" s="272" t="s">
        <v>1455</v>
      </c>
      <c r="H314" s="272" t="s">
        <v>1456</v>
      </c>
      <c r="I314" s="252" t="s">
        <v>4223</v>
      </c>
      <c r="J314" s="272" t="s">
        <v>1457</v>
      </c>
      <c r="K314" s="272" t="s">
        <v>29</v>
      </c>
      <c r="L314" s="301">
        <v>46207</v>
      </c>
      <c r="M314" s="272"/>
      <c r="N314" s="272"/>
      <c r="O314" s="272"/>
      <c r="P314" s="272" t="s">
        <v>31</v>
      </c>
      <c r="Q314" s="253" t="s">
        <v>32</v>
      </c>
      <c r="R314" s="148"/>
      <c r="S314" s="206" t="s">
        <v>1458</v>
      </c>
      <c r="T314" s="261">
        <v>35687</v>
      </c>
      <c r="U314" s="206" t="s">
        <v>1457</v>
      </c>
      <c r="V314" s="473" t="s">
        <v>316</v>
      </c>
      <c r="W314" s="474"/>
    </row>
    <row r="315" spans="1:23" ht="12.75">
      <c r="A315" s="274">
        <v>46021.017557870371</v>
      </c>
      <c r="B315" s="242" t="s">
        <v>1459</v>
      </c>
      <c r="C315" s="242"/>
      <c r="D315" s="242" t="s">
        <v>45</v>
      </c>
      <c r="E315" s="275">
        <v>37131</v>
      </c>
      <c r="F315" s="242" t="s">
        <v>475</v>
      </c>
      <c r="G315" s="242" t="s">
        <v>476</v>
      </c>
      <c r="H315" s="242" t="s">
        <v>48</v>
      </c>
      <c r="I315" s="241" t="s">
        <v>4219</v>
      </c>
      <c r="J315" s="242" t="s">
        <v>1460</v>
      </c>
      <c r="K315" s="242" t="s">
        <v>29</v>
      </c>
      <c r="L315" s="242" t="s">
        <v>30</v>
      </c>
      <c r="M315" s="242"/>
      <c r="N315" s="242"/>
      <c r="O315" s="242"/>
      <c r="P315" s="242" t="s">
        <v>31</v>
      </c>
      <c r="Q315" s="244" t="s">
        <v>32</v>
      </c>
      <c r="R315" s="245" t="s">
        <v>43</v>
      </c>
      <c r="S315" s="242" t="s">
        <v>1459</v>
      </c>
      <c r="T315" s="266">
        <v>37131</v>
      </c>
      <c r="U315" s="242" t="s">
        <v>1460</v>
      </c>
      <c r="V315" s="475" t="s">
        <v>80</v>
      </c>
      <c r="W315" s="474"/>
    </row>
    <row r="316" spans="1:23" ht="12.75">
      <c r="A316" s="274">
        <v>46021.026064814818</v>
      </c>
      <c r="B316" s="242" t="s">
        <v>1461</v>
      </c>
      <c r="C316" s="242"/>
      <c r="D316" s="242" t="s">
        <v>45</v>
      </c>
      <c r="E316" s="275">
        <v>37622</v>
      </c>
      <c r="F316" s="242" t="s">
        <v>980</v>
      </c>
      <c r="G316" s="242" t="s">
        <v>1462</v>
      </c>
      <c r="H316" s="242" t="s">
        <v>66</v>
      </c>
      <c r="I316" s="241" t="s">
        <v>4219</v>
      </c>
      <c r="J316" s="242" t="s">
        <v>1463</v>
      </c>
      <c r="K316" s="242" t="s">
        <v>29</v>
      </c>
      <c r="L316" s="242" t="s">
        <v>30</v>
      </c>
      <c r="M316" s="242"/>
      <c r="N316" s="242"/>
      <c r="O316" s="242"/>
      <c r="P316" s="242" t="s">
        <v>31</v>
      </c>
      <c r="Q316" s="244" t="s">
        <v>32</v>
      </c>
      <c r="R316" s="248" t="s">
        <v>33</v>
      </c>
      <c r="S316" s="242" t="s">
        <v>1464</v>
      </c>
      <c r="T316" s="266">
        <v>37622</v>
      </c>
      <c r="U316" s="242" t="s">
        <v>1463</v>
      </c>
      <c r="V316" s="475" t="s">
        <v>80</v>
      </c>
      <c r="W316" s="474"/>
    </row>
    <row r="317" spans="1:23" ht="12.75">
      <c r="A317" s="268">
        <v>46021.198553240742</v>
      </c>
      <c r="B317" s="269" t="s">
        <v>1465</v>
      </c>
      <c r="C317" s="269"/>
      <c r="D317" s="269" t="s">
        <v>24</v>
      </c>
      <c r="E317" s="270">
        <v>36828</v>
      </c>
      <c r="F317" s="269" t="s">
        <v>346</v>
      </c>
      <c r="G317" s="269" t="s">
        <v>1466</v>
      </c>
      <c r="H317" s="269" t="s">
        <v>368</v>
      </c>
      <c r="I317" s="252" t="s">
        <v>4219</v>
      </c>
      <c r="J317" s="269" t="s">
        <v>1467</v>
      </c>
      <c r="K317" s="269" t="s">
        <v>29</v>
      </c>
      <c r="L317" s="269" t="s">
        <v>30</v>
      </c>
      <c r="M317" s="269"/>
      <c r="N317" s="269"/>
      <c r="O317" s="269"/>
      <c r="P317" s="269" t="s">
        <v>31</v>
      </c>
      <c r="Q317" s="253" t="s">
        <v>32</v>
      </c>
      <c r="R317" s="148"/>
      <c r="S317" s="206" t="s">
        <v>1468</v>
      </c>
      <c r="T317" s="261">
        <v>36828</v>
      </c>
      <c r="U317" s="206" t="s">
        <v>1467</v>
      </c>
      <c r="V317" s="473" t="s">
        <v>154</v>
      </c>
      <c r="W317" s="474"/>
    </row>
    <row r="318" spans="1:23" ht="12.75">
      <c r="A318" s="274">
        <v>46021.200810185182</v>
      </c>
      <c r="B318" s="242" t="s">
        <v>1469</v>
      </c>
      <c r="C318" s="242" t="s">
        <v>1470</v>
      </c>
      <c r="D318" s="242" t="s">
        <v>24</v>
      </c>
      <c r="E318" s="275">
        <v>34039</v>
      </c>
      <c r="F318" s="242" t="s">
        <v>252</v>
      </c>
      <c r="G318" s="242" t="s">
        <v>1471</v>
      </c>
      <c r="H318" s="242" t="s">
        <v>1472</v>
      </c>
      <c r="I318" s="241" t="s">
        <v>4219</v>
      </c>
      <c r="J318" s="242" t="s">
        <v>1473</v>
      </c>
      <c r="K318" s="242" t="s">
        <v>39</v>
      </c>
      <c r="L318" s="242" t="s">
        <v>30</v>
      </c>
      <c r="M318" s="242"/>
      <c r="N318" s="242"/>
      <c r="O318" s="242"/>
      <c r="P318" s="242" t="s">
        <v>31</v>
      </c>
      <c r="Q318" s="244" t="s">
        <v>32</v>
      </c>
      <c r="R318" s="245" t="s">
        <v>33</v>
      </c>
      <c r="S318" s="242" t="s">
        <v>1474</v>
      </c>
      <c r="T318" s="266">
        <v>34039</v>
      </c>
      <c r="U318" s="242" t="s">
        <v>1473</v>
      </c>
      <c r="V318" s="242" t="s">
        <v>463</v>
      </c>
      <c r="W318" s="242"/>
    </row>
    <row r="319" spans="1:23" ht="12.75">
      <c r="A319" s="297">
        <v>46021.203750000001</v>
      </c>
      <c r="B319" s="298" t="s">
        <v>1475</v>
      </c>
      <c r="C319" s="298" t="s">
        <v>1476</v>
      </c>
      <c r="D319" s="298" t="s">
        <v>24</v>
      </c>
      <c r="E319" s="299">
        <v>37434</v>
      </c>
      <c r="F319" s="298" t="s">
        <v>346</v>
      </c>
      <c r="G319" s="298" t="s">
        <v>1477</v>
      </c>
      <c r="H319" s="298" t="s">
        <v>66</v>
      </c>
      <c r="I319" s="252" t="s">
        <v>4219</v>
      </c>
      <c r="J319" s="298" t="s">
        <v>1478</v>
      </c>
      <c r="K319" s="298" t="s">
        <v>29</v>
      </c>
      <c r="L319" s="298" t="s">
        <v>30</v>
      </c>
      <c r="M319" s="298"/>
      <c r="N319" s="298"/>
      <c r="O319" s="298"/>
      <c r="P319" s="298" t="s">
        <v>31</v>
      </c>
      <c r="Q319" s="253" t="s">
        <v>32</v>
      </c>
      <c r="R319" s="148"/>
      <c r="S319" s="206" t="s">
        <v>1479</v>
      </c>
      <c r="T319" s="261">
        <v>37434</v>
      </c>
      <c r="U319" s="206" t="s">
        <v>1478</v>
      </c>
      <c r="V319" s="473" t="s">
        <v>154</v>
      </c>
      <c r="W319" s="474"/>
    </row>
    <row r="320" spans="1:23" ht="12.75">
      <c r="A320" s="271">
        <v>46021.205740740741</v>
      </c>
      <c r="B320" s="482" t="s">
        <v>1480</v>
      </c>
      <c r="C320" s="474"/>
      <c r="D320" s="272" t="s">
        <v>45</v>
      </c>
      <c r="E320" s="273">
        <v>37296</v>
      </c>
      <c r="F320" s="272" t="s">
        <v>346</v>
      </c>
      <c r="G320" s="272" t="s">
        <v>1481</v>
      </c>
      <c r="H320" s="272" t="s">
        <v>368</v>
      </c>
      <c r="I320" s="252" t="s">
        <v>4219</v>
      </c>
      <c r="J320" s="272" t="s">
        <v>1482</v>
      </c>
      <c r="K320" s="272" t="s">
        <v>29</v>
      </c>
      <c r="L320" s="272" t="s">
        <v>30</v>
      </c>
      <c r="M320" s="272"/>
      <c r="N320" s="272"/>
      <c r="O320" s="272"/>
      <c r="P320" s="272" t="s">
        <v>31</v>
      </c>
      <c r="Q320" s="253" t="s">
        <v>32</v>
      </c>
      <c r="R320" s="152"/>
      <c r="S320" s="206" t="s">
        <v>1483</v>
      </c>
      <c r="T320" s="261">
        <v>37296</v>
      </c>
      <c r="U320" s="206" t="s">
        <v>1482</v>
      </c>
      <c r="V320" s="473" t="s">
        <v>80</v>
      </c>
      <c r="W320" s="474"/>
    </row>
    <row r="321" spans="1:23" ht="12.75">
      <c r="A321" s="255">
        <v>46021.207002314812</v>
      </c>
      <c r="B321" s="141" t="s">
        <v>1484</v>
      </c>
      <c r="C321" s="141"/>
      <c r="D321" s="141" t="s">
        <v>45</v>
      </c>
      <c r="E321" s="256">
        <v>33521</v>
      </c>
      <c r="F321" s="141" t="s">
        <v>416</v>
      </c>
      <c r="G321" s="141" t="s">
        <v>1485</v>
      </c>
      <c r="H321" s="141" t="s">
        <v>247</v>
      </c>
      <c r="I321" s="252" t="s">
        <v>4219</v>
      </c>
      <c r="J321" s="141" t="s">
        <v>1486</v>
      </c>
      <c r="K321" s="141" t="s">
        <v>39</v>
      </c>
      <c r="L321" s="141" t="s">
        <v>152</v>
      </c>
      <c r="M321" s="141"/>
      <c r="N321" s="141"/>
      <c r="O321" s="141"/>
      <c r="P321" s="141" t="s">
        <v>31</v>
      </c>
      <c r="Q321" s="253" t="s">
        <v>32</v>
      </c>
      <c r="R321" s="148" t="s">
        <v>33</v>
      </c>
      <c r="S321" s="206" t="s">
        <v>1487</v>
      </c>
      <c r="T321" s="261">
        <v>33521</v>
      </c>
      <c r="U321" s="206" t="s">
        <v>1486</v>
      </c>
      <c r="V321" s="473" t="s">
        <v>154</v>
      </c>
      <c r="W321" s="474"/>
    </row>
    <row r="322" spans="1:23" ht="12.75">
      <c r="A322" s="268">
        <v>46021.279374999998</v>
      </c>
      <c r="B322" s="269" t="s">
        <v>1488</v>
      </c>
      <c r="C322" s="269" t="s">
        <v>1489</v>
      </c>
      <c r="D322" s="269" t="s">
        <v>24</v>
      </c>
      <c r="E322" s="270">
        <v>36963</v>
      </c>
      <c r="F322" s="269" t="s">
        <v>346</v>
      </c>
      <c r="G322" s="269" t="s">
        <v>1490</v>
      </c>
      <c r="H322" s="269" t="s">
        <v>368</v>
      </c>
      <c r="I322" s="252" t="s">
        <v>4219</v>
      </c>
      <c r="J322" s="269" t="s">
        <v>1491</v>
      </c>
      <c r="K322" s="269" t="s">
        <v>29</v>
      </c>
      <c r="L322" s="269" t="s">
        <v>30</v>
      </c>
      <c r="M322" s="269"/>
      <c r="N322" s="269"/>
      <c r="O322" s="269"/>
      <c r="P322" s="269" t="s">
        <v>31</v>
      </c>
      <c r="Q322" s="253" t="s">
        <v>32</v>
      </c>
      <c r="R322" s="152"/>
      <c r="S322" s="206" t="s">
        <v>1492</v>
      </c>
      <c r="T322" s="261">
        <v>36963</v>
      </c>
      <c r="U322" s="206" t="s">
        <v>1491</v>
      </c>
      <c r="V322" s="473" t="s">
        <v>80</v>
      </c>
      <c r="W322" s="474"/>
    </row>
    <row r="323" spans="1:23" ht="12.75">
      <c r="A323" s="249">
        <v>46021.536458333336</v>
      </c>
      <c r="B323" s="250" t="s">
        <v>1493</v>
      </c>
      <c r="C323" s="139"/>
      <c r="D323" s="250" t="s">
        <v>45</v>
      </c>
      <c r="E323" s="251">
        <v>31679</v>
      </c>
      <c r="F323" s="250" t="s">
        <v>52</v>
      </c>
      <c r="G323" s="250" t="s">
        <v>1494</v>
      </c>
      <c r="H323" s="250" t="s">
        <v>1006</v>
      </c>
      <c r="I323" s="252" t="s">
        <v>4219</v>
      </c>
      <c r="J323" s="250" t="s">
        <v>1495</v>
      </c>
      <c r="K323" s="250" t="s">
        <v>29</v>
      </c>
      <c r="L323" s="250" t="s">
        <v>30</v>
      </c>
      <c r="M323" s="139"/>
      <c r="N323" s="250"/>
      <c r="O323" s="250"/>
      <c r="P323" s="250" t="s">
        <v>31</v>
      </c>
      <c r="Q323" s="253" t="s">
        <v>32</v>
      </c>
      <c r="R323" s="148"/>
      <c r="S323" s="254" t="s">
        <v>1493</v>
      </c>
      <c r="T323" s="206"/>
      <c r="U323" s="206"/>
      <c r="V323" s="206"/>
      <c r="W323" s="206"/>
    </row>
    <row r="324" spans="1:23" ht="12.75">
      <c r="A324" s="255">
        <v>46021.602430555555</v>
      </c>
      <c r="B324" s="141" t="s">
        <v>1496</v>
      </c>
      <c r="C324" s="141"/>
      <c r="D324" s="141" t="s">
        <v>45</v>
      </c>
      <c r="E324" s="256">
        <v>37869</v>
      </c>
      <c r="F324" s="141" t="s">
        <v>980</v>
      </c>
      <c r="G324" s="141" t="s">
        <v>1497</v>
      </c>
      <c r="H324" s="141" t="s">
        <v>368</v>
      </c>
      <c r="I324" s="252" t="s">
        <v>4219</v>
      </c>
      <c r="J324" s="141" t="s">
        <v>1498</v>
      </c>
      <c r="K324" s="141" t="s">
        <v>39</v>
      </c>
      <c r="L324" s="141" t="s">
        <v>152</v>
      </c>
      <c r="M324" s="141"/>
      <c r="N324" s="141"/>
      <c r="O324" s="141"/>
      <c r="P324" s="141" t="s">
        <v>31</v>
      </c>
      <c r="Q324" s="253" t="s">
        <v>32</v>
      </c>
      <c r="R324" s="152"/>
      <c r="S324" s="206" t="s">
        <v>1496</v>
      </c>
      <c r="T324" s="261">
        <v>37869</v>
      </c>
      <c r="U324" s="206" t="s">
        <v>1498</v>
      </c>
      <c r="V324" s="473" t="s">
        <v>80</v>
      </c>
      <c r="W324" s="474"/>
    </row>
    <row r="325" spans="1:23" ht="12.75">
      <c r="A325" s="274">
        <v>46021.660543981481</v>
      </c>
      <c r="B325" s="242" t="s">
        <v>1499</v>
      </c>
      <c r="C325" s="242"/>
      <c r="D325" s="242" t="s">
        <v>45</v>
      </c>
      <c r="E325" s="275">
        <v>35871</v>
      </c>
      <c r="F325" s="242" t="s">
        <v>980</v>
      </c>
      <c r="G325" s="242" t="s">
        <v>1500</v>
      </c>
      <c r="H325" s="242" t="s">
        <v>1501</v>
      </c>
      <c r="I325" s="241" t="s">
        <v>4219</v>
      </c>
      <c r="J325" s="242" t="s">
        <v>1502</v>
      </c>
      <c r="K325" s="242" t="s">
        <v>29</v>
      </c>
      <c r="L325" s="242" t="s">
        <v>30</v>
      </c>
      <c r="M325" s="242"/>
      <c r="N325" s="242"/>
      <c r="O325" s="242"/>
      <c r="P325" s="242" t="s">
        <v>31</v>
      </c>
      <c r="Q325" s="244" t="s">
        <v>32</v>
      </c>
      <c r="R325" s="248" t="s">
        <v>33</v>
      </c>
      <c r="S325" s="242" t="s">
        <v>1499</v>
      </c>
      <c r="T325" s="266">
        <v>35871</v>
      </c>
      <c r="U325" s="242" t="s">
        <v>1502</v>
      </c>
      <c r="V325" s="475" t="s">
        <v>80</v>
      </c>
      <c r="W325" s="474"/>
    </row>
    <row r="326" spans="1:23" ht="12.75">
      <c r="A326" s="255">
        <v>46021.703020833331</v>
      </c>
      <c r="B326" s="141" t="s">
        <v>1503</v>
      </c>
      <c r="C326" s="141"/>
      <c r="D326" s="141" t="s">
        <v>24</v>
      </c>
      <c r="E326" s="256">
        <v>45782</v>
      </c>
      <c r="F326" s="141" t="s">
        <v>980</v>
      </c>
      <c r="G326" s="141" t="s">
        <v>1504</v>
      </c>
      <c r="H326" s="141" t="s">
        <v>66</v>
      </c>
      <c r="I326" s="252" t="s">
        <v>4219</v>
      </c>
      <c r="J326" s="141" t="s">
        <v>1505</v>
      </c>
      <c r="K326" s="141" t="s">
        <v>29</v>
      </c>
      <c r="L326" s="141" t="s">
        <v>30</v>
      </c>
      <c r="M326" s="141"/>
      <c r="N326" s="141"/>
      <c r="O326" s="141"/>
      <c r="P326" s="141" t="s">
        <v>31</v>
      </c>
      <c r="Q326" s="253" t="s">
        <v>32</v>
      </c>
      <c r="R326" s="152" t="s">
        <v>33</v>
      </c>
      <c r="S326" s="206" t="s">
        <v>1503</v>
      </c>
      <c r="T326" s="261">
        <v>36651</v>
      </c>
      <c r="U326" s="206" t="s">
        <v>1506</v>
      </c>
      <c r="V326" s="206" t="s">
        <v>1507</v>
      </c>
      <c r="W326" s="206"/>
    </row>
    <row r="327" spans="1:23" ht="12.75">
      <c r="A327" s="274">
        <v>46021.725277777776</v>
      </c>
      <c r="B327" s="242" t="s">
        <v>1508</v>
      </c>
      <c r="C327" s="242" t="s">
        <v>1508</v>
      </c>
      <c r="D327" s="242" t="s">
        <v>24</v>
      </c>
      <c r="E327" s="275">
        <v>38404</v>
      </c>
      <c r="F327" s="242" t="s">
        <v>1362</v>
      </c>
      <c r="G327" s="242" t="s">
        <v>1509</v>
      </c>
      <c r="H327" s="242" t="s">
        <v>66</v>
      </c>
      <c r="I327" s="241" t="s">
        <v>4219</v>
      </c>
      <c r="J327" s="242" t="s">
        <v>1510</v>
      </c>
      <c r="K327" s="242" t="s">
        <v>29</v>
      </c>
      <c r="L327" s="242" t="s">
        <v>30</v>
      </c>
      <c r="M327" s="242"/>
      <c r="N327" s="242"/>
      <c r="O327" s="242"/>
      <c r="P327" s="242" t="s">
        <v>31</v>
      </c>
      <c r="Q327" s="244" t="s">
        <v>32</v>
      </c>
      <c r="R327" s="248" t="s">
        <v>33</v>
      </c>
      <c r="S327" s="242" t="s">
        <v>1508</v>
      </c>
      <c r="T327" s="266">
        <v>38404</v>
      </c>
      <c r="U327" s="242" t="s">
        <v>1510</v>
      </c>
      <c r="V327" s="475" t="s">
        <v>80</v>
      </c>
      <c r="W327" s="474"/>
    </row>
    <row r="328" spans="1:23" ht="12.75">
      <c r="A328" s="240">
        <v>46021.779097222221</v>
      </c>
      <c r="B328" s="241" t="s">
        <v>1511</v>
      </c>
      <c r="C328" s="242"/>
      <c r="D328" s="241" t="s">
        <v>45</v>
      </c>
      <c r="E328" s="243">
        <v>31717</v>
      </c>
      <c r="F328" s="241" t="s">
        <v>274</v>
      </c>
      <c r="G328" s="241" t="s">
        <v>1520</v>
      </c>
      <c r="H328" s="241" t="s">
        <v>4280</v>
      </c>
      <c r="I328" s="241" t="s">
        <v>4219</v>
      </c>
      <c r="J328" s="241" t="s">
        <v>1514</v>
      </c>
      <c r="K328" s="241" t="s">
        <v>29</v>
      </c>
      <c r="L328" s="241" t="s">
        <v>30</v>
      </c>
      <c r="M328" s="242"/>
      <c r="N328" s="241"/>
      <c r="O328" s="241"/>
      <c r="P328" s="241" t="s">
        <v>31</v>
      </c>
      <c r="Q328" s="244" t="s">
        <v>32</v>
      </c>
      <c r="R328" s="245" t="s">
        <v>33</v>
      </c>
      <c r="S328" s="246" t="s">
        <v>1511</v>
      </c>
      <c r="T328" s="242"/>
      <c r="U328" s="242"/>
      <c r="V328" s="242"/>
      <c r="W328" s="242"/>
    </row>
    <row r="329" spans="1:23" ht="12.75">
      <c r="A329" s="268">
        <v>46021.809664351851</v>
      </c>
      <c r="B329" s="269" t="s">
        <v>1515</v>
      </c>
      <c r="C329" s="269"/>
      <c r="D329" s="269" t="s">
        <v>45</v>
      </c>
      <c r="E329" s="270">
        <v>36135</v>
      </c>
      <c r="F329" s="141" t="s">
        <v>70</v>
      </c>
      <c r="G329" s="269" t="s">
        <v>1516</v>
      </c>
      <c r="H329" s="269" t="s">
        <v>1517</v>
      </c>
      <c r="I329" s="252" t="s">
        <v>4219</v>
      </c>
      <c r="J329" s="269" t="s">
        <v>1518</v>
      </c>
      <c r="K329" s="269" t="s">
        <v>29</v>
      </c>
      <c r="L329" s="269" t="s">
        <v>30</v>
      </c>
      <c r="M329" s="269"/>
      <c r="N329" s="269"/>
      <c r="O329" s="269"/>
      <c r="P329" s="269" t="s">
        <v>31</v>
      </c>
      <c r="Q329" s="253" t="s">
        <v>32</v>
      </c>
      <c r="R329" s="148"/>
      <c r="S329" s="206" t="s">
        <v>1515</v>
      </c>
      <c r="T329" s="261">
        <v>36135</v>
      </c>
      <c r="U329" s="206" t="s">
        <v>1518</v>
      </c>
      <c r="V329" s="473" t="s">
        <v>80</v>
      </c>
      <c r="W329" s="474"/>
    </row>
    <row r="330" spans="1:23" ht="12.75">
      <c r="A330" s="274">
        <v>46021.904548611114</v>
      </c>
      <c r="B330" s="242" t="s">
        <v>1519</v>
      </c>
      <c r="C330" s="242"/>
      <c r="D330" s="242" t="s">
        <v>45</v>
      </c>
      <c r="E330" s="275">
        <v>30425</v>
      </c>
      <c r="F330" s="242" t="s">
        <v>274</v>
      </c>
      <c r="G330" s="242" t="s">
        <v>1520</v>
      </c>
      <c r="H330" s="242" t="s">
        <v>1521</v>
      </c>
      <c r="I330" s="241" t="s">
        <v>4219</v>
      </c>
      <c r="J330" s="242" t="s">
        <v>1522</v>
      </c>
      <c r="K330" s="242" t="s">
        <v>29</v>
      </c>
      <c r="L330" s="242" t="s">
        <v>30</v>
      </c>
      <c r="M330" s="242"/>
      <c r="N330" s="242"/>
      <c r="O330" s="242"/>
      <c r="P330" s="242" t="s">
        <v>31</v>
      </c>
      <c r="Q330" s="244" t="s">
        <v>32</v>
      </c>
      <c r="R330" s="245" t="s">
        <v>33</v>
      </c>
      <c r="S330" s="242" t="s">
        <v>1519</v>
      </c>
      <c r="T330" s="266">
        <v>30425</v>
      </c>
      <c r="U330" s="242" t="s">
        <v>1522</v>
      </c>
      <c r="V330" s="475" t="s">
        <v>80</v>
      </c>
      <c r="W330" s="474"/>
    </row>
    <row r="331" spans="1:23" ht="12.75">
      <c r="A331" s="282">
        <v>46021.929826388892</v>
      </c>
      <c r="B331" s="283" t="s">
        <v>1523</v>
      </c>
      <c r="C331" s="283" t="s">
        <v>1524</v>
      </c>
      <c r="D331" s="283" t="s">
        <v>45</v>
      </c>
      <c r="E331" s="284">
        <v>35123</v>
      </c>
      <c r="F331" s="283" t="s">
        <v>980</v>
      </c>
      <c r="G331" s="283" t="s">
        <v>1013</v>
      </c>
      <c r="H331" s="283" t="s">
        <v>66</v>
      </c>
      <c r="I331" s="241" t="s">
        <v>4219</v>
      </c>
      <c r="J331" s="283" t="s">
        <v>1525</v>
      </c>
      <c r="K331" s="283" t="s">
        <v>39</v>
      </c>
      <c r="L331" s="283" t="s">
        <v>621</v>
      </c>
      <c r="M331" s="283"/>
      <c r="N331" s="283"/>
      <c r="O331" s="283"/>
      <c r="P331" s="283" t="s">
        <v>31</v>
      </c>
      <c r="Q331" s="244" t="s">
        <v>32</v>
      </c>
      <c r="R331" s="248" t="s">
        <v>33</v>
      </c>
      <c r="S331" s="242" t="s">
        <v>1523</v>
      </c>
      <c r="T331" s="266">
        <v>35123</v>
      </c>
      <c r="U331" s="242" t="s">
        <v>1525</v>
      </c>
      <c r="V331" s="475" t="s">
        <v>80</v>
      </c>
      <c r="W331" s="474"/>
    </row>
    <row r="332" spans="1:23" ht="12.75">
      <c r="A332" s="274">
        <v>46021.989988425928</v>
      </c>
      <c r="B332" s="242" t="s">
        <v>1526</v>
      </c>
      <c r="C332" s="242"/>
      <c r="D332" s="242" t="s">
        <v>24</v>
      </c>
      <c r="E332" s="275">
        <v>33794</v>
      </c>
      <c r="F332" s="242" t="s">
        <v>227</v>
      </c>
      <c r="G332" s="242" t="s">
        <v>1527</v>
      </c>
      <c r="H332" s="242" t="s">
        <v>1528</v>
      </c>
      <c r="I332" s="241" t="s">
        <v>4219</v>
      </c>
      <c r="J332" s="242" t="s">
        <v>1529</v>
      </c>
      <c r="K332" s="242" t="s">
        <v>29</v>
      </c>
      <c r="L332" s="242" t="s">
        <v>30</v>
      </c>
      <c r="M332" s="242" t="s">
        <v>4281</v>
      </c>
      <c r="N332" s="242" t="s">
        <v>4282</v>
      </c>
      <c r="O332" s="241" t="s">
        <v>301</v>
      </c>
      <c r="P332" s="242" t="s">
        <v>31</v>
      </c>
      <c r="Q332" s="244" t="s">
        <v>32</v>
      </c>
      <c r="R332" s="248" t="s">
        <v>33</v>
      </c>
      <c r="S332" s="242" t="s">
        <v>1526</v>
      </c>
      <c r="T332" s="266">
        <v>33794</v>
      </c>
      <c r="U332" s="242" t="s">
        <v>1529</v>
      </c>
      <c r="V332" s="475" t="s">
        <v>80</v>
      </c>
      <c r="W332" s="474"/>
    </row>
    <row r="333" spans="1:23" ht="12.75">
      <c r="A333" s="255">
        <v>46021.993414351855</v>
      </c>
      <c r="B333" s="141" t="s">
        <v>1532</v>
      </c>
      <c r="C333" s="141"/>
      <c r="D333" s="141" t="s">
        <v>24</v>
      </c>
      <c r="E333" s="256">
        <v>36284</v>
      </c>
      <c r="F333" s="141" t="s">
        <v>70</v>
      </c>
      <c r="G333" s="141" t="s">
        <v>1533</v>
      </c>
      <c r="H333" s="141" t="s">
        <v>1534</v>
      </c>
      <c r="I333" s="252" t="s">
        <v>4219</v>
      </c>
      <c r="J333" s="141" t="s">
        <v>1535</v>
      </c>
      <c r="K333" s="141" t="s">
        <v>29</v>
      </c>
      <c r="L333" s="141" t="s">
        <v>30</v>
      </c>
      <c r="M333" s="141" t="s">
        <v>1536</v>
      </c>
      <c r="N333" s="141"/>
      <c r="O333" s="141"/>
      <c r="P333" s="141" t="s">
        <v>31</v>
      </c>
      <c r="Q333" s="253" t="s">
        <v>32</v>
      </c>
      <c r="R333" s="152"/>
      <c r="S333" s="206" t="s">
        <v>1532</v>
      </c>
      <c r="T333" s="261">
        <v>36284</v>
      </c>
      <c r="U333" s="206" t="s">
        <v>1535</v>
      </c>
      <c r="V333" s="473" t="s">
        <v>80</v>
      </c>
      <c r="W333" s="474"/>
    </row>
    <row r="334" spans="1:23" ht="12.75">
      <c r="A334" s="249">
        <v>46022.042395833334</v>
      </c>
      <c r="B334" s="250" t="s">
        <v>1537</v>
      </c>
      <c r="C334" s="139"/>
      <c r="D334" s="250" t="s">
        <v>45</v>
      </c>
      <c r="E334" s="251">
        <v>37717</v>
      </c>
      <c r="F334" s="250" t="s">
        <v>64</v>
      </c>
      <c r="G334" s="250" t="s">
        <v>4283</v>
      </c>
      <c r="H334" s="250" t="s">
        <v>138</v>
      </c>
      <c r="I334" s="252" t="s">
        <v>4219</v>
      </c>
      <c r="J334" s="250" t="s">
        <v>1539</v>
      </c>
      <c r="K334" s="250" t="s">
        <v>29</v>
      </c>
      <c r="L334" s="250" t="s">
        <v>162</v>
      </c>
      <c r="M334" s="139"/>
      <c r="N334" s="250"/>
      <c r="O334" s="250"/>
      <c r="P334" s="250" t="s">
        <v>31</v>
      </c>
      <c r="Q334" s="253" t="s">
        <v>32</v>
      </c>
      <c r="R334" s="148"/>
      <c r="S334" s="254" t="s">
        <v>1540</v>
      </c>
      <c r="T334" s="206"/>
      <c r="U334" s="206"/>
      <c r="V334" s="206"/>
      <c r="W334" s="206"/>
    </row>
    <row r="335" spans="1:23" ht="12.75">
      <c r="A335" s="255">
        <v>46022.153796296298</v>
      </c>
      <c r="B335" s="141" t="s">
        <v>1541</v>
      </c>
      <c r="C335" s="141"/>
      <c r="D335" s="141" t="s">
        <v>24</v>
      </c>
      <c r="E335" s="256">
        <v>38421</v>
      </c>
      <c r="F335" s="141" t="s">
        <v>232</v>
      </c>
      <c r="G335" s="141" t="s">
        <v>1542</v>
      </c>
      <c r="H335" s="141" t="s">
        <v>90</v>
      </c>
      <c r="I335" s="252" t="s">
        <v>4219</v>
      </c>
      <c r="J335" s="141" t="s">
        <v>1543</v>
      </c>
      <c r="K335" s="141" t="s">
        <v>29</v>
      </c>
      <c r="L335" s="141" t="s">
        <v>162</v>
      </c>
      <c r="M335" s="141"/>
      <c r="N335" s="141"/>
      <c r="O335" s="141"/>
      <c r="P335" s="141" t="s">
        <v>31</v>
      </c>
      <c r="Q335" s="257" t="s">
        <v>56</v>
      </c>
      <c r="R335" s="24"/>
      <c r="S335" s="206"/>
      <c r="T335" s="258"/>
      <c r="U335" s="206"/>
      <c r="V335" s="206"/>
      <c r="W335" s="206"/>
    </row>
    <row r="336" spans="1:23" ht="12.75">
      <c r="A336" s="255">
        <v>46022.165266203701</v>
      </c>
      <c r="B336" s="141" t="s">
        <v>1544</v>
      </c>
      <c r="C336" s="141"/>
      <c r="D336" s="141" t="s">
        <v>45</v>
      </c>
      <c r="E336" s="256">
        <v>38578</v>
      </c>
      <c r="F336" s="141" t="s">
        <v>83</v>
      </c>
      <c r="G336" s="141" t="s">
        <v>1545</v>
      </c>
      <c r="H336" s="141" t="s">
        <v>66</v>
      </c>
      <c r="I336" s="252" t="s">
        <v>4223</v>
      </c>
      <c r="J336" s="141" t="s">
        <v>1546</v>
      </c>
      <c r="K336" s="141" t="s">
        <v>29</v>
      </c>
      <c r="L336" s="141" t="s">
        <v>30</v>
      </c>
      <c r="M336" s="141"/>
      <c r="N336" s="141"/>
      <c r="O336" s="141"/>
      <c r="P336" s="141" t="s">
        <v>31</v>
      </c>
      <c r="Q336" s="253" t="s">
        <v>32</v>
      </c>
      <c r="R336" s="152"/>
      <c r="S336" s="206" t="s">
        <v>1547</v>
      </c>
      <c r="T336" s="261">
        <v>38578</v>
      </c>
      <c r="U336" s="206" t="s">
        <v>1546</v>
      </c>
      <c r="V336" s="473" t="s">
        <v>154</v>
      </c>
      <c r="W336" s="474"/>
    </row>
    <row r="337" spans="1:23" ht="12.75">
      <c r="A337" s="297">
        <v>46022.286446759259</v>
      </c>
      <c r="B337" s="298" t="s">
        <v>1548</v>
      </c>
      <c r="C337" s="298"/>
      <c r="D337" s="298" t="s">
        <v>45</v>
      </c>
      <c r="E337" s="299">
        <v>36291</v>
      </c>
      <c r="F337" s="298" t="s">
        <v>1549</v>
      </c>
      <c r="G337" s="298" t="s">
        <v>84</v>
      </c>
      <c r="H337" s="298" t="s">
        <v>1550</v>
      </c>
      <c r="I337" s="252" t="s">
        <v>4223</v>
      </c>
      <c r="J337" s="298" t="s">
        <v>1551</v>
      </c>
      <c r="K337" s="298" t="s">
        <v>29</v>
      </c>
      <c r="L337" s="298" t="s">
        <v>30</v>
      </c>
      <c r="M337" s="298"/>
      <c r="N337" s="298"/>
      <c r="O337" s="298"/>
      <c r="P337" s="298" t="s">
        <v>31</v>
      </c>
      <c r="Q337" s="253" t="s">
        <v>32</v>
      </c>
      <c r="R337" s="148"/>
      <c r="S337" s="206" t="s">
        <v>1552</v>
      </c>
      <c r="T337" s="261">
        <v>36291</v>
      </c>
      <c r="U337" s="206" t="s">
        <v>1551</v>
      </c>
      <c r="V337" s="473" t="s">
        <v>154</v>
      </c>
      <c r="W337" s="474"/>
    </row>
    <row r="338" spans="1:23" ht="12.75">
      <c r="A338" s="297">
        <v>46022.298796296294</v>
      </c>
      <c r="B338" s="298" t="s">
        <v>1553</v>
      </c>
      <c r="C338" s="298"/>
      <c r="D338" s="298" t="s">
        <v>24</v>
      </c>
      <c r="E338" s="299">
        <v>37213</v>
      </c>
      <c r="F338" s="141" t="s">
        <v>88</v>
      </c>
      <c r="G338" s="298" t="s">
        <v>1554</v>
      </c>
      <c r="H338" s="298" t="s">
        <v>1555</v>
      </c>
      <c r="I338" s="252" t="s">
        <v>4223</v>
      </c>
      <c r="J338" s="298" t="s">
        <v>1556</v>
      </c>
      <c r="K338" s="298" t="s">
        <v>29</v>
      </c>
      <c r="L338" s="298" t="s">
        <v>30</v>
      </c>
      <c r="M338" s="298"/>
      <c r="N338" s="298"/>
      <c r="O338" s="298"/>
      <c r="P338" s="298" t="s">
        <v>31</v>
      </c>
      <c r="Q338" s="253" t="s">
        <v>32</v>
      </c>
      <c r="R338" s="152"/>
      <c r="S338" s="206" t="s">
        <v>1553</v>
      </c>
      <c r="T338" s="261">
        <v>37213</v>
      </c>
      <c r="U338" s="206" t="s">
        <v>1556</v>
      </c>
      <c r="V338" s="473" t="s">
        <v>80</v>
      </c>
      <c r="W338" s="474"/>
    </row>
    <row r="339" spans="1:23" ht="12.75">
      <c r="A339" s="282">
        <v>46022.304710648146</v>
      </c>
      <c r="B339" s="283" t="s">
        <v>1557</v>
      </c>
      <c r="C339" s="283"/>
      <c r="D339" s="283" t="s">
        <v>24</v>
      </c>
      <c r="E339" s="284">
        <v>34921</v>
      </c>
      <c r="F339" s="283" t="s">
        <v>751</v>
      </c>
      <c r="G339" s="283" t="s">
        <v>1558</v>
      </c>
      <c r="H339" s="283" t="s">
        <v>1559</v>
      </c>
      <c r="I339" s="241" t="s">
        <v>4223</v>
      </c>
      <c r="J339" s="283" t="s">
        <v>1560</v>
      </c>
      <c r="K339" s="283" t="s">
        <v>29</v>
      </c>
      <c r="L339" s="283" t="s">
        <v>30</v>
      </c>
      <c r="M339" s="302"/>
      <c r="N339" s="283"/>
      <c r="O339" s="283"/>
      <c r="P339" s="283" t="s">
        <v>31</v>
      </c>
      <c r="Q339" s="244" t="s">
        <v>32</v>
      </c>
      <c r="R339" s="248" t="s">
        <v>33</v>
      </c>
      <c r="S339" s="242" t="s">
        <v>1557</v>
      </c>
      <c r="T339" s="266">
        <v>34921</v>
      </c>
      <c r="U339" s="242" t="s">
        <v>1560</v>
      </c>
      <c r="V339" s="475" t="s">
        <v>80</v>
      </c>
      <c r="W339" s="474"/>
    </row>
    <row r="340" spans="1:23" ht="12.75">
      <c r="A340" s="255">
        <v>46022.307395833333</v>
      </c>
      <c r="B340" s="141" t="s">
        <v>1561</v>
      </c>
      <c r="C340" s="141"/>
      <c r="D340" s="141" t="s">
        <v>24</v>
      </c>
      <c r="E340" s="256">
        <v>36177</v>
      </c>
      <c r="F340" s="141" t="s">
        <v>751</v>
      </c>
      <c r="G340" s="141" t="s">
        <v>1562</v>
      </c>
      <c r="H340" s="141" t="s">
        <v>943</v>
      </c>
      <c r="I340" s="252" t="s">
        <v>4223</v>
      </c>
      <c r="J340" s="141" t="s">
        <v>1563</v>
      </c>
      <c r="K340" s="141" t="s">
        <v>29</v>
      </c>
      <c r="L340" s="141" t="s">
        <v>30</v>
      </c>
      <c r="M340" s="141"/>
      <c r="N340" s="141"/>
      <c r="O340" s="141"/>
      <c r="P340" s="141" t="s">
        <v>31</v>
      </c>
      <c r="Q340" s="253" t="s">
        <v>32</v>
      </c>
      <c r="R340" s="152" t="s">
        <v>33</v>
      </c>
      <c r="S340" s="206" t="s">
        <v>1564</v>
      </c>
      <c r="T340" s="261">
        <v>36177</v>
      </c>
      <c r="U340" s="206" t="s">
        <v>1563</v>
      </c>
      <c r="V340" s="473" t="s">
        <v>154</v>
      </c>
      <c r="W340" s="474"/>
    </row>
    <row r="341" spans="1:23" ht="12.75">
      <c r="A341" s="274">
        <v>46022.475474537037</v>
      </c>
      <c r="B341" s="242" t="s">
        <v>1565</v>
      </c>
      <c r="C341" s="242"/>
      <c r="D341" s="242" t="s">
        <v>24</v>
      </c>
      <c r="E341" s="275">
        <v>37841</v>
      </c>
      <c r="F341" s="242" t="s">
        <v>980</v>
      </c>
      <c r="G341" s="242" t="s">
        <v>985</v>
      </c>
      <c r="H341" s="242" t="s">
        <v>368</v>
      </c>
      <c r="I341" s="241" t="s">
        <v>4219</v>
      </c>
      <c r="J341" s="242" t="s">
        <v>1566</v>
      </c>
      <c r="K341" s="242" t="s">
        <v>39</v>
      </c>
      <c r="L341" s="242" t="s">
        <v>152</v>
      </c>
      <c r="M341" s="242"/>
      <c r="N341" s="242"/>
      <c r="O341" s="242"/>
      <c r="P341" s="242" t="s">
        <v>31</v>
      </c>
      <c r="Q341" s="244" t="s">
        <v>32</v>
      </c>
      <c r="R341" s="248" t="s">
        <v>33</v>
      </c>
      <c r="S341" s="242" t="s">
        <v>1565</v>
      </c>
      <c r="T341" s="266">
        <v>37841</v>
      </c>
      <c r="U341" s="242" t="s">
        <v>1566</v>
      </c>
      <c r="V341" s="475" t="s">
        <v>80</v>
      </c>
      <c r="W341" s="474"/>
    </row>
    <row r="342" spans="1:23" ht="12.75">
      <c r="A342" s="259">
        <v>46022.476331018515</v>
      </c>
      <c r="B342" s="252" t="s">
        <v>1567</v>
      </c>
      <c r="C342" s="141"/>
      <c r="D342" s="252" t="s">
        <v>45</v>
      </c>
      <c r="E342" s="260">
        <v>28103</v>
      </c>
      <c r="F342" s="252" t="s">
        <v>652</v>
      </c>
      <c r="G342" s="252" t="s">
        <v>1568</v>
      </c>
      <c r="H342" s="252" t="s">
        <v>1569</v>
      </c>
      <c r="I342" s="252" t="s">
        <v>4219</v>
      </c>
      <c r="J342" s="252" t="s">
        <v>1570</v>
      </c>
      <c r="K342" s="252" t="s">
        <v>29</v>
      </c>
      <c r="L342" s="252" t="s">
        <v>30</v>
      </c>
      <c r="M342" s="141"/>
      <c r="N342" s="252"/>
      <c r="O342" s="252"/>
      <c r="P342" s="252" t="s">
        <v>31</v>
      </c>
      <c r="Q342" s="253" t="s">
        <v>32</v>
      </c>
      <c r="R342" s="152"/>
      <c r="S342" s="24" t="s">
        <v>1567</v>
      </c>
      <c r="T342" s="206"/>
      <c r="U342" s="206"/>
      <c r="V342" s="206"/>
      <c r="W342" s="206"/>
    </row>
    <row r="343" spans="1:23" ht="12.75">
      <c r="A343" s="274">
        <v>46022.57402777778</v>
      </c>
      <c r="B343" s="242" t="s">
        <v>1571</v>
      </c>
      <c r="C343" s="242"/>
      <c r="D343" s="242" t="s">
        <v>45</v>
      </c>
      <c r="E343" s="275">
        <v>26548</v>
      </c>
      <c r="F343" s="242" t="s">
        <v>1572</v>
      </c>
      <c r="G343" s="242" t="s">
        <v>209</v>
      </c>
      <c r="H343" s="242" t="s">
        <v>1573</v>
      </c>
      <c r="I343" s="241" t="s">
        <v>4237</v>
      </c>
      <c r="J343" s="242" t="s">
        <v>1574</v>
      </c>
      <c r="K343" s="242" t="s">
        <v>39</v>
      </c>
      <c r="L343" s="242" t="s">
        <v>162</v>
      </c>
      <c r="M343" s="242" t="s">
        <v>1575</v>
      </c>
      <c r="N343" s="242"/>
      <c r="O343" s="242"/>
      <c r="P343" s="242" t="s">
        <v>31</v>
      </c>
      <c r="Q343" s="244" t="s">
        <v>32</v>
      </c>
      <c r="R343" s="245" t="s">
        <v>33</v>
      </c>
      <c r="S343" s="242" t="s">
        <v>1576</v>
      </c>
      <c r="T343" s="266">
        <v>26548</v>
      </c>
      <c r="U343" s="242" t="s">
        <v>1574</v>
      </c>
      <c r="V343" s="475" t="s">
        <v>154</v>
      </c>
      <c r="W343" s="474"/>
    </row>
    <row r="344" spans="1:23" ht="12.75">
      <c r="A344" s="255">
        <v>46022.706516203703</v>
      </c>
      <c r="B344" s="141" t="s">
        <v>1577</v>
      </c>
      <c r="C344" s="141"/>
      <c r="D344" s="141" t="s">
        <v>45</v>
      </c>
      <c r="E344" s="256">
        <v>36305</v>
      </c>
      <c r="F344" s="141" t="s">
        <v>208</v>
      </c>
      <c r="G344" s="141" t="s">
        <v>1578</v>
      </c>
      <c r="H344" s="141" t="s">
        <v>276</v>
      </c>
      <c r="I344" s="252" t="s">
        <v>4223</v>
      </c>
      <c r="J344" s="141" t="s">
        <v>1579</v>
      </c>
      <c r="K344" s="141" t="s">
        <v>29</v>
      </c>
      <c r="L344" s="141" t="s">
        <v>30</v>
      </c>
      <c r="M344" s="141"/>
      <c r="N344" s="141"/>
      <c r="O344" s="141"/>
      <c r="P344" s="141" t="s">
        <v>31</v>
      </c>
      <c r="Q344" s="253" t="s">
        <v>32</v>
      </c>
      <c r="R344" s="148"/>
      <c r="S344" s="206" t="s">
        <v>1580</v>
      </c>
      <c r="T344" s="261">
        <v>36305</v>
      </c>
      <c r="U344" s="206" t="s">
        <v>1579</v>
      </c>
      <c r="V344" s="473" t="s">
        <v>80</v>
      </c>
      <c r="W344" s="474"/>
    </row>
    <row r="345" spans="1:23" ht="12.75">
      <c r="A345" s="274">
        <v>46022.748981481483</v>
      </c>
      <c r="B345" s="242" t="s">
        <v>1581</v>
      </c>
      <c r="C345" s="242"/>
      <c r="D345" s="242" t="s">
        <v>45</v>
      </c>
      <c r="E345" s="275">
        <v>32515</v>
      </c>
      <c r="F345" s="242" t="s">
        <v>980</v>
      </c>
      <c r="G345" s="242" t="s">
        <v>1080</v>
      </c>
      <c r="H345" s="242" t="s">
        <v>1582</v>
      </c>
      <c r="I345" s="241" t="s">
        <v>4219</v>
      </c>
      <c r="J345" s="242" t="s">
        <v>1583</v>
      </c>
      <c r="K345" s="242" t="s">
        <v>39</v>
      </c>
      <c r="L345" s="242" t="s">
        <v>152</v>
      </c>
      <c r="M345" s="242"/>
      <c r="N345" s="242"/>
      <c r="O345" s="242"/>
      <c r="P345" s="242" t="s">
        <v>31</v>
      </c>
      <c r="Q345" s="244" t="s">
        <v>32</v>
      </c>
      <c r="R345" s="245" t="s">
        <v>33</v>
      </c>
      <c r="S345" s="242" t="s">
        <v>1584</v>
      </c>
      <c r="T345" s="266">
        <v>32515</v>
      </c>
      <c r="U345" s="242" t="s">
        <v>1583</v>
      </c>
      <c r="V345" s="475" t="s">
        <v>154</v>
      </c>
      <c r="W345" s="474"/>
    </row>
    <row r="346" spans="1:23" ht="12.75">
      <c r="A346" s="274">
        <v>46022.751805555556</v>
      </c>
      <c r="B346" s="242" t="s">
        <v>1585</v>
      </c>
      <c r="C346" s="242" t="s">
        <v>1586</v>
      </c>
      <c r="D346" s="242" t="s">
        <v>24</v>
      </c>
      <c r="E346" s="275">
        <v>33802</v>
      </c>
      <c r="F346" s="242" t="s">
        <v>980</v>
      </c>
      <c r="G346" s="242" t="s">
        <v>1587</v>
      </c>
      <c r="H346" s="242" t="s">
        <v>1588</v>
      </c>
      <c r="I346" s="241" t="s">
        <v>4219</v>
      </c>
      <c r="J346" s="242" t="s">
        <v>1583</v>
      </c>
      <c r="K346" s="242" t="s">
        <v>39</v>
      </c>
      <c r="L346" s="242" t="s">
        <v>152</v>
      </c>
      <c r="M346" s="242" t="s">
        <v>1589</v>
      </c>
      <c r="N346" s="247" t="s">
        <v>1590</v>
      </c>
      <c r="O346" s="241" t="s">
        <v>42</v>
      </c>
      <c r="P346" s="242" t="s">
        <v>31</v>
      </c>
      <c r="Q346" s="244" t="s">
        <v>32</v>
      </c>
      <c r="R346" s="248" t="s">
        <v>33</v>
      </c>
      <c r="S346" s="242" t="s">
        <v>1591</v>
      </c>
      <c r="T346" s="266">
        <v>33802</v>
      </c>
      <c r="U346" s="242" t="s">
        <v>1583</v>
      </c>
      <c r="V346" s="475" t="s">
        <v>316</v>
      </c>
      <c r="W346" s="474"/>
    </row>
    <row r="347" spans="1:23" ht="12.75">
      <c r="A347" s="249">
        <v>46022.787488425929</v>
      </c>
      <c r="B347" s="250" t="s">
        <v>4284</v>
      </c>
      <c r="C347" s="139"/>
      <c r="D347" s="250" t="s">
        <v>45</v>
      </c>
      <c r="E347" s="251">
        <v>34716</v>
      </c>
      <c r="F347" s="250" t="s">
        <v>1593</v>
      </c>
      <c r="G347" s="250" t="s">
        <v>4285</v>
      </c>
      <c r="H347" s="250" t="s">
        <v>111</v>
      </c>
      <c r="I347" s="252" t="s">
        <v>4237</v>
      </c>
      <c r="J347" s="250" t="s">
        <v>1596</v>
      </c>
      <c r="K347" s="250" t="s">
        <v>29</v>
      </c>
      <c r="L347" s="250" t="s">
        <v>30</v>
      </c>
      <c r="M347" s="139"/>
      <c r="N347" s="250"/>
      <c r="O347" s="250"/>
      <c r="P347" s="250" t="s">
        <v>31</v>
      </c>
      <c r="Q347" s="253" t="s">
        <v>32</v>
      </c>
      <c r="R347" s="152" t="s">
        <v>33</v>
      </c>
      <c r="S347" s="254" t="s">
        <v>1597</v>
      </c>
      <c r="T347" s="206"/>
      <c r="U347" s="206"/>
      <c r="V347" s="206"/>
      <c r="W347" s="206"/>
    </row>
    <row r="348" spans="1:23" ht="12.75">
      <c r="A348" s="274">
        <v>46022.810127314813</v>
      </c>
      <c r="B348" s="475" t="s">
        <v>1598</v>
      </c>
      <c r="C348" s="474"/>
      <c r="D348" s="242" t="s">
        <v>45</v>
      </c>
      <c r="E348" s="275">
        <v>34193</v>
      </c>
      <c r="F348" s="242" t="s">
        <v>64</v>
      </c>
      <c r="G348" s="242" t="s">
        <v>1599</v>
      </c>
      <c r="H348" s="242" t="s">
        <v>1600</v>
      </c>
      <c r="I348" s="241" t="s">
        <v>4219</v>
      </c>
      <c r="J348" s="242" t="s">
        <v>1601</v>
      </c>
      <c r="K348" s="242" t="s">
        <v>29</v>
      </c>
      <c r="L348" s="242" t="s">
        <v>30</v>
      </c>
      <c r="M348" s="242"/>
      <c r="N348" s="242"/>
      <c r="O348" s="242"/>
      <c r="P348" s="242" t="s">
        <v>31</v>
      </c>
      <c r="Q348" s="244" t="s">
        <v>32</v>
      </c>
      <c r="R348" s="248" t="s">
        <v>33</v>
      </c>
      <c r="S348" s="242" t="s">
        <v>1602</v>
      </c>
      <c r="T348" s="266">
        <v>34193</v>
      </c>
      <c r="U348" s="242" t="s">
        <v>1601</v>
      </c>
      <c r="V348" s="475" t="s">
        <v>154</v>
      </c>
      <c r="W348" s="474"/>
    </row>
    <row r="349" spans="1:23" ht="12.75">
      <c r="A349" s="255">
        <v>46022.829918981479</v>
      </c>
      <c r="B349" s="141" t="s">
        <v>1603</v>
      </c>
      <c r="C349" s="141"/>
      <c r="D349" s="141" t="s">
        <v>24</v>
      </c>
      <c r="E349" s="256">
        <v>36640</v>
      </c>
      <c r="F349" s="141" t="s">
        <v>70</v>
      </c>
      <c r="G349" s="141" t="s">
        <v>1604</v>
      </c>
      <c r="H349" s="141" t="s">
        <v>1605</v>
      </c>
      <c r="I349" s="252" t="s">
        <v>4219</v>
      </c>
      <c r="J349" s="141" t="s">
        <v>1606</v>
      </c>
      <c r="K349" s="141" t="s">
        <v>39</v>
      </c>
      <c r="L349" s="141" t="s">
        <v>30</v>
      </c>
      <c r="M349" s="141"/>
      <c r="N349" s="141"/>
      <c r="O349" s="141"/>
      <c r="P349" s="141" t="s">
        <v>31</v>
      </c>
      <c r="Q349" s="253" t="s">
        <v>32</v>
      </c>
      <c r="R349" s="152" t="s">
        <v>33</v>
      </c>
      <c r="S349" s="206" t="s">
        <v>1607</v>
      </c>
      <c r="T349" s="261">
        <v>36640</v>
      </c>
      <c r="U349" s="206" t="s">
        <v>1606</v>
      </c>
      <c r="V349" s="473" t="s">
        <v>154</v>
      </c>
      <c r="W349" s="474"/>
    </row>
    <row r="350" spans="1:23" ht="12.75">
      <c r="A350" s="274">
        <v>46022.859351851854</v>
      </c>
      <c r="B350" s="242" t="s">
        <v>1608</v>
      </c>
      <c r="C350" s="242"/>
      <c r="D350" s="242" t="s">
        <v>45</v>
      </c>
      <c r="E350" s="275">
        <v>37485</v>
      </c>
      <c r="F350" s="242" t="s">
        <v>486</v>
      </c>
      <c r="G350" s="242" t="s">
        <v>1609</v>
      </c>
      <c r="H350" s="242" t="s">
        <v>1610</v>
      </c>
      <c r="I350" s="241" t="s">
        <v>4237</v>
      </c>
      <c r="J350" s="242" t="s">
        <v>1611</v>
      </c>
      <c r="K350" s="242" t="s">
        <v>29</v>
      </c>
      <c r="L350" s="242" t="s">
        <v>30</v>
      </c>
      <c r="M350" s="242"/>
      <c r="N350" s="242"/>
      <c r="O350" s="242"/>
      <c r="P350" s="242" t="s">
        <v>31</v>
      </c>
      <c r="Q350" s="244" t="s">
        <v>32</v>
      </c>
      <c r="R350" s="248" t="s">
        <v>33</v>
      </c>
      <c r="S350" s="242" t="s">
        <v>1608</v>
      </c>
      <c r="T350" s="266">
        <v>37485</v>
      </c>
      <c r="U350" s="242" t="s">
        <v>1611</v>
      </c>
      <c r="V350" s="475" t="s">
        <v>80</v>
      </c>
      <c r="W350" s="474"/>
    </row>
    <row r="351" spans="1:23" ht="12.75">
      <c r="A351" s="255">
        <v>46022.892071759263</v>
      </c>
      <c r="B351" s="141" t="s">
        <v>1612</v>
      </c>
      <c r="C351" s="141"/>
      <c r="D351" s="141" t="s">
        <v>24</v>
      </c>
      <c r="E351" s="256">
        <v>33796</v>
      </c>
      <c r="F351" s="141" t="s">
        <v>980</v>
      </c>
      <c r="G351" s="141" t="s">
        <v>1613</v>
      </c>
      <c r="H351" s="141" t="s">
        <v>1614</v>
      </c>
      <c r="I351" s="252" t="s">
        <v>4219</v>
      </c>
      <c r="J351" s="141" t="s">
        <v>1615</v>
      </c>
      <c r="K351" s="141" t="s">
        <v>39</v>
      </c>
      <c r="L351" s="141" t="s">
        <v>152</v>
      </c>
      <c r="M351" s="141" t="s">
        <v>1616</v>
      </c>
      <c r="N351" s="141"/>
      <c r="O351" s="141"/>
      <c r="P351" s="141" t="s">
        <v>31</v>
      </c>
      <c r="Q351" s="253" t="s">
        <v>32</v>
      </c>
      <c r="R351" s="152" t="s">
        <v>33</v>
      </c>
      <c r="S351" s="206" t="s">
        <v>1612</v>
      </c>
      <c r="T351" s="261">
        <v>33796</v>
      </c>
      <c r="U351" s="206" t="s">
        <v>1615</v>
      </c>
      <c r="V351" s="473" t="s">
        <v>80</v>
      </c>
      <c r="W351" s="474"/>
    </row>
    <row r="352" spans="1:23" ht="12.75">
      <c r="A352" s="274">
        <v>46022.911192129628</v>
      </c>
      <c r="B352" s="242" t="s">
        <v>1617</v>
      </c>
      <c r="C352" s="242"/>
      <c r="D352" s="242" t="s">
        <v>45</v>
      </c>
      <c r="E352" s="275">
        <v>26568</v>
      </c>
      <c r="F352" s="242" t="s">
        <v>416</v>
      </c>
      <c r="G352" s="242" t="s">
        <v>1618</v>
      </c>
      <c r="H352" s="242" t="s">
        <v>1619</v>
      </c>
      <c r="I352" s="241" t="s">
        <v>4219</v>
      </c>
      <c r="J352" s="242" t="s">
        <v>1620</v>
      </c>
      <c r="K352" s="242" t="s">
        <v>29</v>
      </c>
      <c r="L352" s="242" t="s">
        <v>30</v>
      </c>
      <c r="M352" s="242"/>
      <c r="N352" s="242"/>
      <c r="O352" s="242"/>
      <c r="P352" s="242" t="s">
        <v>31</v>
      </c>
      <c r="Q352" s="244" t="s">
        <v>32</v>
      </c>
      <c r="R352" s="248" t="s">
        <v>33</v>
      </c>
      <c r="S352" s="242" t="s">
        <v>1617</v>
      </c>
      <c r="T352" s="266">
        <v>26568</v>
      </c>
      <c r="U352" s="242" t="s">
        <v>1620</v>
      </c>
      <c r="V352" s="475" t="s">
        <v>80</v>
      </c>
      <c r="W352" s="474"/>
    </row>
    <row r="353" spans="1:23" ht="12.75">
      <c r="A353" s="255">
        <v>46022.918819444443</v>
      </c>
      <c r="B353" s="141" t="s">
        <v>1621</v>
      </c>
      <c r="C353" s="141"/>
      <c r="D353" s="141" t="s">
        <v>24</v>
      </c>
      <c r="E353" s="256">
        <v>35628</v>
      </c>
      <c r="F353" s="141" t="s">
        <v>751</v>
      </c>
      <c r="G353" s="141" t="s">
        <v>209</v>
      </c>
      <c r="H353" s="141" t="s">
        <v>1622</v>
      </c>
      <c r="I353" s="252" t="s">
        <v>4223</v>
      </c>
      <c r="J353" s="141" t="s">
        <v>1623</v>
      </c>
      <c r="K353" s="141" t="s">
        <v>29</v>
      </c>
      <c r="L353" s="141" t="s">
        <v>30</v>
      </c>
      <c r="M353" s="141"/>
      <c r="N353" s="141"/>
      <c r="O353" s="141"/>
      <c r="P353" s="141" t="s">
        <v>31</v>
      </c>
      <c r="Q353" s="253" t="s">
        <v>32</v>
      </c>
      <c r="R353" s="152"/>
      <c r="S353" s="206" t="s">
        <v>1621</v>
      </c>
      <c r="T353" s="261">
        <v>35628</v>
      </c>
      <c r="U353" s="206" t="s">
        <v>1623</v>
      </c>
      <c r="V353" s="473" t="s">
        <v>80</v>
      </c>
      <c r="W353" s="474"/>
    </row>
    <row r="354" spans="1:23" ht="12.75">
      <c r="A354" s="262">
        <v>46022.918877314813</v>
      </c>
      <c r="B354" s="263" t="s">
        <v>1624</v>
      </c>
      <c r="C354" s="263"/>
      <c r="D354" s="263" t="s">
        <v>45</v>
      </c>
      <c r="E354" s="264">
        <v>33287</v>
      </c>
      <c r="F354" s="242" t="s">
        <v>980</v>
      </c>
      <c r="G354" s="263" t="s">
        <v>1625</v>
      </c>
      <c r="H354" s="263" t="s">
        <v>111</v>
      </c>
      <c r="I354" s="241" t="s">
        <v>4219</v>
      </c>
      <c r="J354" s="263" t="s">
        <v>1626</v>
      </c>
      <c r="K354" s="263" t="s">
        <v>39</v>
      </c>
      <c r="L354" s="265">
        <v>46205</v>
      </c>
      <c r="M354" s="263"/>
      <c r="N354" s="263"/>
      <c r="O354" s="263"/>
      <c r="P354" s="263" t="s">
        <v>31</v>
      </c>
      <c r="Q354" s="244" t="s">
        <v>32</v>
      </c>
      <c r="R354" s="248" t="s">
        <v>33</v>
      </c>
      <c r="S354" s="242" t="s">
        <v>1624</v>
      </c>
      <c r="T354" s="266">
        <v>33287</v>
      </c>
      <c r="U354" s="242" t="s">
        <v>1626</v>
      </c>
      <c r="V354" s="475" t="s">
        <v>80</v>
      </c>
      <c r="W354" s="474"/>
    </row>
    <row r="355" spans="1:23" ht="12.75">
      <c r="A355" s="255">
        <v>46022.944398148145</v>
      </c>
      <c r="B355" s="141" t="s">
        <v>1627</v>
      </c>
      <c r="C355" s="141"/>
      <c r="D355" s="141" t="s">
        <v>45</v>
      </c>
      <c r="E355" s="256">
        <v>36046</v>
      </c>
      <c r="F355" s="141" t="s">
        <v>64</v>
      </c>
      <c r="G355" s="141" t="s">
        <v>1628</v>
      </c>
      <c r="H355" s="141" t="s">
        <v>90</v>
      </c>
      <c r="I355" s="252" t="s">
        <v>4219</v>
      </c>
      <c r="J355" s="141" t="s">
        <v>1629</v>
      </c>
      <c r="K355" s="141" t="s">
        <v>29</v>
      </c>
      <c r="L355" s="141" t="s">
        <v>30</v>
      </c>
      <c r="M355" s="141"/>
      <c r="N355" s="141"/>
      <c r="O355" s="141"/>
      <c r="P355" s="141" t="s">
        <v>31</v>
      </c>
      <c r="Q355" s="253" t="s">
        <v>32</v>
      </c>
      <c r="R355" s="152"/>
      <c r="S355" s="206" t="s">
        <v>1630</v>
      </c>
      <c r="T355" s="261">
        <v>36046</v>
      </c>
      <c r="U355" s="206" t="s">
        <v>1629</v>
      </c>
      <c r="V355" s="473" t="s">
        <v>80</v>
      </c>
      <c r="W355" s="474"/>
    </row>
    <row r="356" spans="1:23" ht="12.75">
      <c r="A356" s="255">
        <v>46022.953217592592</v>
      </c>
      <c r="B356" s="141" t="s">
        <v>1631</v>
      </c>
      <c r="C356" s="141"/>
      <c r="D356" s="141" t="s">
        <v>45</v>
      </c>
      <c r="E356" s="256">
        <v>34306</v>
      </c>
      <c r="F356" s="141" t="s">
        <v>1427</v>
      </c>
      <c r="G356" s="141" t="s">
        <v>1632</v>
      </c>
      <c r="H356" s="141" t="s">
        <v>1633</v>
      </c>
      <c r="I356" s="252" t="s">
        <v>4223</v>
      </c>
      <c r="J356" s="141" t="s">
        <v>1634</v>
      </c>
      <c r="K356" s="141" t="s">
        <v>29</v>
      </c>
      <c r="L356" s="141" t="s">
        <v>30</v>
      </c>
      <c r="M356" s="141"/>
      <c r="N356" s="141"/>
      <c r="O356" s="141"/>
      <c r="P356" s="141" t="s">
        <v>31</v>
      </c>
      <c r="Q356" s="253" t="s">
        <v>32</v>
      </c>
      <c r="R356" s="148"/>
      <c r="S356" s="206" t="s">
        <v>1635</v>
      </c>
      <c r="T356" s="261">
        <v>34306</v>
      </c>
      <c r="U356" s="206" t="s">
        <v>1634</v>
      </c>
      <c r="V356" s="473" t="s">
        <v>316</v>
      </c>
      <c r="W356" s="474"/>
    </row>
    <row r="357" spans="1:23" ht="12.75">
      <c r="A357" s="274">
        <v>46022.962546296294</v>
      </c>
      <c r="B357" s="242" t="s">
        <v>1636</v>
      </c>
      <c r="C357" s="242" t="s">
        <v>1637</v>
      </c>
      <c r="D357" s="242" t="s">
        <v>24</v>
      </c>
      <c r="E357" s="275">
        <v>35640</v>
      </c>
      <c r="F357" s="242" t="s">
        <v>799</v>
      </c>
      <c r="G357" s="242" t="s">
        <v>1638</v>
      </c>
      <c r="H357" s="242" t="s">
        <v>1639</v>
      </c>
      <c r="I357" s="241" t="s">
        <v>4223</v>
      </c>
      <c r="J357" s="242" t="s">
        <v>1640</v>
      </c>
      <c r="K357" s="242" t="s">
        <v>39</v>
      </c>
      <c r="L357" s="242" t="s">
        <v>30</v>
      </c>
      <c r="M357" s="242"/>
      <c r="N357" s="242"/>
      <c r="O357" s="242"/>
      <c r="P357" s="242" t="s">
        <v>31</v>
      </c>
      <c r="Q357" s="244" t="s">
        <v>32</v>
      </c>
      <c r="R357" s="245" t="s">
        <v>33</v>
      </c>
      <c r="S357" s="242" t="s">
        <v>1641</v>
      </c>
      <c r="T357" s="266">
        <v>35640</v>
      </c>
      <c r="U357" s="242" t="s">
        <v>1640</v>
      </c>
      <c r="V357" s="475" t="s">
        <v>316</v>
      </c>
      <c r="W357" s="474"/>
    </row>
    <row r="358" spans="1:23" ht="12.75">
      <c r="A358" s="274">
        <v>46022.983715277776</v>
      </c>
      <c r="B358" s="242" t="s">
        <v>1642</v>
      </c>
      <c r="C358" s="242"/>
      <c r="D358" s="242" t="s">
        <v>45</v>
      </c>
      <c r="E358" s="275">
        <v>27918</v>
      </c>
      <c r="F358" s="242" t="s">
        <v>64</v>
      </c>
      <c r="G358" s="242" t="s">
        <v>1599</v>
      </c>
      <c r="H358" s="242" t="s">
        <v>1643</v>
      </c>
      <c r="I358" s="241" t="s">
        <v>4219</v>
      </c>
      <c r="J358" s="242" t="s">
        <v>1644</v>
      </c>
      <c r="K358" s="242" t="s">
        <v>29</v>
      </c>
      <c r="L358" s="242" t="s">
        <v>30</v>
      </c>
      <c r="M358" s="242"/>
      <c r="N358" s="242"/>
      <c r="O358" s="242"/>
      <c r="P358" s="242" t="s">
        <v>31</v>
      </c>
      <c r="Q358" s="244" t="s">
        <v>32</v>
      </c>
      <c r="R358" s="248" t="s">
        <v>17</v>
      </c>
      <c r="S358" s="242" t="s">
        <v>1645</v>
      </c>
      <c r="T358" s="266">
        <v>27918</v>
      </c>
      <c r="U358" s="242" t="s">
        <v>1644</v>
      </c>
      <c r="V358" s="475" t="s">
        <v>154</v>
      </c>
      <c r="W358" s="474"/>
    </row>
    <row r="359" spans="1:23" ht="12.75">
      <c r="A359" s="255">
        <v>46022.993402777778</v>
      </c>
      <c r="B359" s="141" t="s">
        <v>1646</v>
      </c>
      <c r="C359" s="141"/>
      <c r="D359" s="141" t="s">
        <v>24</v>
      </c>
      <c r="E359" s="256">
        <v>36415</v>
      </c>
      <c r="F359" s="141" t="s">
        <v>208</v>
      </c>
      <c r="G359" s="141" t="s">
        <v>1228</v>
      </c>
      <c r="H359" s="141" t="s">
        <v>111</v>
      </c>
      <c r="I359" s="252" t="s">
        <v>4223</v>
      </c>
      <c r="J359" s="141" t="s">
        <v>1647</v>
      </c>
      <c r="K359" s="141" t="s">
        <v>39</v>
      </c>
      <c r="L359" s="141" t="s">
        <v>30</v>
      </c>
      <c r="M359" s="141"/>
      <c r="N359" s="141"/>
      <c r="O359" s="141"/>
      <c r="P359" s="141" t="s">
        <v>31</v>
      </c>
      <c r="Q359" s="253" t="s">
        <v>32</v>
      </c>
      <c r="R359" s="152"/>
      <c r="S359" s="206" t="s">
        <v>1648</v>
      </c>
      <c r="T359" s="261">
        <v>36415</v>
      </c>
      <c r="U359" s="206" t="s">
        <v>1647</v>
      </c>
      <c r="V359" s="473" t="s">
        <v>154</v>
      </c>
      <c r="W359" s="474"/>
    </row>
    <row r="360" spans="1:23" ht="12.75">
      <c r="A360" s="255">
        <v>46023.061585648145</v>
      </c>
      <c r="B360" s="141" t="s">
        <v>1649</v>
      </c>
      <c r="C360" s="141"/>
      <c r="D360" s="141" t="s">
        <v>24</v>
      </c>
      <c r="E360" s="256">
        <v>36331</v>
      </c>
      <c r="F360" s="141" t="s">
        <v>70</v>
      </c>
      <c r="G360" s="141" t="s">
        <v>1379</v>
      </c>
      <c r="H360" s="141" t="s">
        <v>1650</v>
      </c>
      <c r="I360" s="252" t="s">
        <v>4219</v>
      </c>
      <c r="J360" s="141" t="s">
        <v>1651</v>
      </c>
      <c r="K360" s="141" t="s">
        <v>39</v>
      </c>
      <c r="L360" s="141" t="s">
        <v>30</v>
      </c>
      <c r="M360" s="141"/>
      <c r="N360" s="141"/>
      <c r="O360" s="141"/>
      <c r="P360" s="141" t="s">
        <v>31</v>
      </c>
      <c r="Q360" s="253" t="s">
        <v>32</v>
      </c>
      <c r="R360" s="148"/>
      <c r="S360" s="206" t="s">
        <v>1652</v>
      </c>
      <c r="T360" s="261">
        <v>36331</v>
      </c>
      <c r="U360" s="206" t="s">
        <v>1651</v>
      </c>
      <c r="V360" s="473" t="s">
        <v>80</v>
      </c>
      <c r="W360" s="474"/>
    </row>
    <row r="361" spans="1:23" ht="12.75">
      <c r="A361" s="274">
        <v>46023.099398148152</v>
      </c>
      <c r="B361" s="242" t="s">
        <v>1653</v>
      </c>
      <c r="C361" s="242"/>
      <c r="D361" s="242" t="s">
        <v>24</v>
      </c>
      <c r="E361" s="275">
        <v>31644</v>
      </c>
      <c r="F361" s="242" t="s">
        <v>227</v>
      </c>
      <c r="G361" s="242" t="s">
        <v>1654</v>
      </c>
      <c r="H361" s="242" t="s">
        <v>1655</v>
      </c>
      <c r="I361" s="241" t="s">
        <v>4219</v>
      </c>
      <c r="J361" s="242" t="s">
        <v>1656</v>
      </c>
      <c r="K361" s="242" t="s">
        <v>39</v>
      </c>
      <c r="L361" s="242" t="s">
        <v>30</v>
      </c>
      <c r="M361" s="242" t="s">
        <v>1657</v>
      </c>
      <c r="N361" s="242" t="s">
        <v>4286</v>
      </c>
      <c r="O361" s="242" t="s">
        <v>1659</v>
      </c>
      <c r="P361" s="242" t="s">
        <v>31</v>
      </c>
      <c r="Q361" s="244" t="s">
        <v>32</v>
      </c>
      <c r="R361" s="245" t="s">
        <v>33</v>
      </c>
      <c r="S361" s="242" t="s">
        <v>1653</v>
      </c>
      <c r="T361" s="266">
        <v>31644</v>
      </c>
      <c r="U361" s="242" t="s">
        <v>1656</v>
      </c>
      <c r="V361" s="475" t="s">
        <v>80</v>
      </c>
      <c r="W361" s="474"/>
    </row>
    <row r="362" spans="1:23" ht="12.75">
      <c r="A362" s="255">
        <v>46023.110474537039</v>
      </c>
      <c r="B362" s="141" t="s">
        <v>1660</v>
      </c>
      <c r="C362" s="141"/>
      <c r="D362" s="141" t="s">
        <v>24</v>
      </c>
      <c r="E362" s="256">
        <v>30733</v>
      </c>
      <c r="F362" s="141" t="s">
        <v>70</v>
      </c>
      <c r="G362" s="141" t="s">
        <v>1661</v>
      </c>
      <c r="H362" s="141" t="s">
        <v>1662</v>
      </c>
      <c r="I362" s="252" t="s">
        <v>4219</v>
      </c>
      <c r="J362" s="141" t="s">
        <v>1663</v>
      </c>
      <c r="K362" s="141" t="s">
        <v>29</v>
      </c>
      <c r="L362" s="141" t="s">
        <v>30</v>
      </c>
      <c r="M362" s="141"/>
      <c r="N362" s="141"/>
      <c r="O362" s="141"/>
      <c r="P362" s="141" t="s">
        <v>31</v>
      </c>
      <c r="Q362" s="253" t="s">
        <v>32</v>
      </c>
      <c r="R362" s="148"/>
      <c r="S362" s="206" t="s">
        <v>1660</v>
      </c>
      <c r="T362" s="261">
        <v>46020</v>
      </c>
      <c r="U362" s="206" t="s">
        <v>1663</v>
      </c>
      <c r="V362" s="206" t="s">
        <v>236</v>
      </c>
      <c r="W362" s="206"/>
    </row>
    <row r="363" spans="1:23" ht="12.75">
      <c r="A363" s="271">
        <v>46023.112592592595</v>
      </c>
      <c r="B363" s="272" t="s">
        <v>1664</v>
      </c>
      <c r="C363" s="272" t="s">
        <v>1665</v>
      </c>
      <c r="D363" s="272" t="s">
        <v>45</v>
      </c>
      <c r="E363" s="273">
        <v>29294</v>
      </c>
      <c r="F363" s="141" t="s">
        <v>70</v>
      </c>
      <c r="G363" s="272" t="s">
        <v>1666</v>
      </c>
      <c r="H363" s="272" t="s">
        <v>1667</v>
      </c>
      <c r="I363" s="252" t="s">
        <v>4219</v>
      </c>
      <c r="J363" s="272" t="s">
        <v>1668</v>
      </c>
      <c r="K363" s="272" t="s">
        <v>29</v>
      </c>
      <c r="L363" s="272" t="s">
        <v>30</v>
      </c>
      <c r="M363" s="272"/>
      <c r="N363" s="272"/>
      <c r="O363" s="272"/>
      <c r="P363" s="272" t="s">
        <v>31</v>
      </c>
      <c r="Q363" s="253" t="s">
        <v>32</v>
      </c>
      <c r="R363" s="152"/>
      <c r="S363" s="206" t="s">
        <v>1669</v>
      </c>
      <c r="T363" s="261">
        <v>29294</v>
      </c>
      <c r="U363" s="206" t="s">
        <v>1668</v>
      </c>
      <c r="V363" s="473" t="s">
        <v>1670</v>
      </c>
      <c r="W363" s="474"/>
    </row>
    <row r="364" spans="1:23" ht="12.75">
      <c r="A364" s="259">
        <v>46023.131122685183</v>
      </c>
      <c r="B364" s="252" t="s">
        <v>1671</v>
      </c>
      <c r="C364" s="141"/>
      <c r="D364" s="252" t="s">
        <v>45</v>
      </c>
      <c r="E364" s="260">
        <v>34448</v>
      </c>
      <c r="F364" s="252" t="s">
        <v>332</v>
      </c>
      <c r="G364" s="252" t="s">
        <v>1672</v>
      </c>
      <c r="H364" s="252" t="s">
        <v>1673</v>
      </c>
      <c r="I364" s="252" t="s">
        <v>4237</v>
      </c>
      <c r="J364" s="252" t="s">
        <v>1674</v>
      </c>
      <c r="K364" s="252" t="s">
        <v>29</v>
      </c>
      <c r="L364" s="252" t="s">
        <v>30</v>
      </c>
      <c r="M364" s="141"/>
      <c r="N364" s="252"/>
      <c r="O364" s="252"/>
      <c r="P364" s="252" t="s">
        <v>31</v>
      </c>
      <c r="Q364" s="253" t="s">
        <v>32</v>
      </c>
      <c r="R364" s="148"/>
      <c r="S364" s="24" t="s">
        <v>1671</v>
      </c>
      <c r="T364" s="206"/>
      <c r="U364" s="206"/>
      <c r="V364" s="206"/>
      <c r="W364" s="206"/>
    </row>
    <row r="365" spans="1:23" ht="12.75">
      <c r="A365" s="297">
        <v>46023.142557870371</v>
      </c>
      <c r="B365" s="298" t="s">
        <v>1675</v>
      </c>
      <c r="C365" s="298"/>
      <c r="D365" s="298" t="s">
        <v>24</v>
      </c>
      <c r="E365" s="299">
        <v>28817</v>
      </c>
      <c r="F365" s="141" t="s">
        <v>208</v>
      </c>
      <c r="G365" s="298" t="s">
        <v>1676</v>
      </c>
      <c r="H365" s="298" t="s">
        <v>1677</v>
      </c>
      <c r="I365" s="252" t="s">
        <v>4223</v>
      </c>
      <c r="J365" s="298" t="s">
        <v>1678</v>
      </c>
      <c r="K365" s="298" t="s">
        <v>39</v>
      </c>
      <c r="L365" s="298" t="s">
        <v>152</v>
      </c>
      <c r="M365" s="298"/>
      <c r="N365" s="298"/>
      <c r="O365" s="298"/>
      <c r="P365" s="298" t="s">
        <v>31</v>
      </c>
      <c r="Q365" s="253" t="s">
        <v>32</v>
      </c>
      <c r="R365" s="152" t="s">
        <v>33</v>
      </c>
      <c r="S365" s="206" t="s">
        <v>1679</v>
      </c>
      <c r="T365" s="261">
        <v>28817</v>
      </c>
      <c r="U365" s="206" t="s">
        <v>1678</v>
      </c>
      <c r="V365" s="473" t="s">
        <v>154</v>
      </c>
      <c r="W365" s="474"/>
    </row>
    <row r="366" spans="1:23" ht="12.75">
      <c r="A366" s="249">
        <v>46023.145208333335</v>
      </c>
      <c r="B366" s="250" t="s">
        <v>1684</v>
      </c>
      <c r="C366" s="139"/>
      <c r="D366" s="250" t="s">
        <v>24</v>
      </c>
      <c r="E366" s="251">
        <v>36509</v>
      </c>
      <c r="F366" s="250" t="s">
        <v>64</v>
      </c>
      <c r="G366" s="250" t="s">
        <v>4287</v>
      </c>
      <c r="H366" s="250" t="s">
        <v>3676</v>
      </c>
      <c r="I366" s="252" t="s">
        <v>4219</v>
      </c>
      <c r="J366" s="250" t="s">
        <v>1683</v>
      </c>
      <c r="K366" s="250" t="s">
        <v>39</v>
      </c>
      <c r="L366" s="250" t="s">
        <v>162</v>
      </c>
      <c r="M366" s="139"/>
      <c r="N366" s="250"/>
      <c r="O366" s="250"/>
      <c r="P366" s="250" t="s">
        <v>31</v>
      </c>
      <c r="Q366" s="253" t="s">
        <v>32</v>
      </c>
      <c r="R366" s="148"/>
      <c r="S366" s="254" t="s">
        <v>1684</v>
      </c>
      <c r="T366" s="206"/>
      <c r="U366" s="206"/>
      <c r="V366" s="206"/>
      <c r="W366" s="206"/>
    </row>
    <row r="367" spans="1:23" ht="12.75">
      <c r="A367" s="255">
        <v>46023.172615740739</v>
      </c>
      <c r="B367" s="141" t="s">
        <v>1685</v>
      </c>
      <c r="C367" s="141"/>
      <c r="D367" s="141" t="s">
        <v>45</v>
      </c>
      <c r="E367" s="256">
        <v>37569</v>
      </c>
      <c r="F367" s="141" t="s">
        <v>208</v>
      </c>
      <c r="G367" s="141" t="s">
        <v>521</v>
      </c>
      <c r="H367" s="141" t="s">
        <v>90</v>
      </c>
      <c r="I367" s="252" t="s">
        <v>4223</v>
      </c>
      <c r="J367" s="141" t="s">
        <v>1686</v>
      </c>
      <c r="K367" s="141" t="s">
        <v>29</v>
      </c>
      <c r="L367" s="141" t="s">
        <v>30</v>
      </c>
      <c r="M367" s="141"/>
      <c r="N367" s="141"/>
      <c r="O367" s="141"/>
      <c r="P367" s="141" t="s">
        <v>31</v>
      </c>
      <c r="Q367" s="253" t="s">
        <v>32</v>
      </c>
      <c r="R367" s="152"/>
      <c r="S367" s="206" t="s">
        <v>1685</v>
      </c>
      <c r="T367" s="261">
        <v>37569</v>
      </c>
      <c r="U367" s="206" t="s">
        <v>1687</v>
      </c>
      <c r="V367" s="473" t="s">
        <v>101</v>
      </c>
      <c r="W367" s="474"/>
    </row>
    <row r="368" spans="1:23" ht="12.75">
      <c r="A368" s="255">
        <v>46023.175671296296</v>
      </c>
      <c r="B368" s="141" t="s">
        <v>1688</v>
      </c>
      <c r="C368" s="141" t="s">
        <v>1689</v>
      </c>
      <c r="D368" s="141" t="s">
        <v>45</v>
      </c>
      <c r="E368" s="256">
        <v>35326</v>
      </c>
      <c r="F368" s="141" t="s">
        <v>1690</v>
      </c>
      <c r="G368" s="141" t="s">
        <v>186</v>
      </c>
      <c r="H368" s="141" t="s">
        <v>186</v>
      </c>
      <c r="I368" s="252" t="s">
        <v>4219</v>
      </c>
      <c r="J368" s="141" t="s">
        <v>1691</v>
      </c>
      <c r="K368" s="141" t="s">
        <v>39</v>
      </c>
      <c r="L368" s="141" t="s">
        <v>1324</v>
      </c>
      <c r="M368" s="141"/>
      <c r="N368" s="141"/>
      <c r="O368" s="141"/>
      <c r="P368" s="141" t="s">
        <v>31</v>
      </c>
      <c r="Q368" s="253" t="s">
        <v>32</v>
      </c>
      <c r="R368" s="148"/>
      <c r="S368" s="206" t="s">
        <v>1688</v>
      </c>
      <c r="T368" s="261">
        <v>36056</v>
      </c>
      <c r="U368" s="206" t="s">
        <v>1691</v>
      </c>
      <c r="V368" s="206" t="s">
        <v>236</v>
      </c>
      <c r="W368" s="206"/>
    </row>
    <row r="369" spans="1:23" ht="12.75">
      <c r="A369" s="268">
        <v>46023.200138888889</v>
      </c>
      <c r="B369" s="269" t="s">
        <v>1692</v>
      </c>
      <c r="C369" s="269" t="s">
        <v>1693</v>
      </c>
      <c r="D369" s="269" t="s">
        <v>24</v>
      </c>
      <c r="E369" s="270">
        <v>30682</v>
      </c>
      <c r="F369" s="141" t="s">
        <v>1690</v>
      </c>
      <c r="G369" s="269" t="s">
        <v>1694</v>
      </c>
      <c r="H369" s="269" t="s">
        <v>1695</v>
      </c>
      <c r="I369" s="252" t="s">
        <v>4219</v>
      </c>
      <c r="J369" s="269" t="s">
        <v>1696</v>
      </c>
      <c r="K369" s="269" t="s">
        <v>39</v>
      </c>
      <c r="L369" s="269" t="s">
        <v>30</v>
      </c>
      <c r="M369" s="269"/>
      <c r="N369" s="269"/>
      <c r="O369" s="269"/>
      <c r="P369" s="269" t="s">
        <v>31</v>
      </c>
      <c r="Q369" s="253" t="s">
        <v>32</v>
      </c>
      <c r="R369" s="152" t="s">
        <v>33</v>
      </c>
      <c r="S369" s="206" t="s">
        <v>1697</v>
      </c>
      <c r="T369" s="261">
        <v>30682</v>
      </c>
      <c r="U369" s="206" t="s">
        <v>1696</v>
      </c>
      <c r="V369" s="473" t="s">
        <v>154</v>
      </c>
      <c r="W369" s="474"/>
    </row>
    <row r="370" spans="1:23" ht="12.75">
      <c r="A370" s="255">
        <v>46023.206435185188</v>
      </c>
      <c r="B370" s="141" t="s">
        <v>1698</v>
      </c>
      <c r="C370" s="141"/>
      <c r="D370" s="141" t="s">
        <v>24</v>
      </c>
      <c r="E370" s="256">
        <v>37791</v>
      </c>
      <c r="F370" s="141" t="s">
        <v>208</v>
      </c>
      <c r="G370" s="141" t="s">
        <v>460</v>
      </c>
      <c r="H370" s="141" t="s">
        <v>578</v>
      </c>
      <c r="I370" s="252" t="s">
        <v>4223</v>
      </c>
      <c r="J370" s="141" t="s">
        <v>1699</v>
      </c>
      <c r="K370" s="141" t="s">
        <v>39</v>
      </c>
      <c r="L370" s="141" t="s">
        <v>30</v>
      </c>
      <c r="M370" s="141"/>
      <c r="N370" s="141"/>
      <c r="O370" s="141"/>
      <c r="P370" s="141" t="s">
        <v>31</v>
      </c>
      <c r="Q370" s="253" t="s">
        <v>32</v>
      </c>
      <c r="R370" s="148"/>
      <c r="S370" s="206" t="s">
        <v>1698</v>
      </c>
      <c r="T370" s="261">
        <v>37791</v>
      </c>
      <c r="U370" s="206" t="s">
        <v>1699</v>
      </c>
      <c r="V370" s="473" t="s">
        <v>80</v>
      </c>
      <c r="W370" s="474"/>
    </row>
    <row r="371" spans="1:23" ht="12.75">
      <c r="A371" s="255">
        <v>46023.222500000003</v>
      </c>
      <c r="B371" s="141" t="s">
        <v>1700</v>
      </c>
      <c r="C371" s="141"/>
      <c r="D371" s="141" t="s">
        <v>45</v>
      </c>
      <c r="E371" s="256">
        <v>20739</v>
      </c>
      <c r="F371" s="141" t="s">
        <v>203</v>
      </c>
      <c r="G371" s="141" t="s">
        <v>1701</v>
      </c>
      <c r="H371" s="141" t="s">
        <v>1702</v>
      </c>
      <c r="I371" s="252" t="s">
        <v>4219</v>
      </c>
      <c r="J371" s="141" t="s">
        <v>1703</v>
      </c>
      <c r="K371" s="141" t="s">
        <v>39</v>
      </c>
      <c r="L371" s="141" t="s">
        <v>162</v>
      </c>
      <c r="M371" s="141"/>
      <c r="N371" s="141"/>
      <c r="O371" s="141"/>
      <c r="P371" s="141" t="s">
        <v>31</v>
      </c>
      <c r="Q371" s="253" t="s">
        <v>32</v>
      </c>
      <c r="R371" s="152"/>
      <c r="S371" s="206" t="s">
        <v>1700</v>
      </c>
      <c r="T371" s="261">
        <v>20739</v>
      </c>
      <c r="U371" s="206" t="s">
        <v>1703</v>
      </c>
      <c r="V371" s="473" t="s">
        <v>80</v>
      </c>
      <c r="W371" s="474"/>
    </row>
    <row r="372" spans="1:23" ht="12.75">
      <c r="A372" s="255">
        <v>46024.283773148149</v>
      </c>
      <c r="B372" s="141" t="s">
        <v>1704</v>
      </c>
      <c r="C372" s="141"/>
      <c r="D372" s="141" t="s">
        <v>24</v>
      </c>
      <c r="E372" s="256">
        <v>36648</v>
      </c>
      <c r="F372" s="141" t="s">
        <v>208</v>
      </c>
      <c r="G372" s="141" t="s">
        <v>1705</v>
      </c>
      <c r="H372" s="141" t="s">
        <v>66</v>
      </c>
      <c r="I372" s="252" t="s">
        <v>4223</v>
      </c>
      <c r="J372" s="141" t="s">
        <v>1706</v>
      </c>
      <c r="K372" s="141" t="s">
        <v>29</v>
      </c>
      <c r="L372" s="141" t="s">
        <v>30</v>
      </c>
      <c r="M372" s="141"/>
      <c r="N372" s="141"/>
      <c r="O372" s="141"/>
      <c r="P372" s="141" t="s">
        <v>31</v>
      </c>
      <c r="Q372" s="253" t="s">
        <v>32</v>
      </c>
      <c r="R372" s="148"/>
      <c r="S372" s="206" t="s">
        <v>1704</v>
      </c>
      <c r="T372" s="261">
        <v>36648</v>
      </c>
      <c r="U372" s="206" t="s">
        <v>1706</v>
      </c>
      <c r="V372" s="473" t="s">
        <v>80</v>
      </c>
      <c r="W372" s="474"/>
    </row>
    <row r="373" spans="1:23" ht="12.75">
      <c r="A373" s="274">
        <v>46024.641712962963</v>
      </c>
      <c r="B373" s="242" t="s">
        <v>1707</v>
      </c>
      <c r="C373" s="242"/>
      <c r="D373" s="242" t="s">
        <v>24</v>
      </c>
      <c r="E373" s="275">
        <v>36513</v>
      </c>
      <c r="F373" s="242" t="s">
        <v>227</v>
      </c>
      <c r="G373" s="242" t="s">
        <v>1708</v>
      </c>
      <c r="H373" s="242" t="s">
        <v>1709</v>
      </c>
      <c r="I373" s="241" t="s">
        <v>4219</v>
      </c>
      <c r="J373" s="242" t="s">
        <v>1710</v>
      </c>
      <c r="K373" s="242" t="s">
        <v>29</v>
      </c>
      <c r="L373" s="242" t="s">
        <v>152</v>
      </c>
      <c r="M373" s="242"/>
      <c r="N373" s="242"/>
      <c r="O373" s="242"/>
      <c r="P373" s="242" t="s">
        <v>31</v>
      </c>
      <c r="Q373" s="244" t="s">
        <v>32</v>
      </c>
      <c r="R373" s="245" t="s">
        <v>43</v>
      </c>
      <c r="S373" s="242" t="s">
        <v>1711</v>
      </c>
      <c r="T373" s="266">
        <v>36513</v>
      </c>
      <c r="U373" s="242" t="s">
        <v>1710</v>
      </c>
      <c r="V373" s="475" t="s">
        <v>80</v>
      </c>
      <c r="W373" s="474"/>
    </row>
    <row r="374" spans="1:23" ht="12.75">
      <c r="A374" s="286">
        <v>46024.920520833337</v>
      </c>
      <c r="B374" s="483" t="s">
        <v>1712</v>
      </c>
      <c r="C374" s="474"/>
      <c r="D374" s="287" t="s">
        <v>24</v>
      </c>
      <c r="E374" s="288">
        <v>37639</v>
      </c>
      <c r="F374" s="287" t="s">
        <v>64</v>
      </c>
      <c r="G374" s="287" t="s">
        <v>1713</v>
      </c>
      <c r="H374" s="287" t="s">
        <v>160</v>
      </c>
      <c r="I374" s="241" t="s">
        <v>4219</v>
      </c>
      <c r="J374" s="287" t="s">
        <v>1714</v>
      </c>
      <c r="K374" s="287" t="s">
        <v>29</v>
      </c>
      <c r="L374" s="287" t="s">
        <v>30</v>
      </c>
      <c r="M374" s="287"/>
      <c r="N374" s="287"/>
      <c r="O374" s="287"/>
      <c r="P374" s="287" t="s">
        <v>31</v>
      </c>
      <c r="Q374" s="244" t="s">
        <v>32</v>
      </c>
      <c r="R374" s="245" t="s">
        <v>43</v>
      </c>
      <c r="S374" s="242" t="s">
        <v>1712</v>
      </c>
      <c r="T374" s="266">
        <v>37639</v>
      </c>
      <c r="U374" s="242" t="s">
        <v>1714</v>
      </c>
      <c r="V374" s="475" t="s">
        <v>80</v>
      </c>
      <c r="W374" s="474"/>
    </row>
    <row r="375" spans="1:23" ht="12.75">
      <c r="A375" s="255">
        <v>46025.151712962965</v>
      </c>
      <c r="B375" s="141" t="s">
        <v>1715</v>
      </c>
      <c r="C375" s="141"/>
      <c r="D375" s="141" t="s">
        <v>24</v>
      </c>
      <c r="E375" s="256">
        <v>37301</v>
      </c>
      <c r="F375" s="141" t="s">
        <v>208</v>
      </c>
      <c r="G375" s="141" t="s">
        <v>1716</v>
      </c>
      <c r="H375" s="141" t="s">
        <v>66</v>
      </c>
      <c r="I375" s="252" t="s">
        <v>4223</v>
      </c>
      <c r="J375" s="141" t="s">
        <v>1717</v>
      </c>
      <c r="K375" s="141" t="s">
        <v>39</v>
      </c>
      <c r="L375" s="141" t="s">
        <v>30</v>
      </c>
      <c r="M375" s="141"/>
      <c r="N375" s="141"/>
      <c r="O375" s="141"/>
      <c r="P375" s="141" t="s">
        <v>31</v>
      </c>
      <c r="Q375" s="253" t="s">
        <v>32</v>
      </c>
      <c r="R375" s="152"/>
      <c r="S375" s="206" t="s">
        <v>1718</v>
      </c>
      <c r="T375" s="261">
        <v>37301</v>
      </c>
      <c r="U375" s="206" t="s">
        <v>1717</v>
      </c>
      <c r="V375" s="473" t="s">
        <v>154</v>
      </c>
      <c r="W375" s="474"/>
    </row>
    <row r="376" spans="1:23" ht="12.75">
      <c r="A376" s="255">
        <v>46025.270324074074</v>
      </c>
      <c r="B376" s="141" t="s">
        <v>1719</v>
      </c>
      <c r="C376" s="141"/>
      <c r="D376" s="141" t="s">
        <v>45</v>
      </c>
      <c r="E376" s="256">
        <v>36900</v>
      </c>
      <c r="F376" s="141" t="s">
        <v>208</v>
      </c>
      <c r="G376" s="141" t="s">
        <v>1720</v>
      </c>
      <c r="H376" s="141" t="s">
        <v>191</v>
      </c>
      <c r="I376" s="252" t="s">
        <v>4223</v>
      </c>
      <c r="J376" s="141" t="s">
        <v>1721</v>
      </c>
      <c r="K376" s="141" t="s">
        <v>39</v>
      </c>
      <c r="L376" s="141" t="s">
        <v>30</v>
      </c>
      <c r="M376" s="141"/>
      <c r="N376" s="141"/>
      <c r="O376" s="141"/>
      <c r="P376" s="141" t="s">
        <v>31</v>
      </c>
      <c r="Q376" s="253" t="s">
        <v>32</v>
      </c>
      <c r="R376" s="148"/>
      <c r="S376" s="206" t="s">
        <v>1722</v>
      </c>
      <c r="T376" s="261">
        <v>36900</v>
      </c>
      <c r="U376" s="206" t="s">
        <v>1721</v>
      </c>
      <c r="V376" s="473" t="s">
        <v>80</v>
      </c>
      <c r="W376" s="474"/>
    </row>
    <row r="377" spans="1:23" ht="12.75">
      <c r="A377" s="255">
        <v>46025.653402777774</v>
      </c>
      <c r="B377" s="141" t="s">
        <v>1723</v>
      </c>
      <c r="C377" s="141"/>
      <c r="D377" s="141" t="s">
        <v>45</v>
      </c>
      <c r="E377" s="256">
        <v>36763</v>
      </c>
      <c r="F377" s="141" t="s">
        <v>208</v>
      </c>
      <c r="G377" s="141" t="s">
        <v>456</v>
      </c>
      <c r="H377" s="141" t="s">
        <v>191</v>
      </c>
      <c r="I377" s="252" t="s">
        <v>4223</v>
      </c>
      <c r="J377" s="141" t="s">
        <v>1724</v>
      </c>
      <c r="K377" s="141" t="s">
        <v>39</v>
      </c>
      <c r="L377" s="141" t="s">
        <v>30</v>
      </c>
      <c r="M377" s="141"/>
      <c r="N377" s="141"/>
      <c r="O377" s="141"/>
      <c r="P377" s="141" t="s">
        <v>31</v>
      </c>
      <c r="Q377" s="253" t="s">
        <v>32</v>
      </c>
      <c r="R377" s="152"/>
      <c r="S377" s="206" t="s">
        <v>1725</v>
      </c>
      <c r="T377" s="261">
        <v>36763</v>
      </c>
      <c r="U377" s="206" t="s">
        <v>1724</v>
      </c>
      <c r="V377" s="473" t="s">
        <v>80</v>
      </c>
      <c r="W377" s="474"/>
    </row>
    <row r="378" spans="1:23" ht="12.75">
      <c r="A378" s="255">
        <v>46026.852337962962</v>
      </c>
      <c r="B378" s="141" t="s">
        <v>1726</v>
      </c>
      <c r="C378" s="141"/>
      <c r="D378" s="141" t="s">
        <v>45</v>
      </c>
      <c r="E378" s="256">
        <v>32470</v>
      </c>
      <c r="F378" s="141" t="s">
        <v>1727</v>
      </c>
      <c r="G378" s="141" t="s">
        <v>1728</v>
      </c>
      <c r="H378" s="141" t="s">
        <v>1729</v>
      </c>
      <c r="I378" s="252" t="s">
        <v>4223</v>
      </c>
      <c r="J378" s="141" t="s">
        <v>1730</v>
      </c>
      <c r="K378" s="141" t="s">
        <v>29</v>
      </c>
      <c r="L378" s="141" t="s">
        <v>30</v>
      </c>
      <c r="M378" s="141"/>
      <c r="N378" s="141"/>
      <c r="O378" s="141"/>
      <c r="P378" s="141" t="s">
        <v>31</v>
      </c>
      <c r="Q378" s="253" t="s">
        <v>32</v>
      </c>
      <c r="R378" s="148"/>
      <c r="S378" s="206" t="s">
        <v>1731</v>
      </c>
      <c r="T378" s="261">
        <v>32470</v>
      </c>
      <c r="U378" s="206" t="s">
        <v>1730</v>
      </c>
      <c r="V378" s="473" t="s">
        <v>154</v>
      </c>
      <c r="W378" s="474"/>
    </row>
    <row r="379" spans="1:23" ht="12.75">
      <c r="A379" s="255">
        <v>46027.649351851855</v>
      </c>
      <c r="B379" s="141" t="s">
        <v>1732</v>
      </c>
      <c r="C379" s="141"/>
      <c r="D379" s="141" t="s">
        <v>24</v>
      </c>
      <c r="E379" s="256">
        <v>29511</v>
      </c>
      <c r="F379" s="141" t="s">
        <v>245</v>
      </c>
      <c r="G379" s="141" t="s">
        <v>1733</v>
      </c>
      <c r="H379" s="141" t="s">
        <v>1734</v>
      </c>
      <c r="I379" s="252" t="s">
        <v>4219</v>
      </c>
      <c r="J379" s="141" t="s">
        <v>1735</v>
      </c>
      <c r="K379" s="141" t="s">
        <v>29</v>
      </c>
      <c r="L379" s="141" t="s">
        <v>30</v>
      </c>
      <c r="M379" s="141" t="s">
        <v>1736</v>
      </c>
      <c r="N379" s="141"/>
      <c r="O379" s="141"/>
      <c r="P379" s="141" t="s">
        <v>31</v>
      </c>
      <c r="Q379" s="253" t="s">
        <v>32</v>
      </c>
      <c r="R379" s="152"/>
      <c r="S379" s="206" t="s">
        <v>1737</v>
      </c>
      <c r="T379" s="261">
        <v>29511</v>
      </c>
      <c r="U379" s="206" t="s">
        <v>1735</v>
      </c>
      <c r="V379" s="473" t="s">
        <v>154</v>
      </c>
      <c r="W379" s="474"/>
    </row>
    <row r="380" spans="1:23" ht="12.75">
      <c r="A380" s="274">
        <v>46027.786365740743</v>
      </c>
      <c r="B380" s="242" t="s">
        <v>1738</v>
      </c>
      <c r="C380" s="242"/>
      <c r="D380" s="242" t="s">
        <v>24</v>
      </c>
      <c r="E380" s="275">
        <v>28601</v>
      </c>
      <c r="F380" s="242" t="s">
        <v>245</v>
      </c>
      <c r="G380" s="242" t="s">
        <v>1739</v>
      </c>
      <c r="H380" s="242" t="s">
        <v>1740</v>
      </c>
      <c r="I380" s="241" t="s">
        <v>4219</v>
      </c>
      <c r="J380" s="242" t="s">
        <v>1741</v>
      </c>
      <c r="K380" s="242" t="s">
        <v>29</v>
      </c>
      <c r="L380" s="242" t="s">
        <v>30</v>
      </c>
      <c r="M380" s="242" t="s">
        <v>1742</v>
      </c>
      <c r="N380" s="242"/>
      <c r="O380" s="242"/>
      <c r="P380" s="242" t="s">
        <v>31</v>
      </c>
      <c r="Q380" s="244" t="s">
        <v>32</v>
      </c>
      <c r="R380" s="248" t="s">
        <v>43</v>
      </c>
      <c r="S380" s="242" t="s">
        <v>1743</v>
      </c>
      <c r="T380" s="266">
        <v>28601</v>
      </c>
      <c r="U380" s="242" t="s">
        <v>1741</v>
      </c>
      <c r="V380" s="475" t="s">
        <v>154</v>
      </c>
      <c r="W380" s="474"/>
    </row>
    <row r="381" spans="1:23" ht="12.75">
      <c r="A381" s="274">
        <v>46027.909479166665</v>
      </c>
      <c r="B381" s="242" t="s">
        <v>1744</v>
      </c>
      <c r="C381" s="242"/>
      <c r="D381" s="242" t="s">
        <v>24</v>
      </c>
      <c r="E381" s="275">
        <v>36703</v>
      </c>
      <c r="F381" s="242" t="s">
        <v>1745</v>
      </c>
      <c r="G381" s="242" t="s">
        <v>1746</v>
      </c>
      <c r="H381" s="242" t="s">
        <v>1747</v>
      </c>
      <c r="I381" s="241" t="s">
        <v>4237</v>
      </c>
      <c r="J381" s="242" t="s">
        <v>1748</v>
      </c>
      <c r="K381" s="242" t="s">
        <v>29</v>
      </c>
      <c r="L381" s="242" t="s">
        <v>30</v>
      </c>
      <c r="M381" s="242"/>
      <c r="N381" s="242"/>
      <c r="O381" s="242"/>
      <c r="P381" s="242" t="s">
        <v>31</v>
      </c>
      <c r="Q381" s="244" t="s">
        <v>32</v>
      </c>
      <c r="R381" s="245" t="s">
        <v>33</v>
      </c>
      <c r="S381" s="242" t="s">
        <v>1749</v>
      </c>
      <c r="T381" s="266">
        <v>36703</v>
      </c>
      <c r="U381" s="242" t="s">
        <v>1748</v>
      </c>
      <c r="V381" s="475" t="s">
        <v>80</v>
      </c>
      <c r="W381" s="474"/>
    </row>
    <row r="382" spans="1:23" ht="12.75">
      <c r="A382" s="259">
        <v>46028.210277777776</v>
      </c>
      <c r="B382" s="252" t="s">
        <v>4288</v>
      </c>
      <c r="C382" s="141"/>
      <c r="D382" s="252" t="s">
        <v>24</v>
      </c>
      <c r="E382" s="260">
        <v>38217</v>
      </c>
      <c r="F382" s="252" t="s">
        <v>64</v>
      </c>
      <c r="G382" s="252" t="s">
        <v>4289</v>
      </c>
      <c r="H382" s="252" t="s">
        <v>138</v>
      </c>
      <c r="I382" s="252" t="s">
        <v>4219</v>
      </c>
      <c r="J382" s="252" t="s">
        <v>1752</v>
      </c>
      <c r="K382" s="252" t="s">
        <v>29</v>
      </c>
      <c r="L382" s="252" t="s">
        <v>30</v>
      </c>
      <c r="M382" s="141"/>
      <c r="N382" s="252"/>
      <c r="O382" s="252"/>
      <c r="P382" s="252" t="s">
        <v>31</v>
      </c>
      <c r="Q382" s="253" t="s">
        <v>32</v>
      </c>
      <c r="R382" s="148"/>
      <c r="S382" s="24" t="s">
        <v>1753</v>
      </c>
      <c r="T382" s="206"/>
      <c r="U382" s="206"/>
      <c r="V382" s="206"/>
      <c r="W382" s="206"/>
    </row>
    <row r="383" spans="1:23" ht="12.75">
      <c r="A383" s="255">
        <v>46028.642916666664</v>
      </c>
      <c r="B383" s="141" t="s">
        <v>1754</v>
      </c>
      <c r="C383" s="141"/>
      <c r="D383" s="141" t="s">
        <v>45</v>
      </c>
      <c r="E383" s="256">
        <v>35391</v>
      </c>
      <c r="F383" s="141" t="s">
        <v>297</v>
      </c>
      <c r="G383" s="141" t="s">
        <v>1755</v>
      </c>
      <c r="H383" s="141" t="s">
        <v>1756</v>
      </c>
      <c r="I383" s="252" t="s">
        <v>4219</v>
      </c>
      <c r="J383" s="141" t="s">
        <v>1757</v>
      </c>
      <c r="K383" s="141" t="s">
        <v>29</v>
      </c>
      <c r="L383" s="141" t="s">
        <v>621</v>
      </c>
      <c r="M383" s="141" t="s">
        <v>1758</v>
      </c>
      <c r="N383" s="141"/>
      <c r="O383" s="141"/>
      <c r="P383" s="141" t="s">
        <v>31</v>
      </c>
      <c r="Q383" s="253" t="s">
        <v>32</v>
      </c>
      <c r="R383" s="152"/>
      <c r="S383" s="206" t="s">
        <v>1759</v>
      </c>
      <c r="T383" s="261">
        <v>35391</v>
      </c>
      <c r="U383" s="206" t="s">
        <v>1757</v>
      </c>
      <c r="V383" s="473" t="s">
        <v>316</v>
      </c>
      <c r="W383" s="474"/>
    </row>
    <row r="384" spans="1:23" ht="14.25">
      <c r="A384" s="255">
        <v>46028.649305555555</v>
      </c>
      <c r="B384" s="141" t="s">
        <v>1760</v>
      </c>
      <c r="C384" s="141" t="s">
        <v>1761</v>
      </c>
      <c r="D384" s="141" t="s">
        <v>24</v>
      </c>
      <c r="E384" s="256">
        <v>30817</v>
      </c>
      <c r="F384" s="141" t="s">
        <v>416</v>
      </c>
      <c r="G384" s="141" t="s">
        <v>1762</v>
      </c>
      <c r="H384" s="141" t="s">
        <v>1763</v>
      </c>
      <c r="I384" s="252" t="s">
        <v>4219</v>
      </c>
      <c r="J384" s="141" t="s">
        <v>1764</v>
      </c>
      <c r="K384" s="141" t="s">
        <v>39</v>
      </c>
      <c r="L384" s="141" t="s">
        <v>162</v>
      </c>
      <c r="M384" s="141"/>
      <c r="N384" s="141"/>
      <c r="O384" s="141"/>
      <c r="P384" s="141" t="s">
        <v>31</v>
      </c>
      <c r="Q384" s="253" t="s">
        <v>32</v>
      </c>
      <c r="R384" s="303" t="s">
        <v>33</v>
      </c>
      <c r="S384" s="206" t="s">
        <v>1765</v>
      </c>
      <c r="T384" s="261">
        <v>30817</v>
      </c>
      <c r="U384" s="304" t="s">
        <v>4290</v>
      </c>
      <c r="V384" s="473" t="s">
        <v>1767</v>
      </c>
      <c r="W384" s="474"/>
    </row>
    <row r="385" spans="1:23" ht="12.75">
      <c r="A385" s="249">
        <v>46028.833553240744</v>
      </c>
      <c r="B385" s="250" t="s">
        <v>1768</v>
      </c>
      <c r="C385" s="250" t="s">
        <v>1769</v>
      </c>
      <c r="D385" s="250" t="s">
        <v>45</v>
      </c>
      <c r="E385" s="251">
        <v>26199</v>
      </c>
      <c r="F385" s="250" t="s">
        <v>1770</v>
      </c>
      <c r="G385" s="250" t="s">
        <v>1771</v>
      </c>
      <c r="H385" s="250" t="s">
        <v>1772</v>
      </c>
      <c r="I385" s="252" t="s">
        <v>4219</v>
      </c>
      <c r="J385" s="250" t="s">
        <v>1773</v>
      </c>
      <c r="K385" s="250" t="s">
        <v>29</v>
      </c>
      <c r="L385" s="250" t="s">
        <v>30</v>
      </c>
      <c r="M385" s="139"/>
      <c r="N385" s="250"/>
      <c r="O385" s="250"/>
      <c r="P385" s="250" t="s">
        <v>31</v>
      </c>
      <c r="Q385" s="257" t="s">
        <v>56</v>
      </c>
      <c r="R385" s="24"/>
      <c r="S385" s="139"/>
      <c r="T385" s="206"/>
      <c r="U385" s="206"/>
      <c r="V385" s="206"/>
      <c r="W385" s="206"/>
    </row>
    <row r="386" spans="1:23" ht="12.75">
      <c r="A386" s="274">
        <v>46029.174733796295</v>
      </c>
      <c r="B386" s="242" t="s">
        <v>1774</v>
      </c>
      <c r="C386" s="242"/>
      <c r="D386" s="242" t="s">
        <v>45</v>
      </c>
      <c r="E386" s="275">
        <v>34179</v>
      </c>
      <c r="F386" s="242" t="s">
        <v>232</v>
      </c>
      <c r="G386" s="242" t="s">
        <v>1775</v>
      </c>
      <c r="H386" s="242" t="s">
        <v>186</v>
      </c>
      <c r="I386" s="241" t="s">
        <v>4219</v>
      </c>
      <c r="J386" s="242" t="s">
        <v>1776</v>
      </c>
      <c r="K386" s="242" t="s">
        <v>39</v>
      </c>
      <c r="L386" s="242" t="s">
        <v>621</v>
      </c>
      <c r="M386" s="242" t="s">
        <v>1777</v>
      </c>
      <c r="N386" s="242"/>
      <c r="O386" s="242"/>
      <c r="P386" s="242" t="s">
        <v>31</v>
      </c>
      <c r="Q386" s="244" t="s">
        <v>32</v>
      </c>
      <c r="R386" s="245" t="s">
        <v>43</v>
      </c>
      <c r="S386" s="242" t="s">
        <v>1774</v>
      </c>
      <c r="T386" s="266">
        <v>34179</v>
      </c>
      <c r="U386" s="242" t="s">
        <v>1776</v>
      </c>
      <c r="V386" s="475" t="s">
        <v>80</v>
      </c>
      <c r="W386" s="474"/>
    </row>
    <row r="387" spans="1:23" ht="12.75">
      <c r="A387" s="259">
        <v>46029.311365740738</v>
      </c>
      <c r="B387" s="252" t="s">
        <v>4291</v>
      </c>
      <c r="C387" s="141"/>
      <c r="D387" s="252" t="s">
        <v>24</v>
      </c>
      <c r="E387" s="260">
        <v>37258</v>
      </c>
      <c r="F387" s="252" t="s">
        <v>475</v>
      </c>
      <c r="G387" s="252" t="s">
        <v>476</v>
      </c>
      <c r="H387" s="252" t="s">
        <v>138</v>
      </c>
      <c r="I387" s="252" t="s">
        <v>4219</v>
      </c>
      <c r="J387" s="252" t="s">
        <v>1780</v>
      </c>
      <c r="K387" s="252" t="s">
        <v>29</v>
      </c>
      <c r="L387" s="252" t="s">
        <v>30</v>
      </c>
      <c r="M387" s="141"/>
      <c r="N387" s="252"/>
      <c r="O387" s="252"/>
      <c r="P387" s="252" t="s">
        <v>31</v>
      </c>
      <c r="Q387" s="253" t="s">
        <v>32</v>
      </c>
      <c r="R387" s="148"/>
      <c r="S387" s="24" t="s">
        <v>1781</v>
      </c>
      <c r="T387" s="206"/>
      <c r="U387" s="206"/>
      <c r="V387" s="206"/>
      <c r="W387" s="206"/>
    </row>
    <row r="388" spans="1:23" ht="12.75">
      <c r="A388" s="292">
        <v>46030.14162037037</v>
      </c>
      <c r="B388" s="293" t="s">
        <v>1782</v>
      </c>
      <c r="C388" s="293"/>
      <c r="D388" s="293" t="s">
        <v>24</v>
      </c>
      <c r="E388" s="294">
        <v>36903</v>
      </c>
      <c r="F388" s="141" t="s">
        <v>208</v>
      </c>
      <c r="G388" s="293" t="s">
        <v>702</v>
      </c>
      <c r="H388" s="293" t="s">
        <v>66</v>
      </c>
      <c r="I388" s="252" t="s">
        <v>4223</v>
      </c>
      <c r="J388" s="293" t="s">
        <v>1783</v>
      </c>
      <c r="K388" s="293" t="s">
        <v>39</v>
      </c>
      <c r="L388" s="293" t="s">
        <v>30</v>
      </c>
      <c r="M388" s="293"/>
      <c r="N388" s="293"/>
      <c r="O388" s="293"/>
      <c r="P388" s="293" t="s">
        <v>31</v>
      </c>
      <c r="Q388" s="253" t="s">
        <v>32</v>
      </c>
      <c r="R388" s="152"/>
      <c r="S388" s="206" t="s">
        <v>1782</v>
      </c>
      <c r="T388" s="261">
        <v>36903</v>
      </c>
      <c r="U388" s="206" t="s">
        <v>1783</v>
      </c>
      <c r="V388" s="473" t="s">
        <v>80</v>
      </c>
      <c r="W388" s="474"/>
    </row>
    <row r="389" spans="1:23" ht="12.75">
      <c r="A389" s="274">
        <v>46030.285532407404</v>
      </c>
      <c r="B389" s="242" t="s">
        <v>1784</v>
      </c>
      <c r="C389" s="242"/>
      <c r="D389" s="242" t="s">
        <v>24</v>
      </c>
      <c r="E389" s="275">
        <v>31724</v>
      </c>
      <c r="F389" s="242" t="s">
        <v>227</v>
      </c>
      <c r="G389" s="242" t="s">
        <v>1785</v>
      </c>
      <c r="H389" s="242" t="s">
        <v>66</v>
      </c>
      <c r="I389" s="241" t="s">
        <v>4219</v>
      </c>
      <c r="J389" s="242" t="s">
        <v>1786</v>
      </c>
      <c r="K389" s="242" t="s">
        <v>29</v>
      </c>
      <c r="L389" s="242" t="s">
        <v>30</v>
      </c>
      <c r="M389" s="242"/>
      <c r="N389" s="242"/>
      <c r="O389" s="242"/>
      <c r="P389" s="242" t="s">
        <v>31</v>
      </c>
      <c r="Q389" s="244" t="s">
        <v>32</v>
      </c>
      <c r="R389" s="248" t="s">
        <v>43</v>
      </c>
      <c r="S389" s="242" t="s">
        <v>1784</v>
      </c>
      <c r="T389" s="266">
        <v>31724</v>
      </c>
      <c r="U389" s="242" t="s">
        <v>1786</v>
      </c>
      <c r="V389" s="475" t="s">
        <v>80</v>
      </c>
      <c r="W389" s="474"/>
    </row>
    <row r="390" spans="1:23" ht="12.75">
      <c r="A390" s="255">
        <v>46030.645844907405</v>
      </c>
      <c r="B390" s="476" t="s">
        <v>1787</v>
      </c>
      <c r="C390" s="474"/>
      <c r="D390" s="141" t="s">
        <v>45</v>
      </c>
      <c r="E390" s="256">
        <v>33521</v>
      </c>
      <c r="F390" s="141" t="s">
        <v>1788</v>
      </c>
      <c r="G390" s="141" t="s">
        <v>1789</v>
      </c>
      <c r="H390" s="141" t="s">
        <v>1790</v>
      </c>
      <c r="I390" s="252" t="s">
        <v>4223</v>
      </c>
      <c r="J390" s="141" t="s">
        <v>1791</v>
      </c>
      <c r="K390" s="141" t="s">
        <v>29</v>
      </c>
      <c r="L390" s="267">
        <v>46202</v>
      </c>
      <c r="M390" s="141"/>
      <c r="N390" s="141"/>
      <c r="O390" s="141"/>
      <c r="P390" s="141" t="s">
        <v>31</v>
      </c>
      <c r="Q390" s="253" t="s">
        <v>32</v>
      </c>
      <c r="R390" s="152" t="s">
        <v>33</v>
      </c>
      <c r="S390" s="206" t="s">
        <v>1787</v>
      </c>
      <c r="T390" s="261">
        <v>33521</v>
      </c>
      <c r="U390" s="206" t="s">
        <v>1791</v>
      </c>
      <c r="V390" s="473" t="s">
        <v>80</v>
      </c>
      <c r="W390" s="474"/>
    </row>
    <row r="391" spans="1:23" ht="12.75">
      <c r="A391" s="262">
        <v>46031.707824074074</v>
      </c>
      <c r="B391" s="263" t="s">
        <v>1792</v>
      </c>
      <c r="C391" s="263" t="s">
        <v>871</v>
      </c>
      <c r="D391" s="263" t="s">
        <v>45</v>
      </c>
      <c r="E391" s="264">
        <v>28098</v>
      </c>
      <c r="F391" s="263" t="s">
        <v>1793</v>
      </c>
      <c r="G391" s="263" t="s">
        <v>1794</v>
      </c>
      <c r="H391" s="263" t="s">
        <v>111</v>
      </c>
      <c r="I391" s="241" t="s">
        <v>4219</v>
      </c>
      <c r="J391" s="263" t="s">
        <v>1795</v>
      </c>
      <c r="K391" s="263" t="s">
        <v>29</v>
      </c>
      <c r="L391" s="263" t="s">
        <v>30</v>
      </c>
      <c r="M391" s="263" t="s">
        <v>1796</v>
      </c>
      <c r="N391" s="263"/>
      <c r="O391" s="263"/>
      <c r="P391" s="263" t="s">
        <v>31</v>
      </c>
      <c r="Q391" s="244" t="s">
        <v>32</v>
      </c>
      <c r="R391" s="248" t="s">
        <v>33</v>
      </c>
      <c r="S391" s="242" t="s">
        <v>1797</v>
      </c>
      <c r="T391" s="266">
        <v>28098</v>
      </c>
      <c r="U391" s="242" t="s">
        <v>1795</v>
      </c>
      <c r="V391" s="475" t="s">
        <v>80</v>
      </c>
      <c r="W391" s="474"/>
    </row>
    <row r="392" spans="1:23" ht="12.75">
      <c r="A392" s="255">
        <v>46031.874525462961</v>
      </c>
      <c r="B392" s="141" t="s">
        <v>1798</v>
      </c>
      <c r="C392" s="141"/>
      <c r="D392" s="141" t="s">
        <v>24</v>
      </c>
      <c r="E392" s="256">
        <v>33249</v>
      </c>
      <c r="F392" s="141" t="s">
        <v>732</v>
      </c>
      <c r="G392" s="141" t="s">
        <v>1799</v>
      </c>
      <c r="H392" s="141" t="s">
        <v>111</v>
      </c>
      <c r="I392" s="252" t="s">
        <v>4219</v>
      </c>
      <c r="J392" s="141" t="s">
        <v>1800</v>
      </c>
      <c r="K392" s="141" t="s">
        <v>39</v>
      </c>
      <c r="L392" s="141" t="s">
        <v>30</v>
      </c>
      <c r="M392" s="141"/>
      <c r="N392" s="141"/>
      <c r="O392" s="141"/>
      <c r="P392" s="141" t="s">
        <v>31</v>
      </c>
      <c r="Q392" s="253" t="s">
        <v>32</v>
      </c>
      <c r="R392" s="152"/>
      <c r="S392" s="206" t="s">
        <v>1801</v>
      </c>
      <c r="T392" s="261">
        <v>33249</v>
      </c>
      <c r="U392" s="206" t="s">
        <v>1800</v>
      </c>
      <c r="V392" s="473" t="s">
        <v>80</v>
      </c>
      <c r="W392" s="474"/>
    </row>
    <row r="393" spans="1:23" ht="12.75">
      <c r="A393" s="255">
        <v>46032.182673611111</v>
      </c>
      <c r="B393" s="141" t="s">
        <v>1802</v>
      </c>
      <c r="C393" s="141" t="s">
        <v>1802</v>
      </c>
      <c r="D393" s="141" t="s">
        <v>45</v>
      </c>
      <c r="E393" s="256">
        <v>37505</v>
      </c>
      <c r="F393" s="141" t="s">
        <v>208</v>
      </c>
      <c r="G393" s="141" t="s">
        <v>702</v>
      </c>
      <c r="H393" s="141" t="s">
        <v>66</v>
      </c>
      <c r="I393" s="252" t="s">
        <v>4223</v>
      </c>
      <c r="J393" s="141" t="s">
        <v>1803</v>
      </c>
      <c r="K393" s="141" t="s">
        <v>29</v>
      </c>
      <c r="L393" s="141" t="s">
        <v>30</v>
      </c>
      <c r="M393" s="141"/>
      <c r="N393" s="141"/>
      <c r="O393" s="141"/>
      <c r="P393" s="141" t="s">
        <v>31</v>
      </c>
      <c r="Q393" s="253" t="s">
        <v>32</v>
      </c>
      <c r="R393" s="148"/>
      <c r="S393" s="206" t="s">
        <v>1802</v>
      </c>
      <c r="T393" s="261">
        <v>37505</v>
      </c>
      <c r="U393" s="206" t="s">
        <v>1803</v>
      </c>
      <c r="V393" s="473" t="s">
        <v>80</v>
      </c>
      <c r="W393" s="474"/>
    </row>
    <row r="394" spans="1:23" ht="12.75">
      <c r="A394" s="274">
        <v>46034.835868055554</v>
      </c>
      <c r="B394" s="242" t="s">
        <v>1804</v>
      </c>
      <c r="C394" s="242" t="s">
        <v>1805</v>
      </c>
      <c r="D394" s="242" t="s">
        <v>45</v>
      </c>
      <c r="E394" s="275">
        <v>34308</v>
      </c>
      <c r="F394" s="242" t="s">
        <v>88</v>
      </c>
      <c r="G394" s="242" t="s">
        <v>1806</v>
      </c>
      <c r="H394" s="242" t="s">
        <v>738</v>
      </c>
      <c r="I394" s="241" t="s">
        <v>4223</v>
      </c>
      <c r="J394" s="242" t="s">
        <v>1807</v>
      </c>
      <c r="K394" s="242" t="s">
        <v>29</v>
      </c>
      <c r="L394" s="242" t="s">
        <v>241</v>
      </c>
      <c r="M394" s="242"/>
      <c r="N394" s="242"/>
      <c r="O394" s="242"/>
      <c r="P394" s="242" t="s">
        <v>31</v>
      </c>
      <c r="Q394" s="244" t="s">
        <v>32</v>
      </c>
      <c r="R394" s="245" t="s">
        <v>43</v>
      </c>
      <c r="S394" s="242" t="s">
        <v>1804</v>
      </c>
      <c r="T394" s="266">
        <v>34308</v>
      </c>
      <c r="U394" s="242" t="s">
        <v>1807</v>
      </c>
      <c r="V394" s="475" t="s">
        <v>80</v>
      </c>
      <c r="W394" s="474"/>
    </row>
    <row r="395" spans="1:23" ht="12.75">
      <c r="A395" s="255">
        <v>46035.955578703702</v>
      </c>
      <c r="B395" s="141" t="s">
        <v>1808</v>
      </c>
      <c r="C395" s="141"/>
      <c r="D395" s="141" t="s">
        <v>24</v>
      </c>
      <c r="E395" s="256">
        <v>37615</v>
      </c>
      <c r="F395" s="141" t="s">
        <v>208</v>
      </c>
      <c r="G395" s="141" t="s">
        <v>1809</v>
      </c>
      <c r="H395" s="141" t="s">
        <v>368</v>
      </c>
      <c r="I395" s="252" t="s">
        <v>4223</v>
      </c>
      <c r="J395" s="141" t="s">
        <v>1810</v>
      </c>
      <c r="K395" s="141" t="s">
        <v>29</v>
      </c>
      <c r="L395" s="141" t="s">
        <v>30</v>
      </c>
      <c r="M395" s="141"/>
      <c r="N395" s="141"/>
      <c r="O395" s="141"/>
      <c r="P395" s="141" t="s">
        <v>31</v>
      </c>
      <c r="Q395" s="253" t="s">
        <v>32</v>
      </c>
      <c r="R395" s="152"/>
      <c r="S395" s="206" t="s">
        <v>1808</v>
      </c>
      <c r="T395" s="261">
        <v>37615</v>
      </c>
      <c r="U395" s="206" t="s">
        <v>1810</v>
      </c>
      <c r="V395" s="473" t="s">
        <v>80</v>
      </c>
      <c r="W395" s="474"/>
    </row>
    <row r="396" spans="1:23" ht="12.75">
      <c r="A396" s="286">
        <v>46036.194340277776</v>
      </c>
      <c r="B396" s="287" t="s">
        <v>1811</v>
      </c>
      <c r="C396" s="287"/>
      <c r="D396" s="287" t="s">
        <v>45</v>
      </c>
      <c r="E396" s="288">
        <v>37541</v>
      </c>
      <c r="F396" s="287" t="s">
        <v>310</v>
      </c>
      <c r="G396" s="287" t="s">
        <v>1812</v>
      </c>
      <c r="H396" s="287" t="s">
        <v>160</v>
      </c>
      <c r="I396" s="241" t="s">
        <v>4237</v>
      </c>
      <c r="J396" s="287" t="s">
        <v>1813</v>
      </c>
      <c r="K396" s="287" t="s">
        <v>29</v>
      </c>
      <c r="L396" s="287" t="s">
        <v>30</v>
      </c>
      <c r="M396" s="287"/>
      <c r="N396" s="287"/>
      <c r="O396" s="287"/>
      <c r="P396" s="287" t="s">
        <v>31</v>
      </c>
      <c r="Q396" s="244" t="s">
        <v>32</v>
      </c>
      <c r="R396" s="248" t="s">
        <v>33</v>
      </c>
      <c r="S396" s="242" t="s">
        <v>1814</v>
      </c>
      <c r="T396" s="266">
        <v>37541</v>
      </c>
      <c r="U396" s="242" t="s">
        <v>1813</v>
      </c>
      <c r="V396" s="475" t="s">
        <v>1815</v>
      </c>
      <c r="W396" s="474"/>
    </row>
    <row r="397" spans="1:23" ht="12.75">
      <c r="A397" s="274">
        <v>46036.462164351855</v>
      </c>
      <c r="B397" s="242" t="s">
        <v>1816</v>
      </c>
      <c r="C397" s="242"/>
      <c r="D397" s="242" t="s">
        <v>45</v>
      </c>
      <c r="E397" s="275">
        <v>38177</v>
      </c>
      <c r="F397" s="242" t="s">
        <v>198</v>
      </c>
      <c r="G397" s="242" t="s">
        <v>1817</v>
      </c>
      <c r="H397" s="242" t="s">
        <v>1818</v>
      </c>
      <c r="I397" s="241" t="s">
        <v>4219</v>
      </c>
      <c r="J397" s="242" t="s">
        <v>1819</v>
      </c>
      <c r="K397" s="242" t="s">
        <v>29</v>
      </c>
      <c r="L397" s="242" t="s">
        <v>30</v>
      </c>
      <c r="M397" s="242"/>
      <c r="N397" s="242"/>
      <c r="O397" s="242"/>
      <c r="P397" s="242" t="s">
        <v>31</v>
      </c>
      <c r="Q397" s="244" t="s">
        <v>32</v>
      </c>
      <c r="R397" s="248" t="s">
        <v>33</v>
      </c>
      <c r="S397" s="242" t="s">
        <v>1816</v>
      </c>
      <c r="T397" s="266">
        <v>38177</v>
      </c>
      <c r="U397" s="242" t="s">
        <v>1819</v>
      </c>
      <c r="V397" s="475" t="s">
        <v>80</v>
      </c>
      <c r="W397" s="474"/>
    </row>
    <row r="398" spans="1:23" ht="12.75">
      <c r="A398" s="255">
        <v>46036.474131944444</v>
      </c>
      <c r="B398" s="476" t="s">
        <v>1820</v>
      </c>
      <c r="C398" s="474"/>
      <c r="D398" s="141" t="s">
        <v>45</v>
      </c>
      <c r="E398" s="256">
        <v>34163</v>
      </c>
      <c r="F398" s="141" t="s">
        <v>198</v>
      </c>
      <c r="G398" s="141" t="s">
        <v>1821</v>
      </c>
      <c r="H398" s="141" t="s">
        <v>111</v>
      </c>
      <c r="I398" s="252" t="s">
        <v>4219</v>
      </c>
      <c r="J398" s="141" t="s">
        <v>1822</v>
      </c>
      <c r="K398" s="141" t="s">
        <v>29</v>
      </c>
      <c r="L398" s="141" t="s">
        <v>30</v>
      </c>
      <c r="M398" s="141"/>
      <c r="N398" s="141"/>
      <c r="O398" s="141"/>
      <c r="P398" s="141" t="s">
        <v>31</v>
      </c>
      <c r="Q398" s="253" t="s">
        <v>32</v>
      </c>
      <c r="R398" s="152" t="s">
        <v>33</v>
      </c>
      <c r="S398" s="206" t="s">
        <v>1823</v>
      </c>
      <c r="T398" s="261">
        <v>34163</v>
      </c>
      <c r="U398" s="206" t="s">
        <v>1822</v>
      </c>
      <c r="V398" s="473" t="s">
        <v>80</v>
      </c>
      <c r="W398" s="474"/>
    </row>
    <row r="399" spans="1:23" ht="12.75">
      <c r="A399" s="255">
        <v>46037.353252314817</v>
      </c>
      <c r="B399" s="141" t="s">
        <v>1824</v>
      </c>
      <c r="C399" s="141" t="s">
        <v>1825</v>
      </c>
      <c r="D399" s="141" t="s">
        <v>24</v>
      </c>
      <c r="E399" s="256">
        <v>37538</v>
      </c>
      <c r="F399" s="141" t="s">
        <v>83</v>
      </c>
      <c r="G399" s="141" t="s">
        <v>1545</v>
      </c>
      <c r="H399" s="141" t="s">
        <v>160</v>
      </c>
      <c r="I399" s="252" t="s">
        <v>4223</v>
      </c>
      <c r="J399" s="141" t="s">
        <v>1826</v>
      </c>
      <c r="K399" s="141" t="s">
        <v>39</v>
      </c>
      <c r="L399" s="141" t="s">
        <v>621</v>
      </c>
      <c r="M399" s="141"/>
      <c r="N399" s="141"/>
      <c r="O399" s="141"/>
      <c r="P399" s="141" t="s">
        <v>31</v>
      </c>
      <c r="Q399" s="257" t="s">
        <v>56</v>
      </c>
      <c r="R399" s="24"/>
      <c r="S399" s="206"/>
      <c r="T399" s="258"/>
      <c r="U399" s="206"/>
      <c r="V399" s="206"/>
      <c r="W399" s="206"/>
    </row>
    <row r="400" spans="1:23" ht="12.75">
      <c r="A400" s="274">
        <v>46037.537766203706</v>
      </c>
      <c r="B400" s="242" t="s">
        <v>1827</v>
      </c>
      <c r="C400" s="242"/>
      <c r="D400" s="242" t="s">
        <v>45</v>
      </c>
      <c r="E400" s="275">
        <v>27957</v>
      </c>
      <c r="F400" s="242" t="s">
        <v>416</v>
      </c>
      <c r="G400" s="242" t="s">
        <v>1828</v>
      </c>
      <c r="H400" s="242" t="s">
        <v>1829</v>
      </c>
      <c r="I400" s="241" t="s">
        <v>4219</v>
      </c>
      <c r="J400" s="242" t="s">
        <v>1830</v>
      </c>
      <c r="K400" s="242" t="s">
        <v>29</v>
      </c>
      <c r="L400" s="242" t="s">
        <v>30</v>
      </c>
      <c r="M400" s="242"/>
      <c r="N400" s="242"/>
      <c r="O400" s="242"/>
      <c r="P400" s="242" t="s">
        <v>31</v>
      </c>
      <c r="Q400" s="244" t="s">
        <v>32</v>
      </c>
      <c r="R400" s="245" t="s">
        <v>33</v>
      </c>
      <c r="S400" s="242" t="s">
        <v>1831</v>
      </c>
      <c r="T400" s="266">
        <v>27957</v>
      </c>
      <c r="U400" s="242" t="s">
        <v>1832</v>
      </c>
      <c r="V400" s="475" t="s">
        <v>80</v>
      </c>
      <c r="W400" s="474"/>
    </row>
    <row r="401" spans="1:23" ht="12.75">
      <c r="A401" s="274">
        <v>46038.401076388887</v>
      </c>
      <c r="B401" s="475" t="s">
        <v>1833</v>
      </c>
      <c r="C401" s="474"/>
      <c r="D401" s="242" t="s">
        <v>24</v>
      </c>
      <c r="E401" s="275">
        <v>22296</v>
      </c>
      <c r="F401" s="242" t="s">
        <v>1834</v>
      </c>
      <c r="G401" s="242" t="s">
        <v>1835</v>
      </c>
      <c r="H401" s="242" t="s">
        <v>1836</v>
      </c>
      <c r="I401" s="241" t="s">
        <v>4219</v>
      </c>
      <c r="J401" s="242" t="s">
        <v>1837</v>
      </c>
      <c r="K401" s="242" t="s">
        <v>29</v>
      </c>
      <c r="L401" s="242" t="s">
        <v>162</v>
      </c>
      <c r="M401" s="242"/>
      <c r="N401" s="242"/>
      <c r="O401" s="242"/>
      <c r="P401" s="242" t="s">
        <v>31</v>
      </c>
      <c r="Q401" s="244" t="s">
        <v>32</v>
      </c>
      <c r="R401" s="248" t="s">
        <v>33</v>
      </c>
      <c r="S401" s="242" t="s">
        <v>1838</v>
      </c>
      <c r="T401" s="266">
        <v>22296</v>
      </c>
      <c r="U401" s="242" t="s">
        <v>1837</v>
      </c>
      <c r="V401" s="475" t="s">
        <v>154</v>
      </c>
      <c r="W401" s="474"/>
    </row>
    <row r="402" spans="1:23" ht="12.75">
      <c r="A402" s="274">
        <v>46038.503981481481</v>
      </c>
      <c r="B402" s="242" t="s">
        <v>1839</v>
      </c>
      <c r="C402" s="242"/>
      <c r="D402" s="242" t="s">
        <v>24</v>
      </c>
      <c r="E402" s="275">
        <v>36205</v>
      </c>
      <c r="F402" s="242" t="s">
        <v>198</v>
      </c>
      <c r="G402" s="242" t="s">
        <v>1840</v>
      </c>
      <c r="H402" s="242" t="s">
        <v>1841</v>
      </c>
      <c r="I402" s="241" t="s">
        <v>4219</v>
      </c>
      <c r="J402" s="242" t="s">
        <v>1842</v>
      </c>
      <c r="K402" s="242" t="s">
        <v>29</v>
      </c>
      <c r="L402" s="242" t="s">
        <v>30</v>
      </c>
      <c r="M402" s="242"/>
      <c r="N402" s="242"/>
      <c r="O402" s="242"/>
      <c r="P402" s="242" t="s">
        <v>31</v>
      </c>
      <c r="Q402" s="244" t="s">
        <v>32</v>
      </c>
      <c r="R402" s="245" t="s">
        <v>33</v>
      </c>
      <c r="S402" s="242" t="s">
        <v>1843</v>
      </c>
      <c r="T402" s="266">
        <v>36205</v>
      </c>
      <c r="U402" s="242" t="s">
        <v>1842</v>
      </c>
      <c r="V402" s="475" t="s">
        <v>80</v>
      </c>
      <c r="W402" s="474"/>
    </row>
    <row r="403" spans="1:23" ht="12.75">
      <c r="A403" s="240">
        <v>46039.934560185182</v>
      </c>
      <c r="B403" s="490" t="s">
        <v>1844</v>
      </c>
      <c r="C403" s="474"/>
      <c r="D403" s="241" t="s">
        <v>24</v>
      </c>
      <c r="E403" s="243">
        <v>30243</v>
      </c>
      <c r="F403" s="241" t="s">
        <v>227</v>
      </c>
      <c r="G403" s="241" t="s">
        <v>1845</v>
      </c>
      <c r="H403" s="241" t="s">
        <v>1756</v>
      </c>
      <c r="I403" s="241" t="s">
        <v>4219</v>
      </c>
      <c r="J403" s="241" t="s">
        <v>1846</v>
      </c>
      <c r="K403" s="241" t="s">
        <v>29</v>
      </c>
      <c r="L403" s="241" t="s">
        <v>30</v>
      </c>
      <c r="M403" s="242"/>
      <c r="N403" s="241"/>
      <c r="O403" s="241"/>
      <c r="P403" s="241" t="s">
        <v>31</v>
      </c>
      <c r="Q403" s="244" t="s">
        <v>32</v>
      </c>
      <c r="R403" s="248" t="s">
        <v>43</v>
      </c>
      <c r="S403" s="246" t="s">
        <v>1847</v>
      </c>
      <c r="T403" s="242"/>
      <c r="U403" s="242"/>
      <c r="V403" s="242"/>
      <c r="W403" s="242"/>
    </row>
    <row r="404" spans="1:23" ht="12.75">
      <c r="A404" s="255">
        <v>46040.083715277775</v>
      </c>
      <c r="B404" s="476" t="s">
        <v>1848</v>
      </c>
      <c r="C404" s="474"/>
      <c r="D404" s="141" t="s">
        <v>24</v>
      </c>
      <c r="E404" s="256">
        <v>24976</v>
      </c>
      <c r="F404" s="141" t="s">
        <v>198</v>
      </c>
      <c r="G404" s="141" t="s">
        <v>1849</v>
      </c>
      <c r="H404" s="141" t="s">
        <v>1850</v>
      </c>
      <c r="I404" s="252" t="s">
        <v>4219</v>
      </c>
      <c r="J404" s="141" t="s">
        <v>1851</v>
      </c>
      <c r="K404" s="141" t="s">
        <v>39</v>
      </c>
      <c r="L404" s="141" t="s">
        <v>30</v>
      </c>
      <c r="M404" s="141"/>
      <c r="N404" s="141"/>
      <c r="O404" s="141"/>
      <c r="P404" s="141" t="s">
        <v>31</v>
      </c>
      <c r="Q404" s="253" t="s">
        <v>32</v>
      </c>
      <c r="R404" s="152"/>
      <c r="S404" s="206" t="s">
        <v>1848</v>
      </c>
      <c r="T404" s="261">
        <v>24976</v>
      </c>
      <c r="U404" s="206" t="s">
        <v>1851</v>
      </c>
      <c r="V404" s="473" t="s">
        <v>80</v>
      </c>
      <c r="W404" s="474"/>
    </row>
    <row r="405" spans="1:23" ht="12.75">
      <c r="A405" s="255">
        <v>46040.357349537036</v>
      </c>
      <c r="B405" s="141" t="s">
        <v>1852</v>
      </c>
      <c r="C405" s="141"/>
      <c r="D405" s="141" t="s">
        <v>24</v>
      </c>
      <c r="E405" s="256">
        <v>29681</v>
      </c>
      <c r="F405" s="141" t="s">
        <v>198</v>
      </c>
      <c r="G405" s="141" t="s">
        <v>1853</v>
      </c>
      <c r="H405" s="141" t="s">
        <v>1854</v>
      </c>
      <c r="I405" s="252" t="s">
        <v>4219</v>
      </c>
      <c r="J405" s="141" t="s">
        <v>1855</v>
      </c>
      <c r="K405" s="141" t="s">
        <v>29</v>
      </c>
      <c r="L405" s="141" t="s">
        <v>30</v>
      </c>
      <c r="M405" s="141"/>
      <c r="N405" s="141"/>
      <c r="O405" s="141"/>
      <c r="P405" s="141" t="s">
        <v>31</v>
      </c>
      <c r="Q405" s="253" t="s">
        <v>32</v>
      </c>
      <c r="R405" s="148"/>
      <c r="S405" s="206" t="s">
        <v>1856</v>
      </c>
      <c r="T405" s="261">
        <v>29681</v>
      </c>
      <c r="U405" s="206" t="s">
        <v>1855</v>
      </c>
      <c r="V405" s="473" t="s">
        <v>80</v>
      </c>
      <c r="W405" s="474"/>
    </row>
    <row r="406" spans="1:23" ht="12.75">
      <c r="A406" s="262">
        <v>46040.917222222219</v>
      </c>
      <c r="B406" s="263" t="s">
        <v>1857</v>
      </c>
      <c r="C406" s="263" t="s">
        <v>1858</v>
      </c>
      <c r="D406" s="263" t="s">
        <v>24</v>
      </c>
      <c r="E406" s="264">
        <v>36056</v>
      </c>
      <c r="F406" s="263" t="s">
        <v>198</v>
      </c>
      <c r="G406" s="263" t="s">
        <v>1859</v>
      </c>
      <c r="H406" s="263" t="s">
        <v>111</v>
      </c>
      <c r="I406" s="241" t="s">
        <v>4219</v>
      </c>
      <c r="J406" s="263" t="s">
        <v>1860</v>
      </c>
      <c r="K406" s="263" t="s">
        <v>29</v>
      </c>
      <c r="L406" s="263" t="s">
        <v>162</v>
      </c>
      <c r="M406" s="263"/>
      <c r="N406" s="263"/>
      <c r="O406" s="263"/>
      <c r="P406" s="263" t="s">
        <v>31</v>
      </c>
      <c r="Q406" s="244" t="s">
        <v>32</v>
      </c>
      <c r="R406" s="245" t="s">
        <v>43</v>
      </c>
      <c r="S406" s="242" t="s">
        <v>1861</v>
      </c>
      <c r="T406" s="266">
        <v>36056</v>
      </c>
      <c r="U406" s="242" t="s">
        <v>1860</v>
      </c>
      <c r="V406" s="475" t="s">
        <v>80</v>
      </c>
      <c r="W406" s="474"/>
    </row>
    <row r="407" spans="1:23" ht="12.75">
      <c r="A407" s="255">
        <v>46041.788530092592</v>
      </c>
      <c r="B407" s="141" t="s">
        <v>1862</v>
      </c>
      <c r="C407" s="141"/>
      <c r="D407" s="141" t="s">
        <v>24</v>
      </c>
      <c r="E407" s="256">
        <v>36767</v>
      </c>
      <c r="F407" s="141" t="s">
        <v>64</v>
      </c>
      <c r="G407" s="141" t="s">
        <v>1863</v>
      </c>
      <c r="H407" s="141" t="s">
        <v>1864</v>
      </c>
      <c r="I407" s="252" t="s">
        <v>4219</v>
      </c>
      <c r="J407" s="141" t="s">
        <v>1865</v>
      </c>
      <c r="K407" s="141" t="s">
        <v>29</v>
      </c>
      <c r="L407" s="141" t="s">
        <v>30</v>
      </c>
      <c r="M407" s="141"/>
      <c r="N407" s="141"/>
      <c r="O407" s="141"/>
      <c r="P407" s="141" t="s">
        <v>31</v>
      </c>
      <c r="Q407" s="253" t="s">
        <v>32</v>
      </c>
      <c r="R407" s="148"/>
      <c r="S407" s="206" t="s">
        <v>1866</v>
      </c>
      <c r="T407" s="261">
        <v>36767</v>
      </c>
      <c r="U407" s="206" t="s">
        <v>1865</v>
      </c>
      <c r="V407" s="473" t="s">
        <v>1867</v>
      </c>
      <c r="W407" s="474"/>
    </row>
    <row r="408" spans="1:23" ht="12.75">
      <c r="A408" s="255">
        <v>46041.915810185186</v>
      </c>
      <c r="B408" s="141" t="s">
        <v>1868</v>
      </c>
      <c r="C408" s="141"/>
      <c r="D408" s="141" t="s">
        <v>45</v>
      </c>
      <c r="E408" s="256">
        <v>38604</v>
      </c>
      <c r="F408" s="141" t="s">
        <v>70</v>
      </c>
      <c r="G408" s="141" t="s">
        <v>1869</v>
      </c>
      <c r="H408" s="141" t="s">
        <v>1870</v>
      </c>
      <c r="I408" s="252" t="s">
        <v>4219</v>
      </c>
      <c r="J408" s="141" t="s">
        <v>1871</v>
      </c>
      <c r="K408" s="141" t="s">
        <v>29</v>
      </c>
      <c r="L408" s="267">
        <v>46202</v>
      </c>
      <c r="M408" s="141"/>
      <c r="N408" s="141"/>
      <c r="O408" s="141"/>
      <c r="P408" s="141" t="s">
        <v>31</v>
      </c>
      <c r="Q408" s="253" t="s">
        <v>32</v>
      </c>
      <c r="R408" s="148"/>
      <c r="S408" s="206" t="s">
        <v>1872</v>
      </c>
      <c r="T408" s="261">
        <v>38604</v>
      </c>
      <c r="U408" s="206" t="s">
        <v>1871</v>
      </c>
      <c r="V408" s="473" t="s">
        <v>316</v>
      </c>
      <c r="W408" s="474"/>
    </row>
    <row r="409" spans="1:23" ht="12.75">
      <c r="A409" s="274">
        <v>46042.005740740744</v>
      </c>
      <c r="B409" s="242" t="s">
        <v>1873</v>
      </c>
      <c r="C409" s="242"/>
      <c r="D409" s="242" t="s">
        <v>24</v>
      </c>
      <c r="E409" s="275">
        <v>37259</v>
      </c>
      <c r="F409" s="242" t="s">
        <v>198</v>
      </c>
      <c r="G409" s="242" t="s">
        <v>1874</v>
      </c>
      <c r="H409" s="242" t="s">
        <v>1875</v>
      </c>
      <c r="I409" s="241" t="s">
        <v>4219</v>
      </c>
      <c r="J409" s="242" t="s">
        <v>1876</v>
      </c>
      <c r="K409" s="242" t="s">
        <v>29</v>
      </c>
      <c r="L409" s="242" t="s">
        <v>30</v>
      </c>
      <c r="M409" s="475" t="s">
        <v>1877</v>
      </c>
      <c r="N409" s="474"/>
      <c r="O409" s="242"/>
      <c r="P409" s="242" t="s">
        <v>31</v>
      </c>
      <c r="Q409" s="244" t="s">
        <v>32</v>
      </c>
      <c r="R409" s="245" t="s">
        <v>1878</v>
      </c>
      <c r="S409" s="242" t="s">
        <v>1873</v>
      </c>
      <c r="T409" s="266">
        <v>37259</v>
      </c>
      <c r="U409" s="242" t="s">
        <v>1876</v>
      </c>
      <c r="V409" s="475" t="s">
        <v>80</v>
      </c>
      <c r="W409" s="474"/>
    </row>
    <row r="410" spans="1:23" ht="12.75">
      <c r="A410" s="255">
        <v>46042.048773148148</v>
      </c>
      <c r="B410" s="141" t="s">
        <v>1879</v>
      </c>
      <c r="C410" s="141"/>
      <c r="D410" s="141" t="s">
        <v>24</v>
      </c>
      <c r="E410" s="256">
        <v>22647</v>
      </c>
      <c r="F410" s="141" t="s">
        <v>438</v>
      </c>
      <c r="G410" s="141" t="s">
        <v>1880</v>
      </c>
      <c r="H410" s="141" t="s">
        <v>1881</v>
      </c>
      <c r="I410" s="252" t="s">
        <v>4219</v>
      </c>
      <c r="J410" s="141" t="s">
        <v>1882</v>
      </c>
      <c r="K410" s="141" t="s">
        <v>29</v>
      </c>
      <c r="L410" s="141" t="s">
        <v>30</v>
      </c>
      <c r="M410" s="141"/>
      <c r="N410" s="141"/>
      <c r="O410" s="141"/>
      <c r="P410" s="141" t="s">
        <v>31</v>
      </c>
      <c r="Q410" s="253" t="s">
        <v>32</v>
      </c>
      <c r="R410" s="148"/>
      <c r="S410" s="206" t="s">
        <v>1879</v>
      </c>
      <c r="T410" s="261">
        <v>22647</v>
      </c>
      <c r="U410" s="206" t="s">
        <v>1882</v>
      </c>
      <c r="V410" s="473" t="s">
        <v>80</v>
      </c>
      <c r="W410" s="474"/>
    </row>
    <row r="411" spans="1:23" ht="12.75">
      <c r="A411" s="292">
        <v>46042.131261574075</v>
      </c>
      <c r="B411" s="293" t="s">
        <v>1883</v>
      </c>
      <c r="C411" s="293"/>
      <c r="D411" s="293" t="s">
        <v>24</v>
      </c>
      <c r="E411" s="294">
        <v>31758</v>
      </c>
      <c r="F411" s="293" t="s">
        <v>380</v>
      </c>
      <c r="G411" s="293" t="s">
        <v>1884</v>
      </c>
      <c r="H411" s="293" t="s">
        <v>1885</v>
      </c>
      <c r="I411" s="252" t="s">
        <v>4223</v>
      </c>
      <c r="J411" s="293" t="s">
        <v>1886</v>
      </c>
      <c r="K411" s="293" t="s">
        <v>29</v>
      </c>
      <c r="L411" s="293" t="s">
        <v>524</v>
      </c>
      <c r="M411" s="293" t="s">
        <v>1887</v>
      </c>
      <c r="N411" s="293"/>
      <c r="O411" s="293"/>
      <c r="P411" s="293" t="s">
        <v>31</v>
      </c>
      <c r="Q411" s="253" t="s">
        <v>32</v>
      </c>
      <c r="R411" s="152"/>
      <c r="S411" s="206" t="s">
        <v>1888</v>
      </c>
      <c r="T411" s="261">
        <v>27952</v>
      </c>
      <c r="U411" s="206" t="s">
        <v>1886</v>
      </c>
      <c r="V411" s="473" t="s">
        <v>114</v>
      </c>
      <c r="W411" s="474"/>
    </row>
    <row r="412" spans="1:23" ht="12.75">
      <c r="A412" s="255">
        <v>46042.416979166665</v>
      </c>
      <c r="B412" s="476" t="s">
        <v>1889</v>
      </c>
      <c r="C412" s="474"/>
      <c r="D412" s="141" t="s">
        <v>24</v>
      </c>
      <c r="E412" s="256">
        <v>19949</v>
      </c>
      <c r="F412" s="141" t="s">
        <v>1834</v>
      </c>
      <c r="G412" s="141" t="s">
        <v>1890</v>
      </c>
      <c r="H412" s="141" t="s">
        <v>1891</v>
      </c>
      <c r="I412" s="252" t="s">
        <v>4219</v>
      </c>
      <c r="J412" s="141" t="s">
        <v>1892</v>
      </c>
      <c r="K412" s="141" t="s">
        <v>39</v>
      </c>
      <c r="L412" s="141" t="s">
        <v>241</v>
      </c>
      <c r="M412" s="476" t="s">
        <v>1893</v>
      </c>
      <c r="N412" s="474"/>
      <c r="O412" s="141"/>
      <c r="P412" s="141" t="s">
        <v>31</v>
      </c>
      <c r="Q412" s="253" t="s">
        <v>32</v>
      </c>
      <c r="R412" s="152"/>
      <c r="S412" s="206" t="s">
        <v>1894</v>
      </c>
      <c r="T412" s="261">
        <v>19949</v>
      </c>
      <c r="U412" s="206" t="s">
        <v>1892</v>
      </c>
      <c r="V412" s="473" t="s">
        <v>154</v>
      </c>
      <c r="W412" s="474"/>
    </row>
    <row r="413" spans="1:23" ht="12.75">
      <c r="A413" s="274">
        <v>46042.882222222222</v>
      </c>
      <c r="B413" s="242" t="s">
        <v>1895</v>
      </c>
      <c r="C413" s="242"/>
      <c r="D413" s="242" t="s">
        <v>45</v>
      </c>
      <c r="E413" s="275">
        <v>33142</v>
      </c>
      <c r="F413" s="242" t="s">
        <v>227</v>
      </c>
      <c r="G413" s="242" t="s">
        <v>1896</v>
      </c>
      <c r="H413" s="242" t="s">
        <v>1897</v>
      </c>
      <c r="I413" s="241" t="s">
        <v>4219</v>
      </c>
      <c r="J413" s="242" t="s">
        <v>1898</v>
      </c>
      <c r="K413" s="242" t="s">
        <v>29</v>
      </c>
      <c r="L413" s="242" t="s">
        <v>30</v>
      </c>
      <c r="M413" s="242"/>
      <c r="N413" s="242"/>
      <c r="O413" s="242"/>
      <c r="P413" s="242" t="s">
        <v>31</v>
      </c>
      <c r="Q413" s="244" t="s">
        <v>32</v>
      </c>
      <c r="R413" s="248" t="s">
        <v>33</v>
      </c>
      <c r="S413" s="242" t="s">
        <v>1895</v>
      </c>
      <c r="T413" s="266">
        <v>33142</v>
      </c>
      <c r="U413" s="242" t="s">
        <v>1898</v>
      </c>
      <c r="V413" s="475" t="s">
        <v>80</v>
      </c>
      <c r="W413" s="474"/>
    </row>
    <row r="414" spans="1:23" ht="12.75">
      <c r="A414" s="274">
        <v>46044.714733796296</v>
      </c>
      <c r="B414" s="242" t="s">
        <v>1899</v>
      </c>
      <c r="C414" s="242"/>
      <c r="D414" s="242" t="s">
        <v>24</v>
      </c>
      <c r="E414" s="275">
        <v>31420</v>
      </c>
      <c r="F414" s="242" t="s">
        <v>1900</v>
      </c>
      <c r="G414" s="242" t="s">
        <v>1901</v>
      </c>
      <c r="H414" s="242" t="s">
        <v>1902</v>
      </c>
      <c r="I414" s="241" t="s">
        <v>4219</v>
      </c>
      <c r="J414" s="242" t="s">
        <v>1903</v>
      </c>
      <c r="K414" s="242" t="s">
        <v>29</v>
      </c>
      <c r="L414" s="242" t="s">
        <v>162</v>
      </c>
      <c r="M414" s="242"/>
      <c r="N414" s="242"/>
      <c r="O414" s="242"/>
      <c r="P414" s="242" t="s">
        <v>31</v>
      </c>
      <c r="Q414" s="244" t="s">
        <v>32</v>
      </c>
      <c r="R414" s="245" t="s">
        <v>33</v>
      </c>
      <c r="S414" s="242" t="s">
        <v>1899</v>
      </c>
      <c r="T414" s="266">
        <v>31420</v>
      </c>
      <c r="U414" s="242" t="s">
        <v>1903</v>
      </c>
      <c r="V414" s="475" t="s">
        <v>80</v>
      </c>
      <c r="W414" s="474"/>
    </row>
    <row r="415" spans="1:23" ht="12.75">
      <c r="A415" s="274">
        <v>46044.941377314812</v>
      </c>
      <c r="B415" s="242" t="s">
        <v>1904</v>
      </c>
      <c r="C415" s="242"/>
      <c r="D415" s="242" t="s">
        <v>24</v>
      </c>
      <c r="E415" s="275">
        <v>28919</v>
      </c>
      <c r="F415" s="242" t="s">
        <v>1905</v>
      </c>
      <c r="G415" s="242" t="s">
        <v>1906</v>
      </c>
      <c r="H415" s="242" t="s">
        <v>186</v>
      </c>
      <c r="I415" s="241" t="s">
        <v>4223</v>
      </c>
      <c r="J415" s="242" t="s">
        <v>1907</v>
      </c>
      <c r="K415" s="242" t="s">
        <v>29</v>
      </c>
      <c r="L415" s="242" t="s">
        <v>30</v>
      </c>
      <c r="M415" s="242"/>
      <c r="N415" s="242"/>
      <c r="O415" s="242"/>
      <c r="P415" s="242" t="s">
        <v>31</v>
      </c>
      <c r="Q415" s="244" t="s">
        <v>32</v>
      </c>
      <c r="R415" s="248" t="s">
        <v>33</v>
      </c>
      <c r="S415" s="242" t="s">
        <v>1904</v>
      </c>
      <c r="T415" s="266">
        <v>28919</v>
      </c>
      <c r="U415" s="242" t="s">
        <v>1907</v>
      </c>
      <c r="V415" s="475" t="s">
        <v>80</v>
      </c>
      <c r="W415" s="474"/>
    </row>
    <row r="416" spans="1:23" ht="12.75">
      <c r="A416" s="249">
        <v>46045.260185185187</v>
      </c>
      <c r="B416" s="250" t="s">
        <v>1908</v>
      </c>
      <c r="C416" s="250"/>
      <c r="D416" s="250" t="s">
        <v>45</v>
      </c>
      <c r="E416" s="251">
        <v>33097</v>
      </c>
      <c r="F416" s="250" t="s">
        <v>70</v>
      </c>
      <c r="G416" s="250" t="s">
        <v>1909</v>
      </c>
      <c r="H416" s="250" t="s">
        <v>578</v>
      </c>
      <c r="I416" s="252" t="s">
        <v>4219</v>
      </c>
      <c r="J416" s="250" t="s">
        <v>1910</v>
      </c>
      <c r="K416" s="250" t="s">
        <v>29</v>
      </c>
      <c r="L416" s="250" t="s">
        <v>30</v>
      </c>
      <c r="M416" s="139"/>
      <c r="N416" s="250"/>
      <c r="O416" s="250"/>
      <c r="P416" s="250" t="s">
        <v>31</v>
      </c>
      <c r="Q416" s="257" t="s">
        <v>56</v>
      </c>
      <c r="R416" s="24"/>
      <c r="S416" s="139"/>
      <c r="T416" s="206"/>
      <c r="U416" s="206"/>
      <c r="V416" s="206"/>
      <c r="W416" s="206"/>
    </row>
    <row r="417" spans="1:23" ht="12.75">
      <c r="A417" s="255">
        <v>46045.610763888886</v>
      </c>
      <c r="B417" s="141" t="s">
        <v>1911</v>
      </c>
      <c r="C417" s="141"/>
      <c r="D417" s="141" t="s">
        <v>24</v>
      </c>
      <c r="E417" s="256">
        <v>36679</v>
      </c>
      <c r="F417" s="141" t="s">
        <v>208</v>
      </c>
      <c r="G417" s="141" t="s">
        <v>702</v>
      </c>
      <c r="H417" s="141" t="s">
        <v>368</v>
      </c>
      <c r="I417" s="252" t="s">
        <v>4223</v>
      </c>
      <c r="J417" s="141" t="s">
        <v>1912</v>
      </c>
      <c r="K417" s="141" t="s">
        <v>29</v>
      </c>
      <c r="L417" s="141" t="s">
        <v>30</v>
      </c>
      <c r="M417" s="141"/>
      <c r="N417" s="141"/>
      <c r="O417" s="141"/>
      <c r="P417" s="141" t="s">
        <v>31</v>
      </c>
      <c r="Q417" s="253" t="s">
        <v>32</v>
      </c>
      <c r="R417" s="152"/>
      <c r="S417" s="206" t="s">
        <v>1913</v>
      </c>
      <c r="T417" s="261">
        <v>36679</v>
      </c>
      <c r="U417" s="206" t="s">
        <v>1912</v>
      </c>
      <c r="V417" s="473" t="s">
        <v>80</v>
      </c>
      <c r="W417" s="474"/>
    </row>
    <row r="418" spans="1:23" ht="12.75">
      <c r="A418" s="274">
        <v>46046.196261574078</v>
      </c>
      <c r="B418" s="242" t="s">
        <v>1914</v>
      </c>
      <c r="C418" s="242"/>
      <c r="D418" s="242" t="s">
        <v>45</v>
      </c>
      <c r="E418" s="275">
        <v>21506</v>
      </c>
      <c r="F418" s="242" t="s">
        <v>332</v>
      </c>
      <c r="G418" s="242" t="s">
        <v>1915</v>
      </c>
      <c r="H418" s="242" t="s">
        <v>1655</v>
      </c>
      <c r="I418" s="241" t="s">
        <v>4237</v>
      </c>
      <c r="J418" s="242" t="s">
        <v>1916</v>
      </c>
      <c r="K418" s="242" t="s">
        <v>39</v>
      </c>
      <c r="L418" s="242" t="s">
        <v>621</v>
      </c>
      <c r="M418" s="242"/>
      <c r="N418" s="242"/>
      <c r="O418" s="242"/>
      <c r="P418" s="242" t="s">
        <v>31</v>
      </c>
      <c r="Q418" s="244" t="s">
        <v>32</v>
      </c>
      <c r="R418" s="248" t="s">
        <v>33</v>
      </c>
      <c r="S418" s="242" t="s">
        <v>1917</v>
      </c>
      <c r="T418" s="266">
        <v>21506</v>
      </c>
      <c r="U418" s="242" t="s">
        <v>1916</v>
      </c>
      <c r="V418" s="475" t="s">
        <v>154</v>
      </c>
      <c r="W418" s="474"/>
    </row>
    <row r="419" spans="1:23" ht="12.75">
      <c r="A419" s="297">
        <v>46046.811539351853</v>
      </c>
      <c r="B419" s="491" t="s">
        <v>1918</v>
      </c>
      <c r="C419" s="474"/>
      <c r="D419" s="298" t="s">
        <v>24</v>
      </c>
      <c r="E419" s="299">
        <v>36581</v>
      </c>
      <c r="F419" s="298" t="s">
        <v>470</v>
      </c>
      <c r="G419" s="298" t="s">
        <v>1918</v>
      </c>
      <c r="H419" s="298" t="s">
        <v>1919</v>
      </c>
      <c r="I419" s="252" t="s">
        <v>4219</v>
      </c>
      <c r="J419" s="298" t="s">
        <v>1920</v>
      </c>
      <c r="K419" s="298" t="s">
        <v>39</v>
      </c>
      <c r="L419" s="298" t="s">
        <v>30</v>
      </c>
      <c r="M419" s="298"/>
      <c r="N419" s="298"/>
      <c r="O419" s="298"/>
      <c r="P419" s="298" t="s">
        <v>31</v>
      </c>
      <c r="Q419" s="253" t="s">
        <v>32</v>
      </c>
      <c r="R419" s="152" t="s">
        <v>33</v>
      </c>
      <c r="S419" s="206" t="s">
        <v>1918</v>
      </c>
      <c r="T419" s="261">
        <v>36581</v>
      </c>
      <c r="U419" s="206" t="s">
        <v>1920</v>
      </c>
      <c r="V419" s="473" t="s">
        <v>80</v>
      </c>
      <c r="W419" s="474"/>
    </row>
    <row r="420" spans="1:23" ht="12.75">
      <c r="A420" s="240">
        <v>46048.142858796295</v>
      </c>
      <c r="B420" s="241" t="s">
        <v>1921</v>
      </c>
      <c r="C420" s="242"/>
      <c r="D420" s="241" t="s">
        <v>24</v>
      </c>
      <c r="E420" s="243">
        <v>29327</v>
      </c>
      <c r="F420" s="241" t="s">
        <v>232</v>
      </c>
      <c r="G420" s="241" t="s">
        <v>1922</v>
      </c>
      <c r="H420" s="241" t="s">
        <v>1923</v>
      </c>
      <c r="I420" s="241" t="s">
        <v>4219</v>
      </c>
      <c r="J420" s="241" t="s">
        <v>1924</v>
      </c>
      <c r="K420" s="241" t="s">
        <v>39</v>
      </c>
      <c r="L420" s="241" t="s">
        <v>152</v>
      </c>
      <c r="M420" s="241" t="s">
        <v>1925</v>
      </c>
      <c r="N420" s="241" t="s">
        <v>4292</v>
      </c>
      <c r="O420" s="241" t="s">
        <v>301</v>
      </c>
      <c r="P420" s="241" t="s">
        <v>31</v>
      </c>
      <c r="Q420" s="244" t="s">
        <v>32</v>
      </c>
      <c r="R420" s="248" t="s">
        <v>43</v>
      </c>
      <c r="S420" s="246" t="s">
        <v>1921</v>
      </c>
      <c r="T420" s="242"/>
      <c r="U420" s="242"/>
      <c r="V420" s="242"/>
      <c r="W420" s="242"/>
    </row>
    <row r="421" spans="1:23" ht="12.75">
      <c r="A421" s="274">
        <v>46048.291168981479</v>
      </c>
      <c r="B421" s="242" t="s">
        <v>1927</v>
      </c>
      <c r="C421" s="242"/>
      <c r="D421" s="242" t="s">
        <v>24</v>
      </c>
      <c r="E421" s="275">
        <v>35532</v>
      </c>
      <c r="F421" s="242" t="s">
        <v>52</v>
      </c>
      <c r="G421" s="242" t="s">
        <v>1044</v>
      </c>
      <c r="H421" s="242" t="s">
        <v>90</v>
      </c>
      <c r="I421" s="241" t="s">
        <v>4219</v>
      </c>
      <c r="J421" s="242" t="s">
        <v>1928</v>
      </c>
      <c r="K421" s="242" t="s">
        <v>29</v>
      </c>
      <c r="L421" s="242" t="s">
        <v>30</v>
      </c>
      <c r="M421" s="242"/>
      <c r="N421" s="242"/>
      <c r="O421" s="242"/>
      <c r="P421" s="242" t="s">
        <v>31</v>
      </c>
      <c r="Q421" s="244" t="s">
        <v>32</v>
      </c>
      <c r="R421" s="245" t="s">
        <v>17</v>
      </c>
      <c r="S421" s="242" t="s">
        <v>1929</v>
      </c>
      <c r="T421" s="266">
        <v>35532</v>
      </c>
      <c r="U421" s="242" t="s">
        <v>1928</v>
      </c>
      <c r="V421" s="475" t="s">
        <v>154</v>
      </c>
      <c r="W421" s="474"/>
    </row>
    <row r="422" spans="1:23" ht="12.75">
      <c r="A422" s="255">
        <v>46048.555798611109</v>
      </c>
      <c r="B422" s="141" t="s">
        <v>1930</v>
      </c>
      <c r="C422" s="141" t="s">
        <v>1931</v>
      </c>
      <c r="D422" s="141" t="s">
        <v>45</v>
      </c>
      <c r="E422" s="256">
        <v>38783</v>
      </c>
      <c r="F422" s="141" t="s">
        <v>1932</v>
      </c>
      <c r="G422" s="141" t="s">
        <v>1933</v>
      </c>
      <c r="H422" s="141" t="s">
        <v>1090</v>
      </c>
      <c r="I422" s="252" t="s">
        <v>4219</v>
      </c>
      <c r="J422" s="141" t="s">
        <v>1934</v>
      </c>
      <c r="K422" s="141" t="s">
        <v>39</v>
      </c>
      <c r="L422" s="141" t="s">
        <v>30</v>
      </c>
      <c r="M422" s="141"/>
      <c r="N422" s="141"/>
      <c r="O422" s="141"/>
      <c r="P422" s="141" t="s">
        <v>31</v>
      </c>
      <c r="Q422" s="253" t="s">
        <v>32</v>
      </c>
      <c r="R422" s="148"/>
      <c r="S422" s="206" t="s">
        <v>1930</v>
      </c>
      <c r="T422" s="261">
        <v>38783</v>
      </c>
      <c r="U422" s="206" t="s">
        <v>1934</v>
      </c>
      <c r="V422" s="473" t="s">
        <v>80</v>
      </c>
      <c r="W422" s="474"/>
    </row>
    <row r="423" spans="1:23" ht="12.75">
      <c r="A423" s="274">
        <v>46048.748993055553</v>
      </c>
      <c r="B423" s="242" t="s">
        <v>1935</v>
      </c>
      <c r="C423" s="242"/>
      <c r="D423" s="242" t="s">
        <v>45</v>
      </c>
      <c r="E423" s="275">
        <v>31397</v>
      </c>
      <c r="F423" s="242" t="s">
        <v>980</v>
      </c>
      <c r="G423" s="242" t="s">
        <v>1462</v>
      </c>
      <c r="H423" s="242" t="s">
        <v>738</v>
      </c>
      <c r="I423" s="241" t="s">
        <v>4219</v>
      </c>
      <c r="J423" s="242" t="s">
        <v>1936</v>
      </c>
      <c r="K423" s="242" t="s">
        <v>39</v>
      </c>
      <c r="L423" s="242" t="s">
        <v>152</v>
      </c>
      <c r="M423" s="242" t="s">
        <v>1937</v>
      </c>
      <c r="N423" s="242" t="s">
        <v>4293</v>
      </c>
      <c r="O423" s="241" t="s">
        <v>365</v>
      </c>
      <c r="P423" s="242" t="s">
        <v>31</v>
      </c>
      <c r="Q423" s="244" t="s">
        <v>32</v>
      </c>
      <c r="R423" s="245" t="s">
        <v>33</v>
      </c>
      <c r="S423" s="242" t="s">
        <v>1935</v>
      </c>
      <c r="T423" s="266">
        <v>31397</v>
      </c>
      <c r="U423" s="242" t="s">
        <v>1936</v>
      </c>
      <c r="V423" s="475" t="s">
        <v>80</v>
      </c>
      <c r="W423" s="474"/>
    </row>
    <row r="424" spans="1:23" ht="12.75">
      <c r="A424" s="255">
        <v>46049.217256944445</v>
      </c>
      <c r="B424" s="141" t="s">
        <v>1939</v>
      </c>
      <c r="C424" s="141"/>
      <c r="D424" s="141" t="s">
        <v>24</v>
      </c>
      <c r="E424" s="256">
        <v>37378</v>
      </c>
      <c r="F424" s="141" t="s">
        <v>64</v>
      </c>
      <c r="G424" s="141" t="s">
        <v>1940</v>
      </c>
      <c r="H424" s="141" t="s">
        <v>1941</v>
      </c>
      <c r="I424" s="252" t="s">
        <v>4219</v>
      </c>
      <c r="J424" s="141" t="s">
        <v>1942</v>
      </c>
      <c r="K424" s="141" t="s">
        <v>29</v>
      </c>
      <c r="L424" s="141" t="s">
        <v>30</v>
      </c>
      <c r="M424" s="141"/>
      <c r="N424" s="141"/>
      <c r="O424" s="141"/>
      <c r="P424" s="141" t="s">
        <v>31</v>
      </c>
      <c r="Q424" s="253" t="s">
        <v>32</v>
      </c>
      <c r="R424" s="148" t="s">
        <v>33</v>
      </c>
      <c r="S424" s="206" t="s">
        <v>1943</v>
      </c>
      <c r="T424" s="261">
        <v>37378</v>
      </c>
      <c r="U424" s="206" t="s">
        <v>1942</v>
      </c>
      <c r="V424" s="473" t="s">
        <v>154</v>
      </c>
      <c r="W424" s="474"/>
    </row>
    <row r="425" spans="1:23" ht="12.75">
      <c r="A425" s="292">
        <v>46049.601770833331</v>
      </c>
      <c r="B425" s="293" t="s">
        <v>1944</v>
      </c>
      <c r="C425" s="293"/>
      <c r="D425" s="293" t="s">
        <v>24</v>
      </c>
      <c r="E425" s="294">
        <v>36792</v>
      </c>
      <c r="F425" s="141" t="s">
        <v>208</v>
      </c>
      <c r="G425" s="293" t="s">
        <v>702</v>
      </c>
      <c r="H425" s="293" t="s">
        <v>1945</v>
      </c>
      <c r="I425" s="252" t="s">
        <v>4223</v>
      </c>
      <c r="J425" s="293" t="s">
        <v>1944</v>
      </c>
      <c r="K425" s="293" t="s">
        <v>29</v>
      </c>
      <c r="L425" s="293" t="s">
        <v>162</v>
      </c>
      <c r="M425" s="293"/>
      <c r="N425" s="293"/>
      <c r="O425" s="293"/>
      <c r="P425" s="293" t="s">
        <v>31</v>
      </c>
      <c r="Q425" s="253" t="s">
        <v>32</v>
      </c>
      <c r="R425" s="152"/>
      <c r="S425" s="206" t="s">
        <v>1946</v>
      </c>
      <c r="T425" s="261">
        <v>36792</v>
      </c>
      <c r="U425" s="206" t="s">
        <v>1947</v>
      </c>
      <c r="V425" s="473" t="s">
        <v>101</v>
      </c>
      <c r="W425" s="474"/>
    </row>
    <row r="426" spans="1:23" ht="12.75">
      <c r="A426" s="255">
        <v>46049.92659722222</v>
      </c>
      <c r="B426" s="141" t="s">
        <v>1948</v>
      </c>
      <c r="C426" s="141" t="s">
        <v>1665</v>
      </c>
      <c r="D426" s="141" t="s">
        <v>24</v>
      </c>
      <c r="E426" s="256">
        <v>33039</v>
      </c>
      <c r="F426" s="141" t="s">
        <v>623</v>
      </c>
      <c r="G426" s="141" t="s">
        <v>1949</v>
      </c>
      <c r="H426" s="141" t="s">
        <v>882</v>
      </c>
      <c r="I426" s="252" t="s">
        <v>4219</v>
      </c>
      <c r="J426" s="141" t="s">
        <v>1950</v>
      </c>
      <c r="K426" s="141" t="s">
        <v>29</v>
      </c>
      <c r="L426" s="141" t="s">
        <v>30</v>
      </c>
      <c r="M426" s="141"/>
      <c r="N426" s="141"/>
      <c r="O426" s="141"/>
      <c r="P426" s="141" t="s">
        <v>31</v>
      </c>
      <c r="Q426" s="253" t="s">
        <v>32</v>
      </c>
      <c r="R426" s="148"/>
      <c r="S426" s="206" t="s">
        <v>1951</v>
      </c>
      <c r="T426" s="261">
        <v>33039</v>
      </c>
      <c r="U426" s="206" t="s">
        <v>1950</v>
      </c>
      <c r="V426" s="473" t="s">
        <v>154</v>
      </c>
      <c r="W426" s="474"/>
    </row>
    <row r="427" spans="1:23" ht="12.75">
      <c r="A427" s="255">
        <v>46050.162129629629</v>
      </c>
      <c r="B427" s="141" t="s">
        <v>1952</v>
      </c>
      <c r="C427" s="141"/>
      <c r="D427" s="141" t="s">
        <v>45</v>
      </c>
      <c r="E427" s="256">
        <v>29400</v>
      </c>
      <c r="F427" s="141" t="s">
        <v>416</v>
      </c>
      <c r="G427" s="141" t="s">
        <v>1953</v>
      </c>
      <c r="H427" s="141" t="s">
        <v>1954</v>
      </c>
      <c r="I427" s="252" t="s">
        <v>4219</v>
      </c>
      <c r="J427" s="141" t="s">
        <v>1955</v>
      </c>
      <c r="K427" s="141" t="s">
        <v>39</v>
      </c>
      <c r="L427" s="141" t="s">
        <v>30</v>
      </c>
      <c r="M427" s="141"/>
      <c r="N427" s="141"/>
      <c r="O427" s="141"/>
      <c r="P427" s="141" t="s">
        <v>31</v>
      </c>
      <c r="Q427" s="257" t="s">
        <v>56</v>
      </c>
      <c r="R427" s="24"/>
      <c r="S427" s="206"/>
      <c r="T427" s="258"/>
      <c r="U427" s="206"/>
      <c r="V427" s="206"/>
      <c r="W427" s="206"/>
    </row>
    <row r="428" spans="1:23" ht="12.75">
      <c r="A428" s="274">
        <v>46050.183344907404</v>
      </c>
      <c r="B428" s="242" t="s">
        <v>1956</v>
      </c>
      <c r="C428" s="242" t="s">
        <v>1957</v>
      </c>
      <c r="D428" s="242" t="s">
        <v>24</v>
      </c>
      <c r="E428" s="275">
        <v>30192</v>
      </c>
      <c r="F428" s="242" t="s">
        <v>1958</v>
      </c>
      <c r="G428" s="242" t="s">
        <v>209</v>
      </c>
      <c r="H428" s="242" t="s">
        <v>1959</v>
      </c>
      <c r="I428" s="241" t="s">
        <v>4219</v>
      </c>
      <c r="J428" s="242" t="s">
        <v>1960</v>
      </c>
      <c r="K428" s="242" t="s">
        <v>29</v>
      </c>
      <c r="L428" s="242" t="s">
        <v>30</v>
      </c>
      <c r="M428" s="242"/>
      <c r="N428" s="242"/>
      <c r="O428" s="242"/>
      <c r="P428" s="242" t="s">
        <v>31</v>
      </c>
      <c r="Q428" s="244" t="s">
        <v>32</v>
      </c>
      <c r="R428" s="245" t="s">
        <v>33</v>
      </c>
      <c r="S428" s="242" t="s">
        <v>1961</v>
      </c>
      <c r="T428" s="266">
        <v>30192</v>
      </c>
      <c r="U428" s="242" t="s">
        <v>1960</v>
      </c>
      <c r="V428" s="242" t="s">
        <v>463</v>
      </c>
      <c r="W428" s="242"/>
    </row>
    <row r="429" spans="1:23" ht="12.75">
      <c r="A429" s="274">
        <v>46050.300057870372</v>
      </c>
      <c r="B429" s="242" t="s">
        <v>1962</v>
      </c>
      <c r="C429" s="242"/>
      <c r="D429" s="242" t="s">
        <v>24</v>
      </c>
      <c r="E429" s="275">
        <v>35839</v>
      </c>
      <c r="F429" s="242" t="s">
        <v>1112</v>
      </c>
      <c r="G429" s="242" t="s">
        <v>1963</v>
      </c>
      <c r="H429" s="242" t="s">
        <v>66</v>
      </c>
      <c r="I429" s="241" t="s">
        <v>4223</v>
      </c>
      <c r="J429" s="242" t="s">
        <v>1964</v>
      </c>
      <c r="K429" s="242" t="s">
        <v>29</v>
      </c>
      <c r="L429" s="242" t="s">
        <v>30</v>
      </c>
      <c r="M429" s="242"/>
      <c r="N429" s="242"/>
      <c r="O429" s="242"/>
      <c r="P429" s="242" t="s">
        <v>31</v>
      </c>
      <c r="Q429" s="244" t="s">
        <v>32</v>
      </c>
      <c r="R429" s="248" t="s">
        <v>33</v>
      </c>
      <c r="S429" s="242" t="s">
        <v>1965</v>
      </c>
      <c r="T429" s="266">
        <v>35839</v>
      </c>
      <c r="U429" s="242" t="s">
        <v>1966</v>
      </c>
      <c r="V429" s="475" t="s">
        <v>1967</v>
      </c>
      <c r="W429" s="474"/>
    </row>
    <row r="430" spans="1:23" ht="12.75">
      <c r="A430" s="255">
        <v>46050.595000000001</v>
      </c>
      <c r="B430" s="141" t="s">
        <v>1968</v>
      </c>
      <c r="C430" s="141"/>
      <c r="D430" s="141" t="s">
        <v>24</v>
      </c>
      <c r="E430" s="256">
        <v>25231</v>
      </c>
      <c r="F430" s="141" t="s">
        <v>623</v>
      </c>
      <c r="G430" s="141" t="s">
        <v>1969</v>
      </c>
      <c r="H430" s="141" t="s">
        <v>1970</v>
      </c>
      <c r="I430" s="252" t="s">
        <v>4219</v>
      </c>
      <c r="J430" s="141" t="s">
        <v>1971</v>
      </c>
      <c r="K430" s="141" t="s">
        <v>39</v>
      </c>
      <c r="L430" s="141" t="s">
        <v>30</v>
      </c>
      <c r="M430" s="141" t="s">
        <v>1972</v>
      </c>
      <c r="N430" s="141"/>
      <c r="O430" s="141"/>
      <c r="P430" s="141" t="s">
        <v>31</v>
      </c>
      <c r="Q430" s="253" t="s">
        <v>32</v>
      </c>
      <c r="R430" s="152"/>
      <c r="S430" s="206" t="s">
        <v>1968</v>
      </c>
      <c r="T430" s="261">
        <v>25328</v>
      </c>
      <c r="U430" s="206" t="s">
        <v>1973</v>
      </c>
      <c r="V430" s="206" t="s">
        <v>236</v>
      </c>
      <c r="W430" s="206"/>
    </row>
    <row r="431" spans="1:23" ht="12.75">
      <c r="A431" s="274">
        <v>46050.632569444446</v>
      </c>
      <c r="B431" s="242" t="s">
        <v>1974</v>
      </c>
      <c r="C431" s="242"/>
      <c r="D431" s="242" t="s">
        <v>45</v>
      </c>
      <c r="E431" s="275">
        <v>37487</v>
      </c>
      <c r="F431" s="242" t="s">
        <v>227</v>
      </c>
      <c r="G431" s="242" t="s">
        <v>1975</v>
      </c>
      <c r="H431" s="242" t="s">
        <v>368</v>
      </c>
      <c r="I431" s="241" t="s">
        <v>4219</v>
      </c>
      <c r="J431" s="242" t="s">
        <v>1976</v>
      </c>
      <c r="K431" s="242" t="s">
        <v>29</v>
      </c>
      <c r="L431" s="285">
        <v>46202</v>
      </c>
      <c r="M431" s="242"/>
      <c r="N431" s="242"/>
      <c r="O431" s="242"/>
      <c r="P431" s="242" t="s">
        <v>31</v>
      </c>
      <c r="Q431" s="244" t="s">
        <v>32</v>
      </c>
      <c r="R431" s="248" t="s">
        <v>43</v>
      </c>
      <c r="S431" s="242" t="s">
        <v>1974</v>
      </c>
      <c r="T431" s="266">
        <v>37487</v>
      </c>
      <c r="U431" s="242" t="s">
        <v>1976</v>
      </c>
      <c r="V431" s="475" t="s">
        <v>80</v>
      </c>
      <c r="W431" s="474"/>
    </row>
    <row r="432" spans="1:23" ht="12.75">
      <c r="A432" s="292">
        <v>46050.87940972222</v>
      </c>
      <c r="B432" s="293" t="s">
        <v>1977</v>
      </c>
      <c r="C432" s="293" t="s">
        <v>1978</v>
      </c>
      <c r="D432" s="293" t="s">
        <v>45</v>
      </c>
      <c r="E432" s="294">
        <v>36986</v>
      </c>
      <c r="F432" s="293" t="s">
        <v>346</v>
      </c>
      <c r="G432" s="293" t="s">
        <v>1979</v>
      </c>
      <c r="H432" s="293" t="s">
        <v>66</v>
      </c>
      <c r="I432" s="252" t="s">
        <v>4219</v>
      </c>
      <c r="J432" s="293" t="s">
        <v>1980</v>
      </c>
      <c r="K432" s="293" t="s">
        <v>29</v>
      </c>
      <c r="L432" s="293" t="s">
        <v>30</v>
      </c>
      <c r="M432" s="293"/>
      <c r="N432" s="293"/>
      <c r="O432" s="293"/>
      <c r="P432" s="293" t="s">
        <v>31</v>
      </c>
      <c r="Q432" s="253" t="s">
        <v>32</v>
      </c>
      <c r="R432" s="152"/>
      <c r="S432" s="206" t="s">
        <v>1981</v>
      </c>
      <c r="T432" s="261">
        <v>36986</v>
      </c>
      <c r="U432" s="206" t="s">
        <v>1980</v>
      </c>
      <c r="V432" s="473" t="s">
        <v>154</v>
      </c>
      <c r="W432" s="474"/>
    </row>
    <row r="433" spans="1:23" ht="12.75">
      <c r="A433" s="262">
        <v>46051.205057870371</v>
      </c>
      <c r="B433" s="263" t="s">
        <v>1982</v>
      </c>
      <c r="C433" s="263"/>
      <c r="D433" s="263" t="s">
        <v>24</v>
      </c>
      <c r="E433" s="264">
        <v>37090</v>
      </c>
      <c r="F433" s="263" t="s">
        <v>1983</v>
      </c>
      <c r="G433" s="263" t="s">
        <v>1984</v>
      </c>
      <c r="H433" s="263" t="s">
        <v>138</v>
      </c>
      <c r="I433" s="241" t="s">
        <v>4237</v>
      </c>
      <c r="J433" s="263" t="s">
        <v>1985</v>
      </c>
      <c r="K433" s="263" t="s">
        <v>29</v>
      </c>
      <c r="L433" s="263" t="s">
        <v>30</v>
      </c>
      <c r="M433" s="263"/>
      <c r="N433" s="263"/>
      <c r="O433" s="263"/>
      <c r="P433" s="263" t="s">
        <v>31</v>
      </c>
      <c r="Q433" s="244" t="s">
        <v>32</v>
      </c>
      <c r="R433" s="248" t="s">
        <v>43</v>
      </c>
      <c r="S433" s="242" t="s">
        <v>1986</v>
      </c>
      <c r="T433" s="266">
        <v>37090</v>
      </c>
      <c r="U433" s="242" t="s">
        <v>1985</v>
      </c>
      <c r="V433" s="475" t="s">
        <v>80</v>
      </c>
      <c r="W433" s="474"/>
    </row>
    <row r="434" spans="1:23" ht="12.75">
      <c r="A434" s="274">
        <v>46051.657500000001</v>
      </c>
      <c r="B434" s="242" t="s">
        <v>1987</v>
      </c>
      <c r="C434" s="242" t="s">
        <v>1988</v>
      </c>
      <c r="D434" s="242" t="s">
        <v>24</v>
      </c>
      <c r="E434" s="275">
        <v>38406</v>
      </c>
      <c r="F434" s="242" t="s">
        <v>1053</v>
      </c>
      <c r="G434" s="242" t="s">
        <v>1989</v>
      </c>
      <c r="H434" s="242" t="s">
        <v>66</v>
      </c>
      <c r="I434" s="241" t="s">
        <v>4237</v>
      </c>
      <c r="J434" s="242" t="s">
        <v>1990</v>
      </c>
      <c r="K434" s="242" t="s">
        <v>39</v>
      </c>
      <c r="L434" s="242" t="s">
        <v>1991</v>
      </c>
      <c r="M434" s="242"/>
      <c r="N434" s="242"/>
      <c r="O434" s="242"/>
      <c r="P434" s="242" t="s">
        <v>31</v>
      </c>
      <c r="Q434" s="244" t="s">
        <v>32</v>
      </c>
      <c r="R434" s="245" t="s">
        <v>43</v>
      </c>
      <c r="S434" s="242" t="s">
        <v>1987</v>
      </c>
      <c r="T434" s="266">
        <v>38406</v>
      </c>
      <c r="U434" s="242" t="s">
        <v>1990</v>
      </c>
      <c r="V434" s="475" t="s">
        <v>80</v>
      </c>
      <c r="W434" s="474"/>
    </row>
    <row r="435" spans="1:23" ht="12.75">
      <c r="A435" s="274">
        <v>46051.683333333334</v>
      </c>
      <c r="B435" s="242" t="s">
        <v>1992</v>
      </c>
      <c r="C435" s="242" t="s">
        <v>1993</v>
      </c>
      <c r="D435" s="242" t="s">
        <v>24</v>
      </c>
      <c r="E435" s="275">
        <v>38440</v>
      </c>
      <c r="F435" s="242" t="s">
        <v>1053</v>
      </c>
      <c r="G435" s="242" t="s">
        <v>1994</v>
      </c>
      <c r="H435" s="242" t="s">
        <v>1995</v>
      </c>
      <c r="I435" s="241" t="s">
        <v>4237</v>
      </c>
      <c r="J435" s="242" t="s">
        <v>1996</v>
      </c>
      <c r="K435" s="242" t="s">
        <v>29</v>
      </c>
      <c r="L435" s="242" t="s">
        <v>30</v>
      </c>
      <c r="M435" s="242"/>
      <c r="N435" s="242"/>
      <c r="O435" s="242"/>
      <c r="P435" s="242" t="s">
        <v>31</v>
      </c>
      <c r="Q435" s="244" t="s">
        <v>32</v>
      </c>
      <c r="R435" s="248" t="s">
        <v>43</v>
      </c>
      <c r="S435" s="242" t="s">
        <v>1997</v>
      </c>
      <c r="T435" s="266">
        <v>38439</v>
      </c>
      <c r="U435" s="242" t="s">
        <v>1996</v>
      </c>
      <c r="V435" s="475" t="s">
        <v>114</v>
      </c>
      <c r="W435" s="474"/>
    </row>
    <row r="436" spans="1:23" ht="12.75">
      <c r="A436" s="274">
        <v>46051.695625</v>
      </c>
      <c r="B436" s="242" t="s">
        <v>1998</v>
      </c>
      <c r="C436" s="242" t="s">
        <v>1999</v>
      </c>
      <c r="D436" s="242" t="s">
        <v>45</v>
      </c>
      <c r="E436" s="275">
        <v>38279</v>
      </c>
      <c r="F436" s="242" t="s">
        <v>1053</v>
      </c>
      <c r="G436" s="242" t="s">
        <v>2000</v>
      </c>
      <c r="H436" s="242" t="s">
        <v>160</v>
      </c>
      <c r="I436" s="241" t="s">
        <v>4237</v>
      </c>
      <c r="J436" s="242" t="s">
        <v>2001</v>
      </c>
      <c r="K436" s="242" t="s">
        <v>29</v>
      </c>
      <c r="L436" s="242" t="s">
        <v>30</v>
      </c>
      <c r="M436" s="242"/>
      <c r="N436" s="242"/>
      <c r="O436" s="242"/>
      <c r="P436" s="242" t="s">
        <v>31</v>
      </c>
      <c r="Q436" s="244" t="s">
        <v>32</v>
      </c>
      <c r="R436" s="245" t="s">
        <v>43</v>
      </c>
      <c r="S436" s="242" t="s">
        <v>1998</v>
      </c>
      <c r="T436" s="266">
        <v>38279</v>
      </c>
      <c r="U436" s="242" t="s">
        <v>2001</v>
      </c>
      <c r="V436" s="475" t="s">
        <v>80</v>
      </c>
      <c r="W436" s="474"/>
    </row>
    <row r="437" spans="1:23" ht="12.75">
      <c r="A437" s="274">
        <v>46051.713055555556</v>
      </c>
      <c r="B437" s="242" t="s">
        <v>2002</v>
      </c>
      <c r="C437" s="242" t="s">
        <v>2003</v>
      </c>
      <c r="D437" s="242" t="s">
        <v>24</v>
      </c>
      <c r="E437" s="275">
        <v>36813</v>
      </c>
      <c r="F437" s="242" t="s">
        <v>1053</v>
      </c>
      <c r="G437" s="242" t="s">
        <v>1258</v>
      </c>
      <c r="H437" s="242" t="s">
        <v>2004</v>
      </c>
      <c r="I437" s="241" t="s">
        <v>4237</v>
      </c>
      <c r="J437" s="242" t="s">
        <v>2005</v>
      </c>
      <c r="K437" s="242" t="s">
        <v>29</v>
      </c>
      <c r="L437" s="242" t="s">
        <v>30</v>
      </c>
      <c r="M437" s="242"/>
      <c r="N437" s="242"/>
      <c r="O437" s="242"/>
      <c r="P437" s="242" t="s">
        <v>31</v>
      </c>
      <c r="Q437" s="244" t="s">
        <v>32</v>
      </c>
      <c r="R437" s="248" t="s">
        <v>43</v>
      </c>
      <c r="S437" s="242" t="s">
        <v>2002</v>
      </c>
      <c r="T437" s="266">
        <v>36813</v>
      </c>
      <c r="U437" s="242" t="s">
        <v>2005</v>
      </c>
      <c r="V437" s="475" t="s">
        <v>80</v>
      </c>
      <c r="W437" s="474"/>
    </row>
    <row r="438" spans="1:23" ht="12.75">
      <c r="A438" s="274">
        <v>46051.749722222223</v>
      </c>
      <c r="B438" s="242" t="s">
        <v>2006</v>
      </c>
      <c r="C438" s="242" t="s">
        <v>2007</v>
      </c>
      <c r="D438" s="242" t="s">
        <v>24</v>
      </c>
      <c r="E438" s="275">
        <v>38157</v>
      </c>
      <c r="F438" s="242" t="s">
        <v>1053</v>
      </c>
      <c r="G438" s="242" t="s">
        <v>2008</v>
      </c>
      <c r="H438" s="242" t="s">
        <v>66</v>
      </c>
      <c r="I438" s="241" t="s">
        <v>4237</v>
      </c>
      <c r="J438" s="242" t="s">
        <v>2009</v>
      </c>
      <c r="K438" s="242" t="s">
        <v>29</v>
      </c>
      <c r="L438" s="242" t="s">
        <v>30</v>
      </c>
      <c r="M438" s="242"/>
      <c r="N438" s="242"/>
      <c r="O438" s="242"/>
      <c r="P438" s="242" t="s">
        <v>31</v>
      </c>
      <c r="Q438" s="244" t="s">
        <v>32</v>
      </c>
      <c r="R438" s="245" t="s">
        <v>43</v>
      </c>
      <c r="S438" s="242" t="s">
        <v>2010</v>
      </c>
      <c r="T438" s="266">
        <v>38157</v>
      </c>
      <c r="U438" s="242" t="s">
        <v>2009</v>
      </c>
      <c r="V438" s="475" t="s">
        <v>80</v>
      </c>
      <c r="W438" s="474"/>
    </row>
    <row r="439" spans="1:23" ht="12.75">
      <c r="A439" s="274">
        <v>46051.760891203703</v>
      </c>
      <c r="B439" s="242" t="s">
        <v>2011</v>
      </c>
      <c r="C439" s="242" t="s">
        <v>2012</v>
      </c>
      <c r="D439" s="242" t="s">
        <v>24</v>
      </c>
      <c r="E439" s="275">
        <v>37912</v>
      </c>
      <c r="F439" s="242" t="s">
        <v>1053</v>
      </c>
      <c r="G439" s="242" t="s">
        <v>2008</v>
      </c>
      <c r="H439" s="242" t="s">
        <v>2013</v>
      </c>
      <c r="I439" s="241" t="s">
        <v>4237</v>
      </c>
      <c r="J439" s="242" t="s">
        <v>2014</v>
      </c>
      <c r="K439" s="242" t="s">
        <v>29</v>
      </c>
      <c r="L439" s="242" t="s">
        <v>30</v>
      </c>
      <c r="M439" s="242"/>
      <c r="N439" s="242"/>
      <c r="O439" s="242"/>
      <c r="P439" s="242" t="s">
        <v>31</v>
      </c>
      <c r="Q439" s="244" t="s">
        <v>32</v>
      </c>
      <c r="R439" s="248" t="s">
        <v>43</v>
      </c>
      <c r="S439" s="242" t="s">
        <v>2015</v>
      </c>
      <c r="T439" s="266">
        <v>37912</v>
      </c>
      <c r="U439" s="242" t="s">
        <v>2014</v>
      </c>
      <c r="V439" s="475" t="s">
        <v>80</v>
      </c>
      <c r="W439" s="474"/>
    </row>
    <row r="440" spans="1:23" ht="12.75">
      <c r="A440" s="240">
        <v>46051.763831018521</v>
      </c>
      <c r="B440" s="241" t="s">
        <v>2016</v>
      </c>
      <c r="C440" s="242"/>
      <c r="D440" s="241" t="s">
        <v>24</v>
      </c>
      <c r="E440" s="243">
        <v>35622</v>
      </c>
      <c r="F440" s="241" t="s">
        <v>58</v>
      </c>
      <c r="G440" s="241" t="s">
        <v>2017</v>
      </c>
      <c r="H440" s="241" t="s">
        <v>2018</v>
      </c>
      <c r="I440" s="241" t="s">
        <v>4219</v>
      </c>
      <c r="J440" s="241" t="s">
        <v>2019</v>
      </c>
      <c r="K440" s="241" t="s">
        <v>39</v>
      </c>
      <c r="L440" s="241" t="s">
        <v>30</v>
      </c>
      <c r="M440" s="242"/>
      <c r="N440" s="241"/>
      <c r="O440" s="241"/>
      <c r="P440" s="241" t="s">
        <v>31</v>
      </c>
      <c r="Q440" s="244" t="s">
        <v>32</v>
      </c>
      <c r="R440" s="245" t="s">
        <v>33</v>
      </c>
      <c r="S440" s="246" t="s">
        <v>2020</v>
      </c>
      <c r="T440" s="242"/>
      <c r="U440" s="242"/>
      <c r="V440" s="242"/>
      <c r="W440" s="242"/>
    </row>
    <row r="441" spans="1:23" ht="12.75">
      <c r="A441" s="274">
        <v>46051.773541666669</v>
      </c>
      <c r="B441" s="242" t="s">
        <v>2021</v>
      </c>
      <c r="C441" s="242" t="s">
        <v>2022</v>
      </c>
      <c r="D441" s="242" t="s">
        <v>45</v>
      </c>
      <c r="E441" s="275">
        <v>30047</v>
      </c>
      <c r="F441" s="242" t="s">
        <v>1053</v>
      </c>
      <c r="G441" s="242" t="s">
        <v>2023</v>
      </c>
      <c r="H441" s="242" t="s">
        <v>2024</v>
      </c>
      <c r="I441" s="241" t="s">
        <v>4237</v>
      </c>
      <c r="J441" s="242" t="s">
        <v>2025</v>
      </c>
      <c r="K441" s="242" t="s">
        <v>29</v>
      </c>
      <c r="L441" s="242" t="s">
        <v>30</v>
      </c>
      <c r="M441" s="242"/>
      <c r="N441" s="242"/>
      <c r="O441" s="242"/>
      <c r="P441" s="242" t="s">
        <v>31</v>
      </c>
      <c r="Q441" s="244" t="s">
        <v>32</v>
      </c>
      <c r="R441" s="248" t="s">
        <v>43</v>
      </c>
      <c r="S441" s="242" t="s">
        <v>2021</v>
      </c>
      <c r="T441" s="266">
        <v>30047</v>
      </c>
      <c r="U441" s="242" t="s">
        <v>2025</v>
      </c>
      <c r="V441" s="475" t="s">
        <v>80</v>
      </c>
      <c r="W441" s="474"/>
    </row>
    <row r="442" spans="1:23" ht="12.75">
      <c r="A442" s="297">
        <v>46051.81521990741</v>
      </c>
      <c r="B442" s="298" t="s">
        <v>2026</v>
      </c>
      <c r="C442" s="298"/>
      <c r="D442" s="298" t="s">
        <v>24</v>
      </c>
      <c r="E442" s="299">
        <v>37815</v>
      </c>
      <c r="F442" s="298" t="s">
        <v>1905</v>
      </c>
      <c r="G442" s="298" t="s">
        <v>2017</v>
      </c>
      <c r="H442" s="298" t="s">
        <v>90</v>
      </c>
      <c r="I442" s="252" t="s">
        <v>4223</v>
      </c>
      <c r="J442" s="298" t="s">
        <v>2027</v>
      </c>
      <c r="K442" s="298" t="s">
        <v>29</v>
      </c>
      <c r="L442" s="298" t="s">
        <v>30</v>
      </c>
      <c r="M442" s="298"/>
      <c r="N442" s="298"/>
      <c r="O442" s="298"/>
      <c r="P442" s="298" t="s">
        <v>31</v>
      </c>
      <c r="Q442" s="253" t="s">
        <v>32</v>
      </c>
      <c r="R442" s="152"/>
      <c r="S442" s="206" t="s">
        <v>2026</v>
      </c>
      <c r="T442" s="261">
        <v>37815</v>
      </c>
      <c r="U442" s="206" t="s">
        <v>2027</v>
      </c>
      <c r="V442" s="473" t="s">
        <v>80</v>
      </c>
      <c r="W442" s="474"/>
    </row>
    <row r="443" spans="1:23" ht="12.75">
      <c r="A443" s="274">
        <v>46051.834907407407</v>
      </c>
      <c r="B443" s="242" t="s">
        <v>2028</v>
      </c>
      <c r="C443" s="242" t="s">
        <v>2029</v>
      </c>
      <c r="D443" s="242" t="s">
        <v>24</v>
      </c>
      <c r="E443" s="275">
        <v>38121</v>
      </c>
      <c r="F443" s="242" t="s">
        <v>1053</v>
      </c>
      <c r="G443" s="242" t="s">
        <v>2030</v>
      </c>
      <c r="H443" s="242" t="s">
        <v>66</v>
      </c>
      <c r="I443" s="241" t="s">
        <v>4237</v>
      </c>
      <c r="J443" s="242" t="s">
        <v>2031</v>
      </c>
      <c r="K443" s="242" t="s">
        <v>29</v>
      </c>
      <c r="L443" s="242" t="s">
        <v>30</v>
      </c>
      <c r="M443" s="242"/>
      <c r="N443" s="242"/>
      <c r="O443" s="242"/>
      <c r="P443" s="242" t="s">
        <v>31</v>
      </c>
      <c r="Q443" s="244" t="s">
        <v>32</v>
      </c>
      <c r="R443" s="248" t="s">
        <v>43</v>
      </c>
      <c r="S443" s="242" t="s">
        <v>2028</v>
      </c>
      <c r="T443" s="266">
        <v>38121</v>
      </c>
      <c r="U443" s="242" t="s">
        <v>2031</v>
      </c>
      <c r="V443" s="475" t="s">
        <v>80</v>
      </c>
      <c r="W443" s="474"/>
    </row>
    <row r="444" spans="1:23" ht="12.75">
      <c r="A444" s="274">
        <v>46052.001377314817</v>
      </c>
      <c r="B444" s="242" t="s">
        <v>2032</v>
      </c>
      <c r="C444" s="242"/>
      <c r="D444" s="242" t="s">
        <v>45</v>
      </c>
      <c r="E444" s="275">
        <v>31681</v>
      </c>
      <c r="F444" s="242" t="s">
        <v>1932</v>
      </c>
      <c r="G444" s="242" t="s">
        <v>2033</v>
      </c>
      <c r="H444" s="242" t="s">
        <v>111</v>
      </c>
      <c r="I444" s="241" t="s">
        <v>4219</v>
      </c>
      <c r="J444" s="242" t="s">
        <v>2034</v>
      </c>
      <c r="K444" s="242" t="s">
        <v>39</v>
      </c>
      <c r="L444" s="242" t="s">
        <v>621</v>
      </c>
      <c r="M444" s="277"/>
      <c r="N444" s="242"/>
      <c r="O444" s="242"/>
      <c r="P444" s="242" t="s">
        <v>31</v>
      </c>
      <c r="Q444" s="244" t="s">
        <v>32</v>
      </c>
      <c r="R444" s="245" t="s">
        <v>33</v>
      </c>
      <c r="S444" s="242" t="s">
        <v>2035</v>
      </c>
      <c r="T444" s="266">
        <v>31316</v>
      </c>
      <c r="U444" s="242" t="s">
        <v>2034</v>
      </c>
      <c r="V444" s="242" t="s">
        <v>236</v>
      </c>
      <c r="W444" s="242"/>
    </row>
    <row r="445" spans="1:23" ht="12.75">
      <c r="A445" s="282">
        <v>46052.021180555559</v>
      </c>
      <c r="B445" s="283" t="s">
        <v>2036</v>
      </c>
      <c r="C445" s="283" t="s">
        <v>2037</v>
      </c>
      <c r="D445" s="283" t="s">
        <v>45</v>
      </c>
      <c r="E445" s="284">
        <v>38244</v>
      </c>
      <c r="F445" s="283" t="s">
        <v>1053</v>
      </c>
      <c r="G445" s="283" t="s">
        <v>2038</v>
      </c>
      <c r="H445" s="283" t="s">
        <v>2039</v>
      </c>
      <c r="I445" s="241" t="s">
        <v>4237</v>
      </c>
      <c r="J445" s="283" t="s">
        <v>2040</v>
      </c>
      <c r="K445" s="283" t="s">
        <v>29</v>
      </c>
      <c r="L445" s="283" t="s">
        <v>162</v>
      </c>
      <c r="M445" s="283"/>
      <c r="N445" s="283"/>
      <c r="O445" s="283"/>
      <c r="P445" s="283" t="s">
        <v>31</v>
      </c>
      <c r="Q445" s="244" t="s">
        <v>32</v>
      </c>
      <c r="R445" s="248" t="s">
        <v>43</v>
      </c>
      <c r="S445" s="242" t="s">
        <v>2041</v>
      </c>
      <c r="T445" s="266">
        <v>38244</v>
      </c>
      <c r="U445" s="242" t="s">
        <v>2040</v>
      </c>
      <c r="V445" s="475" t="s">
        <v>154</v>
      </c>
      <c r="W445" s="474"/>
    </row>
    <row r="446" spans="1:23" ht="12.75">
      <c r="A446" s="240">
        <v>46052.17864583333</v>
      </c>
      <c r="B446" s="241" t="s">
        <v>2042</v>
      </c>
      <c r="C446" s="242"/>
      <c r="D446" s="241" t="s">
        <v>45</v>
      </c>
      <c r="E446" s="243">
        <v>29271</v>
      </c>
      <c r="F446" s="241" t="s">
        <v>232</v>
      </c>
      <c r="G446" s="241" t="s">
        <v>648</v>
      </c>
      <c r="H446" s="241" t="s">
        <v>186</v>
      </c>
      <c r="I446" s="241" t="s">
        <v>4219</v>
      </c>
      <c r="J446" s="241" t="s">
        <v>2043</v>
      </c>
      <c r="K446" s="241" t="s">
        <v>29</v>
      </c>
      <c r="L446" s="241" t="s">
        <v>162</v>
      </c>
      <c r="M446" s="241" t="s">
        <v>4294</v>
      </c>
      <c r="N446" s="241" t="s">
        <v>4295</v>
      </c>
      <c r="O446" s="241" t="s">
        <v>2046</v>
      </c>
      <c r="P446" s="241" t="s">
        <v>31</v>
      </c>
      <c r="Q446" s="244" t="s">
        <v>32</v>
      </c>
      <c r="R446" s="248" t="s">
        <v>43</v>
      </c>
      <c r="S446" s="246" t="s">
        <v>2042</v>
      </c>
      <c r="T446" s="242"/>
      <c r="U446" s="242"/>
      <c r="V446" s="242"/>
      <c r="W446" s="242"/>
    </row>
    <row r="447" spans="1:23" ht="12.75">
      <c r="A447" s="255">
        <v>46052.570428240739</v>
      </c>
      <c r="B447" s="141" t="s">
        <v>2047</v>
      </c>
      <c r="C447" s="141"/>
      <c r="D447" s="141" t="s">
        <v>45</v>
      </c>
      <c r="E447" s="256">
        <v>35581</v>
      </c>
      <c r="F447" s="141" t="s">
        <v>245</v>
      </c>
      <c r="G447" s="141" t="s">
        <v>2048</v>
      </c>
      <c r="H447" s="141" t="s">
        <v>418</v>
      </c>
      <c r="I447" s="252" t="s">
        <v>4219</v>
      </c>
      <c r="J447" s="141" t="s">
        <v>2049</v>
      </c>
      <c r="K447" s="141" t="s">
        <v>39</v>
      </c>
      <c r="L447" s="141" t="s">
        <v>152</v>
      </c>
      <c r="M447" s="141" t="s">
        <v>2050</v>
      </c>
      <c r="N447" s="141"/>
      <c r="O447" s="141"/>
      <c r="P447" s="141" t="s">
        <v>31</v>
      </c>
      <c r="Q447" s="253" t="s">
        <v>32</v>
      </c>
      <c r="R447" s="152"/>
      <c r="S447" s="206" t="s">
        <v>2051</v>
      </c>
      <c r="T447" s="261">
        <v>35581</v>
      </c>
      <c r="U447" s="206" t="s">
        <v>2049</v>
      </c>
      <c r="V447" s="473" t="s">
        <v>80</v>
      </c>
      <c r="W447" s="474"/>
    </row>
    <row r="448" spans="1:23" ht="12.75">
      <c r="A448" s="274">
        <v>46052.660381944443</v>
      </c>
      <c r="B448" s="242" t="s">
        <v>2052</v>
      </c>
      <c r="C448" s="242"/>
      <c r="D448" s="242" t="s">
        <v>45</v>
      </c>
      <c r="E448" s="275">
        <v>33592</v>
      </c>
      <c r="F448" s="242" t="s">
        <v>2053</v>
      </c>
      <c r="G448" s="242" t="s">
        <v>2054</v>
      </c>
      <c r="H448" s="242" t="s">
        <v>2055</v>
      </c>
      <c r="I448" s="241" t="s">
        <v>4219</v>
      </c>
      <c r="J448" s="242" t="s">
        <v>2056</v>
      </c>
      <c r="K448" s="242" t="s">
        <v>29</v>
      </c>
      <c r="L448" s="242" t="s">
        <v>30</v>
      </c>
      <c r="M448" s="242"/>
      <c r="N448" s="242"/>
      <c r="O448" s="242"/>
      <c r="P448" s="242" t="s">
        <v>31</v>
      </c>
      <c r="Q448" s="244" t="s">
        <v>32</v>
      </c>
      <c r="R448" s="248" t="s">
        <v>43</v>
      </c>
      <c r="S448" s="242" t="s">
        <v>2052</v>
      </c>
      <c r="T448" s="266">
        <v>33592</v>
      </c>
      <c r="U448" s="242" t="s">
        <v>2056</v>
      </c>
      <c r="V448" s="475" t="s">
        <v>80</v>
      </c>
      <c r="W448" s="474"/>
    </row>
    <row r="449" spans="1:23" ht="12.75">
      <c r="A449" s="255">
        <v>46052.813969907409</v>
      </c>
      <c r="B449" s="141" t="s">
        <v>2057</v>
      </c>
      <c r="C449" s="141" t="s">
        <v>2058</v>
      </c>
      <c r="D449" s="141" t="s">
        <v>24</v>
      </c>
      <c r="E449" s="256">
        <v>36753</v>
      </c>
      <c r="F449" s="141" t="s">
        <v>416</v>
      </c>
      <c r="G449" s="141" t="s">
        <v>2059</v>
      </c>
      <c r="H449" s="141" t="s">
        <v>368</v>
      </c>
      <c r="I449" s="252" t="s">
        <v>4219</v>
      </c>
      <c r="J449" s="141" t="s">
        <v>2060</v>
      </c>
      <c r="K449" s="141" t="s">
        <v>29</v>
      </c>
      <c r="L449" s="141" t="s">
        <v>30</v>
      </c>
      <c r="M449" s="141"/>
      <c r="N449" s="141"/>
      <c r="O449" s="141"/>
      <c r="P449" s="141" t="s">
        <v>31</v>
      </c>
      <c r="Q449" s="253" t="s">
        <v>32</v>
      </c>
      <c r="R449" s="24"/>
      <c r="S449" s="206"/>
      <c r="T449" s="258"/>
      <c r="U449" s="206"/>
      <c r="V449" s="206"/>
      <c r="W449" s="206"/>
    </row>
    <row r="450" spans="1:23" ht="12.75">
      <c r="A450" s="274">
        <v>46052.886030092595</v>
      </c>
      <c r="B450" s="242" t="s">
        <v>2061</v>
      </c>
      <c r="C450" s="242" t="s">
        <v>2062</v>
      </c>
      <c r="D450" s="242" t="s">
        <v>24</v>
      </c>
      <c r="E450" s="275">
        <v>38231</v>
      </c>
      <c r="F450" s="242" t="s">
        <v>1053</v>
      </c>
      <c r="G450" s="242" t="s">
        <v>2063</v>
      </c>
      <c r="H450" s="242" t="s">
        <v>66</v>
      </c>
      <c r="I450" s="241" t="s">
        <v>4237</v>
      </c>
      <c r="J450" s="242" t="s">
        <v>2064</v>
      </c>
      <c r="K450" s="242" t="s">
        <v>29</v>
      </c>
      <c r="L450" s="242" t="s">
        <v>30</v>
      </c>
      <c r="M450" s="242"/>
      <c r="N450" s="242"/>
      <c r="O450" s="242"/>
      <c r="P450" s="242" t="s">
        <v>31</v>
      </c>
      <c r="Q450" s="244" t="s">
        <v>32</v>
      </c>
      <c r="R450" s="245" t="s">
        <v>43</v>
      </c>
      <c r="S450" s="242" t="s">
        <v>2061</v>
      </c>
      <c r="T450" s="266">
        <v>38231</v>
      </c>
      <c r="U450" s="242" t="s">
        <v>2064</v>
      </c>
      <c r="V450" s="475" t="s">
        <v>80</v>
      </c>
      <c r="W450" s="474"/>
    </row>
    <row r="451" spans="1:23" ht="12.75">
      <c r="A451" s="274">
        <v>46052.905624999999</v>
      </c>
      <c r="B451" s="242" t="s">
        <v>2065</v>
      </c>
      <c r="C451" s="242"/>
      <c r="D451" s="242" t="s">
        <v>45</v>
      </c>
      <c r="E451" s="275">
        <v>28783</v>
      </c>
      <c r="F451" s="242" t="s">
        <v>2066</v>
      </c>
      <c r="G451" s="242" t="s">
        <v>2067</v>
      </c>
      <c r="H451" s="242" t="s">
        <v>2068</v>
      </c>
      <c r="I451" s="241" t="s">
        <v>4237</v>
      </c>
      <c r="J451" s="242" t="s">
        <v>2069</v>
      </c>
      <c r="K451" s="242" t="s">
        <v>29</v>
      </c>
      <c r="L451" s="242" t="s">
        <v>30</v>
      </c>
      <c r="M451" s="242"/>
      <c r="N451" s="242"/>
      <c r="O451" s="242"/>
      <c r="P451" s="242" t="s">
        <v>31</v>
      </c>
      <c r="Q451" s="244" t="s">
        <v>32</v>
      </c>
      <c r="R451" s="248" t="s">
        <v>33</v>
      </c>
      <c r="S451" s="242" t="s">
        <v>2065</v>
      </c>
      <c r="T451" s="266">
        <v>28783</v>
      </c>
      <c r="U451" s="242" t="s">
        <v>2069</v>
      </c>
      <c r="V451" s="475" t="s">
        <v>80</v>
      </c>
      <c r="W451" s="474"/>
    </row>
    <row r="452" spans="1:23" ht="12.75">
      <c r="A452" s="292">
        <v>46052.907951388886</v>
      </c>
      <c r="B452" s="492" t="s">
        <v>2070</v>
      </c>
      <c r="C452" s="474"/>
      <c r="D452" s="293" t="s">
        <v>24</v>
      </c>
      <c r="E452" s="294">
        <v>36060</v>
      </c>
      <c r="F452" s="293" t="s">
        <v>198</v>
      </c>
      <c r="G452" s="293" t="s">
        <v>2071</v>
      </c>
      <c r="H452" s="293" t="s">
        <v>2072</v>
      </c>
      <c r="I452" s="252" t="s">
        <v>4219</v>
      </c>
      <c r="J452" s="293" t="s">
        <v>2073</v>
      </c>
      <c r="K452" s="293" t="s">
        <v>29</v>
      </c>
      <c r="L452" s="293" t="s">
        <v>30</v>
      </c>
      <c r="M452" s="293" t="s">
        <v>4296</v>
      </c>
      <c r="N452" s="141" t="s">
        <v>4297</v>
      </c>
      <c r="O452" s="250" t="s">
        <v>301</v>
      </c>
      <c r="P452" s="293" t="s">
        <v>31</v>
      </c>
      <c r="Q452" s="253" t="s">
        <v>32</v>
      </c>
      <c r="R452" s="152"/>
      <c r="S452" s="206" t="s">
        <v>2070</v>
      </c>
      <c r="T452" s="261">
        <v>36060</v>
      </c>
      <c r="U452" s="206" t="s">
        <v>2076</v>
      </c>
      <c r="V452" s="473" t="s">
        <v>80</v>
      </c>
      <c r="W452" s="474"/>
    </row>
    <row r="453" spans="1:23" ht="12.75">
      <c r="A453" s="274">
        <v>46052.908622685187</v>
      </c>
      <c r="B453" s="242" t="s">
        <v>2077</v>
      </c>
      <c r="C453" s="242" t="s">
        <v>2078</v>
      </c>
      <c r="D453" s="242" t="s">
        <v>24</v>
      </c>
      <c r="E453" s="275">
        <v>37775</v>
      </c>
      <c r="F453" s="242" t="s">
        <v>1053</v>
      </c>
      <c r="G453" s="242" t="s">
        <v>2063</v>
      </c>
      <c r="H453" s="242" t="s">
        <v>2079</v>
      </c>
      <c r="I453" s="241" t="s">
        <v>4237</v>
      </c>
      <c r="J453" s="242" t="s">
        <v>2080</v>
      </c>
      <c r="K453" s="242" t="s">
        <v>29</v>
      </c>
      <c r="L453" s="242" t="s">
        <v>30</v>
      </c>
      <c r="M453" s="277"/>
      <c r="N453" s="242"/>
      <c r="O453" s="242"/>
      <c r="P453" s="242" t="s">
        <v>31</v>
      </c>
      <c r="Q453" s="244" t="s">
        <v>32</v>
      </c>
      <c r="R453" s="248" t="s">
        <v>43</v>
      </c>
      <c r="S453" s="242" t="s">
        <v>2081</v>
      </c>
      <c r="T453" s="266">
        <v>37775</v>
      </c>
      <c r="U453" s="242" t="s">
        <v>2080</v>
      </c>
      <c r="V453" s="475" t="s">
        <v>154</v>
      </c>
      <c r="W453" s="474"/>
    </row>
    <row r="454" spans="1:23" ht="12.75">
      <c r="A454" s="274">
        <v>46052.942743055559</v>
      </c>
      <c r="B454" s="242" t="s">
        <v>2082</v>
      </c>
      <c r="C454" s="242" t="s">
        <v>2083</v>
      </c>
      <c r="D454" s="242" t="s">
        <v>45</v>
      </c>
      <c r="E454" s="275">
        <v>37230</v>
      </c>
      <c r="F454" s="242" t="s">
        <v>1053</v>
      </c>
      <c r="G454" s="242" t="s">
        <v>2084</v>
      </c>
      <c r="H454" s="242" t="s">
        <v>66</v>
      </c>
      <c r="I454" s="241" t="s">
        <v>4237</v>
      </c>
      <c r="J454" s="242" t="s">
        <v>2085</v>
      </c>
      <c r="K454" s="242" t="s">
        <v>29</v>
      </c>
      <c r="L454" s="242" t="s">
        <v>30</v>
      </c>
      <c r="M454" s="242"/>
      <c r="N454" s="242"/>
      <c r="O454" s="242"/>
      <c r="P454" s="242" t="s">
        <v>31</v>
      </c>
      <c r="Q454" s="244" t="s">
        <v>32</v>
      </c>
      <c r="R454" s="245" t="s">
        <v>43</v>
      </c>
      <c r="S454" s="242" t="s">
        <v>2086</v>
      </c>
      <c r="T454" s="266">
        <v>37230</v>
      </c>
      <c r="U454" s="242" t="s">
        <v>2085</v>
      </c>
      <c r="V454" s="475" t="s">
        <v>154</v>
      </c>
      <c r="W454" s="474"/>
    </row>
    <row r="455" spans="1:23" ht="12.75">
      <c r="A455" s="274">
        <v>46052.955891203703</v>
      </c>
      <c r="B455" s="242" t="s">
        <v>2087</v>
      </c>
      <c r="C455" s="242" t="s">
        <v>2088</v>
      </c>
      <c r="D455" s="242" t="s">
        <v>24</v>
      </c>
      <c r="E455" s="275">
        <v>38616</v>
      </c>
      <c r="F455" s="242" t="s">
        <v>1053</v>
      </c>
      <c r="G455" s="242" t="s">
        <v>2089</v>
      </c>
      <c r="H455" s="242" t="s">
        <v>66</v>
      </c>
      <c r="I455" s="241" t="s">
        <v>4237</v>
      </c>
      <c r="J455" s="242" t="s">
        <v>2090</v>
      </c>
      <c r="K455" s="242" t="s">
        <v>29</v>
      </c>
      <c r="L455" s="242" t="s">
        <v>30</v>
      </c>
      <c r="M455" s="242"/>
      <c r="N455" s="242"/>
      <c r="O455" s="242"/>
      <c r="P455" s="242" t="s">
        <v>31</v>
      </c>
      <c r="Q455" s="244" t="s">
        <v>32</v>
      </c>
      <c r="R455" s="248" t="s">
        <v>43</v>
      </c>
      <c r="S455" s="242" t="s">
        <v>2091</v>
      </c>
      <c r="T455" s="266">
        <v>38616</v>
      </c>
      <c r="U455" s="242" t="s">
        <v>2090</v>
      </c>
      <c r="V455" s="475" t="s">
        <v>80</v>
      </c>
      <c r="W455" s="474"/>
    </row>
    <row r="456" spans="1:23" ht="12.75">
      <c r="A456" s="255">
        <v>46052.958414351851</v>
      </c>
      <c r="B456" s="141" t="s">
        <v>2092</v>
      </c>
      <c r="C456" s="141"/>
      <c r="D456" s="141" t="s">
        <v>45</v>
      </c>
      <c r="E456" s="256">
        <v>33501</v>
      </c>
      <c r="F456" s="141" t="s">
        <v>2093</v>
      </c>
      <c r="G456" s="141" t="s">
        <v>2094</v>
      </c>
      <c r="H456" s="141" t="s">
        <v>2095</v>
      </c>
      <c r="I456" s="252" t="s">
        <v>4219</v>
      </c>
      <c r="J456" s="141" t="s">
        <v>2096</v>
      </c>
      <c r="K456" s="141" t="s">
        <v>29</v>
      </c>
      <c r="L456" s="141" t="s">
        <v>30</v>
      </c>
      <c r="M456" s="141" t="s">
        <v>4298</v>
      </c>
      <c r="N456" s="54" t="s">
        <v>4299</v>
      </c>
      <c r="O456" s="250" t="s">
        <v>365</v>
      </c>
      <c r="P456" s="141" t="s">
        <v>31</v>
      </c>
      <c r="Q456" s="253" t="s">
        <v>32</v>
      </c>
      <c r="R456" s="152"/>
      <c r="S456" s="206" t="s">
        <v>2099</v>
      </c>
      <c r="T456" s="261">
        <v>33501</v>
      </c>
      <c r="U456" s="206" t="s">
        <v>2096</v>
      </c>
      <c r="V456" s="206" t="s">
        <v>463</v>
      </c>
      <c r="W456" s="206"/>
    </row>
    <row r="457" spans="1:23" ht="12.75">
      <c r="A457" s="274">
        <v>46052.968506944446</v>
      </c>
      <c r="B457" s="242" t="s">
        <v>2100</v>
      </c>
      <c r="C457" s="242" t="s">
        <v>2101</v>
      </c>
      <c r="D457" s="242" t="s">
        <v>24</v>
      </c>
      <c r="E457" s="275">
        <v>37548</v>
      </c>
      <c r="F457" s="242" t="s">
        <v>1053</v>
      </c>
      <c r="G457" s="242" t="s">
        <v>2102</v>
      </c>
      <c r="H457" s="242" t="s">
        <v>2103</v>
      </c>
      <c r="I457" s="241" t="s">
        <v>4237</v>
      </c>
      <c r="J457" s="242" t="s">
        <v>2104</v>
      </c>
      <c r="K457" s="242" t="s">
        <v>29</v>
      </c>
      <c r="L457" s="242" t="s">
        <v>162</v>
      </c>
      <c r="M457" s="242"/>
      <c r="N457" s="242"/>
      <c r="O457" s="242"/>
      <c r="P457" s="242" t="s">
        <v>31</v>
      </c>
      <c r="Q457" s="244" t="s">
        <v>32</v>
      </c>
      <c r="R457" s="248" t="s">
        <v>43</v>
      </c>
      <c r="S457" s="242" t="s">
        <v>2105</v>
      </c>
      <c r="T457" s="266">
        <v>37548</v>
      </c>
      <c r="U457" s="242" t="s">
        <v>2104</v>
      </c>
      <c r="V457" s="475" t="s">
        <v>154</v>
      </c>
      <c r="W457" s="474"/>
    </row>
    <row r="458" spans="1:23" ht="12.75">
      <c r="A458" s="274">
        <v>46053.112071759257</v>
      </c>
      <c r="B458" s="242" t="s">
        <v>2106</v>
      </c>
      <c r="C458" s="242"/>
      <c r="D458" s="242" t="s">
        <v>45</v>
      </c>
      <c r="E458" s="275">
        <v>32247</v>
      </c>
      <c r="F458" s="242" t="s">
        <v>1387</v>
      </c>
      <c r="G458" s="242" t="s">
        <v>2107</v>
      </c>
      <c r="H458" s="242" t="s">
        <v>90</v>
      </c>
      <c r="I458" s="241" t="s">
        <v>4219</v>
      </c>
      <c r="J458" s="242" t="s">
        <v>2108</v>
      </c>
      <c r="K458" s="242" t="s">
        <v>29</v>
      </c>
      <c r="L458" s="242" t="s">
        <v>30</v>
      </c>
      <c r="M458" s="242"/>
      <c r="N458" s="242"/>
      <c r="O458" s="242"/>
      <c r="P458" s="242" t="s">
        <v>31</v>
      </c>
      <c r="Q458" s="244" t="s">
        <v>32</v>
      </c>
      <c r="R458" s="245" t="s">
        <v>33</v>
      </c>
      <c r="S458" s="242" t="s">
        <v>2106</v>
      </c>
      <c r="T458" s="266">
        <v>32247</v>
      </c>
      <c r="U458" s="242" t="s">
        <v>2108</v>
      </c>
      <c r="V458" s="475" t="s">
        <v>80</v>
      </c>
      <c r="W458" s="474"/>
    </row>
    <row r="459" spans="1:23" ht="12.75">
      <c r="A459" s="268">
        <v>46053.116875</v>
      </c>
      <c r="B459" s="269" t="s">
        <v>2109</v>
      </c>
      <c r="C459" s="269" t="s">
        <v>2110</v>
      </c>
      <c r="D459" s="269" t="s">
        <v>24</v>
      </c>
      <c r="E459" s="270">
        <v>32095</v>
      </c>
      <c r="F459" s="269" t="s">
        <v>1387</v>
      </c>
      <c r="G459" s="269" t="s">
        <v>2111</v>
      </c>
      <c r="H459" s="269" t="s">
        <v>2112</v>
      </c>
      <c r="I459" s="252" t="s">
        <v>4219</v>
      </c>
      <c r="J459" s="269" t="s">
        <v>2110</v>
      </c>
      <c r="K459" s="269" t="s">
        <v>29</v>
      </c>
      <c r="L459" s="269" t="s">
        <v>30</v>
      </c>
      <c r="M459" s="305"/>
      <c r="N459" s="269"/>
      <c r="O459" s="269"/>
      <c r="P459" s="269" t="s">
        <v>31</v>
      </c>
      <c r="Q459" s="253" t="s">
        <v>32</v>
      </c>
      <c r="R459" s="148"/>
      <c r="S459" s="206" t="s">
        <v>2109</v>
      </c>
      <c r="T459" s="261">
        <v>32095</v>
      </c>
      <c r="U459" s="206" t="s">
        <v>2110</v>
      </c>
      <c r="V459" s="473" t="s">
        <v>80</v>
      </c>
      <c r="W459" s="474"/>
    </row>
    <row r="460" spans="1:23" ht="12.75">
      <c r="A460" s="274">
        <v>46053.123240740744</v>
      </c>
      <c r="B460" s="475" t="s">
        <v>2113</v>
      </c>
      <c r="C460" s="474"/>
      <c r="D460" s="242" t="s">
        <v>24</v>
      </c>
      <c r="E460" s="275">
        <v>34897</v>
      </c>
      <c r="F460" s="242" t="s">
        <v>2114</v>
      </c>
      <c r="G460" s="242" t="s">
        <v>2115</v>
      </c>
      <c r="H460" s="242" t="s">
        <v>2116</v>
      </c>
      <c r="I460" s="241" t="s">
        <v>4219</v>
      </c>
      <c r="J460" s="242" t="s">
        <v>2117</v>
      </c>
      <c r="K460" s="242" t="s">
        <v>39</v>
      </c>
      <c r="L460" s="242" t="s">
        <v>30</v>
      </c>
      <c r="M460" s="242"/>
      <c r="N460" s="242"/>
      <c r="O460" s="242"/>
      <c r="P460" s="242" t="s">
        <v>31</v>
      </c>
      <c r="Q460" s="244" t="s">
        <v>32</v>
      </c>
      <c r="R460" s="245" t="s">
        <v>33</v>
      </c>
      <c r="S460" s="242" t="s">
        <v>2118</v>
      </c>
      <c r="T460" s="266">
        <v>34897</v>
      </c>
      <c r="U460" s="242" t="s">
        <v>2117</v>
      </c>
      <c r="V460" s="475" t="s">
        <v>80</v>
      </c>
      <c r="W460" s="474"/>
    </row>
    <row r="461" spans="1:23" ht="12.75">
      <c r="A461" s="255">
        <v>46053.165034722224</v>
      </c>
      <c r="B461" s="141" t="s">
        <v>2119</v>
      </c>
      <c r="C461" s="141"/>
      <c r="D461" s="141" t="s">
        <v>24</v>
      </c>
      <c r="E461" s="256">
        <v>32650</v>
      </c>
      <c r="F461" s="141" t="s">
        <v>88</v>
      </c>
      <c r="G461" s="141" t="s">
        <v>2120</v>
      </c>
      <c r="H461" s="141" t="s">
        <v>2121</v>
      </c>
      <c r="I461" s="252" t="s">
        <v>4223</v>
      </c>
      <c r="J461" s="141" t="s">
        <v>2122</v>
      </c>
      <c r="K461" s="141" t="s">
        <v>29</v>
      </c>
      <c r="L461" s="141" t="s">
        <v>30</v>
      </c>
      <c r="M461" s="141" t="s">
        <v>2123</v>
      </c>
      <c r="N461" s="141"/>
      <c r="O461" s="141"/>
      <c r="P461" s="141" t="s">
        <v>31</v>
      </c>
      <c r="Q461" s="253" t="s">
        <v>32</v>
      </c>
      <c r="R461" s="148"/>
      <c r="S461" s="206" t="s">
        <v>2119</v>
      </c>
      <c r="T461" s="261">
        <v>32650</v>
      </c>
      <c r="U461" s="206" t="s">
        <v>2122</v>
      </c>
      <c r="V461" s="473" t="s">
        <v>80</v>
      </c>
      <c r="W461" s="474"/>
    </row>
    <row r="462" spans="1:23" ht="12.75">
      <c r="A462" s="274">
        <v>46053.191458333335</v>
      </c>
      <c r="B462" s="242" t="s">
        <v>2124</v>
      </c>
      <c r="C462" s="242"/>
      <c r="D462" s="242" t="s">
        <v>45</v>
      </c>
      <c r="E462" s="275">
        <v>26066</v>
      </c>
      <c r="F462" s="242" t="s">
        <v>198</v>
      </c>
      <c r="G462" s="242" t="s">
        <v>2125</v>
      </c>
      <c r="H462" s="242" t="s">
        <v>933</v>
      </c>
      <c r="I462" s="241" t="s">
        <v>4219</v>
      </c>
      <c r="J462" s="242" t="s">
        <v>2126</v>
      </c>
      <c r="K462" s="242" t="s">
        <v>39</v>
      </c>
      <c r="L462" s="242" t="s">
        <v>621</v>
      </c>
      <c r="M462" s="242" t="s">
        <v>2127</v>
      </c>
      <c r="N462" s="242"/>
      <c r="O462" s="242"/>
      <c r="P462" s="242" t="s">
        <v>31</v>
      </c>
      <c r="Q462" s="244" t="s">
        <v>32</v>
      </c>
      <c r="R462" s="245" t="s">
        <v>43</v>
      </c>
      <c r="S462" s="242" t="s">
        <v>2128</v>
      </c>
      <c r="T462" s="266">
        <v>26066</v>
      </c>
      <c r="U462" s="242" t="s">
        <v>2126</v>
      </c>
      <c r="V462" s="475" t="s">
        <v>80</v>
      </c>
      <c r="W462" s="474"/>
    </row>
    <row r="463" spans="1:23" ht="12.75">
      <c r="A463" s="255">
        <v>46053.402511574073</v>
      </c>
      <c r="B463" s="141" t="s">
        <v>2129</v>
      </c>
      <c r="C463" s="141"/>
      <c r="D463" s="141" t="s">
        <v>24</v>
      </c>
      <c r="E463" s="256">
        <v>35625</v>
      </c>
      <c r="F463" s="141" t="s">
        <v>245</v>
      </c>
      <c r="G463" s="141" t="s">
        <v>2130</v>
      </c>
      <c r="H463" s="141" t="s">
        <v>186</v>
      </c>
      <c r="I463" s="252" t="s">
        <v>4219</v>
      </c>
      <c r="J463" s="141" t="s">
        <v>2131</v>
      </c>
      <c r="K463" s="141" t="s">
        <v>39</v>
      </c>
      <c r="L463" s="141" t="s">
        <v>152</v>
      </c>
      <c r="M463" s="141" t="s">
        <v>2132</v>
      </c>
      <c r="N463" s="141"/>
      <c r="O463" s="141"/>
      <c r="P463" s="141" t="s">
        <v>31</v>
      </c>
      <c r="Q463" s="253" t="s">
        <v>32</v>
      </c>
      <c r="R463" s="148"/>
      <c r="S463" s="206" t="s">
        <v>2129</v>
      </c>
      <c r="T463" s="261">
        <v>35625</v>
      </c>
      <c r="U463" s="206" t="s">
        <v>2131</v>
      </c>
      <c r="V463" s="473" t="s">
        <v>80</v>
      </c>
      <c r="W463" s="474"/>
    </row>
    <row r="464" spans="1:23" ht="12.75">
      <c r="A464" s="274">
        <v>46053.413263888891</v>
      </c>
      <c r="B464" s="242" t="s">
        <v>2133</v>
      </c>
      <c r="C464" s="242" t="s">
        <v>2134</v>
      </c>
      <c r="D464" s="242" t="s">
        <v>45</v>
      </c>
      <c r="E464" s="275">
        <v>35811</v>
      </c>
      <c r="F464" s="242" t="s">
        <v>1053</v>
      </c>
      <c r="G464" s="242" t="s">
        <v>2135</v>
      </c>
      <c r="H464" s="242" t="s">
        <v>2136</v>
      </c>
      <c r="I464" s="241" t="s">
        <v>4237</v>
      </c>
      <c r="J464" s="242" t="s">
        <v>2137</v>
      </c>
      <c r="K464" s="242" t="s">
        <v>29</v>
      </c>
      <c r="L464" s="242" t="s">
        <v>30</v>
      </c>
      <c r="M464" s="277"/>
      <c r="N464" s="242"/>
      <c r="O464" s="242"/>
      <c r="P464" s="242" t="s">
        <v>31</v>
      </c>
      <c r="Q464" s="244" t="s">
        <v>32</v>
      </c>
      <c r="R464" s="245" t="s">
        <v>43</v>
      </c>
      <c r="S464" s="242" t="s">
        <v>2133</v>
      </c>
      <c r="T464" s="266">
        <v>35811</v>
      </c>
      <c r="U464" s="242" t="s">
        <v>2137</v>
      </c>
      <c r="V464" s="475" t="s">
        <v>80</v>
      </c>
      <c r="W464" s="474"/>
    </row>
    <row r="465" spans="1:23" ht="12.75">
      <c r="A465" s="274">
        <v>46053.440127314818</v>
      </c>
      <c r="B465" s="242" t="s">
        <v>2138</v>
      </c>
      <c r="C465" s="242"/>
      <c r="D465" s="242" t="s">
        <v>45</v>
      </c>
      <c r="E465" s="275">
        <v>29980</v>
      </c>
      <c r="F465" s="242" t="s">
        <v>2139</v>
      </c>
      <c r="G465" s="242" t="s">
        <v>2140</v>
      </c>
      <c r="H465" s="242" t="s">
        <v>2141</v>
      </c>
      <c r="I465" s="306" t="e">
        <v>#N/A</v>
      </c>
      <c r="J465" s="242" t="s">
        <v>2142</v>
      </c>
      <c r="K465" s="242" t="s">
        <v>29</v>
      </c>
      <c r="L465" s="242" t="s">
        <v>524</v>
      </c>
      <c r="M465" s="242"/>
      <c r="N465" s="242"/>
      <c r="O465" s="242"/>
      <c r="P465" s="242" t="s">
        <v>31</v>
      </c>
      <c r="Q465" s="244" t="s">
        <v>32</v>
      </c>
      <c r="R465" s="248" t="s">
        <v>33</v>
      </c>
      <c r="S465" s="242" t="s">
        <v>2138</v>
      </c>
      <c r="T465" s="266">
        <v>29980</v>
      </c>
      <c r="U465" s="242" t="s">
        <v>2142</v>
      </c>
      <c r="V465" s="475" t="s">
        <v>80</v>
      </c>
      <c r="W465" s="474"/>
    </row>
    <row r="466" spans="1:23" ht="12.75">
      <c r="A466" s="274">
        <v>46053.442442129628</v>
      </c>
      <c r="B466" s="242" t="s">
        <v>2143</v>
      </c>
      <c r="C466" s="242" t="s">
        <v>2144</v>
      </c>
      <c r="D466" s="242" t="s">
        <v>24</v>
      </c>
      <c r="E466" s="275">
        <v>34618</v>
      </c>
      <c r="F466" s="242" t="s">
        <v>1053</v>
      </c>
      <c r="G466" s="242" t="s">
        <v>2145</v>
      </c>
      <c r="H466" s="242" t="s">
        <v>2146</v>
      </c>
      <c r="I466" s="241" t="s">
        <v>4237</v>
      </c>
      <c r="J466" s="242" t="s">
        <v>2147</v>
      </c>
      <c r="K466" s="242" t="s">
        <v>39</v>
      </c>
      <c r="L466" s="242" t="s">
        <v>621</v>
      </c>
      <c r="M466" s="242"/>
      <c r="N466" s="242"/>
      <c r="O466" s="242"/>
      <c r="P466" s="242" t="s">
        <v>31</v>
      </c>
      <c r="Q466" s="244" t="s">
        <v>32</v>
      </c>
      <c r="R466" s="245" t="s">
        <v>43</v>
      </c>
      <c r="S466" s="242" t="s">
        <v>2143</v>
      </c>
      <c r="T466" s="266">
        <v>34618</v>
      </c>
      <c r="U466" s="242" t="s">
        <v>2147</v>
      </c>
      <c r="V466" s="475" t="s">
        <v>80</v>
      </c>
      <c r="W466" s="474"/>
    </row>
    <row r="467" spans="1:23" ht="12.75">
      <c r="A467" s="274">
        <v>46053.45</v>
      </c>
      <c r="B467" s="242" t="s">
        <v>2148</v>
      </c>
      <c r="C467" s="242" t="s">
        <v>2149</v>
      </c>
      <c r="D467" s="242" t="s">
        <v>45</v>
      </c>
      <c r="E467" s="275">
        <v>36814</v>
      </c>
      <c r="F467" s="242" t="s">
        <v>1053</v>
      </c>
      <c r="G467" s="242" t="s">
        <v>2150</v>
      </c>
      <c r="H467" s="242" t="s">
        <v>66</v>
      </c>
      <c r="I467" s="241" t="s">
        <v>4237</v>
      </c>
      <c r="J467" s="242" t="s">
        <v>2151</v>
      </c>
      <c r="K467" s="242" t="s">
        <v>29</v>
      </c>
      <c r="L467" s="242" t="s">
        <v>30</v>
      </c>
      <c r="M467" s="242"/>
      <c r="N467" s="242"/>
      <c r="O467" s="242"/>
      <c r="P467" s="242" t="s">
        <v>31</v>
      </c>
      <c r="Q467" s="244" t="s">
        <v>32</v>
      </c>
      <c r="R467" s="248" t="s">
        <v>43</v>
      </c>
      <c r="S467" s="242" t="s">
        <v>2152</v>
      </c>
      <c r="T467" s="266">
        <v>36814</v>
      </c>
      <c r="U467" s="242" t="s">
        <v>2151</v>
      </c>
      <c r="V467" s="475" t="s">
        <v>80</v>
      </c>
      <c r="W467" s="474"/>
    </row>
    <row r="468" spans="1:23" ht="12.75">
      <c r="A468" s="274">
        <v>46053.453703703701</v>
      </c>
      <c r="B468" s="242" t="s">
        <v>2153</v>
      </c>
      <c r="C468" s="242"/>
      <c r="D468" s="242" t="s">
        <v>45</v>
      </c>
      <c r="E468" s="275">
        <v>28108</v>
      </c>
      <c r="F468" s="242" t="s">
        <v>2154</v>
      </c>
      <c r="G468" s="242" t="s">
        <v>2155</v>
      </c>
      <c r="H468" s="242" t="s">
        <v>111</v>
      </c>
      <c r="I468" s="241" t="s">
        <v>4219</v>
      </c>
      <c r="J468" s="242" t="s">
        <v>2156</v>
      </c>
      <c r="K468" s="242" t="s">
        <v>29</v>
      </c>
      <c r="L468" s="242" t="s">
        <v>30</v>
      </c>
      <c r="M468" s="242"/>
      <c r="N468" s="242"/>
      <c r="O468" s="242"/>
      <c r="P468" s="242" t="s">
        <v>31</v>
      </c>
      <c r="Q468" s="244" t="s">
        <v>32</v>
      </c>
      <c r="R468" s="245" t="s">
        <v>33</v>
      </c>
      <c r="S468" s="242" t="s">
        <v>2153</v>
      </c>
      <c r="T468" s="266">
        <v>28108</v>
      </c>
      <c r="U468" s="242" t="s">
        <v>2156</v>
      </c>
      <c r="V468" s="475" t="s">
        <v>80</v>
      </c>
      <c r="W468" s="474"/>
    </row>
    <row r="469" spans="1:23" ht="12.75">
      <c r="A469" s="255">
        <v>46053.615833333337</v>
      </c>
      <c r="B469" s="141" t="s">
        <v>2157</v>
      </c>
      <c r="C469" s="141"/>
      <c r="D469" s="141" t="s">
        <v>45</v>
      </c>
      <c r="E469" s="256">
        <v>36770</v>
      </c>
      <c r="F469" s="141" t="s">
        <v>198</v>
      </c>
      <c r="G469" s="141" t="s">
        <v>1859</v>
      </c>
      <c r="H469" s="141" t="s">
        <v>2158</v>
      </c>
      <c r="I469" s="252" t="s">
        <v>4219</v>
      </c>
      <c r="J469" s="141" t="s">
        <v>2159</v>
      </c>
      <c r="K469" s="141" t="s">
        <v>29</v>
      </c>
      <c r="L469" s="141" t="s">
        <v>30</v>
      </c>
      <c r="M469" s="141"/>
      <c r="N469" s="141"/>
      <c r="O469" s="141"/>
      <c r="P469" s="141" t="s">
        <v>31</v>
      </c>
      <c r="Q469" s="253" t="s">
        <v>32</v>
      </c>
      <c r="R469" s="148" t="s">
        <v>33</v>
      </c>
      <c r="S469" s="206" t="s">
        <v>2157</v>
      </c>
      <c r="T469" s="261">
        <v>36770</v>
      </c>
      <c r="U469" s="206" t="s">
        <v>2159</v>
      </c>
      <c r="V469" s="473" t="s">
        <v>80</v>
      </c>
      <c r="W469" s="474"/>
    </row>
    <row r="470" spans="1:23" ht="12.75">
      <c r="A470" s="240">
        <v>46053.667210648149</v>
      </c>
      <c r="B470" s="241" t="s">
        <v>2160</v>
      </c>
      <c r="C470" s="242"/>
      <c r="D470" s="241" t="s">
        <v>24</v>
      </c>
      <c r="E470" s="243">
        <v>35521</v>
      </c>
      <c r="F470" s="241" t="s">
        <v>652</v>
      </c>
      <c r="G470" s="241" t="s">
        <v>2161</v>
      </c>
      <c r="H470" s="241" t="s">
        <v>2162</v>
      </c>
      <c r="I470" s="241" t="s">
        <v>4219</v>
      </c>
      <c r="J470" s="241" t="s">
        <v>2163</v>
      </c>
      <c r="K470" s="241" t="s">
        <v>29</v>
      </c>
      <c r="L470" s="241" t="s">
        <v>30</v>
      </c>
      <c r="M470" s="242"/>
      <c r="N470" s="241"/>
      <c r="O470" s="241"/>
      <c r="P470" s="241" t="s">
        <v>31</v>
      </c>
      <c r="Q470" s="244" t="s">
        <v>32</v>
      </c>
      <c r="R470" s="245" t="s">
        <v>33</v>
      </c>
      <c r="S470" s="246" t="s">
        <v>2160</v>
      </c>
      <c r="T470" s="242"/>
      <c r="U470" s="242"/>
      <c r="V470" s="242"/>
      <c r="W470" s="242"/>
    </row>
    <row r="471" spans="1:23" ht="12.75">
      <c r="A471" s="255">
        <v>46053.721655092595</v>
      </c>
      <c r="B471" s="141" t="s">
        <v>2164</v>
      </c>
      <c r="C471" s="141"/>
      <c r="D471" s="141" t="s">
        <v>45</v>
      </c>
      <c r="E471" s="256">
        <v>33198</v>
      </c>
      <c r="F471" s="141" t="s">
        <v>1727</v>
      </c>
      <c r="G471" s="141" t="s">
        <v>2165</v>
      </c>
      <c r="H471" s="141" t="s">
        <v>2166</v>
      </c>
      <c r="I471" s="252" t="s">
        <v>4223</v>
      </c>
      <c r="J471" s="141" t="s">
        <v>2167</v>
      </c>
      <c r="K471" s="141" t="s">
        <v>29</v>
      </c>
      <c r="L471" s="141" t="s">
        <v>30</v>
      </c>
      <c r="M471" s="141"/>
      <c r="N471" s="141"/>
      <c r="O471" s="141"/>
      <c r="P471" s="141" t="s">
        <v>31</v>
      </c>
      <c r="Q471" s="253" t="s">
        <v>32</v>
      </c>
      <c r="R471" s="148"/>
      <c r="S471" s="206" t="s">
        <v>2164</v>
      </c>
      <c r="T471" s="261">
        <v>33198</v>
      </c>
      <c r="U471" s="206" t="s">
        <v>2167</v>
      </c>
      <c r="V471" s="473" t="s">
        <v>80</v>
      </c>
      <c r="W471" s="474"/>
    </row>
    <row r="472" spans="1:23" ht="12.75">
      <c r="A472" s="274">
        <v>46053.789826388886</v>
      </c>
      <c r="B472" s="242" t="s">
        <v>2168</v>
      </c>
      <c r="C472" s="242" t="s">
        <v>2169</v>
      </c>
      <c r="D472" s="242" t="s">
        <v>24</v>
      </c>
      <c r="E472" s="275">
        <v>38497</v>
      </c>
      <c r="F472" s="242" t="s">
        <v>1053</v>
      </c>
      <c r="G472" s="242" t="s">
        <v>2170</v>
      </c>
      <c r="H472" s="242" t="s">
        <v>66</v>
      </c>
      <c r="I472" s="241" t="s">
        <v>4237</v>
      </c>
      <c r="J472" s="242" t="s">
        <v>2171</v>
      </c>
      <c r="K472" s="242" t="s">
        <v>29</v>
      </c>
      <c r="L472" s="242" t="s">
        <v>30</v>
      </c>
      <c r="M472" s="242"/>
      <c r="N472" s="242"/>
      <c r="O472" s="242"/>
      <c r="P472" s="242" t="s">
        <v>31</v>
      </c>
      <c r="Q472" s="244" t="s">
        <v>32</v>
      </c>
      <c r="R472" s="245" t="s">
        <v>43</v>
      </c>
      <c r="S472" s="242" t="s">
        <v>2168</v>
      </c>
      <c r="T472" s="266">
        <v>38497</v>
      </c>
      <c r="U472" s="242" t="s">
        <v>2171</v>
      </c>
      <c r="V472" s="475" t="s">
        <v>80</v>
      </c>
      <c r="W472" s="474"/>
    </row>
    <row r="473" spans="1:23" ht="12.75">
      <c r="A473" s="274">
        <v>46053.805567129632</v>
      </c>
      <c r="B473" s="242" t="s">
        <v>2172</v>
      </c>
      <c r="C473" s="242" t="s">
        <v>2173</v>
      </c>
      <c r="D473" s="242" t="s">
        <v>24</v>
      </c>
      <c r="E473" s="275">
        <v>38478</v>
      </c>
      <c r="F473" s="242" t="s">
        <v>1053</v>
      </c>
      <c r="G473" s="242" t="s">
        <v>2174</v>
      </c>
      <c r="H473" s="242" t="s">
        <v>2175</v>
      </c>
      <c r="I473" s="241" t="s">
        <v>4237</v>
      </c>
      <c r="J473" s="242" t="s">
        <v>2176</v>
      </c>
      <c r="K473" s="242" t="s">
        <v>29</v>
      </c>
      <c r="L473" s="242" t="s">
        <v>30</v>
      </c>
      <c r="M473" s="242" t="s">
        <v>2177</v>
      </c>
      <c r="N473" s="242"/>
      <c r="O473" s="242"/>
      <c r="P473" s="242" t="s">
        <v>31</v>
      </c>
      <c r="Q473" s="244" t="s">
        <v>32</v>
      </c>
      <c r="R473" s="248" t="s">
        <v>43</v>
      </c>
      <c r="S473" s="242" t="s">
        <v>2172</v>
      </c>
      <c r="T473" s="266">
        <v>38478</v>
      </c>
      <c r="U473" s="242" t="s">
        <v>2176</v>
      </c>
      <c r="V473" s="475" t="s">
        <v>80</v>
      </c>
      <c r="W473" s="474"/>
    </row>
    <row r="474" spans="1:23" ht="12.75">
      <c r="A474" s="274">
        <v>46053.809155092589</v>
      </c>
      <c r="B474" s="242" t="s">
        <v>2178</v>
      </c>
      <c r="C474" s="242" t="s">
        <v>2179</v>
      </c>
      <c r="D474" s="242" t="s">
        <v>24</v>
      </c>
      <c r="E474" s="275">
        <v>36567</v>
      </c>
      <c r="F474" s="242" t="s">
        <v>1053</v>
      </c>
      <c r="G474" s="242" t="s">
        <v>2180</v>
      </c>
      <c r="H474" s="242" t="s">
        <v>160</v>
      </c>
      <c r="I474" s="241" t="s">
        <v>4237</v>
      </c>
      <c r="J474" s="242" t="s">
        <v>2181</v>
      </c>
      <c r="K474" s="242" t="s">
        <v>29</v>
      </c>
      <c r="L474" s="242" t="s">
        <v>30</v>
      </c>
      <c r="M474" s="242" t="s">
        <v>2182</v>
      </c>
      <c r="N474" s="242"/>
      <c r="O474" s="242"/>
      <c r="P474" s="242" t="s">
        <v>31</v>
      </c>
      <c r="Q474" s="244" t="s">
        <v>32</v>
      </c>
      <c r="R474" s="245" t="s">
        <v>43</v>
      </c>
      <c r="S474" s="242" t="s">
        <v>2183</v>
      </c>
      <c r="T474" s="266">
        <v>36567</v>
      </c>
      <c r="U474" s="242" t="s">
        <v>2181</v>
      </c>
      <c r="V474" s="475" t="s">
        <v>80</v>
      </c>
      <c r="W474" s="474"/>
    </row>
    <row r="475" spans="1:23" ht="12.75">
      <c r="A475" s="274">
        <v>46053.813171296293</v>
      </c>
      <c r="B475" s="242" t="s">
        <v>2184</v>
      </c>
      <c r="C475" s="242"/>
      <c r="D475" s="242" t="s">
        <v>24</v>
      </c>
      <c r="E475" s="275">
        <v>25892</v>
      </c>
      <c r="F475" s="242" t="s">
        <v>1932</v>
      </c>
      <c r="G475" s="242" t="s">
        <v>2185</v>
      </c>
      <c r="H475" s="242" t="s">
        <v>2186</v>
      </c>
      <c r="I475" s="241" t="s">
        <v>4219</v>
      </c>
      <c r="J475" s="242" t="s">
        <v>2187</v>
      </c>
      <c r="K475" s="242" t="s">
        <v>39</v>
      </c>
      <c r="L475" s="242" t="s">
        <v>621</v>
      </c>
      <c r="M475" s="277"/>
      <c r="N475" s="242"/>
      <c r="O475" s="242"/>
      <c r="P475" s="242" t="s">
        <v>31</v>
      </c>
      <c r="Q475" s="244" t="s">
        <v>32</v>
      </c>
      <c r="R475" s="248" t="s">
        <v>43</v>
      </c>
      <c r="S475" s="242" t="s">
        <v>2184</v>
      </c>
      <c r="T475" s="266">
        <v>25892</v>
      </c>
      <c r="U475" s="242" t="s">
        <v>2187</v>
      </c>
      <c r="V475" s="475" t="s">
        <v>80</v>
      </c>
      <c r="W475" s="474"/>
    </row>
    <row r="476" spans="1:23" ht="12.75">
      <c r="A476" s="274">
        <v>46053.818842592591</v>
      </c>
      <c r="B476" s="242" t="s">
        <v>2188</v>
      </c>
      <c r="C476" s="242"/>
      <c r="D476" s="242" t="s">
        <v>45</v>
      </c>
      <c r="E476" s="275">
        <v>28800</v>
      </c>
      <c r="F476" s="242" t="s">
        <v>1932</v>
      </c>
      <c r="G476" s="242" t="s">
        <v>2185</v>
      </c>
      <c r="H476" s="242" t="s">
        <v>2189</v>
      </c>
      <c r="I476" s="241" t="s">
        <v>4219</v>
      </c>
      <c r="J476" s="242" t="s">
        <v>2190</v>
      </c>
      <c r="K476" s="242" t="s">
        <v>39</v>
      </c>
      <c r="L476" s="242" t="s">
        <v>621</v>
      </c>
      <c r="M476" s="277"/>
      <c r="N476" s="242"/>
      <c r="O476" s="242"/>
      <c r="P476" s="242" t="s">
        <v>31</v>
      </c>
      <c r="Q476" s="244" t="s">
        <v>32</v>
      </c>
      <c r="R476" s="245" t="s">
        <v>43</v>
      </c>
      <c r="S476" s="242" t="s">
        <v>2188</v>
      </c>
      <c r="T476" s="266">
        <v>28800</v>
      </c>
      <c r="U476" s="242" t="s">
        <v>2190</v>
      </c>
      <c r="V476" s="475" t="s">
        <v>80</v>
      </c>
      <c r="W476" s="474"/>
    </row>
    <row r="477" spans="1:23" ht="12.75">
      <c r="A477" s="274">
        <v>46053.821539351855</v>
      </c>
      <c r="B477" s="242" t="s">
        <v>2191</v>
      </c>
      <c r="C477" s="242"/>
      <c r="D477" s="242" t="s">
        <v>24</v>
      </c>
      <c r="E477" s="275">
        <v>31669</v>
      </c>
      <c r="F477" s="242" t="s">
        <v>1932</v>
      </c>
      <c r="G477" s="242" t="s">
        <v>2192</v>
      </c>
      <c r="H477" s="242" t="s">
        <v>1006</v>
      </c>
      <c r="I477" s="241" t="s">
        <v>4219</v>
      </c>
      <c r="J477" s="242" t="s">
        <v>2193</v>
      </c>
      <c r="K477" s="242" t="s">
        <v>39</v>
      </c>
      <c r="L477" s="242" t="s">
        <v>621</v>
      </c>
      <c r="M477" s="242" t="s">
        <v>2194</v>
      </c>
      <c r="N477" s="247" t="s">
        <v>2195</v>
      </c>
      <c r="O477" s="241" t="s">
        <v>42</v>
      </c>
      <c r="P477" s="242" t="s">
        <v>31</v>
      </c>
      <c r="Q477" s="244" t="s">
        <v>32</v>
      </c>
      <c r="R477" s="248" t="s">
        <v>33</v>
      </c>
      <c r="S477" s="242" t="s">
        <v>2196</v>
      </c>
      <c r="T477" s="266">
        <v>31669</v>
      </c>
      <c r="U477" s="242" t="s">
        <v>2193</v>
      </c>
      <c r="V477" s="475" t="s">
        <v>80</v>
      </c>
      <c r="W477" s="474"/>
    </row>
    <row r="478" spans="1:23" ht="12.75">
      <c r="A478" s="274">
        <v>46053.861030092594</v>
      </c>
      <c r="B478" s="242" t="s">
        <v>2197</v>
      </c>
      <c r="C478" s="242" t="s">
        <v>2198</v>
      </c>
      <c r="D478" s="242" t="s">
        <v>24</v>
      </c>
      <c r="E478" s="275">
        <v>35060</v>
      </c>
      <c r="F478" s="242" t="s">
        <v>1053</v>
      </c>
      <c r="G478" s="242" t="s">
        <v>2199</v>
      </c>
      <c r="H478" s="242" t="s">
        <v>1109</v>
      </c>
      <c r="I478" s="241" t="s">
        <v>4237</v>
      </c>
      <c r="J478" s="242" t="s">
        <v>2200</v>
      </c>
      <c r="K478" s="242" t="s">
        <v>29</v>
      </c>
      <c r="L478" s="242" t="s">
        <v>30</v>
      </c>
      <c r="M478" s="242"/>
      <c r="N478" s="242"/>
      <c r="O478" s="242"/>
      <c r="P478" s="242" t="s">
        <v>31</v>
      </c>
      <c r="Q478" s="244" t="s">
        <v>32</v>
      </c>
      <c r="R478" s="245" t="s">
        <v>43</v>
      </c>
      <c r="S478" s="242" t="s">
        <v>2197</v>
      </c>
      <c r="T478" s="266">
        <v>35060</v>
      </c>
      <c r="U478" s="242" t="s">
        <v>2201</v>
      </c>
      <c r="V478" s="475" t="s">
        <v>80</v>
      </c>
      <c r="W478" s="474"/>
    </row>
    <row r="479" spans="1:23" ht="12.75">
      <c r="A479" s="297">
        <v>46053.867569444446</v>
      </c>
      <c r="B479" s="298" t="s">
        <v>2202</v>
      </c>
      <c r="C479" s="298"/>
      <c r="D479" s="298" t="s">
        <v>45</v>
      </c>
      <c r="E479" s="299">
        <v>30269</v>
      </c>
      <c r="F479" s="298" t="s">
        <v>1932</v>
      </c>
      <c r="G479" s="298" t="s">
        <v>2185</v>
      </c>
      <c r="H479" s="298" t="s">
        <v>2189</v>
      </c>
      <c r="I479" s="252" t="s">
        <v>4219</v>
      </c>
      <c r="J479" s="298" t="s">
        <v>2203</v>
      </c>
      <c r="K479" s="298" t="s">
        <v>39</v>
      </c>
      <c r="L479" s="298" t="s">
        <v>621</v>
      </c>
      <c r="M479" s="307"/>
      <c r="N479" s="298"/>
      <c r="O479" s="298"/>
      <c r="P479" s="298" t="s">
        <v>31</v>
      </c>
      <c r="Q479" s="253" t="s">
        <v>32</v>
      </c>
      <c r="R479" s="148"/>
      <c r="S479" s="206" t="s">
        <v>2202</v>
      </c>
      <c r="T479" s="261">
        <v>30269</v>
      </c>
      <c r="U479" s="206" t="s">
        <v>2203</v>
      </c>
      <c r="V479" s="473" t="s">
        <v>80</v>
      </c>
      <c r="W479" s="474"/>
    </row>
    <row r="480" spans="1:23" ht="12.75">
      <c r="A480" s="262">
        <v>46053.871388888889</v>
      </c>
      <c r="B480" s="263" t="s">
        <v>2204</v>
      </c>
      <c r="C480" s="263"/>
      <c r="D480" s="263" t="s">
        <v>24</v>
      </c>
      <c r="E480" s="264">
        <v>28629</v>
      </c>
      <c r="F480" s="263" t="s">
        <v>1932</v>
      </c>
      <c r="G480" s="263" t="s">
        <v>2205</v>
      </c>
      <c r="H480" s="263" t="s">
        <v>2206</v>
      </c>
      <c r="I480" s="241" t="s">
        <v>4219</v>
      </c>
      <c r="J480" s="263" t="s">
        <v>2207</v>
      </c>
      <c r="K480" s="263" t="s">
        <v>39</v>
      </c>
      <c r="L480" s="263" t="s">
        <v>621</v>
      </c>
      <c r="M480" s="308"/>
      <c r="N480" s="263"/>
      <c r="O480" s="263"/>
      <c r="P480" s="263" t="s">
        <v>31</v>
      </c>
      <c r="Q480" s="244" t="s">
        <v>32</v>
      </c>
      <c r="R480" s="245" t="s">
        <v>33</v>
      </c>
      <c r="S480" s="242" t="s">
        <v>2208</v>
      </c>
      <c r="T480" s="266">
        <v>28629</v>
      </c>
      <c r="U480" s="242" t="s">
        <v>2207</v>
      </c>
      <c r="V480" s="475" t="s">
        <v>80</v>
      </c>
      <c r="W480" s="474"/>
    </row>
    <row r="481" spans="1:23" ht="12.75">
      <c r="A481" s="255">
        <v>46053.896122685182</v>
      </c>
      <c r="B481" s="141" t="s">
        <v>2209</v>
      </c>
      <c r="C481" s="141" t="s">
        <v>2210</v>
      </c>
      <c r="D481" s="141" t="s">
        <v>24</v>
      </c>
      <c r="E481" s="256">
        <v>45885</v>
      </c>
      <c r="F481" s="141" t="s">
        <v>1932</v>
      </c>
      <c r="G481" s="141" t="s">
        <v>2211</v>
      </c>
      <c r="H481" s="141" t="s">
        <v>66</v>
      </c>
      <c r="I481" s="252" t="s">
        <v>4219</v>
      </c>
      <c r="J481" s="141" t="s">
        <v>2212</v>
      </c>
      <c r="K481" s="141" t="s">
        <v>29</v>
      </c>
      <c r="L481" s="141" t="s">
        <v>30</v>
      </c>
      <c r="M481" s="228"/>
      <c r="N481" s="141"/>
      <c r="O481" s="141"/>
      <c r="P481" s="141" t="s">
        <v>31</v>
      </c>
      <c r="Q481" s="253" t="s">
        <v>32</v>
      </c>
      <c r="R481" s="148"/>
      <c r="S481" s="206" t="s">
        <v>2209</v>
      </c>
      <c r="T481" s="261">
        <v>45885</v>
      </c>
      <c r="U481" s="206" t="s">
        <v>2212</v>
      </c>
      <c r="V481" s="473" t="s">
        <v>80</v>
      </c>
      <c r="W481" s="474"/>
    </row>
    <row r="482" spans="1:23" ht="12.75">
      <c r="A482" s="274">
        <v>46053.900381944448</v>
      </c>
      <c r="B482" s="242" t="s">
        <v>2213</v>
      </c>
      <c r="C482" s="242"/>
      <c r="D482" s="242" t="s">
        <v>24</v>
      </c>
      <c r="E482" s="275">
        <v>31511</v>
      </c>
      <c r="F482" s="242" t="s">
        <v>1932</v>
      </c>
      <c r="G482" s="242" t="s">
        <v>2205</v>
      </c>
      <c r="H482" s="242" t="s">
        <v>2214</v>
      </c>
      <c r="I482" s="241" t="s">
        <v>4219</v>
      </c>
      <c r="J482" s="242" t="s">
        <v>2215</v>
      </c>
      <c r="K482" s="242" t="s">
        <v>39</v>
      </c>
      <c r="L482" s="242" t="s">
        <v>621</v>
      </c>
      <c r="M482" s="242" t="s">
        <v>2216</v>
      </c>
      <c r="N482" s="242"/>
      <c r="O482" s="242"/>
      <c r="P482" s="242" t="s">
        <v>31</v>
      </c>
      <c r="Q482" s="244" t="s">
        <v>32</v>
      </c>
      <c r="R482" s="245" t="s">
        <v>33</v>
      </c>
      <c r="S482" s="242" t="s">
        <v>2213</v>
      </c>
      <c r="T482" s="266">
        <v>31511</v>
      </c>
      <c r="U482" s="242" t="s">
        <v>2215</v>
      </c>
      <c r="V482" s="475" t="s">
        <v>80</v>
      </c>
      <c r="W482" s="474"/>
    </row>
    <row r="483" spans="1:23" ht="12.75">
      <c r="A483" s="274">
        <v>46053.917199074072</v>
      </c>
      <c r="B483" s="242" t="s">
        <v>2217</v>
      </c>
      <c r="C483" s="242"/>
      <c r="D483" s="242" t="s">
        <v>24</v>
      </c>
      <c r="E483" s="275">
        <v>24884</v>
      </c>
      <c r="F483" s="242" t="s">
        <v>1834</v>
      </c>
      <c r="G483" s="242" t="s">
        <v>2218</v>
      </c>
      <c r="H483" s="242" t="s">
        <v>2219</v>
      </c>
      <c r="I483" s="241" t="s">
        <v>4219</v>
      </c>
      <c r="J483" s="242" t="s">
        <v>2220</v>
      </c>
      <c r="K483" s="242" t="s">
        <v>39</v>
      </c>
      <c r="L483" s="285">
        <v>46204</v>
      </c>
      <c r="M483" s="242"/>
      <c r="N483" s="242"/>
      <c r="O483" s="242"/>
      <c r="P483" s="242" t="s">
        <v>31</v>
      </c>
      <c r="Q483" s="244" t="s">
        <v>32</v>
      </c>
      <c r="R483" s="248" t="s">
        <v>33</v>
      </c>
      <c r="S483" s="242" t="s">
        <v>2217</v>
      </c>
      <c r="T483" s="266">
        <v>24884</v>
      </c>
      <c r="U483" s="242" t="s">
        <v>2220</v>
      </c>
      <c r="V483" s="475" t="s">
        <v>80</v>
      </c>
      <c r="W483" s="474"/>
    </row>
    <row r="484" spans="1:23" ht="12.75">
      <c r="A484" s="274">
        <v>46053.917384259257</v>
      </c>
      <c r="B484" s="475" t="s">
        <v>2221</v>
      </c>
      <c r="C484" s="474"/>
      <c r="D484" s="242" t="s">
        <v>24</v>
      </c>
      <c r="E484" s="275">
        <v>21638</v>
      </c>
      <c r="F484" s="242" t="s">
        <v>1834</v>
      </c>
      <c r="G484" s="242" t="s">
        <v>2222</v>
      </c>
      <c r="H484" s="242" t="s">
        <v>2223</v>
      </c>
      <c r="I484" s="241" t="s">
        <v>4219</v>
      </c>
      <c r="J484" s="242" t="s">
        <v>2224</v>
      </c>
      <c r="K484" s="242" t="s">
        <v>39</v>
      </c>
      <c r="L484" s="242" t="s">
        <v>2225</v>
      </c>
      <c r="M484" s="242"/>
      <c r="N484" s="242"/>
      <c r="O484" s="242"/>
      <c r="P484" s="242" t="s">
        <v>31</v>
      </c>
      <c r="Q484" s="244" t="s">
        <v>32</v>
      </c>
      <c r="R484" s="245" t="s">
        <v>33</v>
      </c>
      <c r="S484" s="242" t="s">
        <v>2226</v>
      </c>
      <c r="T484" s="266">
        <v>21638</v>
      </c>
      <c r="U484" s="242" t="s">
        <v>2227</v>
      </c>
      <c r="V484" s="475" t="s">
        <v>101</v>
      </c>
      <c r="W484" s="474"/>
    </row>
    <row r="485" spans="1:23" ht="12.75">
      <c r="A485" s="274">
        <v>46053.936944444446</v>
      </c>
      <c r="B485" s="242" t="s">
        <v>2228</v>
      </c>
      <c r="C485" s="242" t="s">
        <v>2228</v>
      </c>
      <c r="D485" s="242" t="s">
        <v>45</v>
      </c>
      <c r="E485" s="275">
        <v>38427</v>
      </c>
      <c r="F485" s="242" t="s">
        <v>1932</v>
      </c>
      <c r="G485" s="242" t="s">
        <v>2229</v>
      </c>
      <c r="H485" s="242" t="s">
        <v>2230</v>
      </c>
      <c r="I485" s="241" t="s">
        <v>4219</v>
      </c>
      <c r="J485" s="242" t="s">
        <v>2231</v>
      </c>
      <c r="K485" s="242" t="s">
        <v>39</v>
      </c>
      <c r="L485" s="242" t="s">
        <v>152</v>
      </c>
      <c r="M485" s="242"/>
      <c r="N485" s="242"/>
      <c r="O485" s="242"/>
      <c r="P485" s="242" t="s">
        <v>31</v>
      </c>
      <c r="Q485" s="244" t="s">
        <v>32</v>
      </c>
      <c r="R485" s="248" t="s">
        <v>33</v>
      </c>
      <c r="S485" s="242" t="s">
        <v>2228</v>
      </c>
      <c r="T485" s="266">
        <v>38427</v>
      </c>
      <c r="U485" s="242" t="s">
        <v>2231</v>
      </c>
      <c r="V485" s="475" t="s">
        <v>80</v>
      </c>
      <c r="W485" s="474"/>
    </row>
    <row r="486" spans="1:23" ht="12.75">
      <c r="A486" s="271">
        <v>46053.943981481483</v>
      </c>
      <c r="B486" s="272" t="s">
        <v>2232</v>
      </c>
      <c r="C486" s="272"/>
      <c r="D486" s="272" t="s">
        <v>45</v>
      </c>
      <c r="E486" s="273">
        <v>37488</v>
      </c>
      <c r="F486" s="272" t="s">
        <v>346</v>
      </c>
      <c r="G486" s="272" t="s">
        <v>2233</v>
      </c>
      <c r="H486" s="272" t="s">
        <v>368</v>
      </c>
      <c r="I486" s="252" t="s">
        <v>4219</v>
      </c>
      <c r="J486" s="272" t="s">
        <v>2234</v>
      </c>
      <c r="K486" s="272" t="s">
        <v>29</v>
      </c>
      <c r="L486" s="272" t="s">
        <v>30</v>
      </c>
      <c r="M486" s="272"/>
      <c r="N486" s="272"/>
      <c r="O486" s="272"/>
      <c r="P486" s="272" t="s">
        <v>31</v>
      </c>
      <c r="Q486" s="253" t="s">
        <v>32</v>
      </c>
      <c r="R486" s="152"/>
      <c r="S486" s="206" t="s">
        <v>2232</v>
      </c>
      <c r="T486" s="261">
        <v>37488</v>
      </c>
      <c r="U486" s="206" t="s">
        <v>2234</v>
      </c>
      <c r="V486" s="473" t="s">
        <v>80</v>
      </c>
      <c r="W486" s="474"/>
    </row>
    <row r="487" spans="1:23" ht="12.75">
      <c r="A487" s="255">
        <v>46053.996701388889</v>
      </c>
      <c r="B487" s="141" t="s">
        <v>2235</v>
      </c>
      <c r="C487" s="141"/>
      <c r="D487" s="141" t="s">
        <v>24</v>
      </c>
      <c r="E487" s="256">
        <v>24315</v>
      </c>
      <c r="F487" s="141" t="s">
        <v>1932</v>
      </c>
      <c r="G487" s="141" t="s">
        <v>2236</v>
      </c>
      <c r="H487" s="141" t="s">
        <v>2237</v>
      </c>
      <c r="I487" s="252" t="s">
        <v>4219</v>
      </c>
      <c r="J487" s="141" t="s">
        <v>2238</v>
      </c>
      <c r="K487" s="141" t="s">
        <v>39</v>
      </c>
      <c r="L487" s="141" t="s">
        <v>152</v>
      </c>
      <c r="M487" s="228"/>
      <c r="N487" s="141"/>
      <c r="O487" s="141"/>
      <c r="P487" s="141" t="s">
        <v>31</v>
      </c>
      <c r="Q487" s="253" t="s">
        <v>32</v>
      </c>
      <c r="R487" s="148" t="s">
        <v>33</v>
      </c>
      <c r="S487" s="206" t="s">
        <v>2235</v>
      </c>
      <c r="T487" s="261">
        <v>24315</v>
      </c>
      <c r="U487" s="206" t="s">
        <v>2238</v>
      </c>
      <c r="V487" s="473" t="s">
        <v>80</v>
      </c>
      <c r="W487" s="474"/>
    </row>
    <row r="488" spans="1:23" ht="12.75">
      <c r="A488" s="274">
        <v>46054.065555555557</v>
      </c>
      <c r="B488" s="242" t="s">
        <v>2239</v>
      </c>
      <c r="C488" s="242"/>
      <c r="D488" s="242" t="s">
        <v>24</v>
      </c>
      <c r="E488" s="275">
        <v>34968</v>
      </c>
      <c r="F488" s="242" t="s">
        <v>227</v>
      </c>
      <c r="G488" s="242" t="s">
        <v>2240</v>
      </c>
      <c r="H488" s="242" t="s">
        <v>2241</v>
      </c>
      <c r="I488" s="241" t="s">
        <v>4219</v>
      </c>
      <c r="J488" s="242" t="s">
        <v>2242</v>
      </c>
      <c r="K488" s="242" t="s">
        <v>29</v>
      </c>
      <c r="L488" s="242" t="s">
        <v>30</v>
      </c>
      <c r="M488" s="277"/>
      <c r="N488" s="242"/>
      <c r="O488" s="242"/>
      <c r="P488" s="242" t="s">
        <v>31</v>
      </c>
      <c r="Q488" s="244" t="s">
        <v>32</v>
      </c>
      <c r="R488" s="245" t="s">
        <v>33</v>
      </c>
      <c r="S488" s="242" t="s">
        <v>2239</v>
      </c>
      <c r="T488" s="266">
        <v>34968</v>
      </c>
      <c r="U488" s="242" t="s">
        <v>2242</v>
      </c>
      <c r="V488" s="475" t="s">
        <v>80</v>
      </c>
      <c r="W488" s="474"/>
    </row>
    <row r="489" spans="1:23" ht="12.75">
      <c r="A489" s="262">
        <v>46054.067453703705</v>
      </c>
      <c r="B489" s="263" t="s">
        <v>2243</v>
      </c>
      <c r="C489" s="263" t="s">
        <v>2243</v>
      </c>
      <c r="D489" s="263" t="s">
        <v>45</v>
      </c>
      <c r="E489" s="264">
        <v>35182</v>
      </c>
      <c r="F489" s="263" t="s">
        <v>227</v>
      </c>
      <c r="G489" s="263" t="s">
        <v>2240</v>
      </c>
      <c r="H489" s="263" t="s">
        <v>2241</v>
      </c>
      <c r="I489" s="241" t="s">
        <v>4219</v>
      </c>
      <c r="J489" s="263" t="s">
        <v>2244</v>
      </c>
      <c r="K489" s="263" t="s">
        <v>29</v>
      </c>
      <c r="L489" s="263" t="s">
        <v>30</v>
      </c>
      <c r="M489" s="308"/>
      <c r="N489" s="263"/>
      <c r="O489" s="263"/>
      <c r="P489" s="263" t="s">
        <v>31</v>
      </c>
      <c r="Q489" s="244" t="s">
        <v>32</v>
      </c>
      <c r="R489" s="248" t="s">
        <v>33</v>
      </c>
      <c r="S489" s="242" t="s">
        <v>2243</v>
      </c>
      <c r="T489" s="266">
        <v>35182</v>
      </c>
      <c r="U489" s="242" t="s">
        <v>2244</v>
      </c>
      <c r="V489" s="475" t="s">
        <v>80</v>
      </c>
      <c r="W489" s="474"/>
    </row>
    <row r="490" spans="1:23" ht="12.75">
      <c r="A490" s="255">
        <v>46054.068113425928</v>
      </c>
      <c r="B490" s="141" t="s">
        <v>2245</v>
      </c>
      <c r="C490" s="141"/>
      <c r="D490" s="141" t="s">
        <v>24</v>
      </c>
      <c r="E490" s="256">
        <v>19091</v>
      </c>
      <c r="F490" s="141" t="s">
        <v>2246</v>
      </c>
      <c r="G490" s="141" t="s">
        <v>2247</v>
      </c>
      <c r="H490" s="141" t="s">
        <v>90</v>
      </c>
      <c r="I490" s="252" t="s">
        <v>4237</v>
      </c>
      <c r="J490" s="141" t="s">
        <v>1973</v>
      </c>
      <c r="K490" s="141" t="s">
        <v>39</v>
      </c>
      <c r="L490" s="141" t="s">
        <v>30</v>
      </c>
      <c r="M490" s="141"/>
      <c r="N490" s="141"/>
      <c r="O490" s="141"/>
      <c r="P490" s="141" t="s">
        <v>31</v>
      </c>
      <c r="Q490" s="253" t="s">
        <v>32</v>
      </c>
      <c r="R490" s="152"/>
      <c r="S490" s="206" t="s">
        <v>2245</v>
      </c>
      <c r="T490" s="261">
        <v>19091</v>
      </c>
      <c r="U490" s="206" t="s">
        <v>1973</v>
      </c>
      <c r="V490" s="473" t="s">
        <v>80</v>
      </c>
      <c r="W490" s="474"/>
    </row>
    <row r="491" spans="1:23" ht="12.75">
      <c r="A491" s="255">
        <v>46054.103368055556</v>
      </c>
      <c r="B491" s="141" t="s">
        <v>2248</v>
      </c>
      <c r="C491" s="141" t="s">
        <v>2248</v>
      </c>
      <c r="D491" s="141" t="s">
        <v>24</v>
      </c>
      <c r="E491" s="256">
        <v>36402</v>
      </c>
      <c r="F491" s="141" t="s">
        <v>416</v>
      </c>
      <c r="G491" s="141" t="s">
        <v>2249</v>
      </c>
      <c r="H491" s="141" t="s">
        <v>111</v>
      </c>
      <c r="I491" s="252" t="s">
        <v>4219</v>
      </c>
      <c r="J491" s="141" t="s">
        <v>2250</v>
      </c>
      <c r="K491" s="141" t="s">
        <v>29</v>
      </c>
      <c r="L491" s="141" t="s">
        <v>30</v>
      </c>
      <c r="M491" s="228"/>
      <c r="N491" s="141"/>
      <c r="O491" s="141"/>
      <c r="P491" s="141" t="s">
        <v>31</v>
      </c>
      <c r="Q491" s="253" t="s">
        <v>32</v>
      </c>
      <c r="R491" s="152"/>
      <c r="S491" s="206" t="s">
        <v>2248</v>
      </c>
      <c r="T491" s="261">
        <v>36402</v>
      </c>
      <c r="U491" s="206" t="s">
        <v>2250</v>
      </c>
      <c r="V491" s="473" t="s">
        <v>80</v>
      </c>
      <c r="W491" s="474"/>
    </row>
    <row r="492" spans="1:23" ht="12.75">
      <c r="A492" s="274">
        <v>46054.117303240739</v>
      </c>
      <c r="B492" s="242" t="s">
        <v>2251</v>
      </c>
      <c r="C492" s="242" t="s">
        <v>2252</v>
      </c>
      <c r="D492" s="242" t="s">
        <v>24</v>
      </c>
      <c r="E492" s="275">
        <v>31552</v>
      </c>
      <c r="F492" s="242" t="s">
        <v>2066</v>
      </c>
      <c r="G492" s="242" t="s">
        <v>2253</v>
      </c>
      <c r="H492" s="242" t="s">
        <v>2254</v>
      </c>
      <c r="I492" s="241" t="s">
        <v>4237</v>
      </c>
      <c r="J492" s="242" t="s">
        <v>2255</v>
      </c>
      <c r="K492" s="242" t="s">
        <v>29</v>
      </c>
      <c r="L492" s="242" t="s">
        <v>30</v>
      </c>
      <c r="M492" s="242"/>
      <c r="N492" s="242"/>
      <c r="O492" s="242"/>
      <c r="P492" s="242" t="s">
        <v>31</v>
      </c>
      <c r="Q492" s="244" t="s">
        <v>32</v>
      </c>
      <c r="R492" s="248" t="s">
        <v>33</v>
      </c>
      <c r="S492" s="242" t="s">
        <v>2256</v>
      </c>
      <c r="T492" s="266">
        <v>31552</v>
      </c>
      <c r="U492" s="242" t="s">
        <v>2255</v>
      </c>
      <c r="V492" s="475" t="s">
        <v>154</v>
      </c>
      <c r="W492" s="474"/>
    </row>
    <row r="493" spans="1:23" ht="12.75">
      <c r="A493" s="255">
        <v>46054.188101851854</v>
      </c>
      <c r="B493" s="141" t="s">
        <v>2257</v>
      </c>
      <c r="C493" s="141"/>
      <c r="D493" s="141" t="s">
        <v>24</v>
      </c>
      <c r="E493" s="256">
        <v>31375</v>
      </c>
      <c r="F493" s="141" t="s">
        <v>198</v>
      </c>
      <c r="G493" s="141" t="s">
        <v>2258</v>
      </c>
      <c r="H493" s="141" t="s">
        <v>66</v>
      </c>
      <c r="I493" s="252" t="s">
        <v>4219</v>
      </c>
      <c r="J493" s="141" t="s">
        <v>2259</v>
      </c>
      <c r="K493" s="141" t="s">
        <v>39</v>
      </c>
      <c r="L493" s="141" t="s">
        <v>30</v>
      </c>
      <c r="M493" s="141"/>
      <c r="N493" s="141"/>
      <c r="O493" s="141"/>
      <c r="P493" s="141" t="s">
        <v>31</v>
      </c>
      <c r="Q493" s="253" t="s">
        <v>32</v>
      </c>
      <c r="R493" s="152"/>
      <c r="S493" s="206" t="s">
        <v>2260</v>
      </c>
      <c r="T493" s="261">
        <v>31375</v>
      </c>
      <c r="U493" s="206" t="s">
        <v>2259</v>
      </c>
      <c r="V493" s="473" t="s">
        <v>80</v>
      </c>
      <c r="W493" s="474"/>
    </row>
    <row r="494" spans="1:23" ht="12.75">
      <c r="A494" s="255">
        <v>46054.238900462966</v>
      </c>
      <c r="B494" s="476" t="s">
        <v>2261</v>
      </c>
      <c r="C494" s="474"/>
      <c r="D494" s="141" t="s">
        <v>24</v>
      </c>
      <c r="E494" s="256">
        <v>32918</v>
      </c>
      <c r="F494" s="141" t="s">
        <v>2114</v>
      </c>
      <c r="G494" s="141" t="s">
        <v>2262</v>
      </c>
      <c r="H494" s="141" t="s">
        <v>2263</v>
      </c>
      <c r="I494" s="252" t="s">
        <v>4219</v>
      </c>
      <c r="J494" s="141" t="s">
        <v>2264</v>
      </c>
      <c r="K494" s="141" t="s">
        <v>39</v>
      </c>
      <c r="L494" s="141" t="s">
        <v>162</v>
      </c>
      <c r="M494" s="141" t="s">
        <v>4300</v>
      </c>
      <c r="N494" s="141" t="s">
        <v>4301</v>
      </c>
      <c r="O494" s="250" t="s">
        <v>365</v>
      </c>
      <c r="P494" s="141" t="s">
        <v>31</v>
      </c>
      <c r="Q494" s="253" t="s">
        <v>32</v>
      </c>
      <c r="R494" s="148"/>
      <c r="S494" s="206" t="s">
        <v>2267</v>
      </c>
      <c r="T494" s="261">
        <v>32918</v>
      </c>
      <c r="U494" s="206" t="s">
        <v>2268</v>
      </c>
      <c r="V494" s="473" t="s">
        <v>80</v>
      </c>
      <c r="W494" s="474"/>
    </row>
    <row r="495" spans="1:23" ht="12.75">
      <c r="A495" s="255">
        <v>46054.363842592589</v>
      </c>
      <c r="B495" s="141" t="s">
        <v>2269</v>
      </c>
      <c r="C495" s="141"/>
      <c r="D495" s="141" t="s">
        <v>24</v>
      </c>
      <c r="E495" s="256">
        <v>38689</v>
      </c>
      <c r="F495" s="141" t="s">
        <v>346</v>
      </c>
      <c r="G495" s="141" t="s">
        <v>2270</v>
      </c>
      <c r="H495" s="141" t="s">
        <v>66</v>
      </c>
      <c r="I495" s="252" t="s">
        <v>4219</v>
      </c>
      <c r="J495" s="141" t="s">
        <v>2271</v>
      </c>
      <c r="K495" s="141" t="s">
        <v>29</v>
      </c>
      <c r="L495" s="141" t="s">
        <v>30</v>
      </c>
      <c r="M495" s="141" t="s">
        <v>2272</v>
      </c>
      <c r="N495" s="141"/>
      <c r="O495" s="141"/>
      <c r="P495" s="141" t="s">
        <v>31</v>
      </c>
      <c r="Q495" s="253" t="s">
        <v>32</v>
      </c>
      <c r="R495" s="152"/>
      <c r="S495" s="206" t="s">
        <v>2273</v>
      </c>
      <c r="T495" s="261">
        <v>38689</v>
      </c>
      <c r="U495" s="206" t="s">
        <v>2271</v>
      </c>
      <c r="V495" s="473" t="s">
        <v>80</v>
      </c>
      <c r="W495" s="474"/>
    </row>
    <row r="496" spans="1:23" ht="12.75">
      <c r="A496" s="255">
        <v>46054.49690972222</v>
      </c>
      <c r="B496" s="141" t="s">
        <v>2274</v>
      </c>
      <c r="C496" s="141" t="s">
        <v>2275</v>
      </c>
      <c r="D496" s="141" t="s">
        <v>45</v>
      </c>
      <c r="E496" s="256">
        <v>35145</v>
      </c>
      <c r="F496" s="141" t="s">
        <v>198</v>
      </c>
      <c r="G496" s="141" t="s">
        <v>90</v>
      </c>
      <c r="H496" s="141" t="s">
        <v>111</v>
      </c>
      <c r="I496" s="252" t="s">
        <v>4219</v>
      </c>
      <c r="J496" s="141" t="s">
        <v>2276</v>
      </c>
      <c r="K496" s="141" t="s">
        <v>29</v>
      </c>
      <c r="L496" s="141" t="s">
        <v>162</v>
      </c>
      <c r="M496" s="141"/>
      <c r="N496" s="141"/>
      <c r="O496" s="141"/>
      <c r="P496" s="141" t="s">
        <v>31</v>
      </c>
      <c r="Q496" s="253" t="s">
        <v>32</v>
      </c>
      <c r="R496" s="148"/>
      <c r="S496" s="206" t="s">
        <v>2275</v>
      </c>
      <c r="T496" s="261">
        <v>35145</v>
      </c>
      <c r="U496" s="206" t="s">
        <v>2276</v>
      </c>
      <c r="V496" s="473" t="s">
        <v>2277</v>
      </c>
      <c r="W496" s="474"/>
    </row>
    <row r="497" spans="1:23" ht="12.75">
      <c r="A497" s="255">
        <v>46054.765590277777</v>
      </c>
      <c r="B497" s="141" t="s">
        <v>2278</v>
      </c>
      <c r="C497" s="141" t="s">
        <v>2279</v>
      </c>
      <c r="D497" s="141" t="s">
        <v>24</v>
      </c>
      <c r="E497" s="256">
        <v>38799</v>
      </c>
      <c r="F497" s="141" t="s">
        <v>1932</v>
      </c>
      <c r="G497" s="141" t="s">
        <v>1933</v>
      </c>
      <c r="H497" s="141" t="s">
        <v>1407</v>
      </c>
      <c r="I497" s="252" t="s">
        <v>4219</v>
      </c>
      <c r="J497" s="141" t="s">
        <v>2280</v>
      </c>
      <c r="K497" s="141" t="s">
        <v>39</v>
      </c>
      <c r="L497" s="141" t="s">
        <v>30</v>
      </c>
      <c r="M497" s="141"/>
      <c r="N497" s="141"/>
      <c r="O497" s="141"/>
      <c r="P497" s="141" t="s">
        <v>31</v>
      </c>
      <c r="Q497" s="253" t="s">
        <v>32</v>
      </c>
      <c r="R497" s="152"/>
      <c r="S497" s="206" t="s">
        <v>2281</v>
      </c>
      <c r="T497" s="261">
        <v>38806</v>
      </c>
      <c r="U497" s="206" t="s">
        <v>2280</v>
      </c>
      <c r="V497" s="206" t="s">
        <v>236</v>
      </c>
      <c r="W497" s="206"/>
    </row>
    <row r="498" spans="1:23" ht="12.75">
      <c r="A498" s="255">
        <v>46055.124965277777</v>
      </c>
      <c r="B498" s="141" t="s">
        <v>2282</v>
      </c>
      <c r="C498" s="141"/>
      <c r="D498" s="141" t="s">
        <v>45</v>
      </c>
      <c r="E498" s="256">
        <v>37349</v>
      </c>
      <c r="F498" s="141" t="s">
        <v>208</v>
      </c>
      <c r="G498" s="141" t="s">
        <v>702</v>
      </c>
      <c r="H498" s="141" t="s">
        <v>2283</v>
      </c>
      <c r="I498" s="252" t="s">
        <v>4223</v>
      </c>
      <c r="J498" s="141" t="s">
        <v>2284</v>
      </c>
      <c r="K498" s="141" t="s">
        <v>29</v>
      </c>
      <c r="L498" s="141" t="s">
        <v>30</v>
      </c>
      <c r="M498" s="141"/>
      <c r="N498" s="141"/>
      <c r="O498" s="141"/>
      <c r="P498" s="141" t="s">
        <v>31</v>
      </c>
      <c r="Q498" s="253" t="s">
        <v>32</v>
      </c>
      <c r="R498" s="148"/>
      <c r="S498" s="206" t="s">
        <v>2285</v>
      </c>
      <c r="T498" s="261">
        <v>37349</v>
      </c>
      <c r="U498" s="206" t="s">
        <v>2284</v>
      </c>
      <c r="V498" s="473" t="s">
        <v>80</v>
      </c>
      <c r="W498" s="474"/>
    </row>
    <row r="499" spans="1:23" ht="12.75">
      <c r="A499" s="292">
        <v>46055.251388888886</v>
      </c>
      <c r="B499" s="293" t="s">
        <v>2286</v>
      </c>
      <c r="C499" s="293"/>
      <c r="D499" s="293" t="s">
        <v>45</v>
      </c>
      <c r="E499" s="294">
        <v>36017</v>
      </c>
      <c r="F499" s="293" t="s">
        <v>380</v>
      </c>
      <c r="G499" s="293" t="s">
        <v>1884</v>
      </c>
      <c r="H499" s="293" t="s">
        <v>72</v>
      </c>
      <c r="I499" s="252" t="s">
        <v>4223</v>
      </c>
      <c r="J499" s="141" t="s">
        <v>2287</v>
      </c>
      <c r="K499" s="141" t="s">
        <v>29</v>
      </c>
      <c r="L499" s="141" t="s">
        <v>30</v>
      </c>
      <c r="M499" s="141"/>
      <c r="N499" s="141"/>
      <c r="O499" s="141"/>
      <c r="P499" s="141" t="s">
        <v>31</v>
      </c>
      <c r="Q499" s="253" t="s">
        <v>32</v>
      </c>
      <c r="R499" s="152"/>
      <c r="S499" s="206" t="s">
        <v>2286</v>
      </c>
      <c r="T499" s="261">
        <v>36017</v>
      </c>
      <c r="U499" s="206" t="s">
        <v>2287</v>
      </c>
      <c r="V499" s="473" t="s">
        <v>80</v>
      </c>
      <c r="W499" s="474"/>
    </row>
    <row r="500" spans="1:23" ht="12.75">
      <c r="A500" s="274">
        <v>46055.474780092591</v>
      </c>
      <c r="B500" s="242" t="s">
        <v>2288</v>
      </c>
      <c r="C500" s="242"/>
      <c r="D500" s="242" t="s">
        <v>24</v>
      </c>
      <c r="E500" s="275">
        <v>35005</v>
      </c>
      <c r="F500" s="242" t="s">
        <v>1932</v>
      </c>
      <c r="G500" s="242" t="s">
        <v>2289</v>
      </c>
      <c r="H500" s="242" t="s">
        <v>640</v>
      </c>
      <c r="I500" s="241" t="s">
        <v>4219</v>
      </c>
      <c r="J500" s="242" t="s">
        <v>2290</v>
      </c>
      <c r="K500" s="242" t="s">
        <v>29</v>
      </c>
      <c r="L500" s="242" t="s">
        <v>30</v>
      </c>
      <c r="M500" s="242"/>
      <c r="N500" s="242"/>
      <c r="O500" s="242"/>
      <c r="P500" s="242" t="s">
        <v>31</v>
      </c>
      <c r="Q500" s="244" t="s">
        <v>32</v>
      </c>
      <c r="R500" s="248" t="s">
        <v>33</v>
      </c>
      <c r="S500" s="242" t="s">
        <v>2288</v>
      </c>
      <c r="T500" s="266">
        <v>35005</v>
      </c>
      <c r="U500" s="242" t="s">
        <v>2290</v>
      </c>
      <c r="V500" s="475" t="s">
        <v>80</v>
      </c>
      <c r="W500" s="474"/>
    </row>
    <row r="501" spans="1:23" ht="12.75">
      <c r="A501" s="240">
        <v>46055.537245370368</v>
      </c>
      <c r="B501" s="241" t="s">
        <v>2291</v>
      </c>
      <c r="C501" s="242"/>
      <c r="D501" s="241" t="s">
        <v>24</v>
      </c>
      <c r="E501" s="243">
        <v>32052</v>
      </c>
      <c r="F501" s="241" t="s">
        <v>1179</v>
      </c>
      <c r="G501" s="241" t="s">
        <v>1665</v>
      </c>
      <c r="H501" s="241" t="s">
        <v>186</v>
      </c>
      <c r="I501" s="241" t="s">
        <v>4237</v>
      </c>
      <c r="J501" s="241" t="s">
        <v>2292</v>
      </c>
      <c r="K501" s="241" t="s">
        <v>39</v>
      </c>
      <c r="L501" s="241" t="s">
        <v>162</v>
      </c>
      <c r="M501" s="242"/>
      <c r="N501" s="241"/>
      <c r="O501" s="241"/>
      <c r="P501" s="241" t="s">
        <v>2293</v>
      </c>
      <c r="Q501" s="244" t="s">
        <v>32</v>
      </c>
      <c r="R501" s="245" t="s">
        <v>43</v>
      </c>
      <c r="S501" s="246" t="s">
        <v>2294</v>
      </c>
      <c r="T501" s="242"/>
      <c r="U501" s="242"/>
      <c r="V501" s="242"/>
      <c r="W501" s="242"/>
    </row>
    <row r="502" spans="1:23" ht="12.75">
      <c r="A502" s="274">
        <v>46057.974895833337</v>
      </c>
      <c r="B502" s="242" t="s">
        <v>2295</v>
      </c>
      <c r="C502" s="242" t="s">
        <v>2296</v>
      </c>
      <c r="D502" s="242" t="s">
        <v>45</v>
      </c>
      <c r="E502" s="275">
        <v>37881</v>
      </c>
      <c r="F502" s="242" t="s">
        <v>1053</v>
      </c>
      <c r="G502" s="242" t="s">
        <v>2297</v>
      </c>
      <c r="H502" s="242" t="s">
        <v>66</v>
      </c>
      <c r="I502" s="241" t="s">
        <v>4237</v>
      </c>
      <c r="J502" s="242" t="s">
        <v>2298</v>
      </c>
      <c r="K502" s="242" t="s">
        <v>29</v>
      </c>
      <c r="L502" s="242" t="s">
        <v>30</v>
      </c>
      <c r="M502" s="242"/>
      <c r="N502" s="242"/>
      <c r="O502" s="242"/>
      <c r="P502" s="242" t="s">
        <v>31</v>
      </c>
      <c r="Q502" s="244" t="s">
        <v>32</v>
      </c>
      <c r="R502" s="245" t="s">
        <v>43</v>
      </c>
      <c r="S502" s="242" t="s">
        <v>2295</v>
      </c>
      <c r="T502" s="266">
        <v>37881</v>
      </c>
      <c r="U502" s="242" t="s">
        <v>2298</v>
      </c>
      <c r="V502" s="475" t="s">
        <v>80</v>
      </c>
      <c r="W502" s="474"/>
    </row>
    <row r="503" spans="1:23" ht="12.75">
      <c r="A503" s="249">
        <v>46059.077361111114</v>
      </c>
      <c r="B503" s="250" t="s">
        <v>2299</v>
      </c>
      <c r="C503" s="139"/>
      <c r="D503" s="250" t="s">
        <v>45</v>
      </c>
      <c r="E503" s="251">
        <v>46074</v>
      </c>
      <c r="F503" s="250" t="s">
        <v>208</v>
      </c>
      <c r="G503" s="250" t="s">
        <v>66</v>
      </c>
      <c r="H503" s="250" t="s">
        <v>66</v>
      </c>
      <c r="I503" s="252" t="s">
        <v>4223</v>
      </c>
      <c r="J503" s="250" t="s">
        <v>2300</v>
      </c>
      <c r="K503" s="250" t="s">
        <v>29</v>
      </c>
      <c r="L503" s="250" t="s">
        <v>30</v>
      </c>
      <c r="M503" s="139"/>
      <c r="N503" s="250"/>
      <c r="O503" s="250"/>
      <c r="P503" s="250" t="s">
        <v>31</v>
      </c>
      <c r="Q503" s="253" t="s">
        <v>32</v>
      </c>
      <c r="R503" s="148"/>
      <c r="S503" s="254" t="s">
        <v>2299</v>
      </c>
      <c r="T503" s="206"/>
      <c r="U503" s="206"/>
      <c r="V503" s="206"/>
      <c r="W503" s="206"/>
    </row>
    <row r="504" spans="1:23" ht="12.75">
      <c r="A504" s="255">
        <v>46059.140752314815</v>
      </c>
      <c r="B504" s="141" t="s">
        <v>2301</v>
      </c>
      <c r="C504" s="141"/>
      <c r="D504" s="141" t="s">
        <v>24</v>
      </c>
      <c r="E504" s="256">
        <v>35691</v>
      </c>
      <c r="F504" s="141" t="s">
        <v>208</v>
      </c>
      <c r="G504" s="141" t="s">
        <v>2302</v>
      </c>
      <c r="H504" s="141" t="s">
        <v>2303</v>
      </c>
      <c r="I504" s="252" t="s">
        <v>4223</v>
      </c>
      <c r="J504" s="141" t="s">
        <v>2304</v>
      </c>
      <c r="K504" s="141" t="s">
        <v>29</v>
      </c>
      <c r="L504" s="141" t="s">
        <v>30</v>
      </c>
      <c r="M504" s="141"/>
      <c r="N504" s="141"/>
      <c r="O504" s="141"/>
      <c r="P504" s="141" t="s">
        <v>31</v>
      </c>
      <c r="Q504" s="253" t="s">
        <v>32</v>
      </c>
      <c r="R504" s="152" t="s">
        <v>33</v>
      </c>
      <c r="S504" s="206" t="s">
        <v>2301</v>
      </c>
      <c r="T504" s="261">
        <v>35691</v>
      </c>
      <c r="U504" s="206" t="s">
        <v>2304</v>
      </c>
      <c r="V504" s="473" t="s">
        <v>80</v>
      </c>
      <c r="W504" s="474"/>
    </row>
    <row r="505" spans="1:23" ht="12.75">
      <c r="A505" s="249">
        <v>46059.665208333332</v>
      </c>
      <c r="B505" s="250" t="s">
        <v>2305</v>
      </c>
      <c r="C505" s="250" t="s">
        <v>4302</v>
      </c>
      <c r="D505" s="250" t="s">
        <v>45</v>
      </c>
      <c r="E505" s="251">
        <v>36206</v>
      </c>
      <c r="F505" s="250" t="s">
        <v>208</v>
      </c>
      <c r="G505" s="250" t="s">
        <v>2310</v>
      </c>
      <c r="H505" s="250" t="s">
        <v>66</v>
      </c>
      <c r="I505" s="252" t="s">
        <v>4223</v>
      </c>
      <c r="J505" s="250" t="s">
        <v>2308</v>
      </c>
      <c r="K505" s="250" t="s">
        <v>29</v>
      </c>
      <c r="L505" s="250" t="s">
        <v>162</v>
      </c>
      <c r="M505" s="139"/>
      <c r="N505" s="250"/>
      <c r="O505" s="250"/>
      <c r="P505" s="250" t="s">
        <v>31</v>
      </c>
      <c r="Q505" s="253" t="s">
        <v>32</v>
      </c>
      <c r="R505" s="148" t="s">
        <v>33</v>
      </c>
      <c r="S505" s="309">
        <v>256759000000</v>
      </c>
      <c r="T505" s="206"/>
      <c r="U505" s="206"/>
      <c r="V505" s="206"/>
      <c r="W505" s="206"/>
    </row>
    <row r="506" spans="1:23" ht="12.75">
      <c r="A506" s="255">
        <v>46059.670601851853</v>
      </c>
      <c r="B506" s="141" t="s">
        <v>2309</v>
      </c>
      <c r="C506" s="141"/>
      <c r="D506" s="141" t="s">
        <v>24</v>
      </c>
      <c r="E506" s="256">
        <v>37610</v>
      </c>
      <c r="F506" s="141" t="s">
        <v>208</v>
      </c>
      <c r="G506" s="141" t="s">
        <v>2310</v>
      </c>
      <c r="H506" s="141" t="s">
        <v>90</v>
      </c>
      <c r="I506" s="252" t="s">
        <v>4223</v>
      </c>
      <c r="J506" s="141" t="s">
        <v>2311</v>
      </c>
      <c r="K506" s="141" t="s">
        <v>29</v>
      </c>
      <c r="L506" s="141" t="s">
        <v>162</v>
      </c>
      <c r="M506" s="141"/>
      <c r="N506" s="141"/>
      <c r="O506" s="141"/>
      <c r="P506" s="141" t="s">
        <v>31</v>
      </c>
      <c r="Q506" s="253" t="s">
        <v>32</v>
      </c>
      <c r="R506" s="152"/>
      <c r="S506" s="206" t="s">
        <v>2309</v>
      </c>
      <c r="T506" s="261">
        <v>37610</v>
      </c>
      <c r="U506" s="206" t="s">
        <v>2312</v>
      </c>
      <c r="V506" s="473" t="s">
        <v>101</v>
      </c>
      <c r="W506" s="474"/>
    </row>
    <row r="507" spans="1:23" ht="12.75">
      <c r="A507" s="255">
        <v>46059.683425925927</v>
      </c>
      <c r="B507" s="141" t="s">
        <v>2313</v>
      </c>
      <c r="C507" s="141"/>
      <c r="D507" s="141" t="s">
        <v>45</v>
      </c>
      <c r="E507" s="256">
        <v>38135</v>
      </c>
      <c r="F507" s="141" t="s">
        <v>208</v>
      </c>
      <c r="G507" s="141" t="s">
        <v>460</v>
      </c>
      <c r="H507" s="141" t="s">
        <v>160</v>
      </c>
      <c r="I507" s="252" t="s">
        <v>4223</v>
      </c>
      <c r="J507" s="141" t="s">
        <v>2314</v>
      </c>
      <c r="K507" s="141" t="s">
        <v>29</v>
      </c>
      <c r="L507" s="141" t="s">
        <v>162</v>
      </c>
      <c r="M507" s="141"/>
      <c r="N507" s="141"/>
      <c r="O507" s="141"/>
      <c r="P507" s="141" t="s">
        <v>31</v>
      </c>
      <c r="Q507" s="257" t="s">
        <v>56</v>
      </c>
      <c r="R507" s="24"/>
      <c r="S507" s="206"/>
      <c r="T507" s="258"/>
      <c r="U507" s="206"/>
      <c r="V507" s="206"/>
      <c r="W507" s="206"/>
    </row>
    <row r="508" spans="1:23" ht="12.75">
      <c r="A508" s="268">
        <v>46059.873333333337</v>
      </c>
      <c r="B508" s="269" t="s">
        <v>2315</v>
      </c>
      <c r="C508" s="269"/>
      <c r="D508" s="269" t="s">
        <v>24</v>
      </c>
      <c r="E508" s="270">
        <v>36809</v>
      </c>
      <c r="F508" s="141" t="s">
        <v>208</v>
      </c>
      <c r="G508" s="269" t="s">
        <v>66</v>
      </c>
      <c r="H508" s="269" t="s">
        <v>2316</v>
      </c>
      <c r="I508" s="252" t="s">
        <v>4223</v>
      </c>
      <c r="J508" s="269" t="s">
        <v>2317</v>
      </c>
      <c r="K508" s="269" t="s">
        <v>29</v>
      </c>
      <c r="L508" s="269" t="s">
        <v>30</v>
      </c>
      <c r="M508" s="269"/>
      <c r="N508" s="269"/>
      <c r="O508" s="269"/>
      <c r="P508" s="269" t="s">
        <v>31</v>
      </c>
      <c r="Q508" s="253" t="s">
        <v>32</v>
      </c>
      <c r="R508" s="148"/>
      <c r="S508" s="206" t="s">
        <v>2318</v>
      </c>
      <c r="T508" s="261">
        <v>36809</v>
      </c>
      <c r="U508" s="206" t="s">
        <v>2317</v>
      </c>
      <c r="V508" s="473" t="s">
        <v>80</v>
      </c>
      <c r="W508" s="474"/>
    </row>
    <row r="509" spans="1:23" ht="12.75">
      <c r="A509" s="255">
        <v>46059.874201388891</v>
      </c>
      <c r="B509" s="141" t="s">
        <v>2319</v>
      </c>
      <c r="C509" s="141"/>
      <c r="D509" s="141" t="s">
        <v>24</v>
      </c>
      <c r="E509" s="256">
        <v>37071</v>
      </c>
      <c r="F509" s="141" t="s">
        <v>208</v>
      </c>
      <c r="G509" s="141" t="s">
        <v>2320</v>
      </c>
      <c r="H509" s="141" t="s">
        <v>2321</v>
      </c>
      <c r="I509" s="252" t="s">
        <v>4223</v>
      </c>
      <c r="J509" s="141" t="s">
        <v>2322</v>
      </c>
      <c r="K509" s="141" t="s">
        <v>29</v>
      </c>
      <c r="L509" s="141" t="s">
        <v>30</v>
      </c>
      <c r="M509" s="141"/>
      <c r="N509" s="141"/>
      <c r="O509" s="141"/>
      <c r="P509" s="141" t="s">
        <v>31</v>
      </c>
      <c r="Q509" s="253" t="s">
        <v>32</v>
      </c>
      <c r="R509" s="152"/>
      <c r="S509" s="206" t="s">
        <v>2319</v>
      </c>
      <c r="T509" s="261">
        <v>37071</v>
      </c>
      <c r="U509" s="206" t="s">
        <v>2323</v>
      </c>
      <c r="V509" s="473" t="s">
        <v>101</v>
      </c>
      <c r="W509" s="474"/>
    </row>
    <row r="510" spans="1:23" ht="12.75">
      <c r="A510" s="255">
        <v>46060.215949074074</v>
      </c>
      <c r="B510" s="141" t="s">
        <v>2324</v>
      </c>
      <c r="C510" s="141"/>
      <c r="D510" s="141" t="s">
        <v>45</v>
      </c>
      <c r="E510" s="256">
        <v>22772</v>
      </c>
      <c r="F510" s="141" t="s">
        <v>416</v>
      </c>
      <c r="G510" s="141" t="s">
        <v>2325</v>
      </c>
      <c r="H510" s="141" t="s">
        <v>1655</v>
      </c>
      <c r="I510" s="252" t="s">
        <v>4219</v>
      </c>
      <c r="J510" s="141" t="s">
        <v>2326</v>
      </c>
      <c r="K510" s="141" t="s">
        <v>29</v>
      </c>
      <c r="L510" s="141" t="s">
        <v>30</v>
      </c>
      <c r="M510" s="141"/>
      <c r="N510" s="141"/>
      <c r="O510" s="141"/>
      <c r="P510" s="141" t="s">
        <v>31</v>
      </c>
      <c r="Q510" s="253" t="s">
        <v>32</v>
      </c>
      <c r="R510" s="148"/>
      <c r="S510" s="206" t="s">
        <v>2324</v>
      </c>
      <c r="T510" s="261">
        <v>22772</v>
      </c>
      <c r="U510" s="206" t="s">
        <v>2326</v>
      </c>
      <c r="V510" s="473" t="s">
        <v>80</v>
      </c>
      <c r="W510" s="474"/>
    </row>
    <row r="511" spans="1:23" ht="12.75">
      <c r="A511" s="255">
        <v>46060.851736111108</v>
      </c>
      <c r="B511" s="141" t="s">
        <v>2327</v>
      </c>
      <c r="C511" s="141"/>
      <c r="D511" s="141" t="s">
        <v>24</v>
      </c>
      <c r="E511" s="256">
        <v>35046</v>
      </c>
      <c r="F511" s="141" t="s">
        <v>208</v>
      </c>
      <c r="G511" s="141" t="s">
        <v>2328</v>
      </c>
      <c r="H511" s="141" t="s">
        <v>530</v>
      </c>
      <c r="I511" s="252" t="s">
        <v>4223</v>
      </c>
      <c r="J511" s="141" t="s">
        <v>2329</v>
      </c>
      <c r="K511" s="141" t="s">
        <v>29</v>
      </c>
      <c r="L511" s="141" t="s">
        <v>30</v>
      </c>
      <c r="M511" s="141"/>
      <c r="N511" s="141"/>
      <c r="O511" s="141"/>
      <c r="P511" s="141" t="s">
        <v>31</v>
      </c>
      <c r="Q511" s="253" t="s">
        <v>32</v>
      </c>
      <c r="R511" s="152"/>
      <c r="S511" s="206" t="s">
        <v>2330</v>
      </c>
      <c r="T511" s="261">
        <v>35046</v>
      </c>
      <c r="U511" s="206" t="s">
        <v>2329</v>
      </c>
      <c r="V511" s="473" t="s">
        <v>154</v>
      </c>
      <c r="W511" s="474"/>
    </row>
    <row r="512" spans="1:23" ht="12.75">
      <c r="A512" s="274">
        <v>46062.000092592592</v>
      </c>
      <c r="B512" s="242" t="s">
        <v>2331</v>
      </c>
      <c r="C512" s="242"/>
      <c r="D512" s="242" t="s">
        <v>24</v>
      </c>
      <c r="E512" s="275">
        <v>37860</v>
      </c>
      <c r="F512" s="242" t="s">
        <v>2332</v>
      </c>
      <c r="G512" s="242" t="s">
        <v>2333</v>
      </c>
      <c r="H512" s="242" t="s">
        <v>2334</v>
      </c>
      <c r="I512" s="241" t="s">
        <v>4237</v>
      </c>
      <c r="J512" s="242" t="s">
        <v>2335</v>
      </c>
      <c r="K512" s="242" t="s">
        <v>29</v>
      </c>
      <c r="L512" s="242" t="s">
        <v>30</v>
      </c>
      <c r="M512" s="475" t="s">
        <v>2336</v>
      </c>
      <c r="N512" s="474"/>
      <c r="O512" s="242"/>
      <c r="P512" s="242" t="s">
        <v>31</v>
      </c>
      <c r="Q512" s="244" t="s">
        <v>32</v>
      </c>
      <c r="R512" s="248" t="s">
        <v>43</v>
      </c>
      <c r="S512" s="242" t="s">
        <v>2337</v>
      </c>
      <c r="T512" s="266">
        <v>37860</v>
      </c>
      <c r="U512" s="242" t="s">
        <v>2335</v>
      </c>
      <c r="V512" s="475" t="s">
        <v>154</v>
      </c>
      <c r="W512" s="474"/>
    </row>
    <row r="513" spans="1:23" ht="12.75">
      <c r="A513" s="274">
        <v>46062.387488425928</v>
      </c>
      <c r="B513" s="242" t="s">
        <v>2338</v>
      </c>
      <c r="C513" s="242" t="s">
        <v>2339</v>
      </c>
      <c r="D513" s="242" t="s">
        <v>45</v>
      </c>
      <c r="E513" s="275">
        <v>38768</v>
      </c>
      <c r="F513" s="242" t="s">
        <v>1053</v>
      </c>
      <c r="G513" s="242" t="s">
        <v>2340</v>
      </c>
      <c r="H513" s="242" t="s">
        <v>66</v>
      </c>
      <c r="I513" s="241" t="s">
        <v>4237</v>
      </c>
      <c r="J513" s="242" t="s">
        <v>2341</v>
      </c>
      <c r="K513" s="242" t="s">
        <v>39</v>
      </c>
      <c r="L513" s="242" t="s">
        <v>1991</v>
      </c>
      <c r="M513" s="242"/>
      <c r="N513" s="242"/>
      <c r="O513" s="242"/>
      <c r="P513" s="242" t="s">
        <v>31</v>
      </c>
      <c r="Q513" s="244" t="s">
        <v>32</v>
      </c>
      <c r="R513" s="245" t="s">
        <v>43</v>
      </c>
      <c r="S513" s="242" t="s">
        <v>2342</v>
      </c>
      <c r="T513" s="266">
        <v>38768</v>
      </c>
      <c r="U513" s="242" t="s">
        <v>2341</v>
      </c>
      <c r="V513" s="475" t="s">
        <v>154</v>
      </c>
      <c r="W513" s="474"/>
    </row>
    <row r="514" spans="1:23" ht="12.75">
      <c r="A514" s="274">
        <v>46063.252685185187</v>
      </c>
      <c r="B514" s="242" t="s">
        <v>2343</v>
      </c>
      <c r="C514" s="242"/>
      <c r="D514" s="242" t="s">
        <v>24</v>
      </c>
      <c r="E514" s="275">
        <v>36639</v>
      </c>
      <c r="F514" s="242" t="s">
        <v>2344</v>
      </c>
      <c r="G514" s="242" t="s">
        <v>2345</v>
      </c>
      <c r="H514" s="242" t="s">
        <v>66</v>
      </c>
      <c r="I514" s="241" t="s">
        <v>4237</v>
      </c>
      <c r="J514" s="242" t="s">
        <v>2346</v>
      </c>
      <c r="K514" s="242" t="s">
        <v>29</v>
      </c>
      <c r="L514" s="242" t="s">
        <v>30</v>
      </c>
      <c r="M514" s="242"/>
      <c r="N514" s="242"/>
      <c r="O514" s="242"/>
      <c r="P514" s="242" t="s">
        <v>31</v>
      </c>
      <c r="Q514" s="244" t="s">
        <v>32</v>
      </c>
      <c r="R514" s="248" t="s">
        <v>43</v>
      </c>
      <c r="S514" s="242" t="s">
        <v>2343</v>
      </c>
      <c r="T514" s="266">
        <v>36639</v>
      </c>
      <c r="U514" s="242" t="s">
        <v>2346</v>
      </c>
      <c r="V514" s="475" t="s">
        <v>80</v>
      </c>
      <c r="W514" s="474"/>
    </row>
    <row r="515" spans="1:23" ht="12.75">
      <c r="A515" s="282">
        <v>46063.824826388889</v>
      </c>
      <c r="B515" s="283" t="s">
        <v>2347</v>
      </c>
      <c r="C515" s="283"/>
      <c r="D515" s="283" t="s">
        <v>24</v>
      </c>
      <c r="E515" s="284">
        <v>36791</v>
      </c>
      <c r="F515" s="242" t="s">
        <v>208</v>
      </c>
      <c r="G515" s="283" t="s">
        <v>2348</v>
      </c>
      <c r="H515" s="283" t="s">
        <v>2349</v>
      </c>
      <c r="I515" s="241" t="s">
        <v>4223</v>
      </c>
      <c r="J515" s="283" t="s">
        <v>2350</v>
      </c>
      <c r="K515" s="283" t="s">
        <v>39</v>
      </c>
      <c r="L515" s="283" t="s">
        <v>30</v>
      </c>
      <c r="M515" s="283"/>
      <c r="N515" s="283"/>
      <c r="O515" s="283"/>
      <c r="P515" s="283" t="s">
        <v>31</v>
      </c>
      <c r="Q515" s="244" t="s">
        <v>32</v>
      </c>
      <c r="R515" s="245" t="s">
        <v>33</v>
      </c>
      <c r="S515" s="242" t="s">
        <v>2347</v>
      </c>
      <c r="T515" s="266">
        <v>36791</v>
      </c>
      <c r="U515" s="242" t="s">
        <v>2350</v>
      </c>
      <c r="V515" s="475" t="s">
        <v>80</v>
      </c>
      <c r="W515" s="474"/>
    </row>
    <row r="516" spans="1:23" ht="12.75">
      <c r="A516" s="274">
        <v>46064.68949074074</v>
      </c>
      <c r="B516" s="242" t="s">
        <v>2351</v>
      </c>
      <c r="C516" s="242" t="s">
        <v>2352</v>
      </c>
      <c r="D516" s="242" t="s">
        <v>24</v>
      </c>
      <c r="E516" s="275">
        <v>38027</v>
      </c>
      <c r="F516" s="242" t="s">
        <v>1053</v>
      </c>
      <c r="G516" s="242" t="s">
        <v>2353</v>
      </c>
      <c r="H516" s="242" t="s">
        <v>2354</v>
      </c>
      <c r="I516" s="241" t="s">
        <v>4237</v>
      </c>
      <c r="J516" s="242" t="s">
        <v>2355</v>
      </c>
      <c r="K516" s="242" t="s">
        <v>29</v>
      </c>
      <c r="L516" s="242" t="s">
        <v>30</v>
      </c>
      <c r="M516" s="277"/>
      <c r="N516" s="242"/>
      <c r="O516" s="242"/>
      <c r="P516" s="242" t="s">
        <v>31</v>
      </c>
      <c r="Q516" s="244" t="s">
        <v>32</v>
      </c>
      <c r="R516" s="248" t="s">
        <v>43</v>
      </c>
      <c r="S516" s="242" t="s">
        <v>2351</v>
      </c>
      <c r="T516" s="266">
        <v>38027</v>
      </c>
      <c r="U516" s="242" t="s">
        <v>2355</v>
      </c>
      <c r="V516" s="475" t="s">
        <v>80</v>
      </c>
      <c r="W516" s="474"/>
    </row>
    <row r="517" spans="1:23" ht="12.75">
      <c r="A517" s="297">
        <v>46065.486284722225</v>
      </c>
      <c r="B517" s="298" t="s">
        <v>2356</v>
      </c>
      <c r="C517" s="298"/>
      <c r="D517" s="298" t="s">
        <v>24</v>
      </c>
      <c r="E517" s="299">
        <v>46108</v>
      </c>
      <c r="F517" s="298" t="s">
        <v>198</v>
      </c>
      <c r="G517" s="298" t="s">
        <v>2357</v>
      </c>
      <c r="H517" s="298" t="s">
        <v>2358</v>
      </c>
      <c r="I517" s="252" t="s">
        <v>4219</v>
      </c>
      <c r="J517" s="298" t="s">
        <v>2359</v>
      </c>
      <c r="K517" s="298" t="s">
        <v>29</v>
      </c>
      <c r="L517" s="298" t="s">
        <v>30</v>
      </c>
      <c r="M517" s="298"/>
      <c r="N517" s="298"/>
      <c r="O517" s="298"/>
      <c r="P517" s="298" t="s">
        <v>31</v>
      </c>
      <c r="Q517" s="257" t="s">
        <v>56</v>
      </c>
      <c r="R517" s="24"/>
      <c r="S517" s="206"/>
      <c r="T517" s="258"/>
      <c r="U517" s="206"/>
      <c r="V517" s="206"/>
      <c r="W517" s="206"/>
    </row>
    <row r="518" spans="1:23" ht="12.75">
      <c r="A518" s="240">
        <v>46065.8362037037</v>
      </c>
      <c r="B518" s="241" t="s">
        <v>2360</v>
      </c>
      <c r="C518" s="242"/>
      <c r="D518" s="241" t="s">
        <v>24</v>
      </c>
      <c r="E518" s="243">
        <v>37501</v>
      </c>
      <c r="F518" s="241" t="s">
        <v>2344</v>
      </c>
      <c r="G518" s="241" t="s">
        <v>2361</v>
      </c>
      <c r="H518" s="241" t="s">
        <v>66</v>
      </c>
      <c r="I518" s="241" t="s">
        <v>4237</v>
      </c>
      <c r="J518" s="241" t="s">
        <v>2362</v>
      </c>
      <c r="K518" s="241" t="s">
        <v>29</v>
      </c>
      <c r="L518" s="241" t="s">
        <v>162</v>
      </c>
      <c r="M518" s="242"/>
      <c r="N518" s="241"/>
      <c r="O518" s="241"/>
      <c r="P518" s="241" t="s">
        <v>31</v>
      </c>
      <c r="Q518" s="244" t="s">
        <v>32</v>
      </c>
      <c r="R518" s="245" t="s">
        <v>43</v>
      </c>
      <c r="S518" s="246" t="s">
        <v>2360</v>
      </c>
      <c r="T518" s="242"/>
      <c r="U518" s="242"/>
      <c r="V518" s="242"/>
      <c r="W518" s="242"/>
    </row>
    <row r="519" spans="1:23" ht="12.75">
      <c r="A519" s="255">
        <v>46067.559953703705</v>
      </c>
      <c r="B519" s="141" t="s">
        <v>2363</v>
      </c>
      <c r="C519" s="141"/>
      <c r="D519" s="141" t="s">
        <v>24</v>
      </c>
      <c r="E519" s="256">
        <v>27187</v>
      </c>
      <c r="F519" s="141" t="s">
        <v>332</v>
      </c>
      <c r="G519" s="141" t="s">
        <v>2364</v>
      </c>
      <c r="H519" s="141" t="s">
        <v>2365</v>
      </c>
      <c r="I519" s="252" t="s">
        <v>4237</v>
      </c>
      <c r="J519" s="141" t="s">
        <v>2366</v>
      </c>
      <c r="K519" s="141" t="s">
        <v>29</v>
      </c>
      <c r="L519" s="141" t="s">
        <v>30</v>
      </c>
      <c r="M519" s="141"/>
      <c r="N519" s="141"/>
      <c r="O519" s="141"/>
      <c r="P519" s="141" t="s">
        <v>31</v>
      </c>
      <c r="Q519" s="253" t="s">
        <v>32</v>
      </c>
      <c r="R519" s="152"/>
      <c r="S519" s="206" t="s">
        <v>2367</v>
      </c>
      <c r="T519" s="261">
        <v>27187</v>
      </c>
      <c r="U519" s="206" t="s">
        <v>2366</v>
      </c>
      <c r="V519" s="473" t="s">
        <v>154</v>
      </c>
      <c r="W519" s="474"/>
    </row>
    <row r="520" spans="1:23" ht="12.75">
      <c r="A520" s="268">
        <v>46069.886874999997</v>
      </c>
      <c r="B520" s="269" t="s">
        <v>2368</v>
      </c>
      <c r="C520" s="269"/>
      <c r="D520" s="269" t="s">
        <v>24</v>
      </c>
      <c r="E520" s="270">
        <v>31417</v>
      </c>
      <c r="F520" s="141" t="s">
        <v>208</v>
      </c>
      <c r="G520" s="269" t="s">
        <v>2369</v>
      </c>
      <c r="H520" s="269" t="s">
        <v>72</v>
      </c>
      <c r="I520" s="252" t="s">
        <v>4223</v>
      </c>
      <c r="J520" s="269" t="s">
        <v>2370</v>
      </c>
      <c r="K520" s="269" t="s">
        <v>39</v>
      </c>
      <c r="L520" s="269" t="s">
        <v>30</v>
      </c>
      <c r="M520" s="269"/>
      <c r="N520" s="269"/>
      <c r="O520" s="269"/>
      <c r="P520" s="269" t="s">
        <v>31</v>
      </c>
      <c r="Q520" s="253" t="s">
        <v>32</v>
      </c>
      <c r="R520" s="152"/>
      <c r="S520" s="206" t="s">
        <v>2368</v>
      </c>
      <c r="T520" s="261">
        <v>31417</v>
      </c>
      <c r="U520" s="206" t="s">
        <v>2370</v>
      </c>
      <c r="V520" s="473" t="s">
        <v>80</v>
      </c>
      <c r="W520" s="474"/>
    </row>
    <row r="521" spans="1:23" ht="12.75">
      <c r="A521" s="255">
        <v>46070.107731481483</v>
      </c>
      <c r="B521" s="141" t="s">
        <v>2371</v>
      </c>
      <c r="C521" s="141"/>
      <c r="D521" s="141" t="s">
        <v>24</v>
      </c>
      <c r="E521" s="256">
        <v>36870</v>
      </c>
      <c r="F521" s="141" t="s">
        <v>208</v>
      </c>
      <c r="G521" s="141" t="s">
        <v>2310</v>
      </c>
      <c r="H521" s="141" t="s">
        <v>66</v>
      </c>
      <c r="I521" s="252" t="s">
        <v>4223</v>
      </c>
      <c r="J521" s="141" t="s">
        <v>2372</v>
      </c>
      <c r="K521" s="141" t="s">
        <v>29</v>
      </c>
      <c r="L521" s="141" t="s">
        <v>30</v>
      </c>
      <c r="M521" s="141"/>
      <c r="N521" s="141"/>
      <c r="O521" s="141"/>
      <c r="P521" s="141" t="s">
        <v>31</v>
      </c>
      <c r="Q521" s="253" t="s">
        <v>32</v>
      </c>
      <c r="R521" s="148"/>
      <c r="S521" s="206" t="s">
        <v>2371</v>
      </c>
      <c r="T521" s="261">
        <v>36870</v>
      </c>
      <c r="U521" s="206" t="s">
        <v>2372</v>
      </c>
      <c r="V521" s="473" t="s">
        <v>80</v>
      </c>
      <c r="W521" s="474"/>
    </row>
    <row r="522" spans="1:23" ht="12.75">
      <c r="A522" s="255">
        <v>46071.598425925928</v>
      </c>
      <c r="B522" s="141" t="s">
        <v>2373</v>
      </c>
      <c r="C522" s="141"/>
      <c r="D522" s="141" t="s">
        <v>24</v>
      </c>
      <c r="E522" s="256">
        <v>36217</v>
      </c>
      <c r="F522" s="141" t="s">
        <v>70</v>
      </c>
      <c r="G522" s="141" t="s">
        <v>2374</v>
      </c>
      <c r="H522" s="141" t="s">
        <v>111</v>
      </c>
      <c r="I522" s="252" t="s">
        <v>4219</v>
      </c>
      <c r="J522" s="141" t="s">
        <v>2375</v>
      </c>
      <c r="K522" s="141" t="s">
        <v>39</v>
      </c>
      <c r="L522" s="141" t="s">
        <v>30</v>
      </c>
      <c r="M522" s="141"/>
      <c r="N522" s="141"/>
      <c r="O522" s="141"/>
      <c r="P522" s="141" t="s">
        <v>31</v>
      </c>
      <c r="Q522" s="253" t="s">
        <v>32</v>
      </c>
      <c r="R522" s="152"/>
      <c r="S522" s="206" t="s">
        <v>2373</v>
      </c>
      <c r="T522" s="261">
        <v>36217</v>
      </c>
      <c r="U522" s="206" t="s">
        <v>2376</v>
      </c>
      <c r="V522" s="473" t="s">
        <v>80</v>
      </c>
      <c r="W522" s="474"/>
    </row>
    <row r="523" spans="1:23" ht="12.75">
      <c r="A523" s="255">
        <v>46071.975393518522</v>
      </c>
      <c r="B523" s="141" t="s">
        <v>2377</v>
      </c>
      <c r="C523" s="141"/>
      <c r="D523" s="141" t="s">
        <v>24</v>
      </c>
      <c r="E523" s="256">
        <v>32590</v>
      </c>
      <c r="F523" s="141" t="s">
        <v>2378</v>
      </c>
      <c r="G523" s="141" t="s">
        <v>2379</v>
      </c>
      <c r="H523" s="141" t="s">
        <v>111</v>
      </c>
      <c r="I523" s="252" t="s">
        <v>4219</v>
      </c>
      <c r="J523" s="141" t="s">
        <v>2380</v>
      </c>
      <c r="K523" s="141" t="s">
        <v>39</v>
      </c>
      <c r="L523" s="141" t="s">
        <v>30</v>
      </c>
      <c r="M523" s="141"/>
      <c r="N523" s="141"/>
      <c r="O523" s="141"/>
      <c r="P523" s="141" t="s">
        <v>31</v>
      </c>
      <c r="Q523" s="253" t="s">
        <v>32</v>
      </c>
      <c r="R523" s="148"/>
      <c r="S523" s="206" t="s">
        <v>2377</v>
      </c>
      <c r="T523" s="261">
        <v>32590</v>
      </c>
      <c r="U523" s="206" t="s">
        <v>2381</v>
      </c>
      <c r="V523" s="473" t="s">
        <v>80</v>
      </c>
      <c r="W523" s="474"/>
    </row>
    <row r="524" spans="1:23" ht="12.75">
      <c r="A524" s="274">
        <v>46072.009606481479</v>
      </c>
      <c r="B524" s="242" t="s">
        <v>2382</v>
      </c>
      <c r="C524" s="242"/>
      <c r="D524" s="242" t="s">
        <v>45</v>
      </c>
      <c r="E524" s="275">
        <v>35333</v>
      </c>
      <c r="F524" s="242" t="s">
        <v>2378</v>
      </c>
      <c r="G524" s="242" t="s">
        <v>2383</v>
      </c>
      <c r="H524" s="242" t="s">
        <v>2384</v>
      </c>
      <c r="I524" s="241" t="s">
        <v>4219</v>
      </c>
      <c r="J524" s="242" t="s">
        <v>2385</v>
      </c>
      <c r="K524" s="242" t="s">
        <v>29</v>
      </c>
      <c r="L524" s="242" t="s">
        <v>30</v>
      </c>
      <c r="M524" s="242"/>
      <c r="N524" s="242"/>
      <c r="O524" s="242"/>
      <c r="P524" s="242" t="s">
        <v>31</v>
      </c>
      <c r="Q524" s="244" t="s">
        <v>32</v>
      </c>
      <c r="R524" s="245" t="s">
        <v>33</v>
      </c>
      <c r="S524" s="242" t="s">
        <v>2382</v>
      </c>
      <c r="T524" s="266">
        <v>35333</v>
      </c>
      <c r="U524" s="242" t="s">
        <v>2385</v>
      </c>
      <c r="V524" s="475" t="s">
        <v>80</v>
      </c>
      <c r="W524" s="474"/>
    </row>
    <row r="525" spans="1:23" ht="12.75">
      <c r="A525" s="274">
        <v>46074.745497685188</v>
      </c>
      <c r="B525" s="242" t="s">
        <v>2386</v>
      </c>
      <c r="C525" s="242" t="s">
        <v>2387</v>
      </c>
      <c r="D525" s="242" t="s">
        <v>24</v>
      </c>
      <c r="E525" s="275">
        <v>36615</v>
      </c>
      <c r="F525" s="242" t="s">
        <v>1053</v>
      </c>
      <c r="G525" s="242" t="s">
        <v>2388</v>
      </c>
      <c r="H525" s="242" t="s">
        <v>160</v>
      </c>
      <c r="I525" s="241" t="s">
        <v>4237</v>
      </c>
      <c r="J525" s="242" t="s">
        <v>4303</v>
      </c>
      <c r="K525" s="242" t="s">
        <v>29</v>
      </c>
      <c r="L525" s="242" t="s">
        <v>30</v>
      </c>
      <c r="M525" s="242"/>
      <c r="N525" s="242"/>
      <c r="O525" s="242"/>
      <c r="P525" s="242" t="s">
        <v>31</v>
      </c>
      <c r="Q525" s="244" t="s">
        <v>32</v>
      </c>
      <c r="R525" s="248" t="s">
        <v>43</v>
      </c>
      <c r="S525" s="242"/>
      <c r="T525" s="246"/>
      <c r="U525" s="242"/>
      <c r="V525" s="242"/>
      <c r="W525" s="242"/>
    </row>
    <row r="526" spans="1:23" ht="12.75">
      <c r="A526" s="274">
        <v>46074.767384259256</v>
      </c>
      <c r="B526" s="242" t="s">
        <v>2390</v>
      </c>
      <c r="C526" s="242" t="s">
        <v>2391</v>
      </c>
      <c r="D526" s="242" t="s">
        <v>24</v>
      </c>
      <c r="E526" s="275">
        <v>37797</v>
      </c>
      <c r="F526" s="242" t="s">
        <v>1053</v>
      </c>
      <c r="G526" s="242" t="s">
        <v>2392</v>
      </c>
      <c r="H526" s="242" t="s">
        <v>160</v>
      </c>
      <c r="I526" s="241" t="s">
        <v>4237</v>
      </c>
      <c r="J526" s="242" t="s">
        <v>2393</v>
      </c>
      <c r="K526" s="242" t="s">
        <v>29</v>
      </c>
      <c r="L526" s="242" t="s">
        <v>30</v>
      </c>
      <c r="M526" s="242"/>
      <c r="N526" s="242"/>
      <c r="O526" s="242"/>
      <c r="P526" s="242" t="s">
        <v>31</v>
      </c>
      <c r="Q526" s="244" t="s">
        <v>32</v>
      </c>
      <c r="R526" s="245" t="s">
        <v>43</v>
      </c>
      <c r="S526" s="242" t="s">
        <v>2390</v>
      </c>
      <c r="T526" s="266">
        <v>37797</v>
      </c>
      <c r="U526" s="242" t="s">
        <v>2393</v>
      </c>
      <c r="V526" s="475" t="s">
        <v>80</v>
      </c>
      <c r="W526" s="474"/>
    </row>
    <row r="527" spans="1:23" ht="12.75">
      <c r="A527" s="274">
        <v>46076.793553240743</v>
      </c>
      <c r="B527" s="242" t="s">
        <v>2394</v>
      </c>
      <c r="C527" s="242"/>
      <c r="D527" s="242" t="s">
        <v>24</v>
      </c>
      <c r="E527" s="275">
        <v>36175</v>
      </c>
      <c r="F527" s="242" t="s">
        <v>52</v>
      </c>
      <c r="G527" s="242" t="s">
        <v>2395</v>
      </c>
      <c r="H527" s="242" t="s">
        <v>2396</v>
      </c>
      <c r="I527" s="241" t="s">
        <v>4219</v>
      </c>
      <c r="J527" s="242" t="s">
        <v>2397</v>
      </c>
      <c r="K527" s="242" t="s">
        <v>29</v>
      </c>
      <c r="L527" s="242" t="s">
        <v>30</v>
      </c>
      <c r="M527" s="242"/>
      <c r="N527" s="242"/>
      <c r="O527" s="242"/>
      <c r="P527" s="242" t="s">
        <v>31</v>
      </c>
      <c r="Q527" s="244" t="s">
        <v>32</v>
      </c>
      <c r="R527" s="245" t="s">
        <v>43</v>
      </c>
      <c r="S527" s="242" t="s">
        <v>2398</v>
      </c>
      <c r="T527" s="246"/>
      <c r="U527" s="242"/>
      <c r="V527" s="242"/>
      <c r="W527" s="242"/>
    </row>
    <row r="528" spans="1:23" ht="12.75">
      <c r="A528" s="274">
        <v>46078.314074074071</v>
      </c>
      <c r="B528" s="242" t="s">
        <v>2399</v>
      </c>
      <c r="C528" s="242" t="s">
        <v>2400</v>
      </c>
      <c r="D528" s="242" t="s">
        <v>24</v>
      </c>
      <c r="E528" s="275">
        <v>37677</v>
      </c>
      <c r="F528" s="242" t="s">
        <v>955</v>
      </c>
      <c r="G528" s="242" t="s">
        <v>2401</v>
      </c>
      <c r="H528" s="242" t="s">
        <v>2402</v>
      </c>
      <c r="I528" s="241" t="s">
        <v>4237</v>
      </c>
      <c r="J528" s="242" t="s">
        <v>2403</v>
      </c>
      <c r="K528" s="242" t="s">
        <v>29</v>
      </c>
      <c r="L528" s="242" t="s">
        <v>30</v>
      </c>
      <c r="M528" s="242"/>
      <c r="N528" s="242"/>
      <c r="O528" s="242"/>
      <c r="P528" s="242" t="s">
        <v>31</v>
      </c>
      <c r="Q528" s="244" t="s">
        <v>32</v>
      </c>
      <c r="R528" s="248" t="s">
        <v>43</v>
      </c>
      <c r="S528" s="242" t="s">
        <v>2399</v>
      </c>
      <c r="T528" s="266">
        <v>45713</v>
      </c>
      <c r="U528" s="242" t="s">
        <v>2404</v>
      </c>
      <c r="V528" s="242" t="s">
        <v>236</v>
      </c>
      <c r="W528" s="242"/>
    </row>
    <row r="529" spans="1:23" ht="12.75">
      <c r="A529" s="274">
        <v>46078.314976851849</v>
      </c>
      <c r="B529" s="242" t="s">
        <v>2405</v>
      </c>
      <c r="C529" s="242"/>
      <c r="D529" s="242" t="s">
        <v>24</v>
      </c>
      <c r="E529" s="275">
        <v>37871</v>
      </c>
      <c r="F529" s="242" t="s">
        <v>955</v>
      </c>
      <c r="G529" s="242" t="s">
        <v>2406</v>
      </c>
      <c r="H529" s="242" t="s">
        <v>2407</v>
      </c>
      <c r="I529" s="241" t="s">
        <v>4237</v>
      </c>
      <c r="J529" s="242" t="s">
        <v>2408</v>
      </c>
      <c r="K529" s="242" t="s">
        <v>29</v>
      </c>
      <c r="L529" s="242" t="s">
        <v>30</v>
      </c>
      <c r="M529" s="242"/>
      <c r="N529" s="242"/>
      <c r="O529" s="242"/>
      <c r="P529" s="242" t="s">
        <v>31</v>
      </c>
      <c r="Q529" s="244" t="s">
        <v>32</v>
      </c>
      <c r="R529" s="245" t="s">
        <v>43</v>
      </c>
      <c r="S529" s="242" t="s">
        <v>2405</v>
      </c>
      <c r="T529" s="266">
        <v>37871</v>
      </c>
      <c r="U529" s="242" t="s">
        <v>2408</v>
      </c>
      <c r="V529" s="475" t="s">
        <v>80</v>
      </c>
      <c r="W529" s="474"/>
    </row>
    <row r="530" spans="1:23" ht="12.75">
      <c r="A530" s="240">
        <v>46078.702384259261</v>
      </c>
      <c r="B530" s="241" t="s">
        <v>2409</v>
      </c>
      <c r="C530" s="241" t="s">
        <v>2410</v>
      </c>
      <c r="D530" s="241" t="s">
        <v>24</v>
      </c>
      <c r="E530" s="243">
        <v>39050</v>
      </c>
      <c r="F530" s="241" t="s">
        <v>1053</v>
      </c>
      <c r="G530" s="241" t="s">
        <v>2411</v>
      </c>
      <c r="H530" s="241" t="s">
        <v>66</v>
      </c>
      <c r="I530" s="241" t="s">
        <v>4237</v>
      </c>
      <c r="J530" s="241" t="s">
        <v>2412</v>
      </c>
      <c r="K530" s="241" t="s">
        <v>29</v>
      </c>
      <c r="L530" s="241" t="s">
        <v>30</v>
      </c>
      <c r="M530" s="242"/>
      <c r="N530" s="241"/>
      <c r="O530" s="241"/>
      <c r="P530" s="241" t="s">
        <v>31</v>
      </c>
      <c r="Q530" s="244" t="s">
        <v>32</v>
      </c>
      <c r="R530" s="248" t="s">
        <v>43</v>
      </c>
      <c r="S530" s="246" t="s">
        <v>2413</v>
      </c>
      <c r="T530" s="242"/>
      <c r="U530" s="242"/>
      <c r="V530" s="242"/>
      <c r="W530" s="242"/>
    </row>
    <row r="531" spans="1:23" ht="12.75">
      <c r="A531" s="262">
        <v>46078.702731481484</v>
      </c>
      <c r="B531" s="263" t="s">
        <v>2414</v>
      </c>
      <c r="C531" s="263" t="s">
        <v>2415</v>
      </c>
      <c r="D531" s="263" t="s">
        <v>24</v>
      </c>
      <c r="E531" s="264">
        <v>35435</v>
      </c>
      <c r="F531" s="263" t="s">
        <v>1053</v>
      </c>
      <c r="G531" s="263" t="s">
        <v>2416</v>
      </c>
      <c r="H531" s="263" t="s">
        <v>160</v>
      </c>
      <c r="I531" s="241" t="s">
        <v>4237</v>
      </c>
      <c r="J531" s="263" t="s">
        <v>2417</v>
      </c>
      <c r="K531" s="263" t="s">
        <v>29</v>
      </c>
      <c r="L531" s="263" t="s">
        <v>30</v>
      </c>
      <c r="M531" s="263"/>
      <c r="N531" s="263"/>
      <c r="O531" s="263"/>
      <c r="P531" s="263" t="s">
        <v>31</v>
      </c>
      <c r="Q531" s="244" t="s">
        <v>32</v>
      </c>
      <c r="R531" s="245" t="s">
        <v>43</v>
      </c>
      <c r="S531" s="242" t="s">
        <v>2418</v>
      </c>
      <c r="T531" s="266">
        <v>35435</v>
      </c>
      <c r="U531" s="242" t="s">
        <v>2417</v>
      </c>
      <c r="V531" s="475" t="s">
        <v>154</v>
      </c>
      <c r="W531" s="474"/>
    </row>
    <row r="532" spans="1:23" ht="12.75">
      <c r="A532" s="274">
        <v>46078.702835648146</v>
      </c>
      <c r="B532" s="242" t="s">
        <v>2419</v>
      </c>
      <c r="C532" s="242" t="s">
        <v>2420</v>
      </c>
      <c r="D532" s="242" t="s">
        <v>24</v>
      </c>
      <c r="E532" s="275">
        <v>37575</v>
      </c>
      <c r="F532" s="242" t="s">
        <v>1053</v>
      </c>
      <c r="G532" s="242" t="s">
        <v>2421</v>
      </c>
      <c r="H532" s="242" t="s">
        <v>66</v>
      </c>
      <c r="I532" s="241" t="s">
        <v>4237</v>
      </c>
      <c r="J532" s="242" t="s">
        <v>2422</v>
      </c>
      <c r="K532" s="242" t="s">
        <v>39</v>
      </c>
      <c r="L532" s="242" t="s">
        <v>162</v>
      </c>
      <c r="M532" s="242"/>
      <c r="N532" s="242"/>
      <c r="O532" s="242"/>
      <c r="P532" s="242" t="s">
        <v>31</v>
      </c>
      <c r="Q532" s="244" t="s">
        <v>32</v>
      </c>
      <c r="R532" s="248" t="s">
        <v>43</v>
      </c>
      <c r="S532" s="242" t="s">
        <v>2420</v>
      </c>
      <c r="T532" s="266">
        <v>37575</v>
      </c>
      <c r="U532" s="242" t="s">
        <v>2422</v>
      </c>
      <c r="V532" s="242" t="s">
        <v>463</v>
      </c>
      <c r="W532" s="242"/>
    </row>
    <row r="533" spans="1:23" ht="12.75">
      <c r="A533" s="282">
        <v>46078.703460648147</v>
      </c>
      <c r="B533" s="283" t="s">
        <v>2423</v>
      </c>
      <c r="C533" s="283" t="s">
        <v>2424</v>
      </c>
      <c r="D533" s="283" t="s">
        <v>24</v>
      </c>
      <c r="E533" s="284">
        <v>38292</v>
      </c>
      <c r="F533" s="283" t="s">
        <v>1053</v>
      </c>
      <c r="G533" s="283" t="s">
        <v>2425</v>
      </c>
      <c r="H533" s="283" t="s">
        <v>66</v>
      </c>
      <c r="I533" s="241" t="s">
        <v>4237</v>
      </c>
      <c r="J533" s="283" t="s">
        <v>2426</v>
      </c>
      <c r="K533" s="283" t="s">
        <v>29</v>
      </c>
      <c r="L533" s="283" t="s">
        <v>30</v>
      </c>
      <c r="M533" s="283"/>
      <c r="N533" s="283"/>
      <c r="O533" s="283"/>
      <c r="P533" s="283" t="s">
        <v>31</v>
      </c>
      <c r="Q533" s="244" t="s">
        <v>32</v>
      </c>
      <c r="R533" s="245" t="s">
        <v>43</v>
      </c>
      <c r="S533" s="242" t="s">
        <v>2423</v>
      </c>
      <c r="T533" s="266">
        <v>38292</v>
      </c>
      <c r="U533" s="242" t="s">
        <v>2426</v>
      </c>
      <c r="V533" s="475" t="s">
        <v>80</v>
      </c>
      <c r="W533" s="474"/>
    </row>
    <row r="534" spans="1:23" ht="12.75">
      <c r="A534" s="274">
        <v>46078.705289351848</v>
      </c>
      <c r="B534" s="242" t="s">
        <v>2427</v>
      </c>
      <c r="C534" s="242" t="s">
        <v>2428</v>
      </c>
      <c r="D534" s="242" t="s">
        <v>24</v>
      </c>
      <c r="E534" s="275">
        <v>38464</v>
      </c>
      <c r="F534" s="242" t="s">
        <v>1053</v>
      </c>
      <c r="G534" s="242" t="s">
        <v>2429</v>
      </c>
      <c r="H534" s="242" t="s">
        <v>160</v>
      </c>
      <c r="I534" s="241" t="s">
        <v>4237</v>
      </c>
      <c r="J534" s="242" t="s">
        <v>2430</v>
      </c>
      <c r="K534" s="242" t="s">
        <v>39</v>
      </c>
      <c r="L534" s="242" t="s">
        <v>621</v>
      </c>
      <c r="M534" s="242"/>
      <c r="N534" s="242"/>
      <c r="O534" s="242"/>
      <c r="P534" s="242" t="s">
        <v>31</v>
      </c>
      <c r="Q534" s="244" t="s">
        <v>32</v>
      </c>
      <c r="R534" s="248" t="s">
        <v>43</v>
      </c>
      <c r="S534" s="242" t="s">
        <v>2431</v>
      </c>
      <c r="T534" s="266">
        <v>38464</v>
      </c>
      <c r="U534" s="242" t="s">
        <v>2430</v>
      </c>
      <c r="V534" s="475" t="s">
        <v>154</v>
      </c>
      <c r="W534" s="474"/>
    </row>
    <row r="535" spans="1:23" ht="12.75">
      <c r="A535" s="274">
        <v>46078.706226851849</v>
      </c>
      <c r="B535" s="242" t="s">
        <v>2432</v>
      </c>
      <c r="C535" s="242" t="s">
        <v>2433</v>
      </c>
      <c r="D535" s="242" t="s">
        <v>24</v>
      </c>
      <c r="E535" s="275">
        <v>38386</v>
      </c>
      <c r="F535" s="242" t="s">
        <v>1053</v>
      </c>
      <c r="G535" s="242" t="s">
        <v>2434</v>
      </c>
      <c r="H535" s="242" t="s">
        <v>160</v>
      </c>
      <c r="I535" s="241" t="s">
        <v>4237</v>
      </c>
      <c r="J535" s="242" t="s">
        <v>2435</v>
      </c>
      <c r="K535" s="242" t="s">
        <v>39</v>
      </c>
      <c r="L535" s="242" t="s">
        <v>152</v>
      </c>
      <c r="M535" s="242"/>
      <c r="N535" s="242"/>
      <c r="O535" s="242"/>
      <c r="P535" s="242" t="s">
        <v>31</v>
      </c>
      <c r="Q535" s="244" t="s">
        <v>32</v>
      </c>
      <c r="R535" s="245" t="s">
        <v>43</v>
      </c>
      <c r="S535" s="242" t="s">
        <v>2436</v>
      </c>
      <c r="T535" s="266">
        <v>38386</v>
      </c>
      <c r="U535" s="242" t="s">
        <v>2435</v>
      </c>
      <c r="V535" s="475" t="s">
        <v>154</v>
      </c>
      <c r="W535" s="474"/>
    </row>
    <row r="536" spans="1:23" ht="12.75">
      <c r="A536" s="274">
        <v>46078.710069444445</v>
      </c>
      <c r="B536" s="242" t="s">
        <v>2437</v>
      </c>
      <c r="C536" s="242" t="s">
        <v>2438</v>
      </c>
      <c r="D536" s="242" t="s">
        <v>24</v>
      </c>
      <c r="E536" s="275">
        <v>37657</v>
      </c>
      <c r="F536" s="242" t="s">
        <v>1053</v>
      </c>
      <c r="G536" s="242" t="s">
        <v>2439</v>
      </c>
      <c r="H536" s="242" t="s">
        <v>368</v>
      </c>
      <c r="I536" s="241" t="s">
        <v>4237</v>
      </c>
      <c r="J536" s="242" t="s">
        <v>2440</v>
      </c>
      <c r="K536" s="242" t="s">
        <v>39</v>
      </c>
      <c r="L536" s="242" t="s">
        <v>1991</v>
      </c>
      <c r="M536" s="242"/>
      <c r="N536" s="242"/>
      <c r="O536" s="242"/>
      <c r="P536" s="242" t="s">
        <v>31</v>
      </c>
      <c r="Q536" s="244" t="s">
        <v>32</v>
      </c>
      <c r="R536" s="248" t="s">
        <v>43</v>
      </c>
      <c r="S536" s="242" t="s">
        <v>2441</v>
      </c>
      <c r="T536" s="266">
        <v>37657</v>
      </c>
      <c r="U536" s="242" t="s">
        <v>2440</v>
      </c>
      <c r="V536" s="475" t="s">
        <v>154</v>
      </c>
      <c r="W536" s="474"/>
    </row>
    <row r="537" spans="1:23" ht="12.75">
      <c r="A537" s="274">
        <v>46078.7109837963</v>
      </c>
      <c r="B537" s="242" t="s">
        <v>2442</v>
      </c>
      <c r="C537" s="242" t="s">
        <v>2443</v>
      </c>
      <c r="D537" s="242" t="s">
        <v>24</v>
      </c>
      <c r="E537" s="275">
        <v>36664</v>
      </c>
      <c r="F537" s="242" t="s">
        <v>1053</v>
      </c>
      <c r="G537" s="242" t="s">
        <v>2444</v>
      </c>
      <c r="H537" s="242" t="s">
        <v>160</v>
      </c>
      <c r="I537" s="241" t="s">
        <v>4237</v>
      </c>
      <c r="J537" s="242" t="s">
        <v>2445</v>
      </c>
      <c r="K537" s="242" t="s">
        <v>39</v>
      </c>
      <c r="L537" s="242" t="s">
        <v>621</v>
      </c>
      <c r="M537" s="242"/>
      <c r="N537" s="242"/>
      <c r="O537" s="242"/>
      <c r="P537" s="242" t="s">
        <v>31</v>
      </c>
      <c r="Q537" s="244" t="s">
        <v>32</v>
      </c>
      <c r="R537" s="245" t="s">
        <v>43</v>
      </c>
      <c r="S537" s="242" t="s">
        <v>2446</v>
      </c>
      <c r="T537" s="266">
        <v>36664</v>
      </c>
      <c r="U537" s="242" t="s">
        <v>2445</v>
      </c>
      <c r="V537" s="475" t="s">
        <v>80</v>
      </c>
      <c r="W537" s="474"/>
    </row>
    <row r="538" spans="1:23" ht="12.75">
      <c r="A538" s="262">
        <v>46078.711527777778</v>
      </c>
      <c r="B538" s="263" t="s">
        <v>2447</v>
      </c>
      <c r="C538" s="263" t="s">
        <v>2448</v>
      </c>
      <c r="D538" s="263" t="s">
        <v>24</v>
      </c>
      <c r="E538" s="264">
        <v>37132</v>
      </c>
      <c r="F538" s="263" t="s">
        <v>1053</v>
      </c>
      <c r="G538" s="263" t="s">
        <v>2449</v>
      </c>
      <c r="H538" s="263" t="s">
        <v>66</v>
      </c>
      <c r="I538" s="241" t="s">
        <v>4237</v>
      </c>
      <c r="J538" s="263" t="s">
        <v>2450</v>
      </c>
      <c r="K538" s="263" t="s">
        <v>29</v>
      </c>
      <c r="L538" s="263" t="s">
        <v>30</v>
      </c>
      <c r="M538" s="263"/>
      <c r="N538" s="263"/>
      <c r="O538" s="263"/>
      <c r="P538" s="263" t="s">
        <v>31</v>
      </c>
      <c r="Q538" s="244" t="s">
        <v>32</v>
      </c>
      <c r="R538" s="248" t="s">
        <v>43</v>
      </c>
      <c r="S538" s="242" t="s">
        <v>2451</v>
      </c>
      <c r="T538" s="266">
        <v>37132</v>
      </c>
      <c r="U538" s="242" t="s">
        <v>2450</v>
      </c>
      <c r="V538" s="475" t="s">
        <v>1192</v>
      </c>
      <c r="W538" s="474"/>
    </row>
    <row r="539" spans="1:23" ht="12.75">
      <c r="A539" s="262">
        <v>46078.712523148148</v>
      </c>
      <c r="B539" s="263" t="s">
        <v>2452</v>
      </c>
      <c r="C539" s="263" t="s">
        <v>2453</v>
      </c>
      <c r="D539" s="263" t="s">
        <v>45</v>
      </c>
      <c r="E539" s="264">
        <v>37221</v>
      </c>
      <c r="F539" s="263" t="s">
        <v>1053</v>
      </c>
      <c r="G539" s="263" t="s">
        <v>2454</v>
      </c>
      <c r="H539" s="263" t="s">
        <v>66</v>
      </c>
      <c r="I539" s="241" t="s">
        <v>4237</v>
      </c>
      <c r="J539" s="263" t="s">
        <v>2455</v>
      </c>
      <c r="K539" s="263" t="s">
        <v>29</v>
      </c>
      <c r="L539" s="263" t="s">
        <v>30</v>
      </c>
      <c r="M539" s="263"/>
      <c r="N539" s="263"/>
      <c r="O539" s="263"/>
      <c r="P539" s="263" t="s">
        <v>31</v>
      </c>
      <c r="Q539" s="244" t="s">
        <v>32</v>
      </c>
      <c r="R539" s="245" t="s">
        <v>43</v>
      </c>
      <c r="S539" s="242" t="s">
        <v>2456</v>
      </c>
      <c r="T539" s="266">
        <v>37221</v>
      </c>
      <c r="U539" s="242" t="s">
        <v>2455</v>
      </c>
      <c r="V539" s="475" t="s">
        <v>154</v>
      </c>
      <c r="W539" s="474"/>
    </row>
    <row r="540" spans="1:23" ht="12.75">
      <c r="A540" s="274">
        <v>46078.715509259258</v>
      </c>
      <c r="B540" s="242" t="s">
        <v>2457</v>
      </c>
      <c r="C540" s="242" t="s">
        <v>2458</v>
      </c>
      <c r="D540" s="242" t="s">
        <v>24</v>
      </c>
      <c r="E540" s="275">
        <v>38323</v>
      </c>
      <c r="F540" s="242" t="s">
        <v>1053</v>
      </c>
      <c r="G540" s="242" t="s">
        <v>2459</v>
      </c>
      <c r="H540" s="242" t="s">
        <v>66</v>
      </c>
      <c r="I540" s="241" t="s">
        <v>4237</v>
      </c>
      <c r="J540" s="242" t="s">
        <v>2460</v>
      </c>
      <c r="K540" s="242" t="s">
        <v>29</v>
      </c>
      <c r="L540" s="242" t="s">
        <v>30</v>
      </c>
      <c r="M540" s="242"/>
      <c r="N540" s="242"/>
      <c r="O540" s="242"/>
      <c r="P540" s="242" t="s">
        <v>31</v>
      </c>
      <c r="Q540" s="244" t="s">
        <v>32</v>
      </c>
      <c r="R540" s="248" t="s">
        <v>43</v>
      </c>
      <c r="S540" s="242" t="s">
        <v>2461</v>
      </c>
      <c r="T540" s="266">
        <v>38323</v>
      </c>
      <c r="U540" s="242" t="s">
        <v>2460</v>
      </c>
      <c r="V540" s="475" t="s">
        <v>154</v>
      </c>
      <c r="W540" s="474"/>
    </row>
    <row r="541" spans="1:23" ht="12.75">
      <c r="A541" s="274">
        <v>46078.716423611113</v>
      </c>
      <c r="B541" s="242" t="s">
        <v>2462</v>
      </c>
      <c r="C541" s="242" t="s">
        <v>2463</v>
      </c>
      <c r="D541" s="242" t="s">
        <v>24</v>
      </c>
      <c r="E541" s="275">
        <v>35839</v>
      </c>
      <c r="F541" s="242" t="s">
        <v>1053</v>
      </c>
      <c r="G541" s="242" t="s">
        <v>2464</v>
      </c>
      <c r="H541" s="242" t="s">
        <v>2465</v>
      </c>
      <c r="I541" s="241" t="s">
        <v>4237</v>
      </c>
      <c r="J541" s="242" t="s">
        <v>2466</v>
      </c>
      <c r="K541" s="242" t="s">
        <v>29</v>
      </c>
      <c r="L541" s="242" t="s">
        <v>30</v>
      </c>
      <c r="M541" s="242"/>
      <c r="N541" s="242"/>
      <c r="O541" s="242"/>
      <c r="P541" s="242" t="s">
        <v>31</v>
      </c>
      <c r="Q541" s="244" t="s">
        <v>32</v>
      </c>
      <c r="R541" s="245" t="s">
        <v>43</v>
      </c>
      <c r="S541" s="242" t="s">
        <v>2462</v>
      </c>
      <c r="T541" s="266">
        <v>35839</v>
      </c>
      <c r="U541" s="242" t="s">
        <v>2466</v>
      </c>
      <c r="V541" s="475" t="s">
        <v>80</v>
      </c>
      <c r="W541" s="474"/>
    </row>
    <row r="542" spans="1:23" ht="12.75">
      <c r="A542" s="274">
        <v>46078.719583333332</v>
      </c>
      <c r="B542" s="242" t="s">
        <v>2467</v>
      </c>
      <c r="C542" s="242" t="s">
        <v>2468</v>
      </c>
      <c r="D542" s="242" t="s">
        <v>24</v>
      </c>
      <c r="E542" s="275">
        <v>37390</v>
      </c>
      <c r="F542" s="242" t="s">
        <v>1053</v>
      </c>
      <c r="G542" s="242" t="s">
        <v>2469</v>
      </c>
      <c r="H542" s="242" t="s">
        <v>66</v>
      </c>
      <c r="I542" s="241" t="s">
        <v>4237</v>
      </c>
      <c r="J542" s="242" t="s">
        <v>2470</v>
      </c>
      <c r="K542" s="242" t="s">
        <v>29</v>
      </c>
      <c r="L542" s="242" t="s">
        <v>30</v>
      </c>
      <c r="M542" s="242"/>
      <c r="N542" s="242"/>
      <c r="O542" s="242"/>
      <c r="P542" s="242" t="s">
        <v>31</v>
      </c>
      <c r="Q542" s="244" t="s">
        <v>32</v>
      </c>
      <c r="R542" s="248" t="s">
        <v>43</v>
      </c>
      <c r="S542" s="242" t="s">
        <v>2467</v>
      </c>
      <c r="T542" s="266">
        <v>37390</v>
      </c>
      <c r="U542" s="242" t="s">
        <v>2470</v>
      </c>
      <c r="V542" s="475" t="s">
        <v>80</v>
      </c>
      <c r="W542" s="474"/>
    </row>
    <row r="543" spans="1:23" ht="12.75">
      <c r="A543" s="274">
        <v>46078.739004629628</v>
      </c>
      <c r="B543" s="242" t="s">
        <v>2471</v>
      </c>
      <c r="C543" s="242" t="s">
        <v>2472</v>
      </c>
      <c r="D543" s="242" t="s">
        <v>45</v>
      </c>
      <c r="E543" s="275">
        <v>36540</v>
      </c>
      <c r="F543" s="242" t="s">
        <v>1053</v>
      </c>
      <c r="G543" s="242" t="s">
        <v>2473</v>
      </c>
      <c r="H543" s="242" t="s">
        <v>276</v>
      </c>
      <c r="I543" s="241" t="s">
        <v>4237</v>
      </c>
      <c r="J543" s="242" t="s">
        <v>2474</v>
      </c>
      <c r="K543" s="242" t="s">
        <v>39</v>
      </c>
      <c r="L543" s="242" t="s">
        <v>2475</v>
      </c>
      <c r="M543" s="242"/>
      <c r="N543" s="242"/>
      <c r="O543" s="242"/>
      <c r="P543" s="242" t="s">
        <v>31</v>
      </c>
      <c r="Q543" s="244" t="s">
        <v>32</v>
      </c>
      <c r="R543" s="245" t="s">
        <v>43</v>
      </c>
      <c r="S543" s="242" t="s">
        <v>2476</v>
      </c>
      <c r="T543" s="266">
        <v>36540</v>
      </c>
      <c r="U543" s="242" t="s">
        <v>2474</v>
      </c>
      <c r="V543" s="475" t="s">
        <v>80</v>
      </c>
      <c r="W543" s="474"/>
    </row>
    <row r="544" spans="1:23" ht="12.75">
      <c r="A544" s="274">
        <v>46078.742581018516</v>
      </c>
      <c r="B544" s="242" t="s">
        <v>2477</v>
      </c>
      <c r="C544" s="242" t="s">
        <v>2478</v>
      </c>
      <c r="D544" s="242" t="s">
        <v>24</v>
      </c>
      <c r="E544" s="275">
        <v>38593</v>
      </c>
      <c r="F544" s="242" t="s">
        <v>1053</v>
      </c>
      <c r="G544" s="242" t="s">
        <v>2479</v>
      </c>
      <c r="H544" s="242" t="s">
        <v>66</v>
      </c>
      <c r="I544" s="241" t="s">
        <v>4237</v>
      </c>
      <c r="J544" s="242" t="s">
        <v>2480</v>
      </c>
      <c r="K544" s="242" t="s">
        <v>29</v>
      </c>
      <c r="L544" s="242" t="s">
        <v>30</v>
      </c>
      <c r="M544" s="242"/>
      <c r="N544" s="242"/>
      <c r="O544" s="242"/>
      <c r="P544" s="242" t="s">
        <v>31</v>
      </c>
      <c r="Q544" s="244" t="s">
        <v>32</v>
      </c>
      <c r="R544" s="248" t="s">
        <v>43</v>
      </c>
      <c r="S544" s="242" t="s">
        <v>2481</v>
      </c>
      <c r="T544" s="266">
        <v>38593</v>
      </c>
      <c r="U544" s="242" t="s">
        <v>2480</v>
      </c>
      <c r="V544" s="475" t="s">
        <v>154</v>
      </c>
      <c r="W544" s="474"/>
    </row>
    <row r="545" spans="1:23" ht="12.75">
      <c r="A545" s="274">
        <v>46078.750011574077</v>
      </c>
      <c r="B545" s="242" t="s">
        <v>2482</v>
      </c>
      <c r="C545" s="242" t="s">
        <v>2483</v>
      </c>
      <c r="D545" s="242" t="s">
        <v>24</v>
      </c>
      <c r="E545" s="275">
        <v>34396</v>
      </c>
      <c r="F545" s="242" t="s">
        <v>1053</v>
      </c>
      <c r="G545" s="242" t="s">
        <v>1258</v>
      </c>
      <c r="H545" s="242" t="s">
        <v>2024</v>
      </c>
      <c r="I545" s="241" t="s">
        <v>4237</v>
      </c>
      <c r="J545" s="242" t="s">
        <v>2484</v>
      </c>
      <c r="K545" s="242" t="s">
        <v>39</v>
      </c>
      <c r="L545" s="242" t="s">
        <v>152</v>
      </c>
      <c r="M545" s="242"/>
      <c r="N545" s="242"/>
      <c r="O545" s="242"/>
      <c r="P545" s="242" t="s">
        <v>31</v>
      </c>
      <c r="Q545" s="244" t="s">
        <v>32</v>
      </c>
      <c r="R545" s="245" t="s">
        <v>43</v>
      </c>
      <c r="S545" s="242" t="s">
        <v>2482</v>
      </c>
      <c r="T545" s="266">
        <v>34396</v>
      </c>
      <c r="U545" s="242" t="s">
        <v>2484</v>
      </c>
      <c r="V545" s="475" t="s">
        <v>80</v>
      </c>
      <c r="W545" s="474"/>
    </row>
    <row r="546" spans="1:23" ht="12.75">
      <c r="A546" s="274">
        <v>46078.758993055555</v>
      </c>
      <c r="B546" s="242" t="s">
        <v>2485</v>
      </c>
      <c r="C546" s="242" t="s">
        <v>2486</v>
      </c>
      <c r="D546" s="242" t="s">
        <v>24</v>
      </c>
      <c r="E546" s="275">
        <v>36963</v>
      </c>
      <c r="F546" s="242" t="s">
        <v>1053</v>
      </c>
      <c r="G546" s="242" t="s">
        <v>2487</v>
      </c>
      <c r="H546" s="242" t="s">
        <v>66</v>
      </c>
      <c r="I546" s="241" t="s">
        <v>4237</v>
      </c>
      <c r="J546" s="242" t="s">
        <v>2488</v>
      </c>
      <c r="K546" s="242" t="s">
        <v>39</v>
      </c>
      <c r="L546" s="242" t="s">
        <v>621</v>
      </c>
      <c r="M546" s="242"/>
      <c r="N546" s="242"/>
      <c r="O546" s="242"/>
      <c r="P546" s="242" t="s">
        <v>31</v>
      </c>
      <c r="Q546" s="244" t="s">
        <v>32</v>
      </c>
      <c r="R546" s="248" t="s">
        <v>43</v>
      </c>
      <c r="S546" s="242" t="s">
        <v>2485</v>
      </c>
      <c r="T546" s="266">
        <v>36963</v>
      </c>
      <c r="U546" s="242" t="s">
        <v>2488</v>
      </c>
      <c r="V546" s="475" t="s">
        <v>80</v>
      </c>
      <c r="W546" s="474"/>
    </row>
    <row r="547" spans="1:23" ht="12.75">
      <c r="A547" s="274">
        <v>46078.983784722222</v>
      </c>
      <c r="B547" s="242" t="s">
        <v>2489</v>
      </c>
      <c r="C547" s="242" t="s">
        <v>2490</v>
      </c>
      <c r="D547" s="242" t="s">
        <v>24</v>
      </c>
      <c r="E547" s="275">
        <v>36641</v>
      </c>
      <c r="F547" s="242" t="s">
        <v>1053</v>
      </c>
      <c r="G547" s="242" t="s">
        <v>2353</v>
      </c>
      <c r="H547" s="242" t="s">
        <v>66</v>
      </c>
      <c r="I547" s="241" t="s">
        <v>4237</v>
      </c>
      <c r="J547" s="242" t="s">
        <v>2491</v>
      </c>
      <c r="K547" s="242" t="s">
        <v>29</v>
      </c>
      <c r="L547" s="242" t="s">
        <v>30</v>
      </c>
      <c r="M547" s="242"/>
      <c r="N547" s="242"/>
      <c r="O547" s="242"/>
      <c r="P547" s="242" t="s">
        <v>31</v>
      </c>
      <c r="Q547" s="244" t="s">
        <v>32</v>
      </c>
      <c r="R547" s="245" t="s">
        <v>43</v>
      </c>
      <c r="S547" s="242" t="s">
        <v>2492</v>
      </c>
      <c r="T547" s="266">
        <v>36641</v>
      </c>
      <c r="U547" s="242" t="s">
        <v>2491</v>
      </c>
      <c r="V547" s="475" t="s">
        <v>1967</v>
      </c>
      <c r="W547" s="474"/>
    </row>
    <row r="548" spans="1:23" ht="12.75">
      <c r="A548" s="274">
        <v>46079.008171296293</v>
      </c>
      <c r="B548" s="242" t="s">
        <v>2493</v>
      </c>
      <c r="C548" s="242" t="s">
        <v>2494</v>
      </c>
      <c r="D548" s="242" t="s">
        <v>24</v>
      </c>
      <c r="E548" s="275">
        <v>38277</v>
      </c>
      <c r="F548" s="242" t="s">
        <v>1053</v>
      </c>
      <c r="G548" s="242" t="s">
        <v>2495</v>
      </c>
      <c r="H548" s="242" t="s">
        <v>66</v>
      </c>
      <c r="I548" s="241" t="s">
        <v>4237</v>
      </c>
      <c r="J548" s="242" t="s">
        <v>2496</v>
      </c>
      <c r="K548" s="242" t="s">
        <v>39</v>
      </c>
      <c r="L548" s="242" t="s">
        <v>152</v>
      </c>
      <c r="M548" s="242"/>
      <c r="N548" s="242"/>
      <c r="O548" s="242"/>
      <c r="P548" s="242" t="s">
        <v>31</v>
      </c>
      <c r="Q548" s="244" t="s">
        <v>32</v>
      </c>
      <c r="R548" s="248" t="s">
        <v>43</v>
      </c>
      <c r="S548" s="242" t="s">
        <v>2493</v>
      </c>
      <c r="T548" s="266">
        <v>38277</v>
      </c>
      <c r="U548" s="242" t="s">
        <v>2496</v>
      </c>
      <c r="V548" s="475" t="s">
        <v>80</v>
      </c>
      <c r="W548" s="474"/>
    </row>
    <row r="549" spans="1:23" ht="12.75">
      <c r="A549" s="262">
        <v>46079.036712962959</v>
      </c>
      <c r="B549" s="263" t="s">
        <v>2497</v>
      </c>
      <c r="C549" s="263" t="s">
        <v>2498</v>
      </c>
      <c r="D549" s="263" t="s">
        <v>24</v>
      </c>
      <c r="E549" s="264">
        <v>38253</v>
      </c>
      <c r="F549" s="263" t="s">
        <v>1053</v>
      </c>
      <c r="G549" s="263" t="s">
        <v>2499</v>
      </c>
      <c r="H549" s="263" t="s">
        <v>578</v>
      </c>
      <c r="I549" s="241" t="s">
        <v>4237</v>
      </c>
      <c r="J549" s="263" t="s">
        <v>2500</v>
      </c>
      <c r="K549" s="263" t="s">
        <v>29</v>
      </c>
      <c r="L549" s="263" t="s">
        <v>30</v>
      </c>
      <c r="M549" s="263"/>
      <c r="N549" s="263"/>
      <c r="O549" s="263"/>
      <c r="P549" s="263" t="s">
        <v>31</v>
      </c>
      <c r="Q549" s="244" t="s">
        <v>32</v>
      </c>
      <c r="R549" s="245" t="s">
        <v>43</v>
      </c>
      <c r="S549" s="242" t="s">
        <v>2498</v>
      </c>
      <c r="T549" s="266">
        <v>38253</v>
      </c>
      <c r="U549" s="242" t="s">
        <v>2500</v>
      </c>
      <c r="V549" s="242" t="s">
        <v>463</v>
      </c>
      <c r="W549" s="242"/>
    </row>
    <row r="550" spans="1:23" ht="12.75">
      <c r="A550" s="274">
        <v>46079.341226851851</v>
      </c>
      <c r="B550" s="242" t="s">
        <v>2501</v>
      </c>
      <c r="C550" s="242"/>
      <c r="D550" s="242" t="s">
        <v>24</v>
      </c>
      <c r="E550" s="275">
        <v>34944</v>
      </c>
      <c r="F550" s="242" t="s">
        <v>486</v>
      </c>
      <c r="G550" s="242" t="s">
        <v>2502</v>
      </c>
      <c r="H550" s="242" t="s">
        <v>2503</v>
      </c>
      <c r="I550" s="241" t="s">
        <v>4237</v>
      </c>
      <c r="J550" s="242" t="s">
        <v>2504</v>
      </c>
      <c r="K550" s="242" t="s">
        <v>29</v>
      </c>
      <c r="L550" s="242" t="s">
        <v>30</v>
      </c>
      <c r="M550" s="242"/>
      <c r="N550" s="242"/>
      <c r="O550" s="242"/>
      <c r="P550" s="242" t="s">
        <v>31</v>
      </c>
      <c r="Q550" s="244" t="s">
        <v>32</v>
      </c>
      <c r="R550" s="248" t="s">
        <v>33</v>
      </c>
      <c r="S550" s="242" t="s">
        <v>2505</v>
      </c>
      <c r="T550" s="266">
        <v>34944</v>
      </c>
      <c r="U550" s="242" t="s">
        <v>2504</v>
      </c>
      <c r="V550" s="475" t="s">
        <v>154</v>
      </c>
      <c r="W550" s="474"/>
    </row>
    <row r="551" spans="1:23" ht="12.75">
      <c r="A551" s="274">
        <v>46080.035925925928</v>
      </c>
      <c r="B551" s="242" t="s">
        <v>2506</v>
      </c>
      <c r="C551" s="242" t="s">
        <v>2144</v>
      </c>
      <c r="D551" s="242" t="s">
        <v>24</v>
      </c>
      <c r="E551" s="275">
        <v>38604</v>
      </c>
      <c r="F551" s="242" t="s">
        <v>1053</v>
      </c>
      <c r="G551" s="242" t="s">
        <v>1258</v>
      </c>
      <c r="H551" s="242" t="s">
        <v>66</v>
      </c>
      <c r="I551" s="241" t="s">
        <v>4237</v>
      </c>
      <c r="J551" s="242" t="s">
        <v>2507</v>
      </c>
      <c r="K551" s="242" t="s">
        <v>39</v>
      </c>
      <c r="L551" s="242" t="s">
        <v>152</v>
      </c>
      <c r="M551" s="242"/>
      <c r="N551" s="242"/>
      <c r="O551" s="242"/>
      <c r="P551" s="242" t="s">
        <v>31</v>
      </c>
      <c r="Q551" s="244" t="s">
        <v>32</v>
      </c>
      <c r="R551" s="245" t="s">
        <v>43</v>
      </c>
      <c r="S551" s="242" t="s">
        <v>2506</v>
      </c>
      <c r="T551" s="266">
        <v>38604</v>
      </c>
      <c r="U551" s="242" t="s">
        <v>2507</v>
      </c>
      <c r="V551" s="475" t="s">
        <v>80</v>
      </c>
      <c r="W551" s="474"/>
    </row>
    <row r="552" spans="1:23" ht="12.75">
      <c r="A552" s="274">
        <v>46080.037997685184</v>
      </c>
      <c r="B552" s="242" t="s">
        <v>2508</v>
      </c>
      <c r="C552" s="242" t="s">
        <v>2509</v>
      </c>
      <c r="D552" s="242" t="s">
        <v>45</v>
      </c>
      <c r="E552" s="275">
        <v>38670</v>
      </c>
      <c r="F552" s="242" t="s">
        <v>1053</v>
      </c>
      <c r="G552" s="242" t="s">
        <v>1258</v>
      </c>
      <c r="H552" s="242" t="s">
        <v>66</v>
      </c>
      <c r="I552" s="241" t="s">
        <v>4237</v>
      </c>
      <c r="J552" s="242" t="s">
        <v>2510</v>
      </c>
      <c r="K552" s="242" t="s">
        <v>39</v>
      </c>
      <c r="L552" s="242" t="s">
        <v>152</v>
      </c>
      <c r="M552" s="242"/>
      <c r="N552" s="242"/>
      <c r="O552" s="242"/>
      <c r="P552" s="242" t="s">
        <v>31</v>
      </c>
      <c r="Q552" s="244" t="s">
        <v>32</v>
      </c>
      <c r="R552" s="248" t="s">
        <v>43</v>
      </c>
      <c r="S552" s="242" t="s">
        <v>2511</v>
      </c>
      <c r="T552" s="266">
        <v>38670</v>
      </c>
      <c r="U552" s="242" t="s">
        <v>2510</v>
      </c>
      <c r="V552" s="475" t="s">
        <v>154</v>
      </c>
      <c r="W552" s="474"/>
    </row>
    <row r="553" spans="1:23" ht="12.75">
      <c r="A553" s="262">
        <v>46080.042060185187</v>
      </c>
      <c r="B553" s="263" t="s">
        <v>2512</v>
      </c>
      <c r="C553" s="263" t="s">
        <v>2513</v>
      </c>
      <c r="D553" s="263" t="s">
        <v>24</v>
      </c>
      <c r="E553" s="264">
        <v>38524</v>
      </c>
      <c r="F553" s="263" t="s">
        <v>1053</v>
      </c>
      <c r="G553" s="263" t="s">
        <v>1258</v>
      </c>
      <c r="H553" s="263" t="s">
        <v>66</v>
      </c>
      <c r="I553" s="241" t="s">
        <v>4237</v>
      </c>
      <c r="J553" s="263" t="s">
        <v>2514</v>
      </c>
      <c r="K553" s="263" t="s">
        <v>39</v>
      </c>
      <c r="L553" s="263" t="s">
        <v>152</v>
      </c>
      <c r="M553" s="263" t="s">
        <v>2515</v>
      </c>
      <c r="N553" s="263"/>
      <c r="O553" s="263"/>
      <c r="P553" s="263" t="s">
        <v>31</v>
      </c>
      <c r="Q553" s="244" t="s">
        <v>32</v>
      </c>
      <c r="R553" s="245" t="s">
        <v>43</v>
      </c>
      <c r="S553" s="242" t="s">
        <v>2512</v>
      </c>
      <c r="T553" s="266">
        <v>38524</v>
      </c>
      <c r="U553" s="242" t="s">
        <v>2514</v>
      </c>
      <c r="V553" s="475" t="s">
        <v>80</v>
      </c>
      <c r="W553" s="474"/>
    </row>
    <row r="554" spans="1:23" ht="12.75">
      <c r="A554" s="274">
        <v>46080.042071759257</v>
      </c>
      <c r="B554" s="242" t="s">
        <v>2516</v>
      </c>
      <c r="C554" s="242" t="s">
        <v>2517</v>
      </c>
      <c r="D554" s="242" t="s">
        <v>45</v>
      </c>
      <c r="E554" s="275">
        <v>38764</v>
      </c>
      <c r="F554" s="242" t="s">
        <v>1053</v>
      </c>
      <c r="G554" s="242" t="s">
        <v>1258</v>
      </c>
      <c r="H554" s="242" t="s">
        <v>160</v>
      </c>
      <c r="I554" s="241" t="s">
        <v>4237</v>
      </c>
      <c r="J554" s="242" t="s">
        <v>2518</v>
      </c>
      <c r="K554" s="242" t="s">
        <v>39</v>
      </c>
      <c r="L554" s="242" t="s">
        <v>152</v>
      </c>
      <c r="M554" s="242"/>
      <c r="N554" s="242"/>
      <c r="O554" s="242"/>
      <c r="P554" s="242" t="s">
        <v>31</v>
      </c>
      <c r="Q554" s="244" t="s">
        <v>32</v>
      </c>
      <c r="R554" s="248" t="s">
        <v>43</v>
      </c>
      <c r="S554" s="242" t="s">
        <v>2519</v>
      </c>
      <c r="T554" s="266">
        <v>38764</v>
      </c>
      <c r="U554" s="242" t="s">
        <v>2518</v>
      </c>
      <c r="V554" s="475" t="s">
        <v>1815</v>
      </c>
      <c r="W554" s="474"/>
    </row>
    <row r="555" spans="1:23" ht="12.75">
      <c r="A555" s="274">
        <v>46080.053159722222</v>
      </c>
      <c r="B555" s="242" t="s">
        <v>2520</v>
      </c>
      <c r="C555" s="242" t="s">
        <v>2521</v>
      </c>
      <c r="D555" s="242" t="s">
        <v>24</v>
      </c>
      <c r="E555" s="275">
        <v>38723</v>
      </c>
      <c r="F555" s="242" t="s">
        <v>1053</v>
      </c>
      <c r="G555" s="242" t="s">
        <v>2522</v>
      </c>
      <c r="H555" s="242" t="s">
        <v>160</v>
      </c>
      <c r="I555" s="241" t="s">
        <v>4237</v>
      </c>
      <c r="J555" s="242" t="s">
        <v>2523</v>
      </c>
      <c r="K555" s="242" t="s">
        <v>29</v>
      </c>
      <c r="L555" s="242" t="s">
        <v>30</v>
      </c>
      <c r="M555" s="277"/>
      <c r="N555" s="242"/>
      <c r="O555" s="242"/>
      <c r="P555" s="242" t="s">
        <v>31</v>
      </c>
      <c r="Q555" s="244" t="s">
        <v>32</v>
      </c>
      <c r="R555" s="245" t="s">
        <v>43</v>
      </c>
      <c r="S555" s="242" t="s">
        <v>2524</v>
      </c>
      <c r="T555" s="266">
        <v>38723</v>
      </c>
      <c r="U555" s="242" t="s">
        <v>2523</v>
      </c>
      <c r="V555" s="475" t="s">
        <v>154</v>
      </c>
      <c r="W555" s="474"/>
    </row>
    <row r="556" spans="1:23" ht="12.75">
      <c r="A556" s="274">
        <v>46080.209050925929</v>
      </c>
      <c r="B556" s="242" t="s">
        <v>2525</v>
      </c>
      <c r="C556" s="242"/>
      <c r="D556" s="242" t="s">
        <v>24</v>
      </c>
      <c r="E556" s="275">
        <v>36526</v>
      </c>
      <c r="F556" s="242" t="s">
        <v>1179</v>
      </c>
      <c r="G556" s="242" t="s">
        <v>2526</v>
      </c>
      <c r="H556" s="242" t="s">
        <v>138</v>
      </c>
      <c r="I556" s="241" t="s">
        <v>4237</v>
      </c>
      <c r="J556" s="242" t="s">
        <v>2527</v>
      </c>
      <c r="K556" s="242" t="s">
        <v>29</v>
      </c>
      <c r="L556" s="242" t="s">
        <v>30</v>
      </c>
      <c r="M556" s="242"/>
      <c r="N556" s="242"/>
      <c r="O556" s="242"/>
      <c r="P556" s="242" t="s">
        <v>31</v>
      </c>
      <c r="Q556" s="244" t="s">
        <v>32</v>
      </c>
      <c r="R556" s="248" t="s">
        <v>43</v>
      </c>
      <c r="S556" s="242" t="s">
        <v>2525</v>
      </c>
      <c r="T556" s="266">
        <v>36526</v>
      </c>
      <c r="U556" s="242" t="s">
        <v>2527</v>
      </c>
      <c r="V556" s="475" t="s">
        <v>80</v>
      </c>
      <c r="W556" s="474"/>
    </row>
    <row r="557" spans="1:23" ht="12.75">
      <c r="A557" s="274">
        <v>46080.859664351854</v>
      </c>
      <c r="B557" s="475" t="s">
        <v>2528</v>
      </c>
      <c r="C557" s="474"/>
      <c r="D557" s="242" t="s">
        <v>24</v>
      </c>
      <c r="E557" s="275">
        <v>36108</v>
      </c>
      <c r="F557" s="242" t="s">
        <v>2529</v>
      </c>
      <c r="G557" s="242" t="s">
        <v>2530</v>
      </c>
      <c r="H557" s="242" t="s">
        <v>66</v>
      </c>
      <c r="I557" s="241" t="s">
        <v>4219</v>
      </c>
      <c r="J557" s="242" t="s">
        <v>2531</v>
      </c>
      <c r="K557" s="242" t="s">
        <v>29</v>
      </c>
      <c r="L557" s="242" t="s">
        <v>30</v>
      </c>
      <c r="M557" s="242"/>
      <c r="N557" s="242"/>
      <c r="O557" s="242"/>
      <c r="P557" s="242" t="s">
        <v>31</v>
      </c>
      <c r="Q557" s="244" t="s">
        <v>32</v>
      </c>
      <c r="R557" s="245" t="s">
        <v>33</v>
      </c>
      <c r="S557" s="242" t="s">
        <v>2532</v>
      </c>
      <c r="T557" s="266">
        <v>36108</v>
      </c>
      <c r="U557" s="242" t="s">
        <v>2531</v>
      </c>
      <c r="V557" s="475" t="s">
        <v>80</v>
      </c>
      <c r="W557" s="474"/>
    </row>
    <row r="558" spans="1:23" ht="12.75">
      <c r="A558" s="297">
        <v>46080.868171296293</v>
      </c>
      <c r="B558" s="298" t="s">
        <v>2533</v>
      </c>
      <c r="C558" s="298"/>
      <c r="D558" s="298" t="s">
        <v>45</v>
      </c>
      <c r="E558" s="299">
        <v>36879</v>
      </c>
      <c r="F558" s="298" t="s">
        <v>52</v>
      </c>
      <c r="G558" s="298" t="s">
        <v>2534</v>
      </c>
      <c r="H558" s="298" t="s">
        <v>2535</v>
      </c>
      <c r="I558" s="252" t="s">
        <v>4219</v>
      </c>
      <c r="J558" s="298" t="s">
        <v>2536</v>
      </c>
      <c r="K558" s="298" t="s">
        <v>29</v>
      </c>
      <c r="L558" s="298" t="s">
        <v>30</v>
      </c>
      <c r="M558" s="298"/>
      <c r="N558" s="298"/>
      <c r="O558" s="298"/>
      <c r="P558" s="298" t="s">
        <v>31</v>
      </c>
      <c r="Q558" s="253" t="s">
        <v>32</v>
      </c>
      <c r="R558" s="148" t="s">
        <v>33</v>
      </c>
      <c r="S558" s="206" t="s">
        <v>2537</v>
      </c>
      <c r="T558" s="261">
        <v>36879</v>
      </c>
      <c r="U558" s="206" t="s">
        <v>2536</v>
      </c>
      <c r="V558" s="473" t="s">
        <v>154</v>
      </c>
      <c r="W558" s="474"/>
    </row>
    <row r="559" spans="1:23" ht="12.75">
      <c r="A559" s="255">
        <v>46080.869525462964</v>
      </c>
      <c r="B559" s="141" t="s">
        <v>2538</v>
      </c>
      <c r="C559" s="141"/>
      <c r="D559" s="141" t="s">
        <v>24</v>
      </c>
      <c r="E559" s="256">
        <v>37805</v>
      </c>
      <c r="F559" s="141" t="s">
        <v>232</v>
      </c>
      <c r="G559" s="141" t="s">
        <v>1328</v>
      </c>
      <c r="H559" s="141" t="s">
        <v>66</v>
      </c>
      <c r="I559" s="252" t="s">
        <v>4219</v>
      </c>
      <c r="J559" s="141" t="s">
        <v>2539</v>
      </c>
      <c r="K559" s="141" t="s">
        <v>29</v>
      </c>
      <c r="L559" s="267">
        <v>46202</v>
      </c>
      <c r="M559" s="141"/>
      <c r="N559" s="141"/>
      <c r="O559" s="141"/>
      <c r="P559" s="141" t="s">
        <v>31</v>
      </c>
      <c r="Q559" s="253" t="s">
        <v>32</v>
      </c>
      <c r="R559" s="152"/>
      <c r="S559" s="206" t="s">
        <v>2538</v>
      </c>
      <c r="T559" s="261">
        <v>37805</v>
      </c>
      <c r="U559" s="206" t="s">
        <v>2539</v>
      </c>
      <c r="V559" s="473" t="s">
        <v>80</v>
      </c>
      <c r="W559" s="474"/>
    </row>
    <row r="560" spans="1:23" ht="12.75">
      <c r="A560" s="282">
        <v>46080.875451388885</v>
      </c>
      <c r="B560" s="283" t="s">
        <v>2540</v>
      </c>
      <c r="C560" s="283"/>
      <c r="D560" s="283" t="s">
        <v>45</v>
      </c>
      <c r="E560" s="284">
        <v>24098</v>
      </c>
      <c r="F560" s="283" t="s">
        <v>64</v>
      </c>
      <c r="G560" s="283" t="s">
        <v>2541</v>
      </c>
      <c r="H560" s="283" t="s">
        <v>2542</v>
      </c>
      <c r="I560" s="241" t="s">
        <v>4219</v>
      </c>
      <c r="J560" s="283" t="s">
        <v>2543</v>
      </c>
      <c r="K560" s="283" t="s">
        <v>29</v>
      </c>
      <c r="L560" s="283" t="s">
        <v>30</v>
      </c>
      <c r="M560" s="283"/>
      <c r="N560" s="283"/>
      <c r="O560" s="283"/>
      <c r="P560" s="283" t="s">
        <v>31</v>
      </c>
      <c r="Q560" s="244" t="s">
        <v>32</v>
      </c>
      <c r="R560" s="248" t="s">
        <v>33</v>
      </c>
      <c r="S560" s="242" t="s">
        <v>2544</v>
      </c>
      <c r="T560" s="266">
        <v>24098</v>
      </c>
      <c r="U560" s="242" t="s">
        <v>2543</v>
      </c>
      <c r="V560" s="475" t="s">
        <v>154</v>
      </c>
      <c r="W560" s="474"/>
    </row>
    <row r="561" spans="1:23" ht="12.75">
      <c r="A561" s="255">
        <v>46080.876215277778</v>
      </c>
      <c r="B561" s="476" t="s">
        <v>2545</v>
      </c>
      <c r="C561" s="474"/>
      <c r="D561" s="141" t="s">
        <v>24</v>
      </c>
      <c r="E561" s="256">
        <v>37200</v>
      </c>
      <c r="F561" s="141" t="s">
        <v>475</v>
      </c>
      <c r="G561" s="141" t="s">
        <v>2546</v>
      </c>
      <c r="H561" s="141" t="s">
        <v>2547</v>
      </c>
      <c r="I561" s="252" t="s">
        <v>4219</v>
      </c>
      <c r="J561" s="141" t="s">
        <v>2548</v>
      </c>
      <c r="K561" s="141" t="s">
        <v>39</v>
      </c>
      <c r="L561" s="141" t="s">
        <v>152</v>
      </c>
      <c r="M561" s="141"/>
      <c r="N561" s="141"/>
      <c r="O561" s="141"/>
      <c r="P561" s="141" t="s">
        <v>31</v>
      </c>
      <c r="Q561" s="253" t="s">
        <v>32</v>
      </c>
      <c r="R561" s="152"/>
      <c r="S561" s="206" t="s">
        <v>2549</v>
      </c>
      <c r="T561" s="261">
        <v>37222</v>
      </c>
      <c r="U561" s="206" t="s">
        <v>2548</v>
      </c>
      <c r="V561" s="473" t="s">
        <v>114</v>
      </c>
      <c r="W561" s="474"/>
    </row>
    <row r="562" spans="1:23" ht="12.75">
      <c r="A562" s="255">
        <v>46080.87740740741</v>
      </c>
      <c r="B562" s="141" t="s">
        <v>2550</v>
      </c>
      <c r="C562" s="141" t="s">
        <v>871</v>
      </c>
      <c r="D562" s="141" t="s">
        <v>45</v>
      </c>
      <c r="E562" s="256">
        <v>29112</v>
      </c>
      <c r="F562" s="141" t="s">
        <v>52</v>
      </c>
      <c r="G562" s="141" t="s">
        <v>2551</v>
      </c>
      <c r="H562" s="141" t="s">
        <v>2552</v>
      </c>
      <c r="I562" s="252" t="s">
        <v>4219</v>
      </c>
      <c r="J562" s="141" t="s">
        <v>2553</v>
      </c>
      <c r="K562" s="141" t="s">
        <v>29</v>
      </c>
      <c r="L562" s="141" t="s">
        <v>152</v>
      </c>
      <c r="M562" s="141"/>
      <c r="N562" s="141"/>
      <c r="O562" s="141"/>
      <c r="P562" s="141" t="s">
        <v>31</v>
      </c>
      <c r="Q562" s="253" t="s">
        <v>32</v>
      </c>
      <c r="R562" s="152"/>
      <c r="S562" s="206" t="s">
        <v>2554</v>
      </c>
      <c r="T562" s="261">
        <v>45975</v>
      </c>
      <c r="U562" s="206" t="s">
        <v>2553</v>
      </c>
      <c r="V562" s="473" t="s">
        <v>114</v>
      </c>
      <c r="W562" s="474"/>
    </row>
    <row r="563" spans="1:23" ht="12.75">
      <c r="A563" s="255">
        <v>46080.878599537034</v>
      </c>
      <c r="B563" s="141" t="s">
        <v>2555</v>
      </c>
      <c r="C563" s="141"/>
      <c r="D563" s="141" t="s">
        <v>24</v>
      </c>
      <c r="E563" s="256">
        <v>35342</v>
      </c>
      <c r="F563" s="141" t="s">
        <v>2556</v>
      </c>
      <c r="G563" s="141" t="s">
        <v>2557</v>
      </c>
      <c r="H563" s="141" t="s">
        <v>2558</v>
      </c>
      <c r="I563" s="252" t="s">
        <v>4219</v>
      </c>
      <c r="J563" s="141" t="s">
        <v>2559</v>
      </c>
      <c r="K563" s="141" t="s">
        <v>29</v>
      </c>
      <c r="L563" s="141" t="s">
        <v>30</v>
      </c>
      <c r="M563" s="228"/>
      <c r="N563" s="141"/>
      <c r="O563" s="141"/>
      <c r="P563" s="141" t="s">
        <v>31</v>
      </c>
      <c r="Q563" s="253" t="s">
        <v>32</v>
      </c>
      <c r="R563" s="148" t="s">
        <v>33</v>
      </c>
      <c r="S563" s="206" t="s">
        <v>2555</v>
      </c>
      <c r="T563" s="261">
        <v>35342</v>
      </c>
      <c r="U563" s="206" t="s">
        <v>2559</v>
      </c>
      <c r="V563" s="473" t="s">
        <v>80</v>
      </c>
      <c r="W563" s="474"/>
    </row>
    <row r="564" spans="1:23" ht="12.75">
      <c r="A564" s="286">
        <v>46080.885729166665</v>
      </c>
      <c r="B564" s="483" t="s">
        <v>2560</v>
      </c>
      <c r="C564" s="474"/>
      <c r="D564" s="287" t="s">
        <v>45</v>
      </c>
      <c r="E564" s="288">
        <v>36433</v>
      </c>
      <c r="F564" s="287" t="s">
        <v>652</v>
      </c>
      <c r="G564" s="287" t="s">
        <v>2561</v>
      </c>
      <c r="H564" s="287" t="s">
        <v>2562</v>
      </c>
      <c r="I564" s="241" t="s">
        <v>4219</v>
      </c>
      <c r="J564" s="287" t="s">
        <v>2563</v>
      </c>
      <c r="K564" s="287" t="s">
        <v>39</v>
      </c>
      <c r="L564" s="287" t="s">
        <v>152</v>
      </c>
      <c r="M564" s="287"/>
      <c r="N564" s="287"/>
      <c r="O564" s="287"/>
      <c r="P564" s="287" t="s">
        <v>31</v>
      </c>
      <c r="Q564" s="244" t="s">
        <v>32</v>
      </c>
      <c r="R564" s="245" t="s">
        <v>33</v>
      </c>
      <c r="S564" s="242" t="s">
        <v>2564</v>
      </c>
      <c r="T564" s="266">
        <v>36524</v>
      </c>
      <c r="U564" s="242" t="s">
        <v>2563</v>
      </c>
      <c r="V564" s="475" t="s">
        <v>2565</v>
      </c>
      <c r="W564" s="474"/>
    </row>
    <row r="565" spans="1:23" ht="12.75">
      <c r="A565" s="274">
        <v>46080.886435185188</v>
      </c>
      <c r="B565" s="242" t="s">
        <v>2566</v>
      </c>
      <c r="C565" s="242"/>
      <c r="D565" s="242" t="s">
        <v>45</v>
      </c>
      <c r="E565" s="275">
        <v>27845</v>
      </c>
      <c r="F565" s="242" t="s">
        <v>416</v>
      </c>
      <c r="G565" s="242" t="s">
        <v>2567</v>
      </c>
      <c r="H565" s="242" t="s">
        <v>2568</v>
      </c>
      <c r="I565" s="241" t="s">
        <v>4219</v>
      </c>
      <c r="J565" s="242" t="s">
        <v>2569</v>
      </c>
      <c r="K565" s="242" t="s">
        <v>29</v>
      </c>
      <c r="L565" s="242" t="s">
        <v>30</v>
      </c>
      <c r="M565" s="242"/>
      <c r="N565" s="242"/>
      <c r="O565" s="242"/>
      <c r="P565" s="242" t="s">
        <v>31</v>
      </c>
      <c r="Q565" s="244" t="s">
        <v>32</v>
      </c>
      <c r="R565" s="248" t="s">
        <v>33</v>
      </c>
      <c r="S565" s="242" t="s">
        <v>2566</v>
      </c>
      <c r="T565" s="266">
        <v>27845</v>
      </c>
      <c r="U565" s="242" t="s">
        <v>2570</v>
      </c>
      <c r="V565" s="475" t="s">
        <v>80</v>
      </c>
      <c r="W565" s="474"/>
    </row>
    <row r="566" spans="1:23" ht="12.75">
      <c r="A566" s="297">
        <v>46080.893807870372</v>
      </c>
      <c r="B566" s="298" t="s">
        <v>2571</v>
      </c>
      <c r="C566" s="298" t="s">
        <v>2572</v>
      </c>
      <c r="D566" s="298" t="s">
        <v>45</v>
      </c>
      <c r="E566" s="299">
        <v>35568</v>
      </c>
      <c r="F566" s="298" t="s">
        <v>208</v>
      </c>
      <c r="G566" s="298" t="s">
        <v>2573</v>
      </c>
      <c r="H566" s="298" t="s">
        <v>2574</v>
      </c>
      <c r="I566" s="252" t="s">
        <v>4223</v>
      </c>
      <c r="J566" s="298" t="s">
        <v>2575</v>
      </c>
      <c r="K566" s="298" t="s">
        <v>39</v>
      </c>
      <c r="L566" s="298" t="s">
        <v>162</v>
      </c>
      <c r="M566" s="298"/>
      <c r="N566" s="298"/>
      <c r="O566" s="298"/>
      <c r="P566" s="298" t="s">
        <v>31</v>
      </c>
      <c r="Q566" s="253" t="s">
        <v>32</v>
      </c>
      <c r="R566" s="152"/>
      <c r="S566" s="206" t="s">
        <v>2576</v>
      </c>
      <c r="T566" s="261">
        <v>35568</v>
      </c>
      <c r="U566" s="206" t="s">
        <v>2575</v>
      </c>
      <c r="V566" s="473" t="s">
        <v>316</v>
      </c>
      <c r="W566" s="474"/>
    </row>
    <row r="567" spans="1:23" ht="12.75">
      <c r="A567" s="255">
        <v>46080.913981481484</v>
      </c>
      <c r="B567" s="141" t="s">
        <v>2577</v>
      </c>
      <c r="C567" s="141" t="s">
        <v>2578</v>
      </c>
      <c r="D567" s="141" t="s">
        <v>24</v>
      </c>
      <c r="E567" s="256">
        <v>34500</v>
      </c>
      <c r="F567" s="141" t="s">
        <v>52</v>
      </c>
      <c r="G567" s="141" t="s">
        <v>2579</v>
      </c>
      <c r="H567" s="141" t="s">
        <v>2580</v>
      </c>
      <c r="I567" s="252" t="s">
        <v>4219</v>
      </c>
      <c r="J567" s="141" t="s">
        <v>2581</v>
      </c>
      <c r="K567" s="141" t="s">
        <v>29</v>
      </c>
      <c r="L567" s="141" t="s">
        <v>30</v>
      </c>
      <c r="M567" s="141" t="s">
        <v>2582</v>
      </c>
      <c r="N567" s="141"/>
      <c r="O567" s="141"/>
      <c r="P567" s="141" t="s">
        <v>31</v>
      </c>
      <c r="Q567" s="253" t="s">
        <v>32</v>
      </c>
      <c r="R567" s="148" t="s">
        <v>33</v>
      </c>
      <c r="S567" s="206" t="s">
        <v>2577</v>
      </c>
      <c r="T567" s="261">
        <v>34500</v>
      </c>
      <c r="U567" s="206" t="s">
        <v>2581</v>
      </c>
      <c r="V567" s="473" t="s">
        <v>80</v>
      </c>
      <c r="W567" s="474"/>
    </row>
    <row r="568" spans="1:23" ht="12.75">
      <c r="A568" s="255">
        <v>46080.922395833331</v>
      </c>
      <c r="B568" s="141" t="s">
        <v>2583</v>
      </c>
      <c r="C568" s="141"/>
      <c r="D568" s="141" t="s">
        <v>24</v>
      </c>
      <c r="E568" s="256">
        <v>36759</v>
      </c>
      <c r="F568" s="141" t="s">
        <v>732</v>
      </c>
      <c r="G568" s="141" t="s">
        <v>2584</v>
      </c>
      <c r="H568" s="141" t="s">
        <v>2585</v>
      </c>
      <c r="I568" s="252" t="s">
        <v>4219</v>
      </c>
      <c r="J568" s="141" t="s">
        <v>2586</v>
      </c>
      <c r="K568" s="141" t="s">
        <v>29</v>
      </c>
      <c r="L568" s="141" t="s">
        <v>241</v>
      </c>
      <c r="M568" s="141"/>
      <c r="N568" s="141"/>
      <c r="O568" s="141"/>
      <c r="P568" s="141" t="s">
        <v>31</v>
      </c>
      <c r="Q568" s="253" t="s">
        <v>32</v>
      </c>
      <c r="R568" s="152"/>
      <c r="S568" s="206" t="s">
        <v>2583</v>
      </c>
      <c r="T568" s="261">
        <v>36759</v>
      </c>
      <c r="U568" s="206" t="s">
        <v>2586</v>
      </c>
      <c r="V568" s="473" t="s">
        <v>80</v>
      </c>
      <c r="W568" s="474"/>
    </row>
    <row r="569" spans="1:23" ht="12.75">
      <c r="A569" s="255">
        <v>46080.932673611111</v>
      </c>
      <c r="B569" s="141" t="s">
        <v>2587</v>
      </c>
      <c r="C569" s="141" t="s">
        <v>2587</v>
      </c>
      <c r="D569" s="141" t="s">
        <v>45</v>
      </c>
      <c r="E569" s="256">
        <v>35634</v>
      </c>
      <c r="F569" s="141" t="s">
        <v>208</v>
      </c>
      <c r="G569" s="141" t="s">
        <v>2588</v>
      </c>
      <c r="H569" s="141" t="s">
        <v>2589</v>
      </c>
      <c r="I569" s="252" t="s">
        <v>4223</v>
      </c>
      <c r="J569" s="141" t="s">
        <v>2590</v>
      </c>
      <c r="K569" s="141" t="s">
        <v>29</v>
      </c>
      <c r="L569" s="267">
        <v>46202</v>
      </c>
      <c r="M569" s="141"/>
      <c r="N569" s="141"/>
      <c r="O569" s="141"/>
      <c r="P569" s="141" t="s">
        <v>31</v>
      </c>
      <c r="Q569" s="253" t="s">
        <v>32</v>
      </c>
      <c r="R569" s="148" t="s">
        <v>33</v>
      </c>
      <c r="S569" s="206" t="s">
        <v>2587</v>
      </c>
      <c r="T569" s="261">
        <v>35634</v>
      </c>
      <c r="U569" s="206" t="s">
        <v>2590</v>
      </c>
      <c r="V569" s="473" t="s">
        <v>80</v>
      </c>
      <c r="W569" s="474"/>
    </row>
    <row r="570" spans="1:23" ht="12.75">
      <c r="A570" s="262">
        <v>46080.938287037039</v>
      </c>
      <c r="B570" s="263" t="s">
        <v>2591</v>
      </c>
      <c r="C570" s="263"/>
      <c r="D570" s="263" t="s">
        <v>24</v>
      </c>
      <c r="E570" s="264">
        <v>35302</v>
      </c>
      <c r="F570" s="263" t="s">
        <v>475</v>
      </c>
      <c r="G570" s="263" t="s">
        <v>2592</v>
      </c>
      <c r="H570" s="263" t="s">
        <v>2593</v>
      </c>
      <c r="I570" s="241" t="s">
        <v>4219</v>
      </c>
      <c r="J570" s="263" t="s">
        <v>2594</v>
      </c>
      <c r="K570" s="263" t="s">
        <v>39</v>
      </c>
      <c r="L570" s="263" t="s">
        <v>30</v>
      </c>
      <c r="M570" s="263"/>
      <c r="N570" s="263"/>
      <c r="O570" s="263"/>
      <c r="P570" s="263" t="s">
        <v>31</v>
      </c>
      <c r="Q570" s="244" t="s">
        <v>32</v>
      </c>
      <c r="R570" s="245" t="s">
        <v>33</v>
      </c>
      <c r="S570" s="242" t="s">
        <v>2591</v>
      </c>
      <c r="T570" s="266">
        <v>35302</v>
      </c>
      <c r="U570" s="242" t="s">
        <v>2594</v>
      </c>
      <c r="V570" s="475" t="s">
        <v>80</v>
      </c>
      <c r="W570" s="474"/>
    </row>
    <row r="571" spans="1:23" ht="12.75">
      <c r="A571" s="282">
        <v>46080.945185185185</v>
      </c>
      <c r="B571" s="283" t="s">
        <v>2595</v>
      </c>
      <c r="C571" s="283"/>
      <c r="D571" s="283" t="s">
        <v>45</v>
      </c>
      <c r="E571" s="284">
        <v>33632</v>
      </c>
      <c r="F571" s="283" t="s">
        <v>2596</v>
      </c>
      <c r="G571" s="283" t="s">
        <v>2597</v>
      </c>
      <c r="H571" s="283" t="s">
        <v>111</v>
      </c>
      <c r="I571" s="241" t="s">
        <v>4219</v>
      </c>
      <c r="J571" s="283" t="s">
        <v>2598</v>
      </c>
      <c r="K571" s="283" t="s">
        <v>39</v>
      </c>
      <c r="L571" s="283" t="s">
        <v>162</v>
      </c>
      <c r="M571" s="283"/>
      <c r="N571" s="283"/>
      <c r="O571" s="283"/>
      <c r="P571" s="283" t="s">
        <v>31</v>
      </c>
      <c r="Q571" s="244" t="s">
        <v>32</v>
      </c>
      <c r="R571" s="248" t="s">
        <v>33</v>
      </c>
      <c r="S571" s="242" t="s">
        <v>2595</v>
      </c>
      <c r="T571" s="266">
        <v>33632</v>
      </c>
      <c r="U571" s="242" t="s">
        <v>2598</v>
      </c>
      <c r="V571" s="475" t="s">
        <v>80</v>
      </c>
      <c r="W571" s="474"/>
    </row>
    <row r="572" spans="1:23" ht="12.75">
      <c r="A572" s="262">
        <v>46080.951956018522</v>
      </c>
      <c r="B572" s="478" t="s">
        <v>2599</v>
      </c>
      <c r="C572" s="474"/>
      <c r="D572" s="263" t="s">
        <v>24</v>
      </c>
      <c r="E572" s="264">
        <v>46200</v>
      </c>
      <c r="F572" s="263" t="s">
        <v>470</v>
      </c>
      <c r="G572" s="263" t="s">
        <v>2600</v>
      </c>
      <c r="H572" s="263" t="s">
        <v>2601</v>
      </c>
      <c r="I572" s="241" t="s">
        <v>4219</v>
      </c>
      <c r="J572" s="263" t="s">
        <v>2602</v>
      </c>
      <c r="K572" s="263" t="s">
        <v>29</v>
      </c>
      <c r="L572" s="263" t="s">
        <v>30</v>
      </c>
      <c r="M572" s="263"/>
      <c r="N572" s="263"/>
      <c r="O572" s="263"/>
      <c r="P572" s="263" t="s">
        <v>31</v>
      </c>
      <c r="Q572" s="244" t="s">
        <v>32</v>
      </c>
      <c r="R572" s="245" t="s">
        <v>33</v>
      </c>
      <c r="S572" s="242" t="s">
        <v>2603</v>
      </c>
      <c r="T572" s="266">
        <v>37065</v>
      </c>
      <c r="U572" s="242" t="s">
        <v>2602</v>
      </c>
      <c r="V572" s="475" t="s">
        <v>114</v>
      </c>
      <c r="W572" s="474"/>
    </row>
    <row r="573" spans="1:23" ht="12.75">
      <c r="A573" s="262">
        <v>46080.955277777779</v>
      </c>
      <c r="B573" s="263" t="s">
        <v>2604</v>
      </c>
      <c r="C573" s="263"/>
      <c r="D573" s="263" t="s">
        <v>24</v>
      </c>
      <c r="E573" s="264">
        <v>28446</v>
      </c>
      <c r="F573" s="263" t="s">
        <v>1063</v>
      </c>
      <c r="G573" s="263" t="s">
        <v>2605</v>
      </c>
      <c r="H573" s="263" t="s">
        <v>2606</v>
      </c>
      <c r="I573" s="241" t="s">
        <v>4219</v>
      </c>
      <c r="J573" s="263" t="s">
        <v>2607</v>
      </c>
      <c r="K573" s="263" t="s">
        <v>39</v>
      </c>
      <c r="L573" s="263" t="s">
        <v>30</v>
      </c>
      <c r="M573" s="263"/>
      <c r="N573" s="263"/>
      <c r="O573" s="263"/>
      <c r="P573" s="263" t="s">
        <v>31</v>
      </c>
      <c r="Q573" s="244" t="s">
        <v>32</v>
      </c>
      <c r="R573" s="248" t="s">
        <v>33</v>
      </c>
      <c r="S573" s="242" t="s">
        <v>2604</v>
      </c>
      <c r="T573" s="266">
        <v>28446</v>
      </c>
      <c r="U573" s="242" t="s">
        <v>2607</v>
      </c>
      <c r="V573" s="475" t="s">
        <v>80</v>
      </c>
      <c r="W573" s="474"/>
    </row>
    <row r="574" spans="1:23" ht="12.75">
      <c r="A574" s="262">
        <v>46081.001759259256</v>
      </c>
      <c r="B574" s="263" t="s">
        <v>2608</v>
      </c>
      <c r="C574" s="263"/>
      <c r="D574" s="263" t="s">
        <v>45</v>
      </c>
      <c r="E574" s="264">
        <v>34121</v>
      </c>
      <c r="F574" s="242" t="s">
        <v>980</v>
      </c>
      <c r="G574" s="263" t="s">
        <v>2609</v>
      </c>
      <c r="H574" s="263" t="s">
        <v>111</v>
      </c>
      <c r="I574" s="241" t="s">
        <v>4219</v>
      </c>
      <c r="J574" s="263" t="s">
        <v>2610</v>
      </c>
      <c r="K574" s="263" t="s">
        <v>29</v>
      </c>
      <c r="L574" s="263" t="s">
        <v>152</v>
      </c>
      <c r="M574" s="263"/>
      <c r="N574" s="263"/>
      <c r="O574" s="263"/>
      <c r="P574" s="263" t="s">
        <v>31</v>
      </c>
      <c r="Q574" s="244" t="s">
        <v>32</v>
      </c>
      <c r="R574" s="245" t="s">
        <v>33</v>
      </c>
      <c r="S574" s="242" t="s">
        <v>2608</v>
      </c>
      <c r="T574" s="266">
        <v>34121</v>
      </c>
      <c r="U574" s="242" t="s">
        <v>2611</v>
      </c>
      <c r="V574" s="475" t="s">
        <v>80</v>
      </c>
      <c r="W574" s="474"/>
    </row>
    <row r="575" spans="1:23" ht="12.75">
      <c r="A575" s="262">
        <v>46081.022592592592</v>
      </c>
      <c r="B575" s="263" t="s">
        <v>2612</v>
      </c>
      <c r="C575" s="263"/>
      <c r="D575" s="263" t="s">
        <v>45</v>
      </c>
      <c r="E575" s="264">
        <v>28807</v>
      </c>
      <c r="F575" s="263" t="s">
        <v>1316</v>
      </c>
      <c r="G575" s="263" t="s">
        <v>2613</v>
      </c>
      <c r="H575" s="263" t="s">
        <v>738</v>
      </c>
      <c r="I575" s="241" t="s">
        <v>4223</v>
      </c>
      <c r="J575" s="263" t="s">
        <v>2614</v>
      </c>
      <c r="K575" s="263" t="s">
        <v>39</v>
      </c>
      <c r="L575" s="263" t="s">
        <v>162</v>
      </c>
      <c r="M575" s="263"/>
      <c r="N575" s="263"/>
      <c r="O575" s="263"/>
      <c r="P575" s="263" t="s">
        <v>31</v>
      </c>
      <c r="Q575" s="244" t="s">
        <v>32</v>
      </c>
      <c r="R575" s="248" t="s">
        <v>33</v>
      </c>
      <c r="S575" s="242" t="s">
        <v>2615</v>
      </c>
      <c r="T575" s="266">
        <v>28807</v>
      </c>
      <c r="U575" s="242" t="s">
        <v>2614</v>
      </c>
      <c r="V575" s="475" t="s">
        <v>80</v>
      </c>
      <c r="W575" s="474"/>
    </row>
    <row r="576" spans="1:23" ht="12.75">
      <c r="A576" s="282">
        <v>46081.028078703705</v>
      </c>
      <c r="B576" s="283" t="s">
        <v>2616</v>
      </c>
      <c r="C576" s="283"/>
      <c r="D576" s="283" t="s">
        <v>24</v>
      </c>
      <c r="E576" s="284">
        <v>24960</v>
      </c>
      <c r="F576" s="283" t="s">
        <v>1179</v>
      </c>
      <c r="G576" s="283" t="s">
        <v>2617</v>
      </c>
      <c r="H576" s="283" t="s">
        <v>66</v>
      </c>
      <c r="I576" s="241" t="s">
        <v>4237</v>
      </c>
      <c r="J576" s="283" t="s">
        <v>2618</v>
      </c>
      <c r="K576" s="283" t="s">
        <v>29</v>
      </c>
      <c r="L576" s="283" t="s">
        <v>30</v>
      </c>
      <c r="M576" s="283" t="s">
        <v>2619</v>
      </c>
      <c r="N576" s="283"/>
      <c r="O576" s="283"/>
      <c r="P576" s="283" t="s">
        <v>31</v>
      </c>
      <c r="Q576" s="244" t="s">
        <v>32</v>
      </c>
      <c r="R576" s="245" t="s">
        <v>33</v>
      </c>
      <c r="S576" s="242" t="s">
        <v>2616</v>
      </c>
      <c r="T576" s="266">
        <v>46052</v>
      </c>
      <c r="U576" s="242" t="s">
        <v>2618</v>
      </c>
      <c r="V576" s="242" t="s">
        <v>236</v>
      </c>
      <c r="W576" s="242"/>
    </row>
    <row r="577" spans="1:23" ht="12.75">
      <c r="A577" s="274">
        <v>46081.049039351848</v>
      </c>
      <c r="B577" s="242" t="s">
        <v>2620</v>
      </c>
      <c r="C577" s="242"/>
      <c r="D577" s="242" t="s">
        <v>24</v>
      </c>
      <c r="E577" s="275">
        <v>33387</v>
      </c>
      <c r="F577" s="242" t="s">
        <v>438</v>
      </c>
      <c r="G577" s="242" t="s">
        <v>2621</v>
      </c>
      <c r="H577" s="242" t="s">
        <v>2622</v>
      </c>
      <c r="I577" s="241" t="s">
        <v>4219</v>
      </c>
      <c r="J577" s="242" t="s">
        <v>2623</v>
      </c>
      <c r="K577" s="242" t="s">
        <v>39</v>
      </c>
      <c r="L577" s="242" t="s">
        <v>30</v>
      </c>
      <c r="M577" s="242"/>
      <c r="N577" s="242"/>
      <c r="O577" s="242"/>
      <c r="P577" s="242" t="s">
        <v>31</v>
      </c>
      <c r="Q577" s="244" t="s">
        <v>32</v>
      </c>
      <c r="R577" s="248" t="s">
        <v>33</v>
      </c>
      <c r="S577" s="242" t="s">
        <v>2624</v>
      </c>
      <c r="T577" s="266">
        <v>33387</v>
      </c>
      <c r="U577" s="242" t="s">
        <v>2623</v>
      </c>
      <c r="V577" s="475" t="s">
        <v>80</v>
      </c>
      <c r="W577" s="474"/>
    </row>
    <row r="578" spans="1:23" ht="12.75">
      <c r="A578" s="262">
        <v>46081.069374999999</v>
      </c>
      <c r="B578" s="263" t="s">
        <v>2625</v>
      </c>
      <c r="C578" s="263"/>
      <c r="D578" s="263" t="s">
        <v>24</v>
      </c>
      <c r="E578" s="264">
        <v>33925</v>
      </c>
      <c r="F578" s="263" t="s">
        <v>438</v>
      </c>
      <c r="G578" s="263" t="s">
        <v>1068</v>
      </c>
      <c r="H578" s="263" t="s">
        <v>957</v>
      </c>
      <c r="I578" s="241" t="s">
        <v>4219</v>
      </c>
      <c r="J578" s="263" t="s">
        <v>2626</v>
      </c>
      <c r="K578" s="263" t="s">
        <v>39</v>
      </c>
      <c r="L578" s="263" t="s">
        <v>30</v>
      </c>
      <c r="M578" s="263"/>
      <c r="N578" s="263"/>
      <c r="O578" s="263"/>
      <c r="P578" s="263" t="s">
        <v>31</v>
      </c>
      <c r="Q578" s="244" t="s">
        <v>32</v>
      </c>
      <c r="R578" s="245" t="s">
        <v>33</v>
      </c>
      <c r="S578" s="242" t="s">
        <v>2627</v>
      </c>
      <c r="T578" s="266">
        <v>33925</v>
      </c>
      <c r="U578" s="242" t="s">
        <v>2626</v>
      </c>
      <c r="V578" s="475" t="s">
        <v>1670</v>
      </c>
      <c r="W578" s="474"/>
    </row>
    <row r="579" spans="1:23" ht="12.75">
      <c r="A579" s="262">
        <v>46081.076956018522</v>
      </c>
      <c r="B579" s="478" t="s">
        <v>2628</v>
      </c>
      <c r="C579" s="474"/>
      <c r="D579" s="263" t="s">
        <v>24</v>
      </c>
      <c r="E579" s="264">
        <v>19023</v>
      </c>
      <c r="F579" s="263" t="s">
        <v>1316</v>
      </c>
      <c r="G579" s="263" t="s">
        <v>2629</v>
      </c>
      <c r="H579" s="263" t="s">
        <v>2630</v>
      </c>
      <c r="I579" s="241" t="s">
        <v>4223</v>
      </c>
      <c r="J579" s="263" t="s">
        <v>2631</v>
      </c>
      <c r="K579" s="263" t="s">
        <v>39</v>
      </c>
      <c r="L579" s="263" t="s">
        <v>152</v>
      </c>
      <c r="M579" s="263"/>
      <c r="N579" s="263"/>
      <c r="O579" s="263"/>
      <c r="P579" s="263" t="s">
        <v>31</v>
      </c>
      <c r="Q579" s="244" t="s">
        <v>32</v>
      </c>
      <c r="R579" s="248" t="s">
        <v>33</v>
      </c>
      <c r="S579" s="242" t="s">
        <v>2632</v>
      </c>
      <c r="T579" s="266">
        <v>19023</v>
      </c>
      <c r="U579" s="242" t="s">
        <v>2631</v>
      </c>
      <c r="V579" s="475" t="s">
        <v>80</v>
      </c>
      <c r="W579" s="474"/>
    </row>
    <row r="580" spans="1:23" ht="12.75">
      <c r="A580" s="262">
        <v>46081.111898148149</v>
      </c>
      <c r="B580" s="263" t="s">
        <v>2633</v>
      </c>
      <c r="C580" s="263" t="s">
        <v>2634</v>
      </c>
      <c r="D580" s="263" t="s">
        <v>45</v>
      </c>
      <c r="E580" s="264">
        <v>28090</v>
      </c>
      <c r="F580" s="263" t="s">
        <v>1316</v>
      </c>
      <c r="G580" s="263" t="s">
        <v>2613</v>
      </c>
      <c r="H580" s="263" t="s">
        <v>2635</v>
      </c>
      <c r="I580" s="241" t="s">
        <v>4223</v>
      </c>
      <c r="J580" s="263" t="s">
        <v>2636</v>
      </c>
      <c r="K580" s="263" t="s">
        <v>39</v>
      </c>
      <c r="L580" s="263" t="s">
        <v>30</v>
      </c>
      <c r="M580" s="263"/>
      <c r="N580" s="263"/>
      <c r="O580" s="263"/>
      <c r="P580" s="263" t="s">
        <v>31</v>
      </c>
      <c r="Q580" s="244" t="s">
        <v>32</v>
      </c>
      <c r="R580" s="245" t="s">
        <v>33</v>
      </c>
      <c r="S580" s="242" t="s">
        <v>2633</v>
      </c>
      <c r="T580" s="266">
        <v>28090</v>
      </c>
      <c r="U580" s="242" t="s">
        <v>2636</v>
      </c>
      <c r="V580" s="475" t="s">
        <v>80</v>
      </c>
      <c r="W580" s="474"/>
    </row>
    <row r="581" spans="1:23" ht="12.75">
      <c r="A581" s="255">
        <v>46081.133032407408</v>
      </c>
      <c r="B581" s="141" t="s">
        <v>2637</v>
      </c>
      <c r="C581" s="141"/>
      <c r="D581" s="141" t="s">
        <v>24</v>
      </c>
      <c r="E581" s="256">
        <v>35638</v>
      </c>
      <c r="F581" s="141" t="s">
        <v>322</v>
      </c>
      <c r="G581" s="141" t="s">
        <v>2638</v>
      </c>
      <c r="H581" s="141" t="s">
        <v>2639</v>
      </c>
      <c r="I581" s="252" t="s">
        <v>4219</v>
      </c>
      <c r="J581" s="141" t="s">
        <v>2640</v>
      </c>
      <c r="K581" s="141" t="s">
        <v>29</v>
      </c>
      <c r="L581" s="267">
        <v>46202</v>
      </c>
      <c r="M581" s="141"/>
      <c r="N581" s="141"/>
      <c r="O581" s="141"/>
      <c r="P581" s="141" t="s">
        <v>31</v>
      </c>
      <c r="Q581" s="257" t="s">
        <v>56</v>
      </c>
      <c r="R581" s="24"/>
      <c r="S581" s="206"/>
      <c r="T581" s="258"/>
      <c r="U581" s="206"/>
      <c r="V581" s="206"/>
      <c r="W581" s="206"/>
    </row>
    <row r="582" spans="1:23" ht="12.75">
      <c r="A582" s="297">
        <v>46081.14634259259</v>
      </c>
      <c r="B582" s="298" t="s">
        <v>2641</v>
      </c>
      <c r="C582" s="298"/>
      <c r="D582" s="298" t="s">
        <v>24</v>
      </c>
      <c r="E582" s="299">
        <v>37659</v>
      </c>
      <c r="F582" s="141" t="s">
        <v>208</v>
      </c>
      <c r="G582" s="298" t="s">
        <v>2642</v>
      </c>
      <c r="H582" s="298" t="s">
        <v>66</v>
      </c>
      <c r="I582" s="252" t="s">
        <v>4223</v>
      </c>
      <c r="J582" s="298" t="s">
        <v>2643</v>
      </c>
      <c r="K582" s="298" t="s">
        <v>39</v>
      </c>
      <c r="L582" s="298" t="s">
        <v>30</v>
      </c>
      <c r="M582" s="298"/>
      <c r="N582" s="298"/>
      <c r="O582" s="298"/>
      <c r="P582" s="298" t="s">
        <v>31</v>
      </c>
      <c r="Q582" s="253" t="s">
        <v>32</v>
      </c>
      <c r="R582" s="148" t="s">
        <v>33</v>
      </c>
      <c r="S582" s="206" t="s">
        <v>2641</v>
      </c>
      <c r="T582" s="261">
        <v>37659</v>
      </c>
      <c r="U582" s="206" t="s">
        <v>2643</v>
      </c>
      <c r="V582" s="473" t="s">
        <v>80</v>
      </c>
      <c r="W582" s="474"/>
    </row>
    <row r="583" spans="1:23" ht="12.75">
      <c r="A583" s="268">
        <v>46081.1641087963</v>
      </c>
      <c r="B583" s="269" t="s">
        <v>2644</v>
      </c>
      <c r="C583" s="269"/>
      <c r="D583" s="269" t="s">
        <v>45</v>
      </c>
      <c r="E583" s="270">
        <v>36941</v>
      </c>
      <c r="F583" s="141" t="s">
        <v>208</v>
      </c>
      <c r="G583" s="269" t="s">
        <v>2645</v>
      </c>
      <c r="H583" s="269" t="s">
        <v>2646</v>
      </c>
      <c r="I583" s="252" t="s">
        <v>4223</v>
      </c>
      <c r="J583" s="269" t="s">
        <v>2647</v>
      </c>
      <c r="K583" s="269" t="s">
        <v>39</v>
      </c>
      <c r="L583" s="269" t="s">
        <v>30</v>
      </c>
      <c r="M583" s="269"/>
      <c r="N583" s="269"/>
      <c r="O583" s="269"/>
      <c r="P583" s="269" t="s">
        <v>31</v>
      </c>
      <c r="Q583" s="253" t="s">
        <v>32</v>
      </c>
      <c r="R583" s="152" t="s">
        <v>2648</v>
      </c>
      <c r="S583" s="206" t="s">
        <v>2644</v>
      </c>
      <c r="T583" s="261">
        <v>36941</v>
      </c>
      <c r="U583" s="206" t="s">
        <v>2649</v>
      </c>
      <c r="V583" s="473" t="s">
        <v>101</v>
      </c>
      <c r="W583" s="474"/>
    </row>
    <row r="584" spans="1:23" ht="12.75">
      <c r="A584" s="297">
        <v>46081.196712962963</v>
      </c>
      <c r="B584" s="298" t="s">
        <v>2650</v>
      </c>
      <c r="C584" s="298" t="s">
        <v>2650</v>
      </c>
      <c r="D584" s="298" t="s">
        <v>24</v>
      </c>
      <c r="E584" s="299">
        <v>34029</v>
      </c>
      <c r="F584" s="298" t="s">
        <v>346</v>
      </c>
      <c r="G584" s="298" t="s">
        <v>2651</v>
      </c>
      <c r="H584" s="298" t="s">
        <v>1006</v>
      </c>
      <c r="I584" s="252" t="s">
        <v>4219</v>
      </c>
      <c r="J584" s="298" t="s">
        <v>2652</v>
      </c>
      <c r="K584" s="298" t="s">
        <v>29</v>
      </c>
      <c r="L584" s="298" t="s">
        <v>30</v>
      </c>
      <c r="M584" s="298"/>
      <c r="N584" s="298"/>
      <c r="O584" s="298"/>
      <c r="P584" s="298" t="s">
        <v>31</v>
      </c>
      <c r="Q584" s="253" t="s">
        <v>32</v>
      </c>
      <c r="R584" s="148"/>
      <c r="S584" s="206" t="s">
        <v>2650</v>
      </c>
      <c r="T584" s="261">
        <v>34043</v>
      </c>
      <c r="U584" s="206" t="s">
        <v>2652</v>
      </c>
      <c r="V584" s="206" t="s">
        <v>236</v>
      </c>
      <c r="W584" s="206"/>
    </row>
    <row r="585" spans="1:23" ht="12.75">
      <c r="A585" s="289">
        <v>46081.198796296296</v>
      </c>
      <c r="B585" s="290" t="s">
        <v>2653</v>
      </c>
      <c r="C585" s="290"/>
      <c r="D585" s="290" t="s">
        <v>24</v>
      </c>
      <c r="E585" s="291">
        <v>33190</v>
      </c>
      <c r="F585" s="290" t="s">
        <v>623</v>
      </c>
      <c r="G585" s="290" t="s">
        <v>2654</v>
      </c>
      <c r="H585" s="290" t="s">
        <v>2655</v>
      </c>
      <c r="I585" s="241" t="s">
        <v>4219</v>
      </c>
      <c r="J585" s="290" t="s">
        <v>2656</v>
      </c>
      <c r="K585" s="290" t="s">
        <v>29</v>
      </c>
      <c r="L585" s="290" t="s">
        <v>30</v>
      </c>
      <c r="M585" s="290"/>
      <c r="N585" s="290"/>
      <c r="O585" s="290"/>
      <c r="P585" s="290" t="s">
        <v>31</v>
      </c>
      <c r="Q585" s="244" t="s">
        <v>32</v>
      </c>
      <c r="R585" s="245" t="s">
        <v>33</v>
      </c>
      <c r="S585" s="242" t="s">
        <v>2653</v>
      </c>
      <c r="T585" s="266">
        <v>33190</v>
      </c>
      <c r="U585" s="242" t="s">
        <v>2656</v>
      </c>
      <c r="V585" s="475" t="s">
        <v>80</v>
      </c>
      <c r="W585" s="474"/>
    </row>
    <row r="586" spans="1:23" ht="12.75">
      <c r="A586" s="274">
        <v>46081.22179398148</v>
      </c>
      <c r="B586" s="475" t="s">
        <v>2657</v>
      </c>
      <c r="C586" s="474"/>
      <c r="D586" s="242" t="s">
        <v>24</v>
      </c>
      <c r="E586" s="275">
        <v>30314</v>
      </c>
      <c r="F586" s="242" t="s">
        <v>198</v>
      </c>
      <c r="G586" s="242" t="s">
        <v>586</v>
      </c>
      <c r="H586" s="242" t="s">
        <v>882</v>
      </c>
      <c r="I586" s="241" t="s">
        <v>4219</v>
      </c>
      <c r="J586" s="242" t="s">
        <v>2658</v>
      </c>
      <c r="K586" s="242" t="s">
        <v>29</v>
      </c>
      <c r="L586" s="242" t="s">
        <v>30</v>
      </c>
      <c r="M586" s="475" t="s">
        <v>2659</v>
      </c>
      <c r="N586" s="474"/>
      <c r="O586" s="242"/>
      <c r="P586" s="242" t="s">
        <v>31</v>
      </c>
      <c r="Q586" s="244" t="s">
        <v>32</v>
      </c>
      <c r="R586" s="248" t="s">
        <v>43</v>
      </c>
      <c r="S586" s="242" t="s">
        <v>2657</v>
      </c>
      <c r="T586" s="266">
        <v>30314</v>
      </c>
      <c r="U586" s="242" t="s">
        <v>2658</v>
      </c>
      <c r="V586" s="475" t="s">
        <v>80</v>
      </c>
      <c r="W586" s="474"/>
    </row>
    <row r="587" spans="1:23" ht="12.75">
      <c r="A587" s="255">
        <v>46081.225115740737</v>
      </c>
      <c r="B587" s="141" t="s">
        <v>2660</v>
      </c>
      <c r="C587" s="141"/>
      <c r="D587" s="141" t="s">
        <v>45</v>
      </c>
      <c r="E587" s="256">
        <v>36162</v>
      </c>
      <c r="F587" s="141" t="s">
        <v>380</v>
      </c>
      <c r="G587" s="141" t="s">
        <v>2661</v>
      </c>
      <c r="H587" s="141" t="s">
        <v>66</v>
      </c>
      <c r="I587" s="252" t="s">
        <v>4223</v>
      </c>
      <c r="J587" s="141" t="s">
        <v>2662</v>
      </c>
      <c r="K587" s="141" t="s">
        <v>29</v>
      </c>
      <c r="L587" s="267">
        <v>46202</v>
      </c>
      <c r="M587" s="141"/>
      <c r="N587" s="141"/>
      <c r="O587" s="141"/>
      <c r="P587" s="141" t="s">
        <v>31</v>
      </c>
      <c r="Q587" s="253" t="s">
        <v>32</v>
      </c>
      <c r="R587" s="152"/>
      <c r="S587" s="206" t="s">
        <v>2660</v>
      </c>
      <c r="T587" s="261">
        <v>36162</v>
      </c>
      <c r="U587" s="206" t="s">
        <v>2662</v>
      </c>
      <c r="V587" s="473" t="s">
        <v>80</v>
      </c>
      <c r="W587" s="474"/>
    </row>
    <row r="588" spans="1:23" ht="12.75">
      <c r="A588" s="282">
        <v>46081.269328703704</v>
      </c>
      <c r="B588" s="283" t="s">
        <v>2663</v>
      </c>
      <c r="C588" s="283"/>
      <c r="D588" s="283" t="s">
        <v>24</v>
      </c>
      <c r="E588" s="284">
        <v>36397</v>
      </c>
      <c r="F588" s="242" t="s">
        <v>208</v>
      </c>
      <c r="G588" s="283" t="s">
        <v>2664</v>
      </c>
      <c r="H588" s="283" t="s">
        <v>2665</v>
      </c>
      <c r="I588" s="241" t="s">
        <v>4223</v>
      </c>
      <c r="J588" s="283" t="s">
        <v>2666</v>
      </c>
      <c r="K588" s="283" t="s">
        <v>29</v>
      </c>
      <c r="L588" s="283" t="s">
        <v>30</v>
      </c>
      <c r="M588" s="283"/>
      <c r="N588" s="283"/>
      <c r="O588" s="283"/>
      <c r="P588" s="283" t="s">
        <v>31</v>
      </c>
      <c r="Q588" s="244" t="s">
        <v>32</v>
      </c>
      <c r="R588" s="248" t="s">
        <v>33</v>
      </c>
      <c r="S588" s="242" t="s">
        <v>2663</v>
      </c>
      <c r="T588" s="266">
        <v>36397</v>
      </c>
      <c r="U588" s="242" t="s">
        <v>2666</v>
      </c>
      <c r="V588" s="475" t="s">
        <v>80</v>
      </c>
      <c r="W588" s="474"/>
    </row>
    <row r="589" spans="1:23" ht="12.75">
      <c r="A589" s="262">
        <v>46081.352256944447</v>
      </c>
      <c r="B589" s="263" t="s">
        <v>2667</v>
      </c>
      <c r="C589" s="263"/>
      <c r="D589" s="263" t="s">
        <v>45</v>
      </c>
      <c r="E589" s="264">
        <v>19426</v>
      </c>
      <c r="F589" s="263" t="s">
        <v>203</v>
      </c>
      <c r="G589" s="263" t="s">
        <v>2668</v>
      </c>
      <c r="H589" s="263" t="s">
        <v>1891</v>
      </c>
      <c r="I589" s="241" t="s">
        <v>4219</v>
      </c>
      <c r="J589" s="263" t="s">
        <v>2669</v>
      </c>
      <c r="K589" s="263" t="s">
        <v>39</v>
      </c>
      <c r="L589" s="263" t="s">
        <v>162</v>
      </c>
      <c r="M589" s="263"/>
      <c r="N589" s="263"/>
      <c r="O589" s="263"/>
      <c r="P589" s="263" t="s">
        <v>31</v>
      </c>
      <c r="Q589" s="244" t="s">
        <v>32</v>
      </c>
      <c r="R589" s="245" t="s">
        <v>33</v>
      </c>
      <c r="S589" s="242" t="s">
        <v>2667</v>
      </c>
      <c r="T589" s="266">
        <v>19426</v>
      </c>
      <c r="U589" s="242" t="s">
        <v>2669</v>
      </c>
      <c r="V589" s="475" t="s">
        <v>80</v>
      </c>
      <c r="W589" s="474"/>
    </row>
    <row r="590" spans="1:23" ht="12.75">
      <c r="A590" s="274">
        <v>46081.476782407408</v>
      </c>
      <c r="B590" s="242" t="s">
        <v>2670</v>
      </c>
      <c r="C590" s="242" t="s">
        <v>2671</v>
      </c>
      <c r="D590" s="242" t="s">
        <v>24</v>
      </c>
      <c r="E590" s="275">
        <v>27686</v>
      </c>
      <c r="F590" s="242" t="s">
        <v>1063</v>
      </c>
      <c r="G590" s="242" t="s">
        <v>2672</v>
      </c>
      <c r="H590" s="242" t="s">
        <v>2673</v>
      </c>
      <c r="I590" s="241" t="s">
        <v>4219</v>
      </c>
      <c r="J590" s="242" t="s">
        <v>2674</v>
      </c>
      <c r="K590" s="242" t="s">
        <v>29</v>
      </c>
      <c r="L590" s="242" t="s">
        <v>30</v>
      </c>
      <c r="M590" s="242" t="s">
        <v>2675</v>
      </c>
      <c r="N590" s="242"/>
      <c r="O590" s="242"/>
      <c r="P590" s="242" t="s">
        <v>31</v>
      </c>
      <c r="Q590" s="244" t="s">
        <v>32</v>
      </c>
      <c r="R590" s="248" t="s">
        <v>33</v>
      </c>
      <c r="S590" s="242" t="s">
        <v>2676</v>
      </c>
      <c r="T590" s="266">
        <v>27686</v>
      </c>
      <c r="U590" s="242" t="s">
        <v>2674</v>
      </c>
      <c r="V590" s="475" t="s">
        <v>1159</v>
      </c>
      <c r="W590" s="474"/>
    </row>
    <row r="591" spans="1:23" ht="12.75">
      <c r="A591" s="286">
        <v>46081.571921296294</v>
      </c>
      <c r="B591" s="287" t="s">
        <v>2677</v>
      </c>
      <c r="C591" s="287"/>
      <c r="D591" s="287" t="s">
        <v>24</v>
      </c>
      <c r="E591" s="288">
        <v>25411</v>
      </c>
      <c r="F591" s="287" t="s">
        <v>416</v>
      </c>
      <c r="G591" s="287" t="s">
        <v>209</v>
      </c>
      <c r="H591" s="287" t="s">
        <v>2678</v>
      </c>
      <c r="I591" s="241" t="s">
        <v>4219</v>
      </c>
      <c r="J591" s="287" t="s">
        <v>2679</v>
      </c>
      <c r="K591" s="287" t="s">
        <v>29</v>
      </c>
      <c r="L591" s="287" t="s">
        <v>30</v>
      </c>
      <c r="M591" s="310"/>
      <c r="N591" s="287"/>
      <c r="O591" s="287"/>
      <c r="P591" s="287" t="s">
        <v>31</v>
      </c>
      <c r="Q591" s="244" t="s">
        <v>32</v>
      </c>
      <c r="R591" s="245" t="s">
        <v>33</v>
      </c>
      <c r="S591" s="242" t="s">
        <v>2677</v>
      </c>
      <c r="T591" s="266">
        <v>25411</v>
      </c>
      <c r="U591" s="242" t="s">
        <v>2679</v>
      </c>
      <c r="V591" s="475" t="s">
        <v>80</v>
      </c>
      <c r="W591" s="474"/>
    </row>
    <row r="592" spans="1:23" ht="12.75">
      <c r="A592" s="282">
        <v>46081.582303240742</v>
      </c>
      <c r="B592" s="283" t="s">
        <v>2680</v>
      </c>
      <c r="C592" s="283"/>
      <c r="D592" s="283" t="s">
        <v>45</v>
      </c>
      <c r="E592" s="284">
        <v>33509</v>
      </c>
      <c r="F592" s="283" t="s">
        <v>475</v>
      </c>
      <c r="G592" s="283" t="s">
        <v>2681</v>
      </c>
      <c r="H592" s="283" t="s">
        <v>2682</v>
      </c>
      <c r="I592" s="241" t="s">
        <v>4219</v>
      </c>
      <c r="J592" s="283" t="s">
        <v>2683</v>
      </c>
      <c r="K592" s="283" t="s">
        <v>29</v>
      </c>
      <c r="L592" s="283" t="s">
        <v>30</v>
      </c>
      <c r="M592" s="283"/>
      <c r="N592" s="283"/>
      <c r="O592" s="283"/>
      <c r="P592" s="283" t="s">
        <v>31</v>
      </c>
      <c r="Q592" s="244" t="s">
        <v>32</v>
      </c>
      <c r="R592" s="248" t="s">
        <v>33</v>
      </c>
      <c r="S592" s="242" t="s">
        <v>2684</v>
      </c>
      <c r="T592" s="266">
        <v>33509</v>
      </c>
      <c r="U592" s="242" t="s">
        <v>2683</v>
      </c>
      <c r="V592" s="475" t="s">
        <v>154</v>
      </c>
      <c r="W592" s="474"/>
    </row>
    <row r="593" spans="1:23" ht="12.75">
      <c r="A593" s="262">
        <v>46081.624062499999</v>
      </c>
      <c r="B593" s="263" t="s">
        <v>2685</v>
      </c>
      <c r="C593" s="263" t="s">
        <v>941</v>
      </c>
      <c r="D593" s="263" t="s">
        <v>45</v>
      </c>
      <c r="E593" s="264">
        <v>34242</v>
      </c>
      <c r="F593" s="263" t="s">
        <v>2378</v>
      </c>
      <c r="G593" s="263" t="s">
        <v>2686</v>
      </c>
      <c r="H593" s="263" t="s">
        <v>418</v>
      </c>
      <c r="I593" s="241" t="s">
        <v>4219</v>
      </c>
      <c r="J593" s="263" t="s">
        <v>2687</v>
      </c>
      <c r="K593" s="263" t="s">
        <v>39</v>
      </c>
      <c r="L593" s="263" t="s">
        <v>30</v>
      </c>
      <c r="M593" s="263"/>
      <c r="N593" s="263"/>
      <c r="O593" s="263"/>
      <c r="P593" s="263" t="s">
        <v>31</v>
      </c>
      <c r="Q593" s="244" t="s">
        <v>32</v>
      </c>
      <c r="R593" s="245" t="s">
        <v>33</v>
      </c>
      <c r="S593" s="242" t="s">
        <v>2685</v>
      </c>
      <c r="T593" s="266">
        <v>34242</v>
      </c>
      <c r="U593" s="242" t="s">
        <v>2688</v>
      </c>
      <c r="V593" s="475" t="s">
        <v>80</v>
      </c>
      <c r="W593" s="474"/>
    </row>
    <row r="594" spans="1:23" ht="12.75">
      <c r="A594" s="274">
        <v>46081.648831018516</v>
      </c>
      <c r="B594" s="242" t="s">
        <v>2689</v>
      </c>
      <c r="C594" s="242"/>
      <c r="D594" s="242" t="s">
        <v>45</v>
      </c>
      <c r="E594" s="275">
        <v>28388</v>
      </c>
      <c r="F594" s="242" t="s">
        <v>732</v>
      </c>
      <c r="G594" s="242" t="s">
        <v>2690</v>
      </c>
      <c r="H594" s="242" t="s">
        <v>2691</v>
      </c>
      <c r="I594" s="241" t="s">
        <v>4219</v>
      </c>
      <c r="J594" s="242" t="s">
        <v>2692</v>
      </c>
      <c r="K594" s="242" t="s">
        <v>29</v>
      </c>
      <c r="L594" s="285">
        <v>46202</v>
      </c>
      <c r="M594" s="242"/>
      <c r="N594" s="242"/>
      <c r="O594" s="242"/>
      <c r="P594" s="242" t="s">
        <v>31</v>
      </c>
      <c r="Q594" s="244" t="s">
        <v>32</v>
      </c>
      <c r="R594" s="248" t="s">
        <v>33</v>
      </c>
      <c r="S594" s="242" t="s">
        <v>2693</v>
      </c>
      <c r="T594" s="266">
        <v>28388</v>
      </c>
      <c r="U594" s="242" t="s">
        <v>2692</v>
      </c>
      <c r="V594" s="475" t="s">
        <v>1670</v>
      </c>
      <c r="W594" s="474"/>
    </row>
    <row r="595" spans="1:23" ht="12.75">
      <c r="A595" s="268">
        <v>46081.65861111111</v>
      </c>
      <c r="B595" s="481" t="s">
        <v>2694</v>
      </c>
      <c r="C595" s="474"/>
      <c r="D595" s="269" t="s">
        <v>45</v>
      </c>
      <c r="E595" s="270">
        <v>34879</v>
      </c>
      <c r="F595" s="269" t="s">
        <v>416</v>
      </c>
      <c r="G595" s="269" t="s">
        <v>2695</v>
      </c>
      <c r="H595" s="269" t="s">
        <v>1049</v>
      </c>
      <c r="I595" s="252" t="s">
        <v>4219</v>
      </c>
      <c r="J595" s="269" t="s">
        <v>2696</v>
      </c>
      <c r="K595" s="269" t="s">
        <v>29</v>
      </c>
      <c r="L595" s="269" t="s">
        <v>30</v>
      </c>
      <c r="M595" s="305"/>
      <c r="N595" s="269"/>
      <c r="O595" s="269"/>
      <c r="P595" s="269" t="s">
        <v>31</v>
      </c>
      <c r="Q595" s="253" t="s">
        <v>32</v>
      </c>
      <c r="R595" s="152" t="s">
        <v>33</v>
      </c>
      <c r="S595" s="206" t="s">
        <v>2694</v>
      </c>
      <c r="T595" s="261">
        <v>34879</v>
      </c>
      <c r="U595" s="206" t="s">
        <v>2696</v>
      </c>
      <c r="V595" s="473" t="s">
        <v>80</v>
      </c>
      <c r="W595" s="474"/>
    </row>
    <row r="596" spans="1:23" ht="12.75">
      <c r="A596" s="268">
        <v>46081.65861111111</v>
      </c>
      <c r="B596" s="269" t="s">
        <v>2697</v>
      </c>
      <c r="C596" s="269" t="s">
        <v>2698</v>
      </c>
      <c r="D596" s="269" t="s">
        <v>45</v>
      </c>
      <c r="E596" s="270">
        <v>35854</v>
      </c>
      <c r="F596" s="269" t="s">
        <v>416</v>
      </c>
      <c r="G596" s="269" t="s">
        <v>2699</v>
      </c>
      <c r="H596" s="269" t="s">
        <v>418</v>
      </c>
      <c r="I596" s="252" t="s">
        <v>4219</v>
      </c>
      <c r="J596" s="269" t="s">
        <v>2700</v>
      </c>
      <c r="K596" s="269" t="s">
        <v>29</v>
      </c>
      <c r="L596" s="269" t="s">
        <v>30</v>
      </c>
      <c r="M596" s="305"/>
      <c r="N596" s="269"/>
      <c r="O596" s="269"/>
      <c r="P596" s="269" t="s">
        <v>31</v>
      </c>
      <c r="Q596" s="253" t="s">
        <v>32</v>
      </c>
      <c r="R596" s="148" t="s">
        <v>33</v>
      </c>
      <c r="S596" s="206" t="s">
        <v>2697</v>
      </c>
      <c r="T596" s="261">
        <v>35854</v>
      </c>
      <c r="U596" s="206" t="s">
        <v>2701</v>
      </c>
      <c r="V596" s="473" t="s">
        <v>101</v>
      </c>
      <c r="W596" s="474"/>
    </row>
    <row r="597" spans="1:23" ht="12.75">
      <c r="A597" s="286">
        <v>46081.71802083333</v>
      </c>
      <c r="B597" s="287" t="s">
        <v>2702</v>
      </c>
      <c r="C597" s="287"/>
      <c r="D597" s="287" t="s">
        <v>24</v>
      </c>
      <c r="E597" s="288">
        <v>28127</v>
      </c>
      <c r="F597" s="287" t="s">
        <v>2344</v>
      </c>
      <c r="G597" s="287" t="s">
        <v>2704</v>
      </c>
      <c r="H597" s="287" t="s">
        <v>2705</v>
      </c>
      <c r="I597" s="241" t="s">
        <v>4237</v>
      </c>
      <c r="J597" s="287" t="s">
        <v>2706</v>
      </c>
      <c r="K597" s="287" t="s">
        <v>29</v>
      </c>
      <c r="L597" s="287" t="s">
        <v>30</v>
      </c>
      <c r="M597" s="287" t="s">
        <v>2707</v>
      </c>
      <c r="N597" s="287"/>
      <c r="O597" s="287"/>
      <c r="P597" s="287" t="s">
        <v>31</v>
      </c>
      <c r="Q597" s="244" t="s">
        <v>32</v>
      </c>
      <c r="R597" s="245" t="s">
        <v>33</v>
      </c>
      <c r="S597" s="242" t="s">
        <v>2708</v>
      </c>
      <c r="T597" s="266">
        <v>28127</v>
      </c>
      <c r="U597" s="242" t="s">
        <v>2706</v>
      </c>
      <c r="V597" s="475" t="s">
        <v>154</v>
      </c>
      <c r="W597" s="474"/>
    </row>
    <row r="598" spans="1:23" ht="12.75">
      <c r="A598" s="274">
        <v>46081.857997685183</v>
      </c>
      <c r="B598" s="242" t="s">
        <v>2709</v>
      </c>
      <c r="C598" s="242" t="s">
        <v>2709</v>
      </c>
      <c r="D598" s="242" t="s">
        <v>24</v>
      </c>
      <c r="E598" s="275">
        <v>37748</v>
      </c>
      <c r="F598" s="242" t="s">
        <v>1053</v>
      </c>
      <c r="G598" s="242" t="s">
        <v>2710</v>
      </c>
      <c r="H598" s="242" t="s">
        <v>1995</v>
      </c>
      <c r="I598" s="241" t="s">
        <v>4237</v>
      </c>
      <c r="J598" s="242" t="s">
        <v>2711</v>
      </c>
      <c r="K598" s="242" t="s">
        <v>29</v>
      </c>
      <c r="L598" s="242" t="s">
        <v>30</v>
      </c>
      <c r="M598" s="242"/>
      <c r="N598" s="242"/>
      <c r="O598" s="242"/>
      <c r="P598" s="242" t="s">
        <v>31</v>
      </c>
      <c r="Q598" s="244" t="s">
        <v>32</v>
      </c>
      <c r="R598" s="248" t="s">
        <v>43</v>
      </c>
      <c r="S598" s="242" t="s">
        <v>2709</v>
      </c>
      <c r="T598" s="266">
        <v>37748</v>
      </c>
      <c r="U598" s="242" t="s">
        <v>2711</v>
      </c>
      <c r="V598" s="475" t="s">
        <v>80</v>
      </c>
      <c r="W598" s="474"/>
    </row>
    <row r="599" spans="1:23" ht="12.75">
      <c r="A599" s="274">
        <v>46081.903368055559</v>
      </c>
      <c r="B599" s="242" t="s">
        <v>2712</v>
      </c>
      <c r="C599" s="242"/>
      <c r="D599" s="242" t="s">
        <v>24</v>
      </c>
      <c r="E599" s="275">
        <v>37171</v>
      </c>
      <c r="F599" s="242" t="s">
        <v>2713</v>
      </c>
      <c r="G599" s="242" t="s">
        <v>2714</v>
      </c>
      <c r="H599" s="242" t="s">
        <v>368</v>
      </c>
      <c r="I599" s="241" t="s">
        <v>4237</v>
      </c>
      <c r="J599" s="242" t="s">
        <v>2715</v>
      </c>
      <c r="K599" s="242" t="s">
        <v>29</v>
      </c>
      <c r="L599" s="242" t="s">
        <v>30</v>
      </c>
      <c r="M599" s="475" t="s">
        <v>2716</v>
      </c>
      <c r="N599" s="474"/>
      <c r="O599" s="474"/>
      <c r="P599" s="242" t="s">
        <v>31</v>
      </c>
      <c r="Q599" s="244" t="s">
        <v>32</v>
      </c>
      <c r="R599" s="245" t="s">
        <v>43</v>
      </c>
      <c r="S599" s="242" t="s">
        <v>2712</v>
      </c>
      <c r="T599" s="266">
        <v>37171</v>
      </c>
      <c r="U599" s="242" t="s">
        <v>2715</v>
      </c>
      <c r="V599" s="475" t="s">
        <v>80</v>
      </c>
      <c r="W599" s="474"/>
    </row>
    <row r="600" spans="1:23" ht="12.75">
      <c r="A600" s="274">
        <v>46082.065625000003</v>
      </c>
      <c r="B600" s="242" t="s">
        <v>2717</v>
      </c>
      <c r="C600" s="242" t="s">
        <v>2717</v>
      </c>
      <c r="D600" s="242" t="s">
        <v>24</v>
      </c>
      <c r="E600" s="275">
        <v>34422</v>
      </c>
      <c r="F600" s="242" t="s">
        <v>416</v>
      </c>
      <c r="G600" s="242" t="s">
        <v>417</v>
      </c>
      <c r="H600" s="242" t="s">
        <v>111</v>
      </c>
      <c r="I600" s="241" t="s">
        <v>4219</v>
      </c>
      <c r="J600" s="242" t="s">
        <v>2718</v>
      </c>
      <c r="K600" s="242" t="s">
        <v>29</v>
      </c>
      <c r="L600" s="242" t="s">
        <v>30</v>
      </c>
      <c r="M600" s="242"/>
      <c r="N600" s="242"/>
      <c r="O600" s="242"/>
      <c r="P600" s="242" t="s">
        <v>31</v>
      </c>
      <c r="Q600" s="244" t="s">
        <v>32</v>
      </c>
      <c r="R600" s="248" t="s">
        <v>33</v>
      </c>
      <c r="S600" s="242" t="s">
        <v>2717</v>
      </c>
      <c r="T600" s="266">
        <v>34422</v>
      </c>
      <c r="U600" s="242" t="s">
        <v>2718</v>
      </c>
      <c r="V600" s="475" t="s">
        <v>80</v>
      </c>
      <c r="W600" s="474"/>
    </row>
    <row r="601" spans="1:23" ht="12.75">
      <c r="A601" s="282">
        <v>46082.537951388891</v>
      </c>
      <c r="B601" s="283" t="s">
        <v>2719</v>
      </c>
      <c r="C601" s="283"/>
      <c r="D601" s="283" t="s">
        <v>24</v>
      </c>
      <c r="E601" s="284">
        <v>29158</v>
      </c>
      <c r="F601" s="283" t="s">
        <v>2720</v>
      </c>
      <c r="G601" s="283" t="s">
        <v>2721</v>
      </c>
      <c r="H601" s="283" t="s">
        <v>2722</v>
      </c>
      <c r="I601" s="241" t="s">
        <v>4219</v>
      </c>
      <c r="J601" s="283" t="s">
        <v>2723</v>
      </c>
      <c r="K601" s="283" t="s">
        <v>39</v>
      </c>
      <c r="L601" s="283" t="s">
        <v>1991</v>
      </c>
      <c r="M601" s="283"/>
      <c r="N601" s="283"/>
      <c r="O601" s="283"/>
      <c r="P601" s="283" t="s">
        <v>31</v>
      </c>
      <c r="Q601" s="244" t="s">
        <v>32</v>
      </c>
      <c r="R601" s="245" t="s">
        <v>33</v>
      </c>
      <c r="S601" s="242" t="s">
        <v>2724</v>
      </c>
      <c r="T601" s="266">
        <v>29158</v>
      </c>
      <c r="U601" s="242" t="s">
        <v>2725</v>
      </c>
      <c r="V601" s="475" t="s">
        <v>154</v>
      </c>
      <c r="W601" s="474"/>
    </row>
    <row r="602" spans="1:23" ht="12.75">
      <c r="A602" s="274">
        <v>46082.558865740742</v>
      </c>
      <c r="B602" s="242" t="s">
        <v>2726</v>
      </c>
      <c r="C602" s="242" t="s">
        <v>2727</v>
      </c>
      <c r="D602" s="242" t="s">
        <v>24</v>
      </c>
      <c r="E602" s="275">
        <v>38621</v>
      </c>
      <c r="F602" s="242" t="s">
        <v>1053</v>
      </c>
      <c r="G602" s="242" t="s">
        <v>2728</v>
      </c>
      <c r="H602" s="242" t="s">
        <v>66</v>
      </c>
      <c r="I602" s="241" t="s">
        <v>4237</v>
      </c>
      <c r="J602" s="242" t="s">
        <v>2729</v>
      </c>
      <c r="K602" s="242" t="s">
        <v>39</v>
      </c>
      <c r="L602" s="242" t="s">
        <v>621</v>
      </c>
      <c r="M602" s="242"/>
      <c r="N602" s="242"/>
      <c r="O602" s="242"/>
      <c r="P602" s="242" t="s">
        <v>31</v>
      </c>
      <c r="Q602" s="244" t="s">
        <v>32</v>
      </c>
      <c r="R602" s="248" t="s">
        <v>43</v>
      </c>
      <c r="S602" s="242" t="s">
        <v>2730</v>
      </c>
      <c r="T602" s="266">
        <v>38621</v>
      </c>
      <c r="U602" s="242" t="s">
        <v>2731</v>
      </c>
      <c r="V602" s="475" t="s">
        <v>101</v>
      </c>
      <c r="W602" s="474"/>
    </row>
    <row r="603" spans="1:23" ht="12.75">
      <c r="A603" s="286">
        <v>46082.645868055559</v>
      </c>
      <c r="B603" s="287" t="s">
        <v>2732</v>
      </c>
      <c r="C603" s="287"/>
      <c r="D603" s="287" t="s">
        <v>24</v>
      </c>
      <c r="E603" s="288">
        <v>29018</v>
      </c>
      <c r="F603" s="287" t="s">
        <v>380</v>
      </c>
      <c r="G603" s="287" t="s">
        <v>2733</v>
      </c>
      <c r="H603" s="287" t="s">
        <v>2734</v>
      </c>
      <c r="I603" s="241" t="s">
        <v>4223</v>
      </c>
      <c r="J603" s="287" t="s">
        <v>2735</v>
      </c>
      <c r="K603" s="287" t="s">
        <v>29</v>
      </c>
      <c r="L603" s="287" t="s">
        <v>30</v>
      </c>
      <c r="M603" s="287"/>
      <c r="N603" s="287"/>
      <c r="O603" s="287"/>
      <c r="P603" s="287" t="s">
        <v>31</v>
      </c>
      <c r="Q603" s="244" t="s">
        <v>32</v>
      </c>
      <c r="R603" s="245" t="s">
        <v>33</v>
      </c>
      <c r="S603" s="242" t="s">
        <v>2736</v>
      </c>
      <c r="T603" s="266">
        <v>29018</v>
      </c>
      <c r="U603" s="242" t="s">
        <v>2735</v>
      </c>
      <c r="V603" s="475" t="s">
        <v>154</v>
      </c>
      <c r="W603" s="474"/>
    </row>
    <row r="604" spans="1:23" ht="12.75">
      <c r="A604" s="274">
        <v>46082.772592592592</v>
      </c>
      <c r="B604" s="242" t="s">
        <v>2737</v>
      </c>
      <c r="C604" s="242"/>
      <c r="D604" s="242" t="s">
        <v>45</v>
      </c>
      <c r="E604" s="275">
        <v>37058</v>
      </c>
      <c r="F604" s="242" t="s">
        <v>2738</v>
      </c>
      <c r="G604" s="242" t="s">
        <v>2739</v>
      </c>
      <c r="H604" s="242" t="s">
        <v>2740</v>
      </c>
      <c r="I604" s="241" t="s">
        <v>4237</v>
      </c>
      <c r="J604" s="242" t="s">
        <v>2741</v>
      </c>
      <c r="K604" s="242" t="s">
        <v>29</v>
      </c>
      <c r="L604" s="242" t="s">
        <v>30</v>
      </c>
      <c r="M604" s="242"/>
      <c r="N604" s="242"/>
      <c r="O604" s="242"/>
      <c r="P604" s="242" t="s">
        <v>31</v>
      </c>
      <c r="Q604" s="244" t="s">
        <v>32</v>
      </c>
      <c r="R604" s="248" t="s">
        <v>33</v>
      </c>
      <c r="S604" s="242" t="s">
        <v>2737</v>
      </c>
      <c r="T604" s="266">
        <v>37058</v>
      </c>
      <c r="U604" s="242" t="s">
        <v>2741</v>
      </c>
      <c r="V604" s="475" t="s">
        <v>80</v>
      </c>
      <c r="W604" s="474"/>
    </row>
    <row r="605" spans="1:23" ht="12.75">
      <c r="A605" s="262">
        <v>46082.823206018518</v>
      </c>
      <c r="B605" s="478" t="s">
        <v>2742</v>
      </c>
      <c r="C605" s="474"/>
      <c r="D605" s="263" t="s">
        <v>24</v>
      </c>
      <c r="E605" s="264">
        <v>31078</v>
      </c>
      <c r="F605" s="263" t="s">
        <v>380</v>
      </c>
      <c r="G605" s="263" t="s">
        <v>2743</v>
      </c>
      <c r="H605" s="263" t="s">
        <v>72</v>
      </c>
      <c r="I605" s="241" t="s">
        <v>4223</v>
      </c>
      <c r="J605" s="263" t="s">
        <v>2744</v>
      </c>
      <c r="K605" s="263" t="s">
        <v>29</v>
      </c>
      <c r="L605" s="263" t="s">
        <v>30</v>
      </c>
      <c r="M605" s="263"/>
      <c r="N605" s="263"/>
      <c r="O605" s="263"/>
      <c r="P605" s="263" t="s">
        <v>31</v>
      </c>
      <c r="Q605" s="244" t="s">
        <v>32</v>
      </c>
      <c r="R605" s="245" t="s">
        <v>33</v>
      </c>
      <c r="S605" s="242" t="s">
        <v>2745</v>
      </c>
      <c r="T605" s="266">
        <v>31078</v>
      </c>
      <c r="U605" s="242" t="s">
        <v>2744</v>
      </c>
      <c r="V605" s="475" t="s">
        <v>80</v>
      </c>
      <c r="W605" s="474"/>
    </row>
    <row r="606" spans="1:23" ht="12.75">
      <c r="A606" s="274">
        <v>46082.846666666665</v>
      </c>
      <c r="B606" s="242" t="s">
        <v>2746</v>
      </c>
      <c r="C606" s="242"/>
      <c r="D606" s="242" t="s">
        <v>24</v>
      </c>
      <c r="E606" s="275">
        <v>32331</v>
      </c>
      <c r="F606" s="242" t="s">
        <v>1277</v>
      </c>
      <c r="G606" s="242" t="s">
        <v>1278</v>
      </c>
      <c r="H606" s="242" t="s">
        <v>98</v>
      </c>
      <c r="I606" s="241" t="s">
        <v>4219</v>
      </c>
      <c r="J606" s="242" t="s">
        <v>2747</v>
      </c>
      <c r="K606" s="242" t="s">
        <v>39</v>
      </c>
      <c r="L606" s="242" t="s">
        <v>30</v>
      </c>
      <c r="M606" s="242"/>
      <c r="N606" s="242"/>
      <c r="O606" s="242"/>
      <c r="P606" s="242" t="s">
        <v>31</v>
      </c>
      <c r="Q606" s="244" t="s">
        <v>32</v>
      </c>
      <c r="R606" s="248" t="s">
        <v>33</v>
      </c>
      <c r="S606" s="242" t="s">
        <v>2746</v>
      </c>
      <c r="T606" s="266">
        <v>32331</v>
      </c>
      <c r="U606" s="242" t="s">
        <v>2747</v>
      </c>
      <c r="V606" s="475" t="s">
        <v>80</v>
      </c>
      <c r="W606" s="474"/>
    </row>
    <row r="607" spans="1:23" ht="12.75">
      <c r="A607" s="274">
        <v>46082.891967592594</v>
      </c>
      <c r="B607" s="242" t="s">
        <v>2748</v>
      </c>
      <c r="C607" s="242" t="s">
        <v>2749</v>
      </c>
      <c r="D607" s="242" t="s">
        <v>24</v>
      </c>
      <c r="E607" s="275">
        <v>37373</v>
      </c>
      <c r="F607" s="242" t="s">
        <v>332</v>
      </c>
      <c r="G607" s="242" t="s">
        <v>2750</v>
      </c>
      <c r="H607" s="242" t="s">
        <v>66</v>
      </c>
      <c r="I607" s="241" t="s">
        <v>4237</v>
      </c>
      <c r="J607" s="242" t="s">
        <v>2751</v>
      </c>
      <c r="K607" s="242" t="s">
        <v>39</v>
      </c>
      <c r="L607" s="242" t="s">
        <v>162</v>
      </c>
      <c r="M607" s="242"/>
      <c r="N607" s="242"/>
      <c r="O607" s="242"/>
      <c r="P607" s="242" t="s">
        <v>31</v>
      </c>
      <c r="Q607" s="244" t="s">
        <v>32</v>
      </c>
      <c r="R607" s="245" t="s">
        <v>43</v>
      </c>
      <c r="S607" s="242" t="s">
        <v>2748</v>
      </c>
      <c r="T607" s="266">
        <v>37373</v>
      </c>
      <c r="U607" s="242" t="s">
        <v>2751</v>
      </c>
      <c r="V607" s="475" t="s">
        <v>80</v>
      </c>
      <c r="W607" s="474"/>
    </row>
    <row r="608" spans="1:23" ht="12.75">
      <c r="A608" s="274">
        <v>46082.918946759259</v>
      </c>
      <c r="B608" s="242" t="s">
        <v>2752</v>
      </c>
      <c r="C608" s="242" t="s">
        <v>2753</v>
      </c>
      <c r="D608" s="242" t="s">
        <v>24</v>
      </c>
      <c r="E608" s="275">
        <v>38572</v>
      </c>
      <c r="F608" s="242" t="s">
        <v>1053</v>
      </c>
      <c r="G608" s="242" t="s">
        <v>2754</v>
      </c>
      <c r="H608" s="242" t="s">
        <v>66</v>
      </c>
      <c r="I608" s="241" t="s">
        <v>4237</v>
      </c>
      <c r="J608" s="242" t="s">
        <v>2755</v>
      </c>
      <c r="K608" s="242" t="s">
        <v>29</v>
      </c>
      <c r="L608" s="242" t="s">
        <v>30</v>
      </c>
      <c r="M608" s="277"/>
      <c r="N608" s="242"/>
      <c r="O608" s="242"/>
      <c r="P608" s="242" t="s">
        <v>31</v>
      </c>
      <c r="Q608" s="244" t="s">
        <v>32</v>
      </c>
      <c r="R608" s="248" t="s">
        <v>43</v>
      </c>
      <c r="S608" s="242" t="s">
        <v>2756</v>
      </c>
      <c r="T608" s="266">
        <v>38572</v>
      </c>
      <c r="U608" s="242" t="s">
        <v>2755</v>
      </c>
      <c r="V608" s="242" t="s">
        <v>463</v>
      </c>
      <c r="W608" s="242"/>
    </row>
    <row r="609" spans="1:23" ht="12.75">
      <c r="A609" s="274">
        <v>46082.927511574075</v>
      </c>
      <c r="B609" s="242" t="s">
        <v>2757</v>
      </c>
      <c r="C609" s="242"/>
      <c r="D609" s="242" t="s">
        <v>24</v>
      </c>
      <c r="E609" s="275">
        <v>34892</v>
      </c>
      <c r="F609" s="242" t="s">
        <v>2378</v>
      </c>
      <c r="G609" s="242" t="s">
        <v>2758</v>
      </c>
      <c r="H609" s="242" t="s">
        <v>2759</v>
      </c>
      <c r="I609" s="241" t="s">
        <v>4219</v>
      </c>
      <c r="J609" s="242" t="s">
        <v>2760</v>
      </c>
      <c r="K609" s="242" t="s">
        <v>39</v>
      </c>
      <c r="L609" s="242" t="s">
        <v>621</v>
      </c>
      <c r="M609" s="475" t="s">
        <v>4304</v>
      </c>
      <c r="N609" s="474"/>
      <c r="O609" s="474"/>
      <c r="P609" s="242" t="s">
        <v>31</v>
      </c>
      <c r="Q609" s="244" t="s">
        <v>32</v>
      </c>
      <c r="R609" s="245" t="s">
        <v>33</v>
      </c>
      <c r="S609" s="242" t="s">
        <v>2762</v>
      </c>
      <c r="T609" s="266">
        <v>34892</v>
      </c>
      <c r="U609" s="242" t="s">
        <v>2763</v>
      </c>
      <c r="V609" s="475" t="s">
        <v>80</v>
      </c>
      <c r="W609" s="474"/>
    </row>
    <row r="610" spans="1:23" ht="12.75">
      <c r="A610" s="274">
        <v>46082.942025462966</v>
      </c>
      <c r="B610" s="242" t="s">
        <v>2764</v>
      </c>
      <c r="C610" s="242"/>
      <c r="D610" s="242" t="s">
        <v>45</v>
      </c>
      <c r="E610" s="275">
        <v>34188</v>
      </c>
      <c r="F610" s="242" t="s">
        <v>52</v>
      </c>
      <c r="G610" s="242" t="s">
        <v>209</v>
      </c>
      <c r="H610" s="242" t="s">
        <v>2765</v>
      </c>
      <c r="I610" s="241" t="s">
        <v>4219</v>
      </c>
      <c r="J610" s="242" t="s">
        <v>2766</v>
      </c>
      <c r="K610" s="242" t="s">
        <v>29</v>
      </c>
      <c r="L610" s="242" t="s">
        <v>30</v>
      </c>
      <c r="M610" s="242"/>
      <c r="N610" s="242"/>
      <c r="O610" s="242"/>
      <c r="P610" s="242" t="s">
        <v>31</v>
      </c>
      <c r="Q610" s="244" t="s">
        <v>32</v>
      </c>
      <c r="R610" s="248" t="s">
        <v>33</v>
      </c>
      <c r="S610" s="242" t="s">
        <v>2767</v>
      </c>
      <c r="T610" s="266">
        <v>34188</v>
      </c>
      <c r="U610" s="242" t="s">
        <v>2766</v>
      </c>
      <c r="V610" s="475" t="s">
        <v>154</v>
      </c>
      <c r="W610" s="474"/>
    </row>
    <row r="611" spans="1:23" ht="12.75">
      <c r="A611" s="274">
        <v>46082.943784722222</v>
      </c>
      <c r="B611" s="242" t="s">
        <v>2768</v>
      </c>
      <c r="C611" s="242" t="s">
        <v>2769</v>
      </c>
      <c r="D611" s="242" t="s">
        <v>45</v>
      </c>
      <c r="E611" s="275">
        <v>20073</v>
      </c>
      <c r="F611" s="242" t="s">
        <v>1745</v>
      </c>
      <c r="G611" s="242" t="s">
        <v>2770</v>
      </c>
      <c r="H611" s="242" t="s">
        <v>1655</v>
      </c>
      <c r="I611" s="241" t="s">
        <v>4237</v>
      </c>
      <c r="J611" s="242" t="s">
        <v>2771</v>
      </c>
      <c r="K611" s="242" t="s">
        <v>39</v>
      </c>
      <c r="L611" s="242" t="s">
        <v>621</v>
      </c>
      <c r="M611" s="242" t="s">
        <v>2772</v>
      </c>
      <c r="N611" s="242"/>
      <c r="O611" s="242"/>
      <c r="P611" s="242" t="s">
        <v>31</v>
      </c>
      <c r="Q611" s="244" t="s">
        <v>32</v>
      </c>
      <c r="R611" s="245" t="s">
        <v>43</v>
      </c>
      <c r="S611" s="242" t="s">
        <v>2773</v>
      </c>
      <c r="T611" s="266">
        <v>20073</v>
      </c>
      <c r="U611" s="242" t="s">
        <v>2774</v>
      </c>
      <c r="V611" s="475" t="s">
        <v>129</v>
      </c>
      <c r="W611" s="474"/>
    </row>
    <row r="612" spans="1:23" ht="12.75">
      <c r="A612" s="274">
        <v>46083.003923611112</v>
      </c>
      <c r="B612" s="242" t="s">
        <v>2775</v>
      </c>
      <c r="C612" s="242" t="s">
        <v>2776</v>
      </c>
      <c r="D612" s="242" t="s">
        <v>24</v>
      </c>
      <c r="E612" s="275">
        <v>21255</v>
      </c>
      <c r="F612" s="242" t="s">
        <v>2777</v>
      </c>
      <c r="G612" s="242" t="s">
        <v>2770</v>
      </c>
      <c r="H612" s="242" t="s">
        <v>2778</v>
      </c>
      <c r="I612" s="241" t="s">
        <v>4237</v>
      </c>
      <c r="J612" s="242" t="s">
        <v>2779</v>
      </c>
      <c r="K612" s="242" t="s">
        <v>39</v>
      </c>
      <c r="L612" s="242" t="s">
        <v>621</v>
      </c>
      <c r="M612" s="242" t="s">
        <v>2780</v>
      </c>
      <c r="N612" s="242"/>
      <c r="O612" s="242"/>
      <c r="P612" s="242" t="s">
        <v>31</v>
      </c>
      <c r="Q612" s="244" t="s">
        <v>32</v>
      </c>
      <c r="R612" s="248" t="s">
        <v>43</v>
      </c>
      <c r="S612" s="242" t="s">
        <v>2781</v>
      </c>
      <c r="T612" s="266">
        <v>21255</v>
      </c>
      <c r="U612" s="242" t="s">
        <v>2774</v>
      </c>
      <c r="V612" s="475" t="s">
        <v>129</v>
      </c>
      <c r="W612" s="474"/>
    </row>
    <row r="613" spans="1:23" ht="12.75">
      <c r="A613" s="274">
        <v>46083.169641203705</v>
      </c>
      <c r="B613" s="242" t="s">
        <v>2782</v>
      </c>
      <c r="C613" s="242"/>
      <c r="D613" s="242" t="s">
        <v>24</v>
      </c>
      <c r="E613" s="275">
        <v>27382</v>
      </c>
      <c r="F613" s="242" t="s">
        <v>416</v>
      </c>
      <c r="G613" s="242" t="s">
        <v>2783</v>
      </c>
      <c r="H613" s="242" t="s">
        <v>2784</v>
      </c>
      <c r="I613" s="241" t="s">
        <v>4219</v>
      </c>
      <c r="J613" s="242" t="s">
        <v>2785</v>
      </c>
      <c r="K613" s="242" t="s">
        <v>39</v>
      </c>
      <c r="L613" s="242" t="s">
        <v>30</v>
      </c>
      <c r="M613" s="242"/>
      <c r="N613" s="242"/>
      <c r="O613" s="242"/>
      <c r="P613" s="242" t="s">
        <v>31</v>
      </c>
      <c r="Q613" s="244" t="s">
        <v>32</v>
      </c>
      <c r="R613" s="245" t="s">
        <v>43</v>
      </c>
      <c r="S613" s="242" t="s">
        <v>2786</v>
      </c>
      <c r="T613" s="266">
        <v>27382</v>
      </c>
      <c r="U613" s="242" t="s">
        <v>2785</v>
      </c>
      <c r="V613" s="475" t="s">
        <v>154</v>
      </c>
      <c r="W613" s="474"/>
    </row>
    <row r="614" spans="1:23" ht="12.75">
      <c r="A614" s="282">
        <v>46083.199374999997</v>
      </c>
      <c r="B614" s="283" t="s">
        <v>2787</v>
      </c>
      <c r="C614" s="283" t="s">
        <v>2788</v>
      </c>
      <c r="D614" s="283" t="s">
        <v>45</v>
      </c>
      <c r="E614" s="284">
        <v>28232</v>
      </c>
      <c r="F614" s="283" t="s">
        <v>380</v>
      </c>
      <c r="G614" s="283" t="s">
        <v>2789</v>
      </c>
      <c r="H614" s="283" t="s">
        <v>2790</v>
      </c>
      <c r="I614" s="241" t="s">
        <v>4223</v>
      </c>
      <c r="J614" s="283" t="s">
        <v>2791</v>
      </c>
      <c r="K614" s="283" t="s">
        <v>29</v>
      </c>
      <c r="L614" s="283" t="s">
        <v>241</v>
      </c>
      <c r="M614" s="283"/>
      <c r="N614" s="283"/>
      <c r="O614" s="283"/>
      <c r="P614" s="283" t="s">
        <v>31</v>
      </c>
      <c r="Q614" s="244" t="s">
        <v>32</v>
      </c>
      <c r="R614" s="248" t="s">
        <v>33</v>
      </c>
      <c r="S614" s="242" t="s">
        <v>2792</v>
      </c>
      <c r="T614" s="266">
        <v>28232</v>
      </c>
      <c r="U614" s="242" t="s">
        <v>2791</v>
      </c>
      <c r="V614" s="475" t="s">
        <v>316</v>
      </c>
      <c r="W614" s="474"/>
    </row>
    <row r="615" spans="1:23" ht="12.75">
      <c r="A615" s="274">
        <v>46083.303900462961</v>
      </c>
      <c r="B615" s="242" t="s">
        <v>2793</v>
      </c>
      <c r="C615" s="242"/>
      <c r="D615" s="242" t="s">
        <v>45</v>
      </c>
      <c r="E615" s="275">
        <v>28061</v>
      </c>
      <c r="F615" s="242" t="s">
        <v>35</v>
      </c>
      <c r="G615" s="242" t="s">
        <v>2794</v>
      </c>
      <c r="H615" s="242" t="s">
        <v>2795</v>
      </c>
      <c r="I615" s="241" t="s">
        <v>4219</v>
      </c>
      <c r="J615" s="242" t="s">
        <v>2796</v>
      </c>
      <c r="K615" s="242" t="s">
        <v>39</v>
      </c>
      <c r="L615" s="242" t="s">
        <v>30</v>
      </c>
      <c r="M615" s="242"/>
      <c r="N615" s="242"/>
      <c r="O615" s="242"/>
      <c r="P615" s="242" t="s">
        <v>31</v>
      </c>
      <c r="Q615" s="244" t="s">
        <v>32</v>
      </c>
      <c r="R615" s="248" t="s">
        <v>33</v>
      </c>
      <c r="S615" s="242" t="s">
        <v>2793</v>
      </c>
      <c r="T615" s="266">
        <v>28061</v>
      </c>
      <c r="U615" s="242" t="s">
        <v>2796</v>
      </c>
      <c r="V615" s="475" t="s">
        <v>80</v>
      </c>
      <c r="W615" s="474"/>
    </row>
    <row r="616" spans="1:23" ht="12.75">
      <c r="A616" s="262">
        <v>46083.525185185186</v>
      </c>
      <c r="B616" s="263" t="s">
        <v>2797</v>
      </c>
      <c r="C616" s="263" t="s">
        <v>2798</v>
      </c>
      <c r="D616" s="263" t="s">
        <v>45</v>
      </c>
      <c r="E616" s="264">
        <v>24860</v>
      </c>
      <c r="F616" s="263" t="s">
        <v>1932</v>
      </c>
      <c r="G616" s="263" t="s">
        <v>2799</v>
      </c>
      <c r="H616" s="263" t="s">
        <v>276</v>
      </c>
      <c r="I616" s="241" t="s">
        <v>4219</v>
      </c>
      <c r="J616" s="263" t="s">
        <v>2800</v>
      </c>
      <c r="K616" s="263" t="s">
        <v>29</v>
      </c>
      <c r="L616" s="263" t="s">
        <v>30</v>
      </c>
      <c r="M616" s="308"/>
      <c r="N616" s="263"/>
      <c r="O616" s="263"/>
      <c r="P616" s="263" t="s">
        <v>31</v>
      </c>
      <c r="Q616" s="244" t="s">
        <v>32</v>
      </c>
      <c r="R616" s="245" t="s">
        <v>33</v>
      </c>
      <c r="S616" s="242" t="s">
        <v>2801</v>
      </c>
      <c r="T616" s="266">
        <v>24860</v>
      </c>
      <c r="U616" s="242" t="s">
        <v>2802</v>
      </c>
      <c r="V616" s="475" t="s">
        <v>154</v>
      </c>
      <c r="W616" s="474"/>
    </row>
    <row r="617" spans="1:23" ht="12.75">
      <c r="A617" s="311">
        <v>46083.629594907405</v>
      </c>
      <c r="B617" s="312" t="s">
        <v>2803</v>
      </c>
      <c r="C617" s="312"/>
      <c r="D617" s="312" t="s">
        <v>24</v>
      </c>
      <c r="E617" s="313">
        <v>29258</v>
      </c>
      <c r="F617" s="312" t="s">
        <v>245</v>
      </c>
      <c r="G617" s="312" t="s">
        <v>2804</v>
      </c>
      <c r="H617" s="312" t="s">
        <v>933</v>
      </c>
      <c r="I617" s="241" t="s">
        <v>4219</v>
      </c>
      <c r="J617" s="312" t="s">
        <v>2805</v>
      </c>
      <c r="K617" s="312" t="s">
        <v>29</v>
      </c>
      <c r="L617" s="312" t="s">
        <v>162</v>
      </c>
      <c r="M617" s="312"/>
      <c r="N617" s="312"/>
      <c r="O617" s="312"/>
      <c r="P617" s="312" t="s">
        <v>31</v>
      </c>
      <c r="Q617" s="314" t="s">
        <v>32</v>
      </c>
      <c r="R617" s="248" t="s">
        <v>33</v>
      </c>
      <c r="S617" s="315" t="s">
        <v>2806</v>
      </c>
      <c r="T617" s="266">
        <v>29258</v>
      </c>
      <c r="U617" s="242" t="s">
        <v>2807</v>
      </c>
      <c r="V617" s="475" t="s">
        <v>80</v>
      </c>
      <c r="W617" s="474"/>
    </row>
    <row r="618" spans="1:23" ht="12.75">
      <c r="A618" s="316">
        <v>46083.690393518518</v>
      </c>
      <c r="B618" s="317" t="s">
        <v>2808</v>
      </c>
      <c r="C618" s="317"/>
      <c r="D618" s="317" t="s">
        <v>45</v>
      </c>
      <c r="E618" s="318">
        <v>36377</v>
      </c>
      <c r="F618" s="317" t="s">
        <v>2529</v>
      </c>
      <c r="G618" s="317" t="s">
        <v>2809</v>
      </c>
      <c r="H618" s="317" t="s">
        <v>2810</v>
      </c>
      <c r="I618" s="241" t="s">
        <v>4219</v>
      </c>
      <c r="J618" s="317" t="s">
        <v>2811</v>
      </c>
      <c r="K618" s="317" t="s">
        <v>29</v>
      </c>
      <c r="L618" s="317" t="s">
        <v>30</v>
      </c>
      <c r="M618" s="317"/>
      <c r="N618" s="317"/>
      <c r="O618" s="317"/>
      <c r="P618" s="317" t="s">
        <v>31</v>
      </c>
      <c r="Q618" s="314" t="s">
        <v>32</v>
      </c>
      <c r="R618" s="245" t="s">
        <v>33</v>
      </c>
      <c r="S618" s="317" t="s">
        <v>2808</v>
      </c>
      <c r="T618" s="266">
        <v>36377</v>
      </c>
      <c r="U618" s="242" t="s">
        <v>2811</v>
      </c>
      <c r="V618" s="475" t="s">
        <v>80</v>
      </c>
      <c r="W618" s="474"/>
    </row>
    <row r="619" spans="1:23" ht="12.75">
      <c r="A619" s="319">
        <v>46083.699548611112</v>
      </c>
      <c r="B619" s="315" t="s">
        <v>2812</v>
      </c>
      <c r="C619" s="315"/>
      <c r="D619" s="315" t="s">
        <v>24</v>
      </c>
      <c r="E619" s="320">
        <v>20765</v>
      </c>
      <c r="F619" s="315" t="s">
        <v>2556</v>
      </c>
      <c r="G619" s="315" t="s">
        <v>2813</v>
      </c>
      <c r="H619" s="315" t="s">
        <v>2558</v>
      </c>
      <c r="I619" s="241" t="s">
        <v>4219</v>
      </c>
      <c r="J619" s="315" t="s">
        <v>2814</v>
      </c>
      <c r="K619" s="315" t="s">
        <v>39</v>
      </c>
      <c r="L619" s="315" t="s">
        <v>30</v>
      </c>
      <c r="M619" s="315"/>
      <c r="N619" s="315"/>
      <c r="O619" s="315"/>
      <c r="P619" s="315" t="s">
        <v>31</v>
      </c>
      <c r="Q619" s="314" t="s">
        <v>32</v>
      </c>
      <c r="R619" s="248" t="s">
        <v>33</v>
      </c>
      <c r="S619" s="315" t="s">
        <v>2812</v>
      </c>
      <c r="T619" s="266">
        <v>20765</v>
      </c>
      <c r="U619" s="242" t="s">
        <v>2815</v>
      </c>
      <c r="V619" s="475" t="s">
        <v>80</v>
      </c>
      <c r="W619" s="474"/>
    </row>
    <row r="620" spans="1:23" ht="12.75">
      <c r="A620" s="321">
        <v>46083.963807870372</v>
      </c>
      <c r="B620" s="108" t="s">
        <v>2816</v>
      </c>
      <c r="C620" s="108"/>
      <c r="D620" s="108" t="s">
        <v>45</v>
      </c>
      <c r="E620" s="322">
        <v>37532</v>
      </c>
      <c r="F620" s="108" t="s">
        <v>2529</v>
      </c>
      <c r="G620" s="108" t="s">
        <v>2817</v>
      </c>
      <c r="H620" s="108" t="s">
        <v>368</v>
      </c>
      <c r="I620" s="252" t="s">
        <v>4219</v>
      </c>
      <c r="J620" s="108" t="s">
        <v>2818</v>
      </c>
      <c r="K620" s="108" t="s">
        <v>29</v>
      </c>
      <c r="L620" s="108" t="s">
        <v>30</v>
      </c>
      <c r="M620" s="108"/>
      <c r="N620" s="108"/>
      <c r="O620" s="108"/>
      <c r="P620" s="108" t="s">
        <v>31</v>
      </c>
      <c r="Q620" s="323" t="s">
        <v>56</v>
      </c>
      <c r="R620" s="24"/>
      <c r="S620" s="324"/>
      <c r="T620" s="258"/>
      <c r="U620" s="206"/>
      <c r="V620" s="206"/>
      <c r="W620" s="206"/>
    </row>
    <row r="621" spans="1:23" ht="12.75">
      <c r="A621" s="325">
        <v>46084.007037037038</v>
      </c>
      <c r="B621" s="326" t="s">
        <v>2819</v>
      </c>
      <c r="C621" s="104"/>
      <c r="D621" s="326" t="s">
        <v>45</v>
      </c>
      <c r="E621" s="327">
        <v>37358</v>
      </c>
      <c r="F621" s="326" t="s">
        <v>1983</v>
      </c>
      <c r="G621" s="326" t="s">
        <v>2820</v>
      </c>
      <c r="H621" s="328" t="s">
        <v>66</v>
      </c>
      <c r="I621" s="252" t="s">
        <v>4237</v>
      </c>
      <c r="J621" s="328" t="s">
        <v>2821</v>
      </c>
      <c r="K621" s="328" t="s">
        <v>29</v>
      </c>
      <c r="L621" s="328" t="s">
        <v>30</v>
      </c>
      <c r="M621" s="329"/>
      <c r="N621" s="328"/>
      <c r="O621" s="328"/>
      <c r="P621" s="328" t="s">
        <v>31</v>
      </c>
      <c r="Q621" s="253" t="s">
        <v>32</v>
      </c>
      <c r="R621" s="152"/>
      <c r="S621" s="330" t="s">
        <v>2819</v>
      </c>
      <c r="T621" s="206"/>
      <c r="U621" s="206"/>
      <c r="V621" s="206"/>
      <c r="W621" s="206"/>
    </row>
    <row r="622" spans="1:23" ht="12.75">
      <c r="A622" s="316">
        <v>46084.088391203702</v>
      </c>
      <c r="B622" s="317" t="s">
        <v>2822</v>
      </c>
      <c r="C622" s="317" t="s">
        <v>2822</v>
      </c>
      <c r="D622" s="317" t="s">
        <v>24</v>
      </c>
      <c r="E622" s="318">
        <v>37798</v>
      </c>
      <c r="F622" s="317" t="s">
        <v>83</v>
      </c>
      <c r="G622" s="317" t="s">
        <v>2823</v>
      </c>
      <c r="H622" s="317" t="s">
        <v>66</v>
      </c>
      <c r="I622" s="241" t="s">
        <v>4223</v>
      </c>
      <c r="J622" s="317" t="s">
        <v>2824</v>
      </c>
      <c r="K622" s="317" t="s">
        <v>29</v>
      </c>
      <c r="L622" s="317" t="s">
        <v>30</v>
      </c>
      <c r="M622" s="317"/>
      <c r="N622" s="317"/>
      <c r="O622" s="317"/>
      <c r="P622" s="317" t="s">
        <v>31</v>
      </c>
      <c r="Q622" s="314" t="s">
        <v>32</v>
      </c>
      <c r="R622" s="248" t="s">
        <v>33</v>
      </c>
      <c r="S622" s="317" t="s">
        <v>2822</v>
      </c>
      <c r="T622" s="266">
        <v>37798</v>
      </c>
      <c r="U622" s="242" t="s">
        <v>2824</v>
      </c>
      <c r="V622" s="475" t="s">
        <v>80</v>
      </c>
      <c r="W622" s="474"/>
    </row>
    <row r="623" spans="1:23" ht="12.75">
      <c r="A623" s="311">
        <v>46084.189768518518</v>
      </c>
      <c r="B623" s="312" t="s">
        <v>2825</v>
      </c>
      <c r="C623" s="312"/>
      <c r="D623" s="312" t="s">
        <v>45</v>
      </c>
      <c r="E623" s="313">
        <v>31765</v>
      </c>
      <c r="F623" s="312" t="s">
        <v>2596</v>
      </c>
      <c r="G623" s="312" t="s">
        <v>2826</v>
      </c>
      <c r="H623" s="312" t="s">
        <v>2827</v>
      </c>
      <c r="I623" s="241" t="s">
        <v>4219</v>
      </c>
      <c r="J623" s="312" t="s">
        <v>2828</v>
      </c>
      <c r="K623" s="312" t="s">
        <v>39</v>
      </c>
      <c r="L623" s="312" t="s">
        <v>152</v>
      </c>
      <c r="M623" s="312"/>
      <c r="N623" s="312"/>
      <c r="O623" s="312"/>
      <c r="P623" s="312" t="s">
        <v>31</v>
      </c>
      <c r="Q623" s="314" t="s">
        <v>32</v>
      </c>
      <c r="R623" s="245" t="s">
        <v>33</v>
      </c>
      <c r="S623" s="315" t="s">
        <v>2825</v>
      </c>
      <c r="T623" s="266">
        <v>31765</v>
      </c>
      <c r="U623" s="242" t="s">
        <v>2828</v>
      </c>
      <c r="V623" s="475" t="s">
        <v>80</v>
      </c>
      <c r="W623" s="474"/>
    </row>
    <row r="624" spans="1:23" ht="12.75">
      <c r="A624" s="311">
        <v>46084.255891203706</v>
      </c>
      <c r="B624" s="312" t="s">
        <v>2829</v>
      </c>
      <c r="C624" s="312" t="s">
        <v>1238</v>
      </c>
      <c r="D624" s="312" t="s">
        <v>24</v>
      </c>
      <c r="E624" s="313">
        <v>22439</v>
      </c>
      <c r="F624" s="312" t="s">
        <v>623</v>
      </c>
      <c r="G624" s="312" t="s">
        <v>2830</v>
      </c>
      <c r="H624" s="312" t="s">
        <v>111</v>
      </c>
      <c r="I624" s="241" t="s">
        <v>4219</v>
      </c>
      <c r="J624" s="312" t="s">
        <v>2831</v>
      </c>
      <c r="K624" s="312" t="s">
        <v>29</v>
      </c>
      <c r="L624" s="312" t="s">
        <v>30</v>
      </c>
      <c r="M624" s="312"/>
      <c r="N624" s="312"/>
      <c r="O624" s="312"/>
      <c r="P624" s="312" t="s">
        <v>31</v>
      </c>
      <c r="Q624" s="314" t="s">
        <v>32</v>
      </c>
      <c r="R624" s="245" t="s">
        <v>33</v>
      </c>
      <c r="S624" s="315" t="s">
        <v>2829</v>
      </c>
      <c r="T624" s="266">
        <v>22439</v>
      </c>
      <c r="U624" s="242" t="s">
        <v>2831</v>
      </c>
      <c r="V624" s="475" t="s">
        <v>80</v>
      </c>
      <c r="W624" s="474"/>
    </row>
    <row r="625" spans="1:23" ht="12.75">
      <c r="A625" s="316">
        <v>46084.361712962964</v>
      </c>
      <c r="B625" s="317" t="s">
        <v>2832</v>
      </c>
      <c r="C625" s="317"/>
      <c r="D625" s="317" t="s">
        <v>24</v>
      </c>
      <c r="E625" s="318">
        <v>36059</v>
      </c>
      <c r="F625" s="317" t="s">
        <v>310</v>
      </c>
      <c r="G625" s="317" t="s">
        <v>2833</v>
      </c>
      <c r="H625" s="317" t="s">
        <v>2834</v>
      </c>
      <c r="I625" s="241" t="s">
        <v>4237</v>
      </c>
      <c r="J625" s="317" t="s">
        <v>2835</v>
      </c>
      <c r="K625" s="317" t="s">
        <v>39</v>
      </c>
      <c r="L625" s="317" t="s">
        <v>621</v>
      </c>
      <c r="M625" s="317"/>
      <c r="N625" s="317"/>
      <c r="O625" s="317"/>
      <c r="P625" s="317" t="s">
        <v>31</v>
      </c>
      <c r="Q625" s="314" t="s">
        <v>32</v>
      </c>
      <c r="R625" s="248" t="s">
        <v>33</v>
      </c>
      <c r="S625" s="317" t="s">
        <v>2836</v>
      </c>
      <c r="T625" s="266">
        <v>36059</v>
      </c>
      <c r="U625" s="242" t="s">
        <v>2837</v>
      </c>
      <c r="V625" s="242" t="s">
        <v>463</v>
      </c>
      <c r="W625" s="242"/>
    </row>
    <row r="626" spans="1:23" ht="12.75">
      <c r="A626" s="319">
        <v>46084.374386574076</v>
      </c>
      <c r="B626" s="315" t="s">
        <v>2838</v>
      </c>
      <c r="C626" s="315"/>
      <c r="D626" s="315" t="s">
        <v>24</v>
      </c>
      <c r="E626" s="320">
        <v>30208</v>
      </c>
      <c r="F626" s="315" t="s">
        <v>245</v>
      </c>
      <c r="G626" s="315" t="s">
        <v>2839</v>
      </c>
      <c r="H626" s="315" t="s">
        <v>2840</v>
      </c>
      <c r="I626" s="241" t="s">
        <v>4219</v>
      </c>
      <c r="J626" s="315" t="s">
        <v>2841</v>
      </c>
      <c r="K626" s="315" t="s">
        <v>29</v>
      </c>
      <c r="L626" s="315" t="s">
        <v>30</v>
      </c>
      <c r="M626" s="315" t="s">
        <v>2842</v>
      </c>
      <c r="N626" s="315"/>
      <c r="O626" s="315"/>
      <c r="P626" s="315" t="s">
        <v>31</v>
      </c>
      <c r="Q626" s="314" t="s">
        <v>32</v>
      </c>
      <c r="R626" s="245" t="s">
        <v>43</v>
      </c>
      <c r="S626" s="315" t="s">
        <v>2838</v>
      </c>
      <c r="T626" s="266">
        <v>30208</v>
      </c>
      <c r="U626" s="242" t="s">
        <v>2841</v>
      </c>
      <c r="V626" s="475" t="s">
        <v>80</v>
      </c>
      <c r="W626" s="474"/>
    </row>
    <row r="627" spans="1:23" ht="12.75">
      <c r="A627" s="331">
        <v>46084.641041666669</v>
      </c>
      <c r="B627" s="332" t="s">
        <v>2843</v>
      </c>
      <c r="C627" s="332"/>
      <c r="D627" s="332" t="s">
        <v>24</v>
      </c>
      <c r="E627" s="333">
        <v>27375</v>
      </c>
      <c r="F627" s="332" t="s">
        <v>416</v>
      </c>
      <c r="G627" s="332" t="s">
        <v>2844</v>
      </c>
      <c r="H627" s="332" t="s">
        <v>2845</v>
      </c>
      <c r="I627" s="241" t="s">
        <v>4219</v>
      </c>
      <c r="J627" s="332" t="s">
        <v>2846</v>
      </c>
      <c r="K627" s="332" t="s">
        <v>39</v>
      </c>
      <c r="L627" s="332" t="s">
        <v>30</v>
      </c>
      <c r="M627" s="332"/>
      <c r="N627" s="332"/>
      <c r="O627" s="332"/>
      <c r="P627" s="332" t="s">
        <v>31</v>
      </c>
      <c r="Q627" s="334" t="s">
        <v>32</v>
      </c>
      <c r="R627" s="248" t="s">
        <v>33</v>
      </c>
      <c r="S627" s="317" t="s">
        <v>2843</v>
      </c>
      <c r="T627" s="266">
        <v>27375</v>
      </c>
      <c r="U627" s="242" t="s">
        <v>2846</v>
      </c>
      <c r="V627" s="475" t="s">
        <v>80</v>
      </c>
      <c r="W627" s="474"/>
    </row>
    <row r="628" spans="1:23" ht="12.75">
      <c r="A628" s="335">
        <v>46084.682534722226</v>
      </c>
      <c r="B628" s="104" t="s">
        <v>2847</v>
      </c>
      <c r="C628" s="104"/>
      <c r="D628" s="104" t="s">
        <v>24</v>
      </c>
      <c r="E628" s="336">
        <v>30137</v>
      </c>
      <c r="F628" s="104" t="s">
        <v>416</v>
      </c>
      <c r="G628" s="104" t="s">
        <v>2848</v>
      </c>
      <c r="H628" s="104" t="s">
        <v>2849</v>
      </c>
      <c r="I628" s="252" t="s">
        <v>4219</v>
      </c>
      <c r="J628" s="104" t="s">
        <v>2850</v>
      </c>
      <c r="K628" s="104" t="s">
        <v>29</v>
      </c>
      <c r="L628" s="104" t="s">
        <v>30</v>
      </c>
      <c r="M628" s="104" t="s">
        <v>2851</v>
      </c>
      <c r="N628" s="337" t="s">
        <v>4305</v>
      </c>
      <c r="O628" s="104" t="s">
        <v>214</v>
      </c>
      <c r="P628" s="104" t="s">
        <v>31</v>
      </c>
      <c r="Q628" s="338" t="s">
        <v>32</v>
      </c>
      <c r="R628" s="152"/>
      <c r="S628" s="339" t="s">
        <v>2847</v>
      </c>
      <c r="T628" s="261">
        <v>30137</v>
      </c>
      <c r="U628" s="206" t="s">
        <v>2850</v>
      </c>
      <c r="V628" s="473" t="s">
        <v>80</v>
      </c>
      <c r="W628" s="474"/>
    </row>
    <row r="629" spans="1:23" ht="12.75">
      <c r="A629" s="321">
        <v>46084.69127314815</v>
      </c>
      <c r="B629" s="108" t="s">
        <v>2853</v>
      </c>
      <c r="C629" s="108"/>
      <c r="D629" s="108" t="s">
        <v>45</v>
      </c>
      <c r="E629" s="322">
        <v>31130</v>
      </c>
      <c r="F629" s="108" t="s">
        <v>416</v>
      </c>
      <c r="G629" s="108" t="s">
        <v>209</v>
      </c>
      <c r="H629" s="108" t="s">
        <v>2854</v>
      </c>
      <c r="I629" s="252" t="s">
        <v>4219</v>
      </c>
      <c r="J629" s="108" t="s">
        <v>2855</v>
      </c>
      <c r="K629" s="108" t="s">
        <v>29</v>
      </c>
      <c r="L629" s="108" t="s">
        <v>30</v>
      </c>
      <c r="M629" s="108"/>
      <c r="N629" s="108"/>
      <c r="O629" s="108"/>
      <c r="P629" s="108" t="s">
        <v>31</v>
      </c>
      <c r="Q629" s="338" t="s">
        <v>32</v>
      </c>
      <c r="R629" s="148"/>
      <c r="S629" s="324" t="s">
        <v>2853</v>
      </c>
      <c r="T629" s="261">
        <v>31130</v>
      </c>
      <c r="U629" s="206" t="s">
        <v>2855</v>
      </c>
      <c r="V629" s="473" t="s">
        <v>80</v>
      </c>
      <c r="W629" s="474"/>
    </row>
    <row r="630" spans="1:23" ht="12.75">
      <c r="A630" s="340">
        <v>46084.711944444447</v>
      </c>
      <c r="B630" s="341" t="s">
        <v>2856</v>
      </c>
      <c r="C630" s="341"/>
      <c r="D630" s="341" t="s">
        <v>45</v>
      </c>
      <c r="E630" s="342">
        <v>36406</v>
      </c>
      <c r="F630" s="341" t="s">
        <v>475</v>
      </c>
      <c r="G630" s="341" t="s">
        <v>2857</v>
      </c>
      <c r="H630" s="341" t="s">
        <v>90</v>
      </c>
      <c r="I630" s="241" t="s">
        <v>4219</v>
      </c>
      <c r="J630" s="341" t="s">
        <v>2858</v>
      </c>
      <c r="K630" s="341" t="s">
        <v>39</v>
      </c>
      <c r="L630" s="341" t="s">
        <v>30</v>
      </c>
      <c r="M630" s="341"/>
      <c r="N630" s="341"/>
      <c r="O630" s="341"/>
      <c r="P630" s="341" t="s">
        <v>31</v>
      </c>
      <c r="Q630" s="314" t="s">
        <v>32</v>
      </c>
      <c r="R630" s="245" t="s">
        <v>43</v>
      </c>
      <c r="S630" s="315" t="s">
        <v>2856</v>
      </c>
      <c r="T630" s="266">
        <v>36406</v>
      </c>
      <c r="U630" s="242" t="s">
        <v>2858</v>
      </c>
      <c r="V630" s="475" t="s">
        <v>80</v>
      </c>
      <c r="W630" s="474"/>
    </row>
    <row r="631" spans="1:23" ht="12.75">
      <c r="A631" s="321">
        <v>46084.73159722222</v>
      </c>
      <c r="B631" s="108" t="s">
        <v>2859</v>
      </c>
      <c r="C631" s="108" t="s">
        <v>2860</v>
      </c>
      <c r="D631" s="108" t="s">
        <v>24</v>
      </c>
      <c r="E631" s="322">
        <v>34952</v>
      </c>
      <c r="F631" s="108" t="s">
        <v>416</v>
      </c>
      <c r="G631" s="108" t="s">
        <v>2861</v>
      </c>
      <c r="H631" s="108" t="s">
        <v>2862</v>
      </c>
      <c r="I631" s="252" t="s">
        <v>4219</v>
      </c>
      <c r="J631" s="108" t="s">
        <v>2863</v>
      </c>
      <c r="K631" s="108" t="s">
        <v>29</v>
      </c>
      <c r="L631" s="108" t="s">
        <v>30</v>
      </c>
      <c r="M631" s="108"/>
      <c r="N631" s="108"/>
      <c r="O631" s="108"/>
      <c r="P631" s="108" t="s">
        <v>31</v>
      </c>
      <c r="Q631" s="338" t="s">
        <v>32</v>
      </c>
      <c r="R631" s="148"/>
      <c r="S631" s="324" t="s">
        <v>2864</v>
      </c>
      <c r="T631" s="261">
        <v>34952</v>
      </c>
      <c r="U631" s="206" t="s">
        <v>2863</v>
      </c>
      <c r="V631" s="473" t="s">
        <v>80</v>
      </c>
      <c r="W631" s="474"/>
    </row>
    <row r="632" spans="1:23" ht="12.75">
      <c r="A632" s="316">
        <v>46084.7733912037</v>
      </c>
      <c r="B632" s="317" t="s">
        <v>2865</v>
      </c>
      <c r="C632" s="317"/>
      <c r="D632" s="317" t="s">
        <v>45</v>
      </c>
      <c r="E632" s="318">
        <v>30301</v>
      </c>
      <c r="F632" s="317" t="s">
        <v>612</v>
      </c>
      <c r="G632" s="317" t="s">
        <v>2866</v>
      </c>
      <c r="H632" s="317" t="s">
        <v>2867</v>
      </c>
      <c r="I632" s="241" t="s">
        <v>4223</v>
      </c>
      <c r="J632" s="317" t="s">
        <v>2868</v>
      </c>
      <c r="K632" s="317" t="s">
        <v>29</v>
      </c>
      <c r="L632" s="317" t="s">
        <v>30</v>
      </c>
      <c r="M632" s="317"/>
      <c r="N632" s="317"/>
      <c r="O632" s="317"/>
      <c r="P632" s="317" t="s">
        <v>31</v>
      </c>
      <c r="Q632" s="314" t="s">
        <v>32</v>
      </c>
      <c r="R632" s="248" t="s">
        <v>33</v>
      </c>
      <c r="S632" s="317" t="s">
        <v>2869</v>
      </c>
      <c r="T632" s="266">
        <v>30301</v>
      </c>
      <c r="U632" s="242" t="s">
        <v>2868</v>
      </c>
      <c r="V632" s="475" t="s">
        <v>2870</v>
      </c>
      <c r="W632" s="474"/>
    </row>
    <row r="633" spans="1:23" ht="12.75">
      <c r="A633" s="335">
        <v>46084.838807870372</v>
      </c>
      <c r="B633" s="104" t="s">
        <v>2871</v>
      </c>
      <c r="C633" s="104"/>
      <c r="D633" s="104" t="s">
        <v>24</v>
      </c>
      <c r="E633" s="336">
        <v>37593</v>
      </c>
      <c r="F633" s="104" t="s">
        <v>322</v>
      </c>
      <c r="G633" s="104" t="s">
        <v>2872</v>
      </c>
      <c r="H633" s="104" t="s">
        <v>138</v>
      </c>
      <c r="I633" s="252" t="s">
        <v>4219</v>
      </c>
      <c r="J633" s="104" t="s">
        <v>2873</v>
      </c>
      <c r="K633" s="104" t="s">
        <v>39</v>
      </c>
      <c r="L633" s="104" t="s">
        <v>30</v>
      </c>
      <c r="M633" s="104"/>
      <c r="N633" s="104"/>
      <c r="O633" s="104"/>
      <c r="P633" s="104" t="s">
        <v>31</v>
      </c>
      <c r="Q633" s="338" t="s">
        <v>32</v>
      </c>
      <c r="R633" s="152"/>
      <c r="S633" s="339" t="s">
        <v>2874</v>
      </c>
      <c r="T633" s="261">
        <v>37593</v>
      </c>
      <c r="U633" s="206" t="s">
        <v>2873</v>
      </c>
      <c r="V633" s="206" t="s">
        <v>463</v>
      </c>
      <c r="W633" s="206"/>
    </row>
    <row r="634" spans="1:23" ht="12.75">
      <c r="A634" s="321">
        <v>46084.924722222226</v>
      </c>
      <c r="B634" s="108" t="s">
        <v>2875</v>
      </c>
      <c r="C634" s="108"/>
      <c r="D634" s="108" t="s">
        <v>45</v>
      </c>
      <c r="E634" s="322">
        <v>36422</v>
      </c>
      <c r="F634" s="108" t="s">
        <v>70</v>
      </c>
      <c r="G634" s="108" t="s">
        <v>892</v>
      </c>
      <c r="H634" s="108" t="s">
        <v>98</v>
      </c>
      <c r="I634" s="252" t="s">
        <v>4219</v>
      </c>
      <c r="J634" s="108" t="s">
        <v>2876</v>
      </c>
      <c r="K634" s="108" t="s">
        <v>29</v>
      </c>
      <c r="L634" s="108" t="s">
        <v>241</v>
      </c>
      <c r="M634" s="108"/>
      <c r="N634" s="108"/>
      <c r="O634" s="108"/>
      <c r="P634" s="108" t="s">
        <v>31</v>
      </c>
      <c r="Q634" s="343" t="s">
        <v>32</v>
      </c>
      <c r="R634" s="148"/>
      <c r="S634" s="324" t="s">
        <v>2875</v>
      </c>
      <c r="T634" s="261">
        <v>36422</v>
      </c>
      <c r="U634" s="206" t="s">
        <v>2876</v>
      </c>
      <c r="V634" s="473" t="s">
        <v>80</v>
      </c>
      <c r="W634" s="474"/>
    </row>
    <row r="635" spans="1:23" ht="12.75">
      <c r="A635" s="344">
        <v>46084.932546296295</v>
      </c>
      <c r="B635" s="345" t="s">
        <v>2877</v>
      </c>
      <c r="C635" s="345"/>
      <c r="D635" s="345" t="s">
        <v>24</v>
      </c>
      <c r="E635" s="346">
        <v>35658</v>
      </c>
      <c r="F635" s="345" t="s">
        <v>438</v>
      </c>
      <c r="G635" s="345" t="s">
        <v>2878</v>
      </c>
      <c r="H635" s="345" t="s">
        <v>2879</v>
      </c>
      <c r="I635" s="252" t="s">
        <v>4219</v>
      </c>
      <c r="J635" s="345" t="s">
        <v>2880</v>
      </c>
      <c r="K635" s="345" t="s">
        <v>39</v>
      </c>
      <c r="L635" s="345" t="s">
        <v>30</v>
      </c>
      <c r="M635" s="345"/>
      <c r="N635" s="345"/>
      <c r="O635" s="345"/>
      <c r="P635" s="345" t="s">
        <v>31</v>
      </c>
      <c r="Q635" s="338" t="s">
        <v>32</v>
      </c>
      <c r="R635" s="152" t="s">
        <v>33</v>
      </c>
      <c r="S635" s="339" t="s">
        <v>2877</v>
      </c>
      <c r="T635" s="261">
        <v>35658</v>
      </c>
      <c r="U635" s="206" t="s">
        <v>2881</v>
      </c>
      <c r="V635" s="473" t="s">
        <v>80</v>
      </c>
      <c r="W635" s="474"/>
    </row>
    <row r="636" spans="1:23" ht="12.75">
      <c r="A636" s="316">
        <v>46084.940023148149</v>
      </c>
      <c r="B636" s="317" t="s">
        <v>2882</v>
      </c>
      <c r="C636" s="317" t="s">
        <v>2883</v>
      </c>
      <c r="D636" s="317" t="s">
        <v>24</v>
      </c>
      <c r="E636" s="318">
        <v>38781</v>
      </c>
      <c r="F636" s="317" t="s">
        <v>1053</v>
      </c>
      <c r="G636" s="317" t="s">
        <v>2884</v>
      </c>
      <c r="H636" s="317" t="s">
        <v>2885</v>
      </c>
      <c r="I636" s="241" t="s">
        <v>4237</v>
      </c>
      <c r="J636" s="317" t="s">
        <v>2886</v>
      </c>
      <c r="K636" s="317" t="s">
        <v>39</v>
      </c>
      <c r="L636" s="317" t="s">
        <v>152</v>
      </c>
      <c r="M636" s="317"/>
      <c r="N636" s="317"/>
      <c r="O636" s="317"/>
      <c r="P636" s="317" t="s">
        <v>31</v>
      </c>
      <c r="Q636" s="314" t="s">
        <v>32</v>
      </c>
      <c r="R636" s="248" t="s">
        <v>43</v>
      </c>
      <c r="S636" s="317" t="s">
        <v>2887</v>
      </c>
      <c r="T636" s="266">
        <v>38781</v>
      </c>
      <c r="U636" s="242" t="s">
        <v>2886</v>
      </c>
      <c r="V636" s="475" t="s">
        <v>80</v>
      </c>
      <c r="W636" s="474"/>
    </row>
    <row r="637" spans="1:23" ht="12.75">
      <c r="A637" s="316">
        <v>46084.998831018522</v>
      </c>
      <c r="B637" s="317" t="s">
        <v>2888</v>
      </c>
      <c r="C637" s="317"/>
      <c r="D637" s="317" t="s">
        <v>24</v>
      </c>
      <c r="E637" s="318">
        <v>37032</v>
      </c>
      <c r="F637" s="317" t="s">
        <v>2713</v>
      </c>
      <c r="G637" s="317" t="s">
        <v>2714</v>
      </c>
      <c r="H637" s="317" t="s">
        <v>368</v>
      </c>
      <c r="I637" s="241" t="s">
        <v>4237</v>
      </c>
      <c r="J637" s="317" t="s">
        <v>2889</v>
      </c>
      <c r="K637" s="317" t="s">
        <v>29</v>
      </c>
      <c r="L637" s="317" t="s">
        <v>30</v>
      </c>
      <c r="M637" s="317"/>
      <c r="N637" s="317"/>
      <c r="O637" s="317"/>
      <c r="P637" s="317" t="s">
        <v>31</v>
      </c>
      <c r="Q637" s="334" t="s">
        <v>32</v>
      </c>
      <c r="R637" s="248" t="s">
        <v>43</v>
      </c>
      <c r="S637" s="317" t="s">
        <v>2888</v>
      </c>
      <c r="T637" s="266">
        <v>37032</v>
      </c>
      <c r="U637" s="242" t="s">
        <v>2889</v>
      </c>
      <c r="V637" s="475" t="s">
        <v>80</v>
      </c>
      <c r="W637" s="474"/>
    </row>
    <row r="638" spans="1:23" ht="12.75">
      <c r="A638" s="347">
        <v>46085.003020833334</v>
      </c>
      <c r="B638" s="348" t="s">
        <v>2890</v>
      </c>
      <c r="C638" s="348"/>
      <c r="D638" s="348" t="s">
        <v>24</v>
      </c>
      <c r="E638" s="349">
        <v>38631</v>
      </c>
      <c r="F638" s="315" t="s">
        <v>70</v>
      </c>
      <c r="G638" s="348" t="s">
        <v>77</v>
      </c>
      <c r="H638" s="348" t="s">
        <v>2891</v>
      </c>
      <c r="I638" s="241" t="s">
        <v>4219</v>
      </c>
      <c r="J638" s="348" t="s">
        <v>2892</v>
      </c>
      <c r="K638" s="348" t="s">
        <v>29</v>
      </c>
      <c r="L638" s="348" t="s">
        <v>30</v>
      </c>
      <c r="M638" s="348"/>
      <c r="N638" s="348"/>
      <c r="O638" s="348"/>
      <c r="P638" s="348" t="s">
        <v>31</v>
      </c>
      <c r="Q638" s="314" t="s">
        <v>32</v>
      </c>
      <c r="R638" s="245" t="s">
        <v>33</v>
      </c>
      <c r="S638" s="315" t="s">
        <v>2890</v>
      </c>
      <c r="T638" s="266">
        <v>38631</v>
      </c>
      <c r="U638" s="242" t="s">
        <v>2892</v>
      </c>
      <c r="V638" s="475" t="s">
        <v>80</v>
      </c>
      <c r="W638" s="474"/>
    </row>
    <row r="639" spans="1:23" ht="12.75">
      <c r="A639" s="350">
        <v>46085.092615740738</v>
      </c>
      <c r="B639" s="351" t="s">
        <v>2893</v>
      </c>
      <c r="C639" s="351"/>
      <c r="D639" s="351" t="s">
        <v>24</v>
      </c>
      <c r="E639" s="352">
        <v>38881</v>
      </c>
      <c r="F639" s="351" t="s">
        <v>416</v>
      </c>
      <c r="G639" s="351" t="s">
        <v>2894</v>
      </c>
      <c r="H639" s="351" t="s">
        <v>66</v>
      </c>
      <c r="I639" s="252" t="s">
        <v>4219</v>
      </c>
      <c r="J639" s="351" t="s">
        <v>2895</v>
      </c>
      <c r="K639" s="351" t="s">
        <v>29</v>
      </c>
      <c r="L639" s="351" t="s">
        <v>30</v>
      </c>
      <c r="M639" s="351"/>
      <c r="N639" s="351"/>
      <c r="O639" s="351"/>
      <c r="P639" s="351" t="s">
        <v>31</v>
      </c>
      <c r="Q639" s="338" t="s">
        <v>32</v>
      </c>
      <c r="R639" s="148" t="s">
        <v>33</v>
      </c>
      <c r="S639" s="324" t="s">
        <v>2896</v>
      </c>
      <c r="T639" s="261">
        <v>38881</v>
      </c>
      <c r="U639" s="206" t="s">
        <v>2895</v>
      </c>
      <c r="V639" s="473" t="s">
        <v>2897</v>
      </c>
      <c r="W639" s="474"/>
    </row>
    <row r="640" spans="1:23" ht="12.75">
      <c r="A640" s="311">
        <v>46085.165127314816</v>
      </c>
      <c r="B640" s="312" t="s">
        <v>2898</v>
      </c>
      <c r="C640" s="312"/>
      <c r="D640" s="312" t="s">
        <v>24</v>
      </c>
      <c r="E640" s="313">
        <v>26230</v>
      </c>
      <c r="F640" s="312" t="s">
        <v>2556</v>
      </c>
      <c r="G640" s="312" t="s">
        <v>2899</v>
      </c>
      <c r="H640" s="312" t="s">
        <v>2900</v>
      </c>
      <c r="I640" s="241" t="s">
        <v>4219</v>
      </c>
      <c r="J640" s="312" t="s">
        <v>2901</v>
      </c>
      <c r="K640" s="312" t="s">
        <v>39</v>
      </c>
      <c r="L640" s="312" t="s">
        <v>30</v>
      </c>
      <c r="M640" s="312"/>
      <c r="N640" s="312"/>
      <c r="O640" s="312"/>
      <c r="P640" s="312" t="s">
        <v>31</v>
      </c>
      <c r="Q640" s="334" t="s">
        <v>32</v>
      </c>
      <c r="R640" s="245" t="s">
        <v>33</v>
      </c>
      <c r="S640" s="315" t="s">
        <v>2898</v>
      </c>
      <c r="T640" s="266">
        <v>26230</v>
      </c>
      <c r="U640" s="242" t="s">
        <v>2901</v>
      </c>
      <c r="V640" s="475" t="s">
        <v>80</v>
      </c>
      <c r="W640" s="474"/>
    </row>
    <row r="641" spans="1:23" ht="12.75">
      <c r="A641" s="316">
        <v>46085.349826388891</v>
      </c>
      <c r="B641" s="317" t="s">
        <v>2902</v>
      </c>
      <c r="C641" s="317"/>
      <c r="D641" s="317" t="s">
        <v>24</v>
      </c>
      <c r="E641" s="318">
        <v>27926</v>
      </c>
      <c r="F641" s="317" t="s">
        <v>623</v>
      </c>
      <c r="G641" s="317" t="s">
        <v>2903</v>
      </c>
      <c r="H641" s="317" t="s">
        <v>90</v>
      </c>
      <c r="I641" s="241" t="s">
        <v>4219</v>
      </c>
      <c r="J641" s="317" t="s">
        <v>2904</v>
      </c>
      <c r="K641" s="317" t="s">
        <v>39</v>
      </c>
      <c r="L641" s="317" t="s">
        <v>30</v>
      </c>
      <c r="M641" s="317"/>
      <c r="N641" s="317"/>
      <c r="O641" s="317"/>
      <c r="P641" s="317" t="s">
        <v>31</v>
      </c>
      <c r="Q641" s="314" t="s">
        <v>32</v>
      </c>
      <c r="R641" s="248" t="s">
        <v>33</v>
      </c>
      <c r="S641" s="317" t="s">
        <v>2905</v>
      </c>
      <c r="T641" s="266">
        <v>27926</v>
      </c>
      <c r="U641" s="242" t="s">
        <v>2904</v>
      </c>
      <c r="V641" s="475" t="s">
        <v>1670</v>
      </c>
      <c r="W641" s="474"/>
    </row>
    <row r="642" spans="1:23" ht="12.75">
      <c r="A642" s="311">
        <v>46085.642418981479</v>
      </c>
      <c r="B642" s="312" t="s">
        <v>2906</v>
      </c>
      <c r="C642" s="312" t="s">
        <v>2907</v>
      </c>
      <c r="D642" s="312" t="s">
        <v>24</v>
      </c>
      <c r="E642" s="313">
        <v>38814</v>
      </c>
      <c r="F642" s="312" t="s">
        <v>1053</v>
      </c>
      <c r="G642" s="312" t="s">
        <v>2908</v>
      </c>
      <c r="H642" s="312" t="s">
        <v>66</v>
      </c>
      <c r="I642" s="241" t="s">
        <v>4237</v>
      </c>
      <c r="J642" s="312" t="s">
        <v>2909</v>
      </c>
      <c r="K642" s="312" t="s">
        <v>29</v>
      </c>
      <c r="L642" s="312" t="s">
        <v>30</v>
      </c>
      <c r="M642" s="312"/>
      <c r="N642" s="312"/>
      <c r="O642" s="312"/>
      <c r="P642" s="312" t="s">
        <v>31</v>
      </c>
      <c r="Q642" s="314" t="s">
        <v>32</v>
      </c>
      <c r="R642" s="245" t="s">
        <v>43</v>
      </c>
      <c r="S642" s="315" t="s">
        <v>2906</v>
      </c>
      <c r="T642" s="266">
        <v>38814</v>
      </c>
      <c r="U642" s="242" t="s">
        <v>2910</v>
      </c>
      <c r="V642" s="475" t="s">
        <v>80</v>
      </c>
      <c r="W642" s="474"/>
    </row>
    <row r="643" spans="1:23" ht="12.75">
      <c r="A643" s="353">
        <v>46085.783090277779</v>
      </c>
      <c r="B643" s="104" t="s">
        <v>2911</v>
      </c>
      <c r="C643" s="104"/>
      <c r="D643" s="104" t="s">
        <v>45</v>
      </c>
      <c r="E643" s="336">
        <v>38008</v>
      </c>
      <c r="F643" s="104" t="s">
        <v>438</v>
      </c>
      <c r="G643" s="104" t="s">
        <v>2912</v>
      </c>
      <c r="H643" s="104" t="s">
        <v>66</v>
      </c>
      <c r="I643" s="252" t="s">
        <v>4219</v>
      </c>
      <c r="J643" s="104" t="s">
        <v>2913</v>
      </c>
      <c r="K643" s="104" t="s">
        <v>29</v>
      </c>
      <c r="L643" s="104" t="s">
        <v>30</v>
      </c>
      <c r="M643" s="104"/>
      <c r="N643" s="104"/>
      <c r="O643" s="104"/>
      <c r="P643" s="104" t="s">
        <v>31</v>
      </c>
      <c r="Q643" s="338" t="s">
        <v>32</v>
      </c>
      <c r="R643" s="152"/>
      <c r="S643" s="339" t="s">
        <v>2911</v>
      </c>
      <c r="T643" s="261">
        <v>38008</v>
      </c>
      <c r="U643" s="206" t="s">
        <v>2913</v>
      </c>
      <c r="V643" s="473" t="s">
        <v>80</v>
      </c>
      <c r="W643" s="474"/>
    </row>
    <row r="644" spans="1:23" ht="12.75">
      <c r="A644" s="316">
        <v>46085.825254629628</v>
      </c>
      <c r="B644" s="317" t="s">
        <v>2914</v>
      </c>
      <c r="C644" s="317" t="s">
        <v>2914</v>
      </c>
      <c r="D644" s="317" t="s">
        <v>45</v>
      </c>
      <c r="E644" s="318">
        <v>21478</v>
      </c>
      <c r="F644" s="317" t="s">
        <v>64</v>
      </c>
      <c r="G644" s="317" t="s">
        <v>2915</v>
      </c>
      <c r="H644" s="317" t="s">
        <v>2916</v>
      </c>
      <c r="I644" s="241" t="s">
        <v>4219</v>
      </c>
      <c r="J644" s="317" t="s">
        <v>2917</v>
      </c>
      <c r="K644" s="317" t="s">
        <v>29</v>
      </c>
      <c r="L644" s="317" t="s">
        <v>30</v>
      </c>
      <c r="M644" s="317"/>
      <c r="N644" s="317"/>
      <c r="O644" s="317"/>
      <c r="P644" s="317" t="s">
        <v>31</v>
      </c>
      <c r="Q644" s="314" t="s">
        <v>32</v>
      </c>
      <c r="R644" s="248" t="s">
        <v>33</v>
      </c>
      <c r="S644" s="317" t="s">
        <v>2914</v>
      </c>
      <c r="T644" s="266">
        <v>21478</v>
      </c>
      <c r="U644" s="242" t="s">
        <v>2918</v>
      </c>
      <c r="V644" s="475" t="s">
        <v>101</v>
      </c>
      <c r="W644" s="474"/>
    </row>
    <row r="645" spans="1:23" ht="12.75">
      <c r="A645" s="354">
        <v>46086.028368055559</v>
      </c>
      <c r="B645" s="108" t="s">
        <v>2919</v>
      </c>
      <c r="C645" s="108"/>
      <c r="D645" s="108" t="s">
        <v>24</v>
      </c>
      <c r="E645" s="322">
        <v>35346</v>
      </c>
      <c r="F645" s="108" t="s">
        <v>70</v>
      </c>
      <c r="G645" s="108" t="s">
        <v>2920</v>
      </c>
      <c r="H645" s="108" t="s">
        <v>66</v>
      </c>
      <c r="I645" s="252" t="s">
        <v>4219</v>
      </c>
      <c r="J645" s="108" t="s">
        <v>2921</v>
      </c>
      <c r="K645" s="108" t="s">
        <v>29</v>
      </c>
      <c r="L645" s="355">
        <v>46202</v>
      </c>
      <c r="M645" s="108"/>
      <c r="N645" s="108"/>
      <c r="O645" s="108"/>
      <c r="P645" s="108" t="s">
        <v>31</v>
      </c>
      <c r="Q645" s="338" t="s">
        <v>32</v>
      </c>
      <c r="R645" s="148"/>
      <c r="S645" s="324" t="s">
        <v>2922</v>
      </c>
      <c r="T645" s="261">
        <v>35346</v>
      </c>
      <c r="U645" s="206" t="s">
        <v>2923</v>
      </c>
      <c r="V645" s="473" t="s">
        <v>2924</v>
      </c>
      <c r="W645" s="474"/>
    </row>
    <row r="646" spans="1:23" ht="12.75">
      <c r="A646" s="347">
        <v>46086.617395833331</v>
      </c>
      <c r="B646" s="348" t="s">
        <v>2925</v>
      </c>
      <c r="C646" s="348"/>
      <c r="D646" s="348" t="s">
        <v>24</v>
      </c>
      <c r="E646" s="349">
        <v>38570</v>
      </c>
      <c r="F646" s="348" t="s">
        <v>297</v>
      </c>
      <c r="G646" s="348" t="s">
        <v>2926</v>
      </c>
      <c r="H646" s="348" t="s">
        <v>66</v>
      </c>
      <c r="I646" s="241" t="s">
        <v>4219</v>
      </c>
      <c r="J646" s="348" t="s">
        <v>2927</v>
      </c>
      <c r="K646" s="348" t="s">
        <v>29</v>
      </c>
      <c r="L646" s="348" t="s">
        <v>30</v>
      </c>
      <c r="M646" s="348"/>
      <c r="N646" s="348"/>
      <c r="O646" s="348"/>
      <c r="P646" s="348" t="s">
        <v>31</v>
      </c>
      <c r="Q646" s="314" t="s">
        <v>32</v>
      </c>
      <c r="R646" s="245" t="s">
        <v>33</v>
      </c>
      <c r="S646" s="315" t="s">
        <v>2925</v>
      </c>
      <c r="T646" s="266">
        <v>38570</v>
      </c>
      <c r="U646" s="242" t="s">
        <v>2927</v>
      </c>
      <c r="V646" s="475" t="s">
        <v>80</v>
      </c>
      <c r="W646" s="474"/>
    </row>
    <row r="647" spans="1:23" ht="12.75">
      <c r="A647" s="316">
        <v>46086.709016203706</v>
      </c>
      <c r="B647" s="317" t="s">
        <v>2928</v>
      </c>
      <c r="C647" s="317" t="s">
        <v>2929</v>
      </c>
      <c r="D647" s="317" t="s">
        <v>45</v>
      </c>
      <c r="E647" s="318">
        <v>37047</v>
      </c>
      <c r="F647" s="317" t="s">
        <v>1053</v>
      </c>
      <c r="G647" s="317" t="s">
        <v>2930</v>
      </c>
      <c r="H647" s="317" t="s">
        <v>66</v>
      </c>
      <c r="I647" s="241" t="s">
        <v>4237</v>
      </c>
      <c r="J647" s="317" t="s">
        <v>2931</v>
      </c>
      <c r="K647" s="317" t="s">
        <v>39</v>
      </c>
      <c r="L647" s="317" t="s">
        <v>152</v>
      </c>
      <c r="M647" s="317"/>
      <c r="N647" s="317"/>
      <c r="O647" s="317"/>
      <c r="P647" s="317" t="s">
        <v>31</v>
      </c>
      <c r="Q647" s="314" t="s">
        <v>32</v>
      </c>
      <c r="R647" s="248" t="s">
        <v>43</v>
      </c>
      <c r="S647" s="317" t="s">
        <v>2932</v>
      </c>
      <c r="T647" s="266">
        <v>37047</v>
      </c>
      <c r="U647" s="242" t="s">
        <v>2931</v>
      </c>
      <c r="V647" s="475" t="s">
        <v>80</v>
      </c>
      <c r="W647" s="474"/>
    </row>
    <row r="648" spans="1:23" ht="12.75">
      <c r="A648" s="347">
        <v>46086.891643518517</v>
      </c>
      <c r="B648" s="348" t="s">
        <v>2933</v>
      </c>
      <c r="C648" s="348" t="s">
        <v>2934</v>
      </c>
      <c r="D648" s="348" t="s">
        <v>45</v>
      </c>
      <c r="E648" s="349">
        <v>39093</v>
      </c>
      <c r="F648" s="348" t="s">
        <v>1053</v>
      </c>
      <c r="G648" s="348" t="s">
        <v>2935</v>
      </c>
      <c r="H648" s="348" t="s">
        <v>66</v>
      </c>
      <c r="I648" s="241" t="s">
        <v>4237</v>
      </c>
      <c r="J648" s="348" t="s">
        <v>2936</v>
      </c>
      <c r="K648" s="348" t="s">
        <v>29</v>
      </c>
      <c r="L648" s="348" t="s">
        <v>30</v>
      </c>
      <c r="M648" s="348"/>
      <c r="N648" s="348"/>
      <c r="O648" s="348"/>
      <c r="P648" s="348" t="s">
        <v>31</v>
      </c>
      <c r="Q648" s="314" t="s">
        <v>32</v>
      </c>
      <c r="R648" s="245" t="s">
        <v>43</v>
      </c>
      <c r="S648" s="315" t="s">
        <v>2937</v>
      </c>
      <c r="T648" s="266">
        <v>39093</v>
      </c>
      <c r="U648" s="242" t="s">
        <v>2936</v>
      </c>
      <c r="V648" s="475" t="s">
        <v>154</v>
      </c>
      <c r="W648" s="474"/>
    </row>
    <row r="649" spans="1:23" ht="12.75">
      <c r="A649" s="331">
        <v>46086.901967592596</v>
      </c>
      <c r="B649" s="332" t="s">
        <v>2938</v>
      </c>
      <c r="C649" s="332"/>
      <c r="D649" s="332" t="s">
        <v>45</v>
      </c>
      <c r="E649" s="333">
        <v>34979</v>
      </c>
      <c r="F649" s="332" t="s">
        <v>612</v>
      </c>
      <c r="G649" s="332" t="s">
        <v>2939</v>
      </c>
      <c r="H649" s="332" t="s">
        <v>186</v>
      </c>
      <c r="I649" s="241" t="s">
        <v>4223</v>
      </c>
      <c r="J649" s="332" t="s">
        <v>2940</v>
      </c>
      <c r="K649" s="332" t="s">
        <v>29</v>
      </c>
      <c r="L649" s="332" t="s">
        <v>30</v>
      </c>
      <c r="M649" s="332"/>
      <c r="N649" s="332"/>
      <c r="O649" s="332"/>
      <c r="P649" s="332" t="s">
        <v>31</v>
      </c>
      <c r="Q649" s="314" t="s">
        <v>32</v>
      </c>
      <c r="R649" s="248" t="s">
        <v>33</v>
      </c>
      <c r="S649" s="317" t="s">
        <v>2941</v>
      </c>
      <c r="T649" s="266">
        <v>34979</v>
      </c>
      <c r="U649" s="242" t="s">
        <v>2940</v>
      </c>
      <c r="V649" s="475" t="s">
        <v>154</v>
      </c>
      <c r="W649" s="474"/>
    </row>
    <row r="650" spans="1:23" ht="12.75">
      <c r="A650" s="347">
        <v>46086.937673611108</v>
      </c>
      <c r="B650" s="348" t="s">
        <v>2942</v>
      </c>
      <c r="C650" s="348"/>
      <c r="D650" s="348" t="s">
        <v>45</v>
      </c>
      <c r="E650" s="349">
        <v>36450</v>
      </c>
      <c r="F650" s="315" t="s">
        <v>227</v>
      </c>
      <c r="G650" s="348" t="s">
        <v>2943</v>
      </c>
      <c r="H650" s="348" t="s">
        <v>2944</v>
      </c>
      <c r="I650" s="241" t="s">
        <v>4219</v>
      </c>
      <c r="J650" s="348" t="s">
        <v>2945</v>
      </c>
      <c r="K650" s="348" t="s">
        <v>29</v>
      </c>
      <c r="L650" s="348" t="s">
        <v>30</v>
      </c>
      <c r="M650" s="348"/>
      <c r="N650" s="348"/>
      <c r="O650" s="348"/>
      <c r="P650" s="348" t="s">
        <v>31</v>
      </c>
      <c r="Q650" s="314" t="s">
        <v>32</v>
      </c>
      <c r="R650" s="245" t="s">
        <v>33</v>
      </c>
      <c r="S650" s="315" t="s">
        <v>2942</v>
      </c>
      <c r="T650" s="266">
        <v>36450</v>
      </c>
      <c r="U650" s="242" t="s">
        <v>2945</v>
      </c>
      <c r="V650" s="475" t="s">
        <v>80</v>
      </c>
      <c r="W650" s="474"/>
    </row>
    <row r="651" spans="1:23" ht="12.75">
      <c r="A651" s="321">
        <v>46087.185717592591</v>
      </c>
      <c r="B651" s="108" t="s">
        <v>2946</v>
      </c>
      <c r="C651" s="108"/>
      <c r="D651" s="108" t="s">
        <v>45</v>
      </c>
      <c r="E651" s="322">
        <v>36160</v>
      </c>
      <c r="F651" s="108" t="s">
        <v>799</v>
      </c>
      <c r="G651" s="108" t="s">
        <v>1203</v>
      </c>
      <c r="H651" s="108" t="s">
        <v>2947</v>
      </c>
      <c r="I651" s="252" t="s">
        <v>4223</v>
      </c>
      <c r="J651" s="108" t="s">
        <v>2948</v>
      </c>
      <c r="K651" s="108" t="s">
        <v>29</v>
      </c>
      <c r="L651" s="108" t="s">
        <v>30</v>
      </c>
      <c r="M651" s="108"/>
      <c r="N651" s="108"/>
      <c r="O651" s="108"/>
      <c r="P651" s="108" t="s">
        <v>31</v>
      </c>
      <c r="Q651" s="338" t="s">
        <v>32</v>
      </c>
      <c r="R651" s="148"/>
      <c r="S651" s="324" t="s">
        <v>2946</v>
      </c>
      <c r="T651" s="261">
        <v>36160</v>
      </c>
      <c r="U651" s="206" t="s">
        <v>2948</v>
      </c>
      <c r="V651" s="473" t="s">
        <v>80</v>
      </c>
      <c r="W651" s="474"/>
    </row>
    <row r="652" spans="1:23" ht="12.75">
      <c r="A652" s="319">
        <v>46087.654456018521</v>
      </c>
      <c r="B652" s="315" t="s">
        <v>2949</v>
      </c>
      <c r="C652" s="315"/>
      <c r="D652" s="315" t="s">
        <v>24</v>
      </c>
      <c r="E652" s="320">
        <v>35746</v>
      </c>
      <c r="F652" s="315" t="s">
        <v>297</v>
      </c>
      <c r="G652" s="315" t="s">
        <v>2950</v>
      </c>
      <c r="H652" s="315" t="s">
        <v>1069</v>
      </c>
      <c r="I652" s="241" t="s">
        <v>4219</v>
      </c>
      <c r="J652" s="315" t="s">
        <v>2951</v>
      </c>
      <c r="K652" s="315" t="s">
        <v>39</v>
      </c>
      <c r="L652" s="315" t="s">
        <v>162</v>
      </c>
      <c r="M652" s="315"/>
      <c r="N652" s="315"/>
      <c r="O652" s="315"/>
      <c r="P652" s="315" t="s">
        <v>31</v>
      </c>
      <c r="Q652" s="314" t="s">
        <v>32</v>
      </c>
      <c r="R652" s="245" t="s">
        <v>33</v>
      </c>
      <c r="S652" s="315" t="s">
        <v>2952</v>
      </c>
      <c r="T652" s="266">
        <v>35746</v>
      </c>
      <c r="U652" s="242" t="s">
        <v>2951</v>
      </c>
      <c r="V652" s="475" t="s">
        <v>154</v>
      </c>
      <c r="W652" s="474"/>
    </row>
    <row r="653" spans="1:23" ht="12.75">
      <c r="A653" s="321">
        <v>46087.750578703701</v>
      </c>
      <c r="B653" s="108" t="s">
        <v>2953</v>
      </c>
      <c r="C653" s="108"/>
      <c r="D653" s="108" t="s">
        <v>45</v>
      </c>
      <c r="E653" s="322">
        <v>36422</v>
      </c>
      <c r="F653" s="108" t="s">
        <v>208</v>
      </c>
      <c r="G653" s="108" t="s">
        <v>2310</v>
      </c>
      <c r="H653" s="108" t="s">
        <v>138</v>
      </c>
      <c r="I653" s="252" t="s">
        <v>4223</v>
      </c>
      <c r="J653" s="108" t="s">
        <v>2954</v>
      </c>
      <c r="K653" s="108" t="s">
        <v>29</v>
      </c>
      <c r="L653" s="108" t="s">
        <v>30</v>
      </c>
      <c r="M653" s="108"/>
      <c r="N653" s="108"/>
      <c r="O653" s="108"/>
      <c r="P653" s="108" t="s">
        <v>31</v>
      </c>
      <c r="Q653" s="338" t="s">
        <v>32</v>
      </c>
      <c r="R653" s="148"/>
      <c r="S653" s="324" t="s">
        <v>2953</v>
      </c>
      <c r="T653" s="261">
        <v>36422</v>
      </c>
      <c r="U653" s="206" t="s">
        <v>2954</v>
      </c>
      <c r="V653" s="473" t="s">
        <v>80</v>
      </c>
      <c r="W653" s="474"/>
    </row>
    <row r="654" spans="1:23" ht="12.75">
      <c r="A654" s="335">
        <v>46087.776956018519</v>
      </c>
      <c r="B654" s="104" t="s">
        <v>2955</v>
      </c>
      <c r="C654" s="104"/>
      <c r="D654" s="104" t="s">
        <v>45</v>
      </c>
      <c r="E654" s="336">
        <v>35340</v>
      </c>
      <c r="F654" s="104" t="s">
        <v>70</v>
      </c>
      <c r="G654" s="104" t="s">
        <v>2956</v>
      </c>
      <c r="H654" s="104" t="s">
        <v>98</v>
      </c>
      <c r="I654" s="252" t="s">
        <v>4219</v>
      </c>
      <c r="J654" s="104" t="s">
        <v>2957</v>
      </c>
      <c r="K654" s="104" t="s">
        <v>29</v>
      </c>
      <c r="L654" s="104" t="s">
        <v>30</v>
      </c>
      <c r="M654" s="104"/>
      <c r="N654" s="104"/>
      <c r="O654" s="104"/>
      <c r="P654" s="104" t="s">
        <v>31</v>
      </c>
      <c r="Q654" s="338" t="s">
        <v>32</v>
      </c>
      <c r="R654" s="152"/>
      <c r="S654" s="339" t="s">
        <v>2958</v>
      </c>
      <c r="T654" s="261">
        <v>35340</v>
      </c>
      <c r="U654" s="206" t="s">
        <v>2959</v>
      </c>
      <c r="V654" s="473" t="s">
        <v>129</v>
      </c>
      <c r="W654" s="474"/>
    </row>
    <row r="655" spans="1:23" ht="12.75">
      <c r="A655" s="321">
        <v>46088.047476851854</v>
      </c>
      <c r="B655" s="108" t="s">
        <v>2960</v>
      </c>
      <c r="C655" s="108" t="s">
        <v>2961</v>
      </c>
      <c r="D655" s="108" t="s">
        <v>45</v>
      </c>
      <c r="E655" s="322">
        <v>33097</v>
      </c>
      <c r="F655" s="108" t="s">
        <v>70</v>
      </c>
      <c r="G655" s="108" t="s">
        <v>2962</v>
      </c>
      <c r="H655" s="108" t="s">
        <v>66</v>
      </c>
      <c r="I655" s="252" t="s">
        <v>4219</v>
      </c>
      <c r="J655" s="108" t="s">
        <v>1910</v>
      </c>
      <c r="K655" s="108" t="s">
        <v>29</v>
      </c>
      <c r="L655" s="108" t="s">
        <v>30</v>
      </c>
      <c r="M655" s="108"/>
      <c r="N655" s="108"/>
      <c r="O655" s="108"/>
      <c r="P655" s="108" t="s">
        <v>31</v>
      </c>
      <c r="Q655" s="323" t="s">
        <v>56</v>
      </c>
      <c r="R655" s="24"/>
      <c r="S655" s="324"/>
      <c r="T655" s="258"/>
      <c r="U655" s="206"/>
      <c r="V655" s="206"/>
      <c r="W655" s="206"/>
    </row>
    <row r="656" spans="1:23" ht="12.75">
      <c r="A656" s="335">
        <v>46088.135439814818</v>
      </c>
      <c r="B656" s="104" t="s">
        <v>2963</v>
      </c>
      <c r="C656" s="104"/>
      <c r="D656" s="104" t="s">
        <v>24</v>
      </c>
      <c r="E656" s="336">
        <v>36163</v>
      </c>
      <c r="F656" s="104" t="s">
        <v>58</v>
      </c>
      <c r="G656" s="104" t="s">
        <v>2872</v>
      </c>
      <c r="H656" s="104" t="s">
        <v>2964</v>
      </c>
      <c r="I656" s="252" t="s">
        <v>4219</v>
      </c>
      <c r="J656" s="104" t="s">
        <v>2965</v>
      </c>
      <c r="K656" s="104" t="s">
        <v>29</v>
      </c>
      <c r="L656" s="104" t="s">
        <v>30</v>
      </c>
      <c r="M656" s="104"/>
      <c r="N656" s="104"/>
      <c r="O656" s="104"/>
      <c r="P656" s="104" t="s">
        <v>31</v>
      </c>
      <c r="Q656" s="338" t="s">
        <v>32</v>
      </c>
      <c r="R656" s="148" t="s">
        <v>33</v>
      </c>
      <c r="S656" s="339" t="s">
        <v>2963</v>
      </c>
      <c r="T656" s="261">
        <v>36163</v>
      </c>
      <c r="U656" s="206" t="s">
        <v>2965</v>
      </c>
      <c r="V656" s="473" t="s">
        <v>80</v>
      </c>
      <c r="W656" s="474"/>
    </row>
    <row r="657" spans="1:23" ht="12.75">
      <c r="A657" s="321">
        <v>46089.878460648149</v>
      </c>
      <c r="B657" s="108" t="s">
        <v>2966</v>
      </c>
      <c r="C657" s="108" t="s">
        <v>2967</v>
      </c>
      <c r="D657" s="108" t="s">
        <v>24</v>
      </c>
      <c r="E657" s="322">
        <v>36731</v>
      </c>
      <c r="F657" s="108" t="s">
        <v>980</v>
      </c>
      <c r="G657" s="108" t="s">
        <v>2968</v>
      </c>
      <c r="H657" s="108" t="s">
        <v>2969</v>
      </c>
      <c r="I657" s="252" t="s">
        <v>4219</v>
      </c>
      <c r="J657" s="108" t="s">
        <v>2970</v>
      </c>
      <c r="K657" s="108" t="s">
        <v>39</v>
      </c>
      <c r="L657" s="108" t="s">
        <v>1991</v>
      </c>
      <c r="M657" s="108"/>
      <c r="N657" s="108"/>
      <c r="O657" s="108"/>
      <c r="P657" s="108" t="s">
        <v>31</v>
      </c>
      <c r="Q657" s="338" t="s">
        <v>32</v>
      </c>
      <c r="R657" s="148"/>
      <c r="S657" s="324" t="s">
        <v>2971</v>
      </c>
      <c r="T657" s="261">
        <v>36731</v>
      </c>
      <c r="U657" s="206" t="s">
        <v>2972</v>
      </c>
      <c r="V657" s="473" t="s">
        <v>80</v>
      </c>
      <c r="W657" s="474"/>
    </row>
    <row r="658" spans="1:23" ht="12.75">
      <c r="A658" s="316">
        <v>46090.053472222222</v>
      </c>
      <c r="B658" s="317" t="s">
        <v>2973</v>
      </c>
      <c r="C658" s="317"/>
      <c r="D658" s="317" t="s">
        <v>24</v>
      </c>
      <c r="E658" s="318">
        <v>38330</v>
      </c>
      <c r="F658" s="317" t="s">
        <v>227</v>
      </c>
      <c r="G658" s="317" t="s">
        <v>2974</v>
      </c>
      <c r="H658" s="317" t="s">
        <v>1407</v>
      </c>
      <c r="I658" s="241" t="s">
        <v>4219</v>
      </c>
      <c r="J658" s="317" t="s">
        <v>2975</v>
      </c>
      <c r="K658" s="317" t="s">
        <v>29</v>
      </c>
      <c r="L658" s="317" t="s">
        <v>30</v>
      </c>
      <c r="M658" s="317"/>
      <c r="N658" s="317"/>
      <c r="O658" s="317"/>
      <c r="P658" s="317" t="s">
        <v>31</v>
      </c>
      <c r="Q658" s="314" t="s">
        <v>32</v>
      </c>
      <c r="R658" s="248" t="s">
        <v>33</v>
      </c>
      <c r="S658" s="317" t="s">
        <v>2973</v>
      </c>
      <c r="T658" s="266">
        <v>38330</v>
      </c>
      <c r="U658" s="242" t="s">
        <v>2975</v>
      </c>
      <c r="V658" s="475" t="s">
        <v>80</v>
      </c>
      <c r="W658" s="474"/>
    </row>
    <row r="659" spans="1:23" ht="12.75">
      <c r="A659" s="319">
        <v>46090.304791666669</v>
      </c>
      <c r="B659" s="315" t="s">
        <v>2976</v>
      </c>
      <c r="C659" s="315"/>
      <c r="D659" s="315" t="s">
        <v>24</v>
      </c>
      <c r="E659" s="320">
        <v>29089</v>
      </c>
      <c r="F659" s="315" t="s">
        <v>1958</v>
      </c>
      <c r="G659" s="315" t="s">
        <v>2977</v>
      </c>
      <c r="H659" s="315" t="s">
        <v>2978</v>
      </c>
      <c r="I659" s="241" t="s">
        <v>4219</v>
      </c>
      <c r="J659" s="315" t="s">
        <v>2979</v>
      </c>
      <c r="K659" s="315" t="s">
        <v>39</v>
      </c>
      <c r="L659" s="315" t="s">
        <v>30</v>
      </c>
      <c r="M659" s="315" t="s">
        <v>2980</v>
      </c>
      <c r="N659" s="315"/>
      <c r="O659" s="315"/>
      <c r="P659" s="315" t="s">
        <v>31</v>
      </c>
      <c r="Q659" s="314" t="s">
        <v>32</v>
      </c>
      <c r="R659" s="245" t="s">
        <v>33</v>
      </c>
      <c r="S659" s="315" t="s">
        <v>2981</v>
      </c>
      <c r="T659" s="266">
        <v>29089</v>
      </c>
      <c r="U659" s="242" t="s">
        <v>2979</v>
      </c>
      <c r="V659" s="475" t="s">
        <v>154</v>
      </c>
      <c r="W659" s="474"/>
    </row>
    <row r="660" spans="1:23" ht="12.75">
      <c r="A660" s="356">
        <v>46090.384432870371</v>
      </c>
      <c r="B660" s="357" t="s">
        <v>2982</v>
      </c>
      <c r="C660" s="357" t="s">
        <v>2983</v>
      </c>
      <c r="D660" s="357" t="s">
        <v>45</v>
      </c>
      <c r="E660" s="358">
        <v>32873</v>
      </c>
      <c r="F660" s="357" t="s">
        <v>799</v>
      </c>
      <c r="G660" s="357" t="s">
        <v>209</v>
      </c>
      <c r="H660" s="357" t="s">
        <v>2984</v>
      </c>
      <c r="I660" s="241" t="s">
        <v>4223</v>
      </c>
      <c r="J660" s="357" t="s">
        <v>2985</v>
      </c>
      <c r="K660" s="357" t="s">
        <v>29</v>
      </c>
      <c r="L660" s="357" t="s">
        <v>30</v>
      </c>
      <c r="M660" s="357" t="s">
        <v>4306</v>
      </c>
      <c r="N660" s="317" t="s">
        <v>2987</v>
      </c>
      <c r="O660" s="241" t="s">
        <v>42</v>
      </c>
      <c r="P660" s="357" t="s">
        <v>31</v>
      </c>
      <c r="Q660" s="314" t="s">
        <v>32</v>
      </c>
      <c r="R660" s="248" t="s">
        <v>33</v>
      </c>
      <c r="S660" s="317" t="s">
        <v>2988</v>
      </c>
      <c r="T660" s="266">
        <v>32873</v>
      </c>
      <c r="U660" s="242" t="s">
        <v>2985</v>
      </c>
      <c r="V660" s="475" t="s">
        <v>316</v>
      </c>
      <c r="W660" s="474"/>
    </row>
    <row r="661" spans="1:23" ht="12.75">
      <c r="A661" s="354">
        <v>46090.973136574074</v>
      </c>
      <c r="B661" s="108" t="s">
        <v>2989</v>
      </c>
      <c r="C661" s="108"/>
      <c r="D661" s="108" t="s">
        <v>24</v>
      </c>
      <c r="E661" s="322">
        <v>32164</v>
      </c>
      <c r="F661" s="108" t="s">
        <v>322</v>
      </c>
      <c r="G661" s="108" t="s">
        <v>2990</v>
      </c>
      <c r="H661" s="108" t="s">
        <v>111</v>
      </c>
      <c r="I661" s="252" t="s">
        <v>4219</v>
      </c>
      <c r="J661" s="108" t="s">
        <v>2993</v>
      </c>
      <c r="K661" s="108" t="s">
        <v>29</v>
      </c>
      <c r="L661" s="108" t="s">
        <v>30</v>
      </c>
      <c r="M661" s="108"/>
      <c r="N661" s="108"/>
      <c r="O661" s="108"/>
      <c r="P661" s="108" t="s">
        <v>31</v>
      </c>
      <c r="Q661" s="343" t="s">
        <v>32</v>
      </c>
      <c r="R661" s="148" t="s">
        <v>33</v>
      </c>
      <c r="S661" s="324" t="s">
        <v>2992</v>
      </c>
      <c r="T661" s="261">
        <v>32164</v>
      </c>
      <c r="U661" s="206" t="s">
        <v>2993</v>
      </c>
      <c r="V661" s="473" t="s">
        <v>154</v>
      </c>
      <c r="W661" s="474"/>
    </row>
    <row r="662" spans="1:23" ht="12.75">
      <c r="A662" s="335">
        <v>46091.055023148147</v>
      </c>
      <c r="B662" s="104" t="s">
        <v>2998</v>
      </c>
      <c r="C662" s="104"/>
      <c r="D662" s="104" t="s">
        <v>45</v>
      </c>
      <c r="E662" s="336">
        <v>38488</v>
      </c>
      <c r="F662" s="104" t="s">
        <v>232</v>
      </c>
      <c r="G662" s="104" t="s">
        <v>2995</v>
      </c>
      <c r="H662" s="104" t="s">
        <v>2996</v>
      </c>
      <c r="I662" s="252" t="s">
        <v>4219</v>
      </c>
      <c r="J662" s="104" t="s">
        <v>2997</v>
      </c>
      <c r="K662" s="104" t="s">
        <v>29</v>
      </c>
      <c r="L662" s="104" t="s">
        <v>162</v>
      </c>
      <c r="M662" s="104"/>
      <c r="N662" s="104"/>
      <c r="O662" s="104"/>
      <c r="P662" s="104" t="s">
        <v>31</v>
      </c>
      <c r="Q662" s="253" t="s">
        <v>32</v>
      </c>
      <c r="R662" s="359"/>
      <c r="S662" s="339" t="s">
        <v>2998</v>
      </c>
      <c r="T662" s="261">
        <v>38488</v>
      </c>
      <c r="U662" s="206" t="s">
        <v>2997</v>
      </c>
      <c r="V662" s="473" t="s">
        <v>80</v>
      </c>
      <c r="W662" s="474"/>
    </row>
    <row r="663" spans="1:23" ht="12.75">
      <c r="A663" s="360">
        <v>46091.535046296296</v>
      </c>
      <c r="B663" s="326" t="s">
        <v>3003</v>
      </c>
      <c r="C663" s="104"/>
      <c r="D663" s="326" t="s">
        <v>45</v>
      </c>
      <c r="E663" s="327">
        <v>32078</v>
      </c>
      <c r="F663" s="326" t="s">
        <v>208</v>
      </c>
      <c r="G663" s="326" t="s">
        <v>4307</v>
      </c>
      <c r="H663" s="361" t="s">
        <v>106</v>
      </c>
      <c r="I663" s="252" t="s">
        <v>4223</v>
      </c>
      <c r="J663" s="361" t="s">
        <v>3002</v>
      </c>
      <c r="K663" s="361" t="s">
        <v>29</v>
      </c>
      <c r="L663" s="362">
        <v>46202</v>
      </c>
      <c r="M663" s="363"/>
      <c r="N663" s="361"/>
      <c r="O663" s="361"/>
      <c r="P663" s="361" t="s">
        <v>31</v>
      </c>
      <c r="Q663" s="253" t="s">
        <v>32</v>
      </c>
      <c r="R663" s="152" t="s">
        <v>33</v>
      </c>
      <c r="S663" s="364" t="s">
        <v>3003</v>
      </c>
      <c r="T663" s="206"/>
      <c r="U663" s="206"/>
      <c r="V663" s="206"/>
      <c r="W663" s="206"/>
    </row>
    <row r="664" spans="1:23" ht="12.75">
      <c r="A664" s="316">
        <v>46091.944884259261</v>
      </c>
      <c r="B664" s="317" t="s">
        <v>3004</v>
      </c>
      <c r="C664" s="317"/>
      <c r="D664" s="317" t="s">
        <v>24</v>
      </c>
      <c r="E664" s="318">
        <v>35775</v>
      </c>
      <c r="F664" s="317" t="s">
        <v>245</v>
      </c>
      <c r="G664" s="317" t="s">
        <v>3005</v>
      </c>
      <c r="H664" s="317" t="s">
        <v>3006</v>
      </c>
      <c r="I664" s="241" t="s">
        <v>4219</v>
      </c>
      <c r="J664" s="317" t="s">
        <v>3007</v>
      </c>
      <c r="K664" s="317" t="s">
        <v>39</v>
      </c>
      <c r="L664" s="317" t="s">
        <v>621</v>
      </c>
      <c r="M664" s="317" t="s">
        <v>3008</v>
      </c>
      <c r="N664" s="317"/>
      <c r="O664" s="317"/>
      <c r="P664" s="317" t="s">
        <v>31</v>
      </c>
      <c r="Q664" s="334" t="s">
        <v>32</v>
      </c>
      <c r="R664" s="248" t="s">
        <v>33</v>
      </c>
      <c r="S664" s="317" t="s">
        <v>3009</v>
      </c>
      <c r="T664" s="266">
        <v>35775</v>
      </c>
      <c r="U664" s="242" t="s">
        <v>3007</v>
      </c>
      <c r="V664" s="475" t="s">
        <v>154</v>
      </c>
      <c r="W664" s="474"/>
    </row>
    <row r="665" spans="1:23" ht="12.75">
      <c r="A665" s="365">
        <v>46092.047256944446</v>
      </c>
      <c r="B665" s="339" t="s">
        <v>3010</v>
      </c>
      <c r="C665" s="339" t="s">
        <v>3011</v>
      </c>
      <c r="D665" s="339" t="s">
        <v>24</v>
      </c>
      <c r="E665" s="366">
        <v>25482</v>
      </c>
      <c r="F665" s="339" t="s">
        <v>422</v>
      </c>
      <c r="G665" s="339" t="s">
        <v>4308</v>
      </c>
      <c r="H665" s="339" t="s">
        <v>4309</v>
      </c>
      <c r="I665" s="252" t="s">
        <v>4219</v>
      </c>
      <c r="J665" s="339" t="s">
        <v>3014</v>
      </c>
      <c r="K665" s="339" t="s">
        <v>39</v>
      </c>
      <c r="L665" s="339" t="s">
        <v>162</v>
      </c>
      <c r="M665" s="339"/>
      <c r="N665" s="339"/>
      <c r="O665" s="339"/>
      <c r="P665" s="339" t="s">
        <v>31</v>
      </c>
      <c r="Q665" s="338" t="s">
        <v>32</v>
      </c>
      <c r="R665" s="152"/>
      <c r="S665" s="339" t="s">
        <v>3010</v>
      </c>
      <c r="T665" s="261">
        <v>25482</v>
      </c>
      <c r="U665" s="206" t="s">
        <v>3014</v>
      </c>
      <c r="V665" s="473" t="s">
        <v>80</v>
      </c>
      <c r="W665" s="474"/>
    </row>
    <row r="666" spans="1:23" ht="12.75">
      <c r="A666" s="316">
        <v>46092.231990740744</v>
      </c>
      <c r="B666" s="317" t="s">
        <v>3015</v>
      </c>
      <c r="C666" s="317" t="s">
        <v>3015</v>
      </c>
      <c r="D666" s="317" t="s">
        <v>24</v>
      </c>
      <c r="E666" s="318">
        <v>36988</v>
      </c>
      <c r="F666" s="317" t="s">
        <v>1362</v>
      </c>
      <c r="G666" s="317" t="s">
        <v>1363</v>
      </c>
      <c r="H666" s="317" t="s">
        <v>3016</v>
      </c>
      <c r="I666" s="241" t="s">
        <v>4219</v>
      </c>
      <c r="J666" s="317" t="s">
        <v>3017</v>
      </c>
      <c r="K666" s="317" t="s">
        <v>29</v>
      </c>
      <c r="L666" s="317" t="s">
        <v>30</v>
      </c>
      <c r="M666" s="317"/>
      <c r="N666" s="317"/>
      <c r="O666" s="317"/>
      <c r="P666" s="317" t="s">
        <v>31</v>
      </c>
      <c r="Q666" s="314" t="s">
        <v>32</v>
      </c>
      <c r="R666" s="248" t="s">
        <v>33</v>
      </c>
      <c r="S666" s="317" t="s">
        <v>3015</v>
      </c>
      <c r="T666" s="266">
        <v>36988</v>
      </c>
      <c r="U666" s="242" t="s">
        <v>3017</v>
      </c>
      <c r="V666" s="475" t="s">
        <v>80</v>
      </c>
      <c r="W666" s="474"/>
    </row>
    <row r="667" spans="1:23" ht="12.75">
      <c r="A667" s="319">
        <v>46092.232048611113</v>
      </c>
      <c r="B667" s="315" t="s">
        <v>3018</v>
      </c>
      <c r="C667" s="315" t="s">
        <v>3018</v>
      </c>
      <c r="D667" s="315" t="s">
        <v>45</v>
      </c>
      <c r="E667" s="320">
        <v>37138</v>
      </c>
      <c r="F667" s="315" t="s">
        <v>1362</v>
      </c>
      <c r="G667" s="315" t="s">
        <v>1363</v>
      </c>
      <c r="H667" s="315" t="s">
        <v>48</v>
      </c>
      <c r="I667" s="241" t="s">
        <v>4219</v>
      </c>
      <c r="J667" s="315" t="s">
        <v>3019</v>
      </c>
      <c r="K667" s="315" t="s">
        <v>29</v>
      </c>
      <c r="L667" s="315" t="s">
        <v>30</v>
      </c>
      <c r="M667" s="315"/>
      <c r="N667" s="315"/>
      <c r="O667" s="315"/>
      <c r="P667" s="315" t="s">
        <v>31</v>
      </c>
      <c r="Q667" s="314" t="s">
        <v>32</v>
      </c>
      <c r="R667" s="367" t="s">
        <v>33</v>
      </c>
      <c r="S667" s="315" t="s">
        <v>3020</v>
      </c>
      <c r="T667" s="266">
        <v>37138</v>
      </c>
      <c r="U667" s="242" t="s">
        <v>3019</v>
      </c>
      <c r="V667" s="475" t="s">
        <v>154</v>
      </c>
      <c r="W667" s="474"/>
    </row>
    <row r="668" spans="1:23" ht="12.75">
      <c r="A668" s="319">
        <v>46093.087685185186</v>
      </c>
      <c r="B668" s="315" t="s">
        <v>3021</v>
      </c>
      <c r="C668" s="315"/>
      <c r="D668" s="315" t="s">
        <v>45</v>
      </c>
      <c r="E668" s="320">
        <v>27592</v>
      </c>
      <c r="F668" s="315" t="s">
        <v>3022</v>
      </c>
      <c r="G668" s="315" t="s">
        <v>3023</v>
      </c>
      <c r="H668" s="315" t="s">
        <v>186</v>
      </c>
      <c r="I668" s="241" t="s">
        <v>4219</v>
      </c>
      <c r="J668" s="315" t="s">
        <v>3024</v>
      </c>
      <c r="K668" s="315" t="s">
        <v>29</v>
      </c>
      <c r="L668" s="315" t="s">
        <v>30</v>
      </c>
      <c r="M668" s="315"/>
      <c r="N668" s="315"/>
      <c r="O668" s="315"/>
      <c r="P668" s="315" t="s">
        <v>31</v>
      </c>
      <c r="Q668" s="244" t="s">
        <v>32</v>
      </c>
      <c r="R668" s="367" t="s">
        <v>43</v>
      </c>
      <c r="S668" s="315" t="s">
        <v>3025</v>
      </c>
      <c r="T668" s="266">
        <v>27592</v>
      </c>
      <c r="U668" s="242" t="s">
        <v>3024</v>
      </c>
      <c r="V668" s="475" t="s">
        <v>80</v>
      </c>
      <c r="W668" s="474"/>
    </row>
    <row r="669" spans="1:23" ht="12.75">
      <c r="A669" s="368">
        <v>46093.916701388887</v>
      </c>
      <c r="B669" s="339" t="s">
        <v>3026</v>
      </c>
      <c r="C669" s="339"/>
      <c r="D669" s="339" t="s">
        <v>24</v>
      </c>
      <c r="E669" s="366">
        <v>23417</v>
      </c>
      <c r="F669" s="339" t="s">
        <v>623</v>
      </c>
      <c r="G669" s="339" t="s">
        <v>4310</v>
      </c>
      <c r="H669" s="339" t="s">
        <v>4311</v>
      </c>
      <c r="I669" s="252" t="s">
        <v>4219</v>
      </c>
      <c r="J669" s="339" t="s">
        <v>3029</v>
      </c>
      <c r="K669" s="339" t="s">
        <v>29</v>
      </c>
      <c r="L669" s="339" t="s">
        <v>241</v>
      </c>
      <c r="M669" s="339" t="s">
        <v>3030</v>
      </c>
      <c r="N669" s="339"/>
      <c r="O669" s="339"/>
      <c r="P669" s="339" t="s">
        <v>31</v>
      </c>
      <c r="Q669" s="369" t="s">
        <v>32</v>
      </c>
      <c r="R669" s="148" t="s">
        <v>33</v>
      </c>
      <c r="S669" s="339"/>
      <c r="T669" s="206"/>
      <c r="U669" s="206"/>
      <c r="V669" s="206"/>
      <c r="W669" s="206"/>
    </row>
    <row r="670" spans="1:23" ht="12.75">
      <c r="A670" s="370">
        <v>46094.126168981478</v>
      </c>
      <c r="B670" s="324" t="s">
        <v>3031</v>
      </c>
      <c r="C670" s="324" t="s">
        <v>3032</v>
      </c>
      <c r="D670" s="324" t="s">
        <v>24</v>
      </c>
      <c r="E670" s="371">
        <v>38034</v>
      </c>
      <c r="F670" s="324" t="s">
        <v>70</v>
      </c>
      <c r="G670" s="324" t="s">
        <v>3033</v>
      </c>
      <c r="H670" s="324" t="s">
        <v>66</v>
      </c>
      <c r="I670" s="252" t="s">
        <v>4219</v>
      </c>
      <c r="J670" s="324" t="s">
        <v>3034</v>
      </c>
      <c r="K670" s="324" t="s">
        <v>29</v>
      </c>
      <c r="L670" s="324" t="s">
        <v>162</v>
      </c>
      <c r="M670" s="324"/>
      <c r="N670" s="324"/>
      <c r="O670" s="324"/>
      <c r="P670" s="324" t="s">
        <v>31</v>
      </c>
      <c r="Q670" s="369" t="s">
        <v>32</v>
      </c>
      <c r="R670" s="148"/>
      <c r="S670" s="324"/>
      <c r="T670" s="206"/>
      <c r="U670" s="206"/>
      <c r="V670" s="206"/>
      <c r="W670" s="206"/>
    </row>
    <row r="671" spans="1:23" ht="12.75">
      <c r="A671" s="316">
        <v>46094.758645833332</v>
      </c>
      <c r="B671" s="317" t="s">
        <v>3035</v>
      </c>
      <c r="C671" s="317" t="s">
        <v>871</v>
      </c>
      <c r="D671" s="317" t="s">
        <v>24</v>
      </c>
      <c r="E671" s="318">
        <v>27229</v>
      </c>
      <c r="F671" s="317" t="s">
        <v>227</v>
      </c>
      <c r="G671" s="317" t="s">
        <v>3036</v>
      </c>
      <c r="H671" s="317" t="s">
        <v>3037</v>
      </c>
      <c r="I671" s="241" t="s">
        <v>4219</v>
      </c>
      <c r="J671" s="317" t="s">
        <v>3038</v>
      </c>
      <c r="K671" s="317" t="s">
        <v>29</v>
      </c>
      <c r="L671" s="317" t="s">
        <v>30</v>
      </c>
      <c r="M671" s="317"/>
      <c r="N671" s="317"/>
      <c r="O671" s="317"/>
      <c r="P671" s="317" t="s">
        <v>31</v>
      </c>
      <c r="Q671" s="314" t="s">
        <v>32</v>
      </c>
      <c r="R671" s="245" t="s">
        <v>33</v>
      </c>
      <c r="S671" s="317"/>
      <c r="T671" s="242"/>
      <c r="U671" s="242"/>
      <c r="V671" s="242"/>
      <c r="W671" s="242"/>
    </row>
    <row r="672" spans="1:23" ht="12.75">
      <c r="A672" s="316">
        <v>46095.116712962961</v>
      </c>
      <c r="B672" s="317" t="s">
        <v>3039</v>
      </c>
      <c r="C672" s="317"/>
      <c r="D672" s="317" t="s">
        <v>24</v>
      </c>
      <c r="E672" s="318">
        <v>37191</v>
      </c>
      <c r="F672" s="317" t="s">
        <v>3040</v>
      </c>
      <c r="G672" s="317" t="s">
        <v>4312</v>
      </c>
      <c r="H672" s="317" t="s">
        <v>66</v>
      </c>
      <c r="I672" s="241" t="s">
        <v>4237</v>
      </c>
      <c r="J672" s="317" t="s">
        <v>3043</v>
      </c>
      <c r="K672" s="317" t="s">
        <v>29</v>
      </c>
      <c r="L672" s="317" t="s">
        <v>30</v>
      </c>
      <c r="M672" s="317"/>
      <c r="N672" s="317"/>
      <c r="O672" s="317"/>
      <c r="P672" s="317" t="s">
        <v>31</v>
      </c>
      <c r="Q672" s="314" t="s">
        <v>32</v>
      </c>
      <c r="R672" s="245" t="s">
        <v>43</v>
      </c>
      <c r="S672" s="317"/>
      <c r="T672" s="242"/>
      <c r="U672" s="242"/>
      <c r="V672" s="242"/>
      <c r="W672" s="242"/>
    </row>
    <row r="673" spans="1:23" ht="12.75">
      <c r="A673" s="372">
        <v>46096.718495370369</v>
      </c>
      <c r="B673" s="373" t="s">
        <v>3044</v>
      </c>
      <c r="C673" s="373"/>
      <c r="D673" s="373" t="s">
        <v>45</v>
      </c>
      <c r="E673" s="374">
        <v>33666</v>
      </c>
      <c r="F673" s="373" t="s">
        <v>3045</v>
      </c>
      <c r="G673" s="373" t="s">
        <v>3046</v>
      </c>
      <c r="H673" s="373" t="s">
        <v>111</v>
      </c>
      <c r="I673" s="241" t="s">
        <v>4219</v>
      </c>
      <c r="J673" s="373" t="s">
        <v>3047</v>
      </c>
      <c r="K673" s="373" t="s">
        <v>29</v>
      </c>
      <c r="L673" s="373" t="s">
        <v>30</v>
      </c>
      <c r="M673" s="373"/>
      <c r="N673" s="373"/>
      <c r="O673" s="373"/>
      <c r="P673" s="373" t="s">
        <v>31</v>
      </c>
      <c r="Q673" s="314" t="s">
        <v>32</v>
      </c>
      <c r="R673" s="248" t="s">
        <v>33</v>
      </c>
      <c r="S673" s="315"/>
      <c r="T673" s="242"/>
      <c r="U673" s="242"/>
      <c r="V673" s="242"/>
      <c r="W673" s="242"/>
    </row>
    <row r="674" spans="1:23" ht="12.75">
      <c r="A674" s="375">
        <v>46096.756840277776</v>
      </c>
      <c r="B674" s="376" t="s">
        <v>3048</v>
      </c>
      <c r="C674" s="376" t="s">
        <v>3049</v>
      </c>
      <c r="D674" s="376" t="s">
        <v>24</v>
      </c>
      <c r="E674" s="377">
        <v>29214</v>
      </c>
      <c r="F674" s="376" t="s">
        <v>732</v>
      </c>
      <c r="G674" s="376" t="s">
        <v>3050</v>
      </c>
      <c r="H674" s="376" t="s">
        <v>3051</v>
      </c>
      <c r="I674" s="241" t="s">
        <v>4219</v>
      </c>
      <c r="J674" s="376" t="s">
        <v>3052</v>
      </c>
      <c r="K674" s="376" t="s">
        <v>39</v>
      </c>
      <c r="L674" s="376" t="s">
        <v>152</v>
      </c>
      <c r="M674" s="376"/>
      <c r="N674" s="376"/>
      <c r="O674" s="376"/>
      <c r="P674" s="376" t="s">
        <v>31</v>
      </c>
      <c r="Q674" s="314" t="s">
        <v>32</v>
      </c>
      <c r="R674" s="245" t="s">
        <v>33</v>
      </c>
      <c r="S674" s="376"/>
      <c r="T674" s="242"/>
      <c r="U674" s="242"/>
      <c r="V674" s="242"/>
      <c r="W674" s="242"/>
    </row>
    <row r="675" spans="1:23" ht="14.25">
      <c r="A675" s="274">
        <v>46098.971365740741</v>
      </c>
      <c r="B675" s="242" t="s">
        <v>3053</v>
      </c>
      <c r="C675" s="242"/>
      <c r="D675" s="242" t="s">
        <v>45</v>
      </c>
      <c r="E675" s="275">
        <v>37300</v>
      </c>
      <c r="F675" s="242" t="s">
        <v>2713</v>
      </c>
      <c r="G675" s="242" t="s">
        <v>3054</v>
      </c>
      <c r="H675" s="242" t="s">
        <v>66</v>
      </c>
      <c r="I675" s="241" t="s">
        <v>4237</v>
      </c>
      <c r="J675" s="242" t="s">
        <v>3055</v>
      </c>
      <c r="K675" s="242" t="s">
        <v>29</v>
      </c>
      <c r="L675" s="242" t="s">
        <v>162</v>
      </c>
      <c r="M675" s="242"/>
      <c r="N675" s="242"/>
      <c r="O675" s="242"/>
      <c r="P675" s="242" t="s">
        <v>31</v>
      </c>
      <c r="Q675" s="314" t="s">
        <v>32</v>
      </c>
      <c r="R675" s="248" t="s">
        <v>43</v>
      </c>
      <c r="S675" s="378" t="s">
        <v>3056</v>
      </c>
      <c r="T675" s="242"/>
      <c r="U675" s="242"/>
      <c r="V675" s="242"/>
      <c r="W675" s="242"/>
    </row>
    <row r="676" spans="1:23" ht="14.25">
      <c r="A676" s="274">
        <v>46099.043634259258</v>
      </c>
      <c r="B676" s="242" t="s">
        <v>3057</v>
      </c>
      <c r="C676" s="242"/>
      <c r="D676" s="242" t="s">
        <v>24</v>
      </c>
      <c r="E676" s="275">
        <v>32021</v>
      </c>
      <c r="F676" s="242" t="s">
        <v>438</v>
      </c>
      <c r="G676" s="242" t="s">
        <v>3058</v>
      </c>
      <c r="H676" s="242" t="s">
        <v>2691</v>
      </c>
      <c r="I676" s="241" t="s">
        <v>4219</v>
      </c>
      <c r="J676" s="242" t="s">
        <v>3059</v>
      </c>
      <c r="K676" s="242" t="s">
        <v>39</v>
      </c>
      <c r="L676" s="242" t="s">
        <v>30</v>
      </c>
      <c r="M676" s="242"/>
      <c r="N676" s="242"/>
      <c r="O676" s="242"/>
      <c r="P676" s="242" t="s">
        <v>31</v>
      </c>
      <c r="Q676" s="314" t="s">
        <v>32</v>
      </c>
      <c r="R676" s="245" t="s">
        <v>33</v>
      </c>
      <c r="S676" s="378" t="s">
        <v>3060</v>
      </c>
      <c r="T676" s="242"/>
      <c r="U676" s="242"/>
      <c r="V676" s="242"/>
      <c r="W676" s="242"/>
    </row>
    <row r="677" spans="1:23" ht="14.25">
      <c r="A677" s="274">
        <v>46099.052083333336</v>
      </c>
      <c r="B677" s="242" t="s">
        <v>3061</v>
      </c>
      <c r="C677" s="242" t="s">
        <v>3061</v>
      </c>
      <c r="D677" s="242" t="s">
        <v>24</v>
      </c>
      <c r="E677" s="275">
        <v>36587</v>
      </c>
      <c r="F677" s="242" t="s">
        <v>1179</v>
      </c>
      <c r="G677" s="242" t="s">
        <v>3062</v>
      </c>
      <c r="H677" s="242" t="s">
        <v>66</v>
      </c>
      <c r="I677" s="241" t="s">
        <v>4237</v>
      </c>
      <c r="J677" s="242" t="s">
        <v>3063</v>
      </c>
      <c r="K677" s="242" t="s">
        <v>29</v>
      </c>
      <c r="L677" s="242" t="s">
        <v>30</v>
      </c>
      <c r="M677" s="242"/>
      <c r="N677" s="242"/>
      <c r="O677" s="242"/>
      <c r="P677" s="242" t="s">
        <v>31</v>
      </c>
      <c r="Q677" s="314" t="s">
        <v>32</v>
      </c>
      <c r="R677" s="248" t="s">
        <v>43</v>
      </c>
      <c r="S677" s="378" t="s">
        <v>3061</v>
      </c>
      <c r="T677" s="242"/>
      <c r="U677" s="242"/>
      <c r="V677" s="242"/>
      <c r="W677" s="242"/>
    </row>
    <row r="678" spans="1:23" ht="14.25">
      <c r="A678" s="274">
        <v>46099.073692129627</v>
      </c>
      <c r="B678" s="242" t="s">
        <v>3064</v>
      </c>
      <c r="C678" s="242"/>
      <c r="D678" s="242" t="s">
        <v>45</v>
      </c>
      <c r="E678" s="275">
        <v>34032</v>
      </c>
      <c r="F678" s="242" t="s">
        <v>3065</v>
      </c>
      <c r="G678" s="242" t="s">
        <v>3066</v>
      </c>
      <c r="H678" s="242" t="s">
        <v>3067</v>
      </c>
      <c r="I678" s="241" t="s">
        <v>4219</v>
      </c>
      <c r="J678" s="242" t="s">
        <v>3068</v>
      </c>
      <c r="K678" s="242" t="s">
        <v>29</v>
      </c>
      <c r="L678" s="242" t="s">
        <v>30</v>
      </c>
      <c r="M678" s="242"/>
      <c r="N678" s="242"/>
      <c r="O678" s="242"/>
      <c r="P678" s="242" t="s">
        <v>31</v>
      </c>
      <c r="Q678" s="314" t="s">
        <v>32</v>
      </c>
      <c r="R678" s="245" t="s">
        <v>33</v>
      </c>
      <c r="S678" s="378"/>
      <c r="T678" s="242"/>
      <c r="U678" s="242"/>
      <c r="V678" s="242"/>
      <c r="W678" s="242"/>
    </row>
    <row r="679" spans="1:23" ht="14.25">
      <c r="A679" s="274">
        <v>46099.165706018517</v>
      </c>
      <c r="B679" s="242" t="s">
        <v>3069</v>
      </c>
      <c r="C679" s="242"/>
      <c r="D679" s="242" t="s">
        <v>45</v>
      </c>
      <c r="E679" s="275">
        <v>29346</v>
      </c>
      <c r="F679" s="242" t="s">
        <v>1932</v>
      </c>
      <c r="G679" s="242" t="s">
        <v>3070</v>
      </c>
      <c r="H679" s="242" t="s">
        <v>111</v>
      </c>
      <c r="I679" s="241" t="s">
        <v>4219</v>
      </c>
      <c r="J679" s="242" t="s">
        <v>3071</v>
      </c>
      <c r="K679" s="242" t="s">
        <v>29</v>
      </c>
      <c r="L679" s="242" t="s">
        <v>30</v>
      </c>
      <c r="M679" s="242"/>
      <c r="N679" s="242"/>
      <c r="O679" s="242"/>
      <c r="P679" s="242" t="s">
        <v>31</v>
      </c>
      <c r="Q679" s="314" t="s">
        <v>32</v>
      </c>
      <c r="R679" s="245" t="s">
        <v>33</v>
      </c>
      <c r="S679" s="378" t="s">
        <v>3072</v>
      </c>
      <c r="T679" s="242"/>
      <c r="U679" s="242"/>
      <c r="V679" s="242"/>
      <c r="W679" s="242"/>
    </row>
    <row r="680" spans="1:23" ht="14.25">
      <c r="A680" s="379">
        <v>46099.211284722223</v>
      </c>
      <c r="B680" s="206" t="s">
        <v>3077</v>
      </c>
      <c r="C680" s="206" t="s">
        <v>4313</v>
      </c>
      <c r="D680" s="206" t="s">
        <v>45</v>
      </c>
      <c r="E680" s="380">
        <v>38173</v>
      </c>
      <c r="F680" s="139" t="s">
        <v>70</v>
      </c>
      <c r="G680" s="206" t="s">
        <v>2374</v>
      </c>
      <c r="H680" s="206" t="s">
        <v>186</v>
      </c>
      <c r="I680" s="252" t="s">
        <v>4219</v>
      </c>
      <c r="J680" s="206" t="s">
        <v>3075</v>
      </c>
      <c r="K680" s="206" t="s">
        <v>29</v>
      </c>
      <c r="L680" s="381">
        <v>46203</v>
      </c>
      <c r="M680" s="206" t="s">
        <v>3076</v>
      </c>
      <c r="N680" s="206"/>
      <c r="O680" s="206"/>
      <c r="P680" s="206" t="s">
        <v>31</v>
      </c>
      <c r="Q680" s="369" t="s">
        <v>32</v>
      </c>
      <c r="R680" s="148"/>
      <c r="S680" s="382" t="s">
        <v>3077</v>
      </c>
      <c r="T680" s="206"/>
      <c r="U680" s="206"/>
      <c r="V680" s="206"/>
      <c r="W680" s="206"/>
    </row>
    <row r="681" spans="1:23" ht="14.25">
      <c r="A681" s="274">
        <v>46099.350208333337</v>
      </c>
      <c r="B681" s="242" t="s">
        <v>4314</v>
      </c>
      <c r="C681" s="242"/>
      <c r="D681" s="242" t="s">
        <v>45</v>
      </c>
      <c r="E681" s="275">
        <v>25525</v>
      </c>
      <c r="F681" s="242" t="s">
        <v>346</v>
      </c>
      <c r="G681" s="242" t="s">
        <v>209</v>
      </c>
      <c r="H681" s="242" t="s">
        <v>4315</v>
      </c>
      <c r="I681" s="241" t="s">
        <v>4219</v>
      </c>
      <c r="J681" s="242" t="s">
        <v>3080</v>
      </c>
      <c r="K681" s="242" t="s">
        <v>29</v>
      </c>
      <c r="L681" s="242" t="s">
        <v>30</v>
      </c>
      <c r="M681" s="475" t="s">
        <v>4316</v>
      </c>
      <c r="N681" s="474"/>
      <c r="O681" s="474"/>
      <c r="P681" s="242" t="s">
        <v>31</v>
      </c>
      <c r="Q681" s="314" t="s">
        <v>32</v>
      </c>
      <c r="R681" s="245" t="s">
        <v>33</v>
      </c>
      <c r="S681" s="378" t="s">
        <v>3082</v>
      </c>
      <c r="T681" s="242"/>
      <c r="U681" s="242"/>
      <c r="V681" s="242"/>
      <c r="W681" s="242"/>
    </row>
    <row r="682" spans="1:23" ht="14.25">
      <c r="A682" s="274">
        <v>46099.753159722219</v>
      </c>
      <c r="B682" s="242" t="s">
        <v>4317</v>
      </c>
      <c r="C682" s="242"/>
      <c r="D682" s="242" t="s">
        <v>45</v>
      </c>
      <c r="E682" s="275">
        <v>30619</v>
      </c>
      <c r="F682" s="242" t="s">
        <v>380</v>
      </c>
      <c r="G682" s="242" t="s">
        <v>4318</v>
      </c>
      <c r="H682" s="242" t="s">
        <v>4319</v>
      </c>
      <c r="I682" s="241" t="s">
        <v>4223</v>
      </c>
      <c r="J682" s="242" t="s">
        <v>3086</v>
      </c>
      <c r="K682" s="242" t="s">
        <v>29</v>
      </c>
      <c r="L682" s="242" t="s">
        <v>30</v>
      </c>
      <c r="M682" s="242"/>
      <c r="N682" s="242"/>
      <c r="O682" s="242"/>
      <c r="P682" s="242" t="s">
        <v>31</v>
      </c>
      <c r="Q682" s="314" t="s">
        <v>32</v>
      </c>
      <c r="R682" s="245" t="s">
        <v>33</v>
      </c>
      <c r="S682" s="378" t="s">
        <v>3087</v>
      </c>
      <c r="T682" s="242"/>
      <c r="U682" s="242"/>
      <c r="V682" s="242"/>
      <c r="W682" s="242"/>
    </row>
    <row r="683" spans="1:23" ht="14.25">
      <c r="A683" s="379">
        <v>46099.905532407407</v>
      </c>
      <c r="B683" s="206" t="s">
        <v>3092</v>
      </c>
      <c r="C683" s="206"/>
      <c r="D683" s="206" t="s">
        <v>45</v>
      </c>
      <c r="E683" s="380">
        <v>33660</v>
      </c>
      <c r="F683" s="139" t="s">
        <v>2720</v>
      </c>
      <c r="G683" s="206" t="s">
        <v>4320</v>
      </c>
      <c r="H683" s="206" t="s">
        <v>4321</v>
      </c>
      <c r="I683" s="252" t="s">
        <v>4219</v>
      </c>
      <c r="J683" s="206" t="s">
        <v>3091</v>
      </c>
      <c r="K683" s="206" t="s">
        <v>29</v>
      </c>
      <c r="L683" s="206" t="s">
        <v>30</v>
      </c>
      <c r="M683" s="206"/>
      <c r="N683" s="206"/>
      <c r="O683" s="206"/>
      <c r="P683" s="206" t="s">
        <v>31</v>
      </c>
      <c r="Q683" s="369" t="s">
        <v>32</v>
      </c>
      <c r="R683" s="148" t="s">
        <v>33</v>
      </c>
      <c r="S683" s="382" t="s">
        <v>3092</v>
      </c>
      <c r="T683" s="206"/>
      <c r="U683" s="206"/>
      <c r="V683" s="206"/>
      <c r="W683" s="206"/>
    </row>
    <row r="684" spans="1:23" ht="14.25">
      <c r="A684" s="274">
        <v>46100.677164351851</v>
      </c>
      <c r="B684" s="242" t="s">
        <v>3093</v>
      </c>
      <c r="C684" s="242" t="s">
        <v>3094</v>
      </c>
      <c r="D684" s="242" t="s">
        <v>45</v>
      </c>
      <c r="E684" s="275">
        <v>37910</v>
      </c>
      <c r="F684" s="242" t="s">
        <v>1053</v>
      </c>
      <c r="G684" s="242" t="s">
        <v>3095</v>
      </c>
      <c r="H684" s="242" t="s">
        <v>160</v>
      </c>
      <c r="I684" s="241" t="s">
        <v>4237</v>
      </c>
      <c r="J684" s="242" t="s">
        <v>3096</v>
      </c>
      <c r="K684" s="242" t="s">
        <v>29</v>
      </c>
      <c r="L684" s="242" t="s">
        <v>30</v>
      </c>
      <c r="M684" s="242"/>
      <c r="N684" s="242"/>
      <c r="O684" s="242"/>
      <c r="P684" s="242" t="s">
        <v>31</v>
      </c>
      <c r="Q684" s="314" t="s">
        <v>32</v>
      </c>
      <c r="R684" s="245" t="s">
        <v>43</v>
      </c>
      <c r="S684" s="378" t="s">
        <v>3097</v>
      </c>
      <c r="T684" s="242"/>
      <c r="U684" s="242"/>
      <c r="V684" s="242"/>
      <c r="W684" s="242"/>
    </row>
    <row r="685" spans="1:23" ht="14.25">
      <c r="A685" s="274">
        <v>46100.898425925923</v>
      </c>
      <c r="B685" s="242" t="s">
        <v>3098</v>
      </c>
      <c r="C685" s="242"/>
      <c r="D685" s="242" t="s">
        <v>45</v>
      </c>
      <c r="E685" s="275">
        <v>36768</v>
      </c>
      <c r="F685" s="242" t="s">
        <v>838</v>
      </c>
      <c r="G685" s="242" t="s">
        <v>3099</v>
      </c>
      <c r="H685" s="242" t="s">
        <v>66</v>
      </c>
      <c r="I685" s="241" t="s">
        <v>4219</v>
      </c>
      <c r="J685" s="242" t="s">
        <v>3100</v>
      </c>
      <c r="K685" s="242" t="s">
        <v>29</v>
      </c>
      <c r="L685" s="242" t="s">
        <v>30</v>
      </c>
      <c r="M685" s="242"/>
      <c r="N685" s="242"/>
      <c r="O685" s="242"/>
      <c r="P685" s="242" t="s">
        <v>31</v>
      </c>
      <c r="Q685" s="314" t="s">
        <v>32</v>
      </c>
      <c r="R685" s="248" t="s">
        <v>33</v>
      </c>
      <c r="S685" s="378" t="s">
        <v>3098</v>
      </c>
      <c r="T685" s="242"/>
      <c r="U685" s="242"/>
      <c r="V685" s="242"/>
      <c r="W685" s="242"/>
    </row>
    <row r="686" spans="1:23" ht="14.25">
      <c r="A686" s="274">
        <v>46101.032407407409</v>
      </c>
      <c r="B686" s="242" t="s">
        <v>3101</v>
      </c>
      <c r="C686" s="242"/>
      <c r="D686" s="242" t="s">
        <v>45</v>
      </c>
      <c r="E686" s="275">
        <v>27175</v>
      </c>
      <c r="F686" s="242" t="s">
        <v>232</v>
      </c>
      <c r="G686" s="242" t="s">
        <v>209</v>
      </c>
      <c r="H686" s="242" t="s">
        <v>3102</v>
      </c>
      <c r="I686" s="241" t="s">
        <v>4219</v>
      </c>
      <c r="J686" s="242" t="s">
        <v>3103</v>
      </c>
      <c r="K686" s="242" t="s">
        <v>29</v>
      </c>
      <c r="L686" s="242" t="s">
        <v>30</v>
      </c>
      <c r="M686" s="242"/>
      <c r="N686" s="242"/>
      <c r="O686" s="242"/>
      <c r="P686" s="242" t="s">
        <v>31</v>
      </c>
      <c r="Q686" s="314" t="s">
        <v>32</v>
      </c>
      <c r="R686" s="245" t="s">
        <v>33</v>
      </c>
      <c r="S686" s="378" t="s">
        <v>3101</v>
      </c>
      <c r="T686" s="242"/>
      <c r="U686" s="242"/>
      <c r="V686" s="242"/>
      <c r="W686" s="242"/>
    </row>
    <row r="687" spans="1:23" ht="14.25">
      <c r="A687" s="274">
        <v>46101.508020833331</v>
      </c>
      <c r="B687" s="242" t="s">
        <v>3104</v>
      </c>
      <c r="C687" s="242" t="s">
        <v>3105</v>
      </c>
      <c r="D687" s="242" t="s">
        <v>24</v>
      </c>
      <c r="E687" s="275">
        <v>36544</v>
      </c>
      <c r="F687" s="242" t="s">
        <v>1053</v>
      </c>
      <c r="G687" s="242" t="s">
        <v>3106</v>
      </c>
      <c r="H687" s="242" t="s">
        <v>66</v>
      </c>
      <c r="I687" s="241" t="s">
        <v>4237</v>
      </c>
      <c r="J687" s="242" t="s">
        <v>3107</v>
      </c>
      <c r="K687" s="242" t="s">
        <v>39</v>
      </c>
      <c r="L687" s="242" t="s">
        <v>3108</v>
      </c>
      <c r="M687" s="242"/>
      <c r="N687" s="242"/>
      <c r="O687" s="242"/>
      <c r="P687" s="242" t="s">
        <v>31</v>
      </c>
      <c r="Q687" s="314" t="s">
        <v>32</v>
      </c>
      <c r="R687" s="248" t="s">
        <v>43</v>
      </c>
      <c r="S687" s="378" t="s">
        <v>3109</v>
      </c>
      <c r="T687" s="242"/>
      <c r="U687" s="242"/>
      <c r="V687" s="242"/>
      <c r="W687" s="242"/>
    </row>
    <row r="688" spans="1:23" ht="14.25">
      <c r="A688" s="274">
        <v>46101.684120370373</v>
      </c>
      <c r="B688" s="242" t="s">
        <v>4322</v>
      </c>
      <c r="C688" s="242" t="s">
        <v>4323</v>
      </c>
      <c r="D688" s="242" t="s">
        <v>45</v>
      </c>
      <c r="E688" s="275">
        <v>33970</v>
      </c>
      <c r="F688" s="242" t="s">
        <v>83</v>
      </c>
      <c r="G688" s="242" t="s">
        <v>123</v>
      </c>
      <c r="H688" s="242" t="s">
        <v>4324</v>
      </c>
      <c r="I688" s="241" t="s">
        <v>4223</v>
      </c>
      <c r="J688" s="242" t="s">
        <v>3114</v>
      </c>
      <c r="K688" s="242" t="s">
        <v>29</v>
      </c>
      <c r="L688" s="242" t="s">
        <v>30</v>
      </c>
      <c r="M688" s="242"/>
      <c r="N688" s="242"/>
      <c r="O688" s="242"/>
      <c r="P688" s="242" t="s">
        <v>31</v>
      </c>
      <c r="Q688" s="314" t="s">
        <v>32</v>
      </c>
      <c r="R688" s="367" t="s">
        <v>33</v>
      </c>
      <c r="S688" s="378" t="s">
        <v>3115</v>
      </c>
      <c r="T688" s="242"/>
      <c r="U688" s="242"/>
      <c r="V688" s="242"/>
      <c r="W688" s="242"/>
    </row>
    <row r="689" spans="1:23" ht="14.25">
      <c r="A689" s="274">
        <v>46101.865914351853</v>
      </c>
      <c r="B689" s="242" t="s">
        <v>3116</v>
      </c>
      <c r="C689" s="242" t="s">
        <v>3117</v>
      </c>
      <c r="D689" s="242" t="s">
        <v>45</v>
      </c>
      <c r="E689" s="275">
        <v>18055</v>
      </c>
      <c r="F689" s="383" t="s">
        <v>1745</v>
      </c>
      <c r="G689" s="242" t="s">
        <v>3118</v>
      </c>
      <c r="H689" s="242" t="s">
        <v>3119</v>
      </c>
      <c r="I689" s="241" t="s">
        <v>4237</v>
      </c>
      <c r="J689" s="242" t="s">
        <v>3120</v>
      </c>
      <c r="K689" s="242" t="s">
        <v>39</v>
      </c>
      <c r="L689" s="242" t="s">
        <v>152</v>
      </c>
      <c r="M689" s="242"/>
      <c r="N689" s="242"/>
      <c r="O689" s="242"/>
      <c r="P689" s="242" t="s">
        <v>31</v>
      </c>
      <c r="Q689" s="314" t="s">
        <v>32</v>
      </c>
      <c r="R689" s="367" t="s">
        <v>43</v>
      </c>
      <c r="S689" s="384" t="s">
        <v>3121</v>
      </c>
      <c r="T689" s="242"/>
      <c r="U689" s="242"/>
      <c r="V689" s="242"/>
      <c r="W689" s="242"/>
    </row>
    <row r="690" spans="1:23" ht="12.75">
      <c r="A690" s="274">
        <v>46102.655902777777</v>
      </c>
      <c r="B690" s="242" t="s">
        <v>3126</v>
      </c>
      <c r="C690" s="242"/>
      <c r="D690" s="242" t="s">
        <v>24</v>
      </c>
      <c r="E690" s="275">
        <v>36326</v>
      </c>
      <c r="F690" s="242" t="s">
        <v>58</v>
      </c>
      <c r="G690" s="242" t="s">
        <v>2872</v>
      </c>
      <c r="H690" s="242" t="s">
        <v>90</v>
      </c>
      <c r="I690" s="241" t="s">
        <v>4219</v>
      </c>
      <c r="J690" s="242" t="s">
        <v>3125</v>
      </c>
      <c r="K690" s="242" t="s">
        <v>29</v>
      </c>
      <c r="L690" s="242" t="s">
        <v>30</v>
      </c>
      <c r="M690" s="242"/>
      <c r="N690" s="242"/>
      <c r="O690" s="242"/>
      <c r="P690" s="242" t="s">
        <v>31</v>
      </c>
      <c r="Q690" s="314" t="s">
        <v>32</v>
      </c>
      <c r="R690" s="248" t="s">
        <v>43</v>
      </c>
      <c r="S690" s="242" t="s">
        <v>3126</v>
      </c>
      <c r="T690" s="275">
        <v>36326</v>
      </c>
      <c r="U690" s="242" t="s">
        <v>3125</v>
      </c>
      <c r="V690" s="475" t="s">
        <v>3127</v>
      </c>
      <c r="W690" s="474"/>
    </row>
    <row r="691" spans="1:23" ht="12.75">
      <c r="A691" s="274">
        <v>46104.807754629626</v>
      </c>
      <c r="B691" s="242" t="s">
        <v>3128</v>
      </c>
      <c r="C691" s="242"/>
      <c r="D691" s="242" t="s">
        <v>45</v>
      </c>
      <c r="E691" s="275">
        <v>27929</v>
      </c>
      <c r="F691" s="242" t="s">
        <v>1179</v>
      </c>
      <c r="G691" s="242" t="s">
        <v>3129</v>
      </c>
      <c r="H691" s="242" t="s">
        <v>3130</v>
      </c>
      <c r="I691" s="241" t="s">
        <v>4237</v>
      </c>
      <c r="J691" s="242" t="s">
        <v>3131</v>
      </c>
      <c r="K691" s="242" t="s">
        <v>29</v>
      </c>
      <c r="L691" s="242" t="s">
        <v>30</v>
      </c>
      <c r="M691" s="242"/>
      <c r="N691" s="242"/>
      <c r="O691" s="242"/>
      <c r="P691" s="242" t="s">
        <v>31</v>
      </c>
      <c r="Q691" s="314" t="s">
        <v>32</v>
      </c>
      <c r="R691" s="245" t="s">
        <v>33</v>
      </c>
      <c r="S691" s="242" t="s">
        <v>3132</v>
      </c>
      <c r="T691" s="275">
        <v>27929</v>
      </c>
      <c r="U691" s="242" t="s">
        <v>3131</v>
      </c>
      <c r="V691" s="475" t="s">
        <v>3127</v>
      </c>
      <c r="W691" s="474"/>
    </row>
    <row r="692" spans="1:23" ht="12.75">
      <c r="A692" s="274">
        <v>46104.846562500003</v>
      </c>
      <c r="B692" s="242" t="s">
        <v>3133</v>
      </c>
      <c r="C692" s="242" t="s">
        <v>3134</v>
      </c>
      <c r="D692" s="242" t="s">
        <v>24</v>
      </c>
      <c r="E692" s="275">
        <v>37708</v>
      </c>
      <c r="F692" s="242" t="s">
        <v>1053</v>
      </c>
      <c r="G692" s="242" t="s">
        <v>3135</v>
      </c>
      <c r="H692" s="242" t="s">
        <v>3136</v>
      </c>
      <c r="I692" s="241" t="s">
        <v>4237</v>
      </c>
      <c r="J692" s="242" t="s">
        <v>3137</v>
      </c>
      <c r="K692" s="242" t="s">
        <v>29</v>
      </c>
      <c r="L692" s="242" t="s">
        <v>30</v>
      </c>
      <c r="M692" s="242"/>
      <c r="N692" s="242"/>
      <c r="O692" s="242"/>
      <c r="P692" s="242" t="s">
        <v>31</v>
      </c>
      <c r="Q692" s="314" t="s">
        <v>32</v>
      </c>
      <c r="R692" s="248" t="s">
        <v>43</v>
      </c>
      <c r="S692" s="242" t="s">
        <v>3138</v>
      </c>
      <c r="T692" s="275">
        <v>37708</v>
      </c>
      <c r="U692" s="242" t="s">
        <v>3137</v>
      </c>
      <c r="V692" s="475" t="s">
        <v>3127</v>
      </c>
      <c r="W692" s="474"/>
    </row>
    <row r="693" spans="1:23" ht="12.75">
      <c r="A693" s="379">
        <v>46106.797546296293</v>
      </c>
      <c r="B693" s="206" t="s">
        <v>3139</v>
      </c>
      <c r="C693" s="206" t="s">
        <v>3140</v>
      </c>
      <c r="D693" s="206" t="s">
        <v>24</v>
      </c>
      <c r="E693" s="380">
        <v>35488</v>
      </c>
      <c r="F693" s="206" t="s">
        <v>70</v>
      </c>
      <c r="G693" s="206" t="s">
        <v>3141</v>
      </c>
      <c r="H693" s="206" t="s">
        <v>98</v>
      </c>
      <c r="I693" s="252" t="s">
        <v>4219</v>
      </c>
      <c r="J693" s="206" t="s">
        <v>3142</v>
      </c>
      <c r="K693" s="206" t="s">
        <v>29</v>
      </c>
      <c r="L693" s="206" t="s">
        <v>30</v>
      </c>
      <c r="M693" s="206"/>
      <c r="N693" s="206"/>
      <c r="O693" s="206"/>
      <c r="P693" s="206" t="s">
        <v>31</v>
      </c>
      <c r="Q693" s="369" t="s">
        <v>32</v>
      </c>
      <c r="R693" s="152"/>
      <c r="S693" s="206" t="s">
        <v>3143</v>
      </c>
      <c r="T693" s="380">
        <v>35488</v>
      </c>
      <c r="U693" s="206" t="s">
        <v>3142</v>
      </c>
      <c r="V693" s="476" t="s">
        <v>3127</v>
      </c>
      <c r="W693" s="474"/>
    </row>
    <row r="694" spans="1:23" ht="12.75">
      <c r="A694" s="379">
        <v>46106.798692129632</v>
      </c>
      <c r="B694" s="206" t="s">
        <v>4325</v>
      </c>
      <c r="C694" s="206"/>
      <c r="D694" s="206" t="s">
        <v>45</v>
      </c>
      <c r="E694" s="380">
        <v>37493</v>
      </c>
      <c r="F694" s="206" t="s">
        <v>52</v>
      </c>
      <c r="G694" s="206" t="s">
        <v>4326</v>
      </c>
      <c r="H694" s="206" t="s">
        <v>66</v>
      </c>
      <c r="I694" s="252" t="s">
        <v>4219</v>
      </c>
      <c r="J694" s="206" t="s">
        <v>3146</v>
      </c>
      <c r="K694" s="206" t="s">
        <v>29</v>
      </c>
      <c r="L694" s="206" t="s">
        <v>30</v>
      </c>
      <c r="M694" s="206"/>
      <c r="N694" s="206"/>
      <c r="O694" s="206"/>
      <c r="P694" s="206" t="s">
        <v>31</v>
      </c>
      <c r="Q694" s="369" t="s">
        <v>32</v>
      </c>
      <c r="R694" s="148"/>
      <c r="S694" s="206" t="s">
        <v>3147</v>
      </c>
      <c r="T694" s="380">
        <v>37493</v>
      </c>
      <c r="U694" s="206" t="s">
        <v>3146</v>
      </c>
      <c r="V694" s="476" t="s">
        <v>3127</v>
      </c>
      <c r="W694" s="474"/>
    </row>
    <row r="695" spans="1:23" ht="12.75">
      <c r="A695" s="379">
        <v>46106.800995370373</v>
      </c>
      <c r="B695" s="206" t="s">
        <v>3148</v>
      </c>
      <c r="C695" s="206"/>
      <c r="D695" s="206" t="s">
        <v>24</v>
      </c>
      <c r="E695" s="380">
        <v>33452</v>
      </c>
      <c r="F695" s="206" t="s">
        <v>732</v>
      </c>
      <c r="G695" s="206" t="s">
        <v>4327</v>
      </c>
      <c r="H695" s="206" t="s">
        <v>3150</v>
      </c>
      <c r="I695" s="252" t="s">
        <v>4219</v>
      </c>
      <c r="J695" s="206" t="s">
        <v>3151</v>
      </c>
      <c r="K695" s="206" t="s">
        <v>29</v>
      </c>
      <c r="L695" s="206" t="s">
        <v>30</v>
      </c>
      <c r="M695" s="206"/>
      <c r="N695" s="206"/>
      <c r="O695" s="206"/>
      <c r="P695" s="206" t="s">
        <v>31</v>
      </c>
      <c r="Q695" s="369" t="s">
        <v>32</v>
      </c>
      <c r="R695" s="152" t="s">
        <v>33</v>
      </c>
      <c r="S695" s="206" t="s">
        <v>3148</v>
      </c>
      <c r="T695" s="380">
        <v>33452</v>
      </c>
      <c r="U695" s="206" t="s">
        <v>3151</v>
      </c>
      <c r="V695" s="476" t="s">
        <v>3127</v>
      </c>
      <c r="W695" s="474"/>
    </row>
    <row r="696" spans="1:23" ht="12.75">
      <c r="A696" s="379">
        <v>46106.824803240743</v>
      </c>
      <c r="B696" s="206" t="s">
        <v>4328</v>
      </c>
      <c r="C696" s="206"/>
      <c r="D696" s="206" t="s">
        <v>45</v>
      </c>
      <c r="E696" s="380">
        <v>33603</v>
      </c>
      <c r="F696" s="206" t="s">
        <v>799</v>
      </c>
      <c r="G696" s="206" t="s">
        <v>4329</v>
      </c>
      <c r="H696" s="206" t="s">
        <v>4330</v>
      </c>
      <c r="I696" s="252" t="s">
        <v>4223</v>
      </c>
      <c r="J696" s="206" t="s">
        <v>3155</v>
      </c>
      <c r="K696" s="206" t="s">
        <v>29</v>
      </c>
      <c r="L696" s="206" t="s">
        <v>30</v>
      </c>
      <c r="M696" s="206"/>
      <c r="N696" s="206"/>
      <c r="O696" s="206"/>
      <c r="P696" s="206" t="s">
        <v>31</v>
      </c>
      <c r="Q696" s="369" t="s">
        <v>32</v>
      </c>
      <c r="R696" s="148"/>
      <c r="S696" s="206" t="s">
        <v>3156</v>
      </c>
      <c r="T696" s="380">
        <v>33603</v>
      </c>
      <c r="U696" s="206" t="s">
        <v>3155</v>
      </c>
      <c r="V696" s="476" t="s">
        <v>3127</v>
      </c>
      <c r="W696" s="474"/>
    </row>
    <row r="697" spans="1:23" ht="12.75">
      <c r="A697" s="274">
        <v>46107.035127314812</v>
      </c>
      <c r="B697" s="242" t="s">
        <v>4331</v>
      </c>
      <c r="C697" s="242"/>
      <c r="D697" s="242" t="s">
        <v>45</v>
      </c>
      <c r="E697" s="275">
        <v>32319</v>
      </c>
      <c r="F697" s="242" t="s">
        <v>838</v>
      </c>
      <c r="G697" s="242" t="s">
        <v>4332</v>
      </c>
      <c r="H697" s="242" t="s">
        <v>186</v>
      </c>
      <c r="I697" s="241" t="s">
        <v>4219</v>
      </c>
      <c r="J697" s="242" t="s">
        <v>4333</v>
      </c>
      <c r="K697" s="242" t="s">
        <v>29</v>
      </c>
      <c r="L697" s="242" t="s">
        <v>30</v>
      </c>
      <c r="M697" s="242"/>
      <c r="N697" s="242"/>
      <c r="O697" s="242"/>
      <c r="P697" s="242" t="s">
        <v>31</v>
      </c>
      <c r="Q697" s="314" t="s">
        <v>32</v>
      </c>
      <c r="R697" s="245" t="s">
        <v>33</v>
      </c>
      <c r="S697" s="242" t="s">
        <v>3160</v>
      </c>
      <c r="T697" s="275">
        <v>32319</v>
      </c>
      <c r="U697" s="242" t="s">
        <v>3161</v>
      </c>
      <c r="V697" s="475" t="s">
        <v>3127</v>
      </c>
      <c r="W697" s="474"/>
    </row>
    <row r="698" spans="1:23" ht="12.75">
      <c r="A698" s="274">
        <v>46107.043182870373</v>
      </c>
      <c r="B698" s="242" t="s">
        <v>3162</v>
      </c>
      <c r="C698" s="242"/>
      <c r="D698" s="242" t="s">
        <v>45</v>
      </c>
      <c r="E698" s="275">
        <v>28885</v>
      </c>
      <c r="F698" s="242" t="s">
        <v>838</v>
      </c>
      <c r="G698" s="242" t="s">
        <v>3163</v>
      </c>
      <c r="H698" s="242" t="s">
        <v>111</v>
      </c>
      <c r="I698" s="241" t="s">
        <v>4219</v>
      </c>
      <c r="J698" s="242" t="s">
        <v>3164</v>
      </c>
      <c r="K698" s="242" t="s">
        <v>29</v>
      </c>
      <c r="L698" s="385">
        <v>46202</v>
      </c>
      <c r="M698" s="242"/>
      <c r="N698" s="242"/>
      <c r="O698" s="242"/>
      <c r="P698" s="242" t="s">
        <v>31</v>
      </c>
      <c r="Q698" s="314" t="s">
        <v>32</v>
      </c>
      <c r="R698" s="248" t="s">
        <v>33</v>
      </c>
      <c r="S698" s="242" t="s">
        <v>3165</v>
      </c>
      <c r="T698" s="275">
        <v>28885</v>
      </c>
      <c r="U698" s="242" t="s">
        <v>3166</v>
      </c>
      <c r="V698" s="475" t="s">
        <v>3127</v>
      </c>
      <c r="W698" s="474"/>
    </row>
    <row r="699" spans="1:23" ht="12.75">
      <c r="A699" s="274">
        <v>46107.133912037039</v>
      </c>
      <c r="B699" s="242" t="s">
        <v>3167</v>
      </c>
      <c r="C699" s="242"/>
      <c r="D699" s="242" t="s">
        <v>24</v>
      </c>
      <c r="E699" s="275">
        <v>29327</v>
      </c>
      <c r="F699" s="242" t="s">
        <v>232</v>
      </c>
      <c r="G699" s="242" t="s">
        <v>3168</v>
      </c>
      <c r="H699" s="242" t="s">
        <v>186</v>
      </c>
      <c r="I699" s="241" t="s">
        <v>4219</v>
      </c>
      <c r="J699" s="242" t="s">
        <v>3169</v>
      </c>
      <c r="K699" s="242" t="s">
        <v>39</v>
      </c>
      <c r="L699" s="242" t="s">
        <v>621</v>
      </c>
      <c r="M699" s="242" t="s">
        <v>3170</v>
      </c>
      <c r="N699" s="242" t="s">
        <v>4334</v>
      </c>
      <c r="O699" s="242" t="s">
        <v>214</v>
      </c>
      <c r="P699" s="242" t="s">
        <v>31</v>
      </c>
      <c r="Q699" s="314" t="s">
        <v>32</v>
      </c>
      <c r="R699" s="386" t="s">
        <v>43</v>
      </c>
      <c r="S699" s="242" t="s">
        <v>1921</v>
      </c>
      <c r="T699" s="275">
        <v>29327</v>
      </c>
      <c r="U699" s="287" t="s">
        <v>1924</v>
      </c>
      <c r="V699" s="242" t="s">
        <v>3172</v>
      </c>
      <c r="W699" s="242"/>
    </row>
    <row r="700" spans="1:23" ht="12.75">
      <c r="A700" s="274">
        <v>46107.149780092594</v>
      </c>
      <c r="B700" s="242" t="s">
        <v>3173</v>
      </c>
      <c r="C700" s="242"/>
      <c r="D700" s="242" t="s">
        <v>45</v>
      </c>
      <c r="E700" s="275">
        <v>27674</v>
      </c>
      <c r="F700" s="242" t="s">
        <v>232</v>
      </c>
      <c r="G700" s="242" t="s">
        <v>2671</v>
      </c>
      <c r="H700" s="242" t="s">
        <v>54</v>
      </c>
      <c r="I700" s="241" t="s">
        <v>4219</v>
      </c>
      <c r="J700" s="242" t="s">
        <v>3169</v>
      </c>
      <c r="K700" s="242" t="s">
        <v>39</v>
      </c>
      <c r="L700" s="242" t="s">
        <v>621</v>
      </c>
      <c r="M700" s="242" t="s">
        <v>3174</v>
      </c>
      <c r="N700" s="242"/>
      <c r="O700" s="242"/>
      <c r="P700" s="242" t="s">
        <v>31</v>
      </c>
      <c r="Q700" s="314" t="s">
        <v>32</v>
      </c>
      <c r="R700" s="387" t="s">
        <v>43</v>
      </c>
      <c r="S700" s="242" t="s">
        <v>3175</v>
      </c>
      <c r="T700" s="275">
        <v>27674</v>
      </c>
      <c r="U700" s="287" t="s">
        <v>3176</v>
      </c>
      <c r="V700" s="242" t="s">
        <v>3172</v>
      </c>
      <c r="W700" s="242"/>
    </row>
    <row r="701" spans="1:23" ht="12.75">
      <c r="A701" s="274">
        <v>46107.673206018517</v>
      </c>
      <c r="B701" s="242" t="s">
        <v>3177</v>
      </c>
      <c r="C701" s="242"/>
      <c r="D701" s="242" t="s">
        <v>45</v>
      </c>
      <c r="E701" s="275">
        <v>35766</v>
      </c>
      <c r="F701" s="242" t="s">
        <v>486</v>
      </c>
      <c r="G701" s="242" t="s">
        <v>209</v>
      </c>
      <c r="H701" s="242" t="s">
        <v>3178</v>
      </c>
      <c r="I701" s="241" t="s">
        <v>4237</v>
      </c>
      <c r="J701" s="242" t="s">
        <v>3179</v>
      </c>
      <c r="K701" s="242" t="s">
        <v>29</v>
      </c>
      <c r="L701" s="242" t="s">
        <v>30</v>
      </c>
      <c r="M701" s="242"/>
      <c r="N701" s="242"/>
      <c r="O701" s="242"/>
      <c r="P701" s="242" t="s">
        <v>31</v>
      </c>
      <c r="Q701" s="314" t="s">
        <v>32</v>
      </c>
      <c r="R701" s="245" t="s">
        <v>33</v>
      </c>
      <c r="S701" s="242" t="s">
        <v>3180</v>
      </c>
      <c r="T701" s="275">
        <v>35766</v>
      </c>
      <c r="U701" s="242" t="s">
        <v>3179</v>
      </c>
      <c r="V701" s="475" t="s">
        <v>3127</v>
      </c>
      <c r="W701" s="474"/>
    </row>
    <row r="702" spans="1:23" ht="12.75">
      <c r="A702" s="274">
        <v>46107.910011574073</v>
      </c>
      <c r="B702" s="242" t="s">
        <v>3181</v>
      </c>
      <c r="C702" s="242"/>
      <c r="D702" s="242" t="s">
        <v>24</v>
      </c>
      <c r="E702" s="275">
        <v>26825</v>
      </c>
      <c r="F702" s="242" t="s">
        <v>2777</v>
      </c>
      <c r="G702" s="242" t="s">
        <v>3182</v>
      </c>
      <c r="H702" s="242" t="s">
        <v>1756</v>
      </c>
      <c r="I702" s="241" t="s">
        <v>4237</v>
      </c>
      <c r="J702" s="242" t="s">
        <v>3183</v>
      </c>
      <c r="K702" s="242" t="s">
        <v>29</v>
      </c>
      <c r="L702" s="242" t="s">
        <v>30</v>
      </c>
      <c r="M702" s="242"/>
      <c r="N702" s="242"/>
      <c r="O702" s="242"/>
      <c r="P702" s="242" t="s">
        <v>31</v>
      </c>
      <c r="Q702" s="314" t="s">
        <v>32</v>
      </c>
      <c r="R702" s="248" t="s">
        <v>43</v>
      </c>
      <c r="S702" s="388" t="s">
        <v>3181</v>
      </c>
      <c r="T702" s="275">
        <v>26825</v>
      </c>
      <c r="U702" s="242" t="s">
        <v>3183</v>
      </c>
      <c r="V702" s="475" t="s">
        <v>3127</v>
      </c>
      <c r="W702" s="474"/>
    </row>
    <row r="703" spans="1:23" ht="12.75">
      <c r="A703" s="274">
        <v>46109.011203703703</v>
      </c>
      <c r="B703" s="242" t="s">
        <v>3189</v>
      </c>
      <c r="C703" s="242"/>
      <c r="D703" s="242" t="s">
        <v>24</v>
      </c>
      <c r="E703" s="275">
        <v>37755</v>
      </c>
      <c r="F703" s="242" t="s">
        <v>3185</v>
      </c>
      <c r="G703" s="242" t="s">
        <v>3186</v>
      </c>
      <c r="H703" s="242" t="s">
        <v>3187</v>
      </c>
      <c r="I703" s="241" t="s">
        <v>4219</v>
      </c>
      <c r="J703" s="242" t="s">
        <v>3188</v>
      </c>
      <c r="K703" s="242" t="s">
        <v>29</v>
      </c>
      <c r="L703" s="242" t="s">
        <v>30</v>
      </c>
      <c r="M703" s="242"/>
      <c r="N703" s="242"/>
      <c r="O703" s="242"/>
      <c r="P703" s="242" t="s">
        <v>31</v>
      </c>
      <c r="Q703" s="314" t="s">
        <v>32</v>
      </c>
      <c r="R703" s="248" t="s">
        <v>33</v>
      </c>
      <c r="S703" s="242" t="s">
        <v>3189</v>
      </c>
      <c r="T703" s="275">
        <v>37755</v>
      </c>
      <c r="U703" s="242" t="s">
        <v>3188</v>
      </c>
      <c r="V703" s="475" t="s">
        <v>3127</v>
      </c>
      <c r="W703" s="474"/>
    </row>
    <row r="704" spans="1:23" ht="12.75">
      <c r="A704" s="274">
        <v>46109.104467592595</v>
      </c>
      <c r="B704" s="242" t="s">
        <v>3190</v>
      </c>
      <c r="C704" s="242" t="s">
        <v>3191</v>
      </c>
      <c r="D704" s="242" t="s">
        <v>24</v>
      </c>
      <c r="E704" s="275">
        <v>36097</v>
      </c>
      <c r="F704" s="242" t="s">
        <v>3192</v>
      </c>
      <c r="G704" s="242" t="s">
        <v>209</v>
      </c>
      <c r="H704" s="242" t="s">
        <v>3193</v>
      </c>
      <c r="I704" s="241" t="s">
        <v>4219</v>
      </c>
      <c r="J704" s="242" t="s">
        <v>3194</v>
      </c>
      <c r="K704" s="242" t="s">
        <v>29</v>
      </c>
      <c r="L704" s="242" t="s">
        <v>30</v>
      </c>
      <c r="M704" s="242"/>
      <c r="N704" s="242"/>
      <c r="O704" s="242"/>
      <c r="P704" s="242" t="s">
        <v>31</v>
      </c>
      <c r="Q704" s="314" t="s">
        <v>32</v>
      </c>
      <c r="R704" s="245" t="s">
        <v>33</v>
      </c>
      <c r="S704" s="242" t="s">
        <v>3190</v>
      </c>
      <c r="T704" s="275">
        <v>36097</v>
      </c>
      <c r="U704" s="242" t="s">
        <v>3194</v>
      </c>
      <c r="V704" s="475" t="s">
        <v>3127</v>
      </c>
      <c r="W704" s="474"/>
    </row>
    <row r="705" spans="1:23" ht="12.75">
      <c r="A705" s="379">
        <v>46109.253703703704</v>
      </c>
      <c r="B705" s="206" t="s">
        <v>4335</v>
      </c>
      <c r="C705" s="206" t="s">
        <v>4336</v>
      </c>
      <c r="D705" s="206" t="s">
        <v>24</v>
      </c>
      <c r="E705" s="380">
        <v>37565</v>
      </c>
      <c r="F705" s="206" t="s">
        <v>612</v>
      </c>
      <c r="G705" s="206" t="s">
        <v>4337</v>
      </c>
      <c r="H705" s="206" t="s">
        <v>4338</v>
      </c>
      <c r="I705" s="252" t="s">
        <v>4223</v>
      </c>
      <c r="J705" s="206" t="s">
        <v>3199</v>
      </c>
      <c r="K705" s="206" t="s">
        <v>29</v>
      </c>
      <c r="L705" s="206" t="s">
        <v>30</v>
      </c>
      <c r="M705" s="206"/>
      <c r="N705" s="206"/>
      <c r="O705" s="206"/>
      <c r="P705" s="206" t="s">
        <v>31</v>
      </c>
      <c r="Q705" s="369" t="s">
        <v>32</v>
      </c>
      <c r="R705" s="148" t="s">
        <v>33</v>
      </c>
      <c r="S705" s="206" t="s">
        <v>3200</v>
      </c>
      <c r="T705" s="380">
        <v>37565</v>
      </c>
      <c r="U705" s="206" t="s">
        <v>3199</v>
      </c>
      <c r="V705" s="476" t="s">
        <v>3127</v>
      </c>
      <c r="W705" s="474"/>
    </row>
    <row r="706" spans="1:23" ht="12.75">
      <c r="A706" s="274">
        <v>46110.544456018521</v>
      </c>
      <c r="B706" s="242" t="s">
        <v>3201</v>
      </c>
      <c r="C706" s="242" t="s">
        <v>3202</v>
      </c>
      <c r="D706" s="242" t="s">
        <v>45</v>
      </c>
      <c r="E706" s="275">
        <v>38426</v>
      </c>
      <c r="F706" s="242" t="s">
        <v>1053</v>
      </c>
      <c r="G706" s="242" t="s">
        <v>3203</v>
      </c>
      <c r="H706" s="242" t="s">
        <v>66</v>
      </c>
      <c r="I706" s="241" t="s">
        <v>4237</v>
      </c>
      <c r="J706" s="242" t="s">
        <v>3204</v>
      </c>
      <c r="K706" s="242" t="s">
        <v>29</v>
      </c>
      <c r="L706" s="242" t="s">
        <v>30</v>
      </c>
      <c r="M706" s="242"/>
      <c r="N706" s="242"/>
      <c r="O706" s="242"/>
      <c r="P706" s="242" t="s">
        <v>31</v>
      </c>
      <c r="Q706" s="314" t="s">
        <v>32</v>
      </c>
      <c r="R706" s="248" t="s">
        <v>43</v>
      </c>
      <c r="S706" s="242" t="s">
        <v>3205</v>
      </c>
      <c r="T706" s="275">
        <v>38426</v>
      </c>
      <c r="U706" s="242" t="s">
        <v>3204</v>
      </c>
      <c r="V706" s="475" t="s">
        <v>3127</v>
      </c>
      <c r="W706" s="474"/>
    </row>
    <row r="707" spans="1:23" ht="12.75">
      <c r="A707" s="274">
        <v>46110.979664351849</v>
      </c>
      <c r="B707" s="242" t="s">
        <v>3206</v>
      </c>
      <c r="C707" s="242" t="s">
        <v>3207</v>
      </c>
      <c r="D707" s="242" t="s">
        <v>24</v>
      </c>
      <c r="E707" s="275">
        <v>37949</v>
      </c>
      <c r="F707" s="242" t="s">
        <v>1053</v>
      </c>
      <c r="G707" s="242" t="s">
        <v>3208</v>
      </c>
      <c r="H707" s="242" t="s">
        <v>160</v>
      </c>
      <c r="I707" s="241" t="s">
        <v>4237</v>
      </c>
      <c r="J707" s="242" t="s">
        <v>3209</v>
      </c>
      <c r="K707" s="242" t="s">
        <v>29</v>
      </c>
      <c r="L707" s="242" t="s">
        <v>30</v>
      </c>
      <c r="M707" s="242"/>
      <c r="N707" s="242"/>
      <c r="O707" s="242"/>
      <c r="P707" s="242" t="s">
        <v>31</v>
      </c>
      <c r="Q707" s="314" t="s">
        <v>32</v>
      </c>
      <c r="R707" s="245" t="s">
        <v>43</v>
      </c>
      <c r="S707" s="242" t="s">
        <v>3210</v>
      </c>
      <c r="T707" s="275">
        <v>37949</v>
      </c>
      <c r="U707" s="242" t="s">
        <v>3209</v>
      </c>
      <c r="V707" s="475" t="s">
        <v>3127</v>
      </c>
      <c r="W707" s="474"/>
    </row>
    <row r="708" spans="1:23" ht="12.75">
      <c r="A708" s="274">
        <v>46110.985706018517</v>
      </c>
      <c r="B708" s="242" t="s">
        <v>3211</v>
      </c>
      <c r="C708" s="242" t="s">
        <v>3212</v>
      </c>
      <c r="D708" s="242" t="s">
        <v>24</v>
      </c>
      <c r="E708" s="275">
        <v>38765</v>
      </c>
      <c r="F708" s="242" t="s">
        <v>1053</v>
      </c>
      <c r="G708" s="242" t="s">
        <v>3213</v>
      </c>
      <c r="H708" s="242" t="s">
        <v>66</v>
      </c>
      <c r="I708" s="241" t="s">
        <v>4237</v>
      </c>
      <c r="J708" s="242" t="s">
        <v>3214</v>
      </c>
      <c r="K708" s="242" t="s">
        <v>29</v>
      </c>
      <c r="L708" s="242" t="s">
        <v>30</v>
      </c>
      <c r="M708" s="242"/>
      <c r="N708" s="242"/>
      <c r="O708" s="242"/>
      <c r="P708" s="242" t="s">
        <v>31</v>
      </c>
      <c r="Q708" s="314" t="s">
        <v>32</v>
      </c>
      <c r="R708" s="248" t="s">
        <v>43</v>
      </c>
      <c r="S708" s="242" t="s">
        <v>3215</v>
      </c>
      <c r="T708" s="275">
        <v>38765</v>
      </c>
      <c r="U708" s="242" t="s">
        <v>3214</v>
      </c>
      <c r="V708" s="475" t="s">
        <v>3127</v>
      </c>
      <c r="W708" s="474"/>
    </row>
    <row r="709" spans="1:23" ht="12.75">
      <c r="A709" s="379">
        <v>46111.250162037039</v>
      </c>
      <c r="B709" s="206" t="s">
        <v>2309</v>
      </c>
      <c r="C709" s="206"/>
      <c r="D709" s="206" t="s">
        <v>24</v>
      </c>
      <c r="E709" s="380">
        <v>37610</v>
      </c>
      <c r="F709" s="206" t="s">
        <v>208</v>
      </c>
      <c r="G709" s="206" t="s">
        <v>2642</v>
      </c>
      <c r="H709" s="206" t="s">
        <v>4339</v>
      </c>
      <c r="I709" s="252" t="s">
        <v>4223</v>
      </c>
      <c r="J709" s="206" t="s">
        <v>2312</v>
      </c>
      <c r="K709" s="206" t="s">
        <v>29</v>
      </c>
      <c r="L709" s="206" t="s">
        <v>162</v>
      </c>
      <c r="M709" s="206"/>
      <c r="N709" s="206"/>
      <c r="O709" s="206"/>
      <c r="P709" s="206" t="s">
        <v>31</v>
      </c>
      <c r="Q709" s="369" t="s">
        <v>32</v>
      </c>
      <c r="R709" s="152"/>
      <c r="S709" s="206" t="s">
        <v>2309</v>
      </c>
      <c r="T709" s="380">
        <v>37610</v>
      </c>
      <c r="U709" s="206" t="s">
        <v>2312</v>
      </c>
      <c r="V709" s="476" t="s">
        <v>3127</v>
      </c>
      <c r="W709" s="474"/>
    </row>
    <row r="710" spans="1:23" ht="12.75">
      <c r="A710" s="274">
        <v>46111.383067129631</v>
      </c>
      <c r="B710" s="242" t="s">
        <v>3217</v>
      </c>
      <c r="C710" s="242"/>
      <c r="D710" s="242" t="s">
        <v>24</v>
      </c>
      <c r="E710" s="275">
        <v>25751</v>
      </c>
      <c r="F710" s="242" t="s">
        <v>1387</v>
      </c>
      <c r="G710" s="242" t="s">
        <v>3218</v>
      </c>
      <c r="H710" s="242" t="s">
        <v>3219</v>
      </c>
      <c r="I710" s="241" t="s">
        <v>4219</v>
      </c>
      <c r="J710" s="242" t="s">
        <v>3220</v>
      </c>
      <c r="K710" s="242" t="s">
        <v>39</v>
      </c>
      <c r="L710" s="242" t="s">
        <v>30</v>
      </c>
      <c r="M710" s="242"/>
      <c r="N710" s="242"/>
      <c r="O710" s="242"/>
      <c r="P710" s="242" t="s">
        <v>31</v>
      </c>
      <c r="Q710" s="314" t="s">
        <v>32</v>
      </c>
      <c r="R710" s="248" t="s">
        <v>33</v>
      </c>
      <c r="S710" s="242" t="s">
        <v>3221</v>
      </c>
      <c r="T710" s="275">
        <v>25751</v>
      </c>
      <c r="U710" s="242" t="s">
        <v>3220</v>
      </c>
      <c r="V710" s="475" t="s">
        <v>3127</v>
      </c>
      <c r="W710" s="474"/>
    </row>
    <row r="711" spans="1:23" ht="12.75">
      <c r="A711" s="274">
        <v>46111.544756944444</v>
      </c>
      <c r="B711" s="242" t="s">
        <v>3222</v>
      </c>
      <c r="C711" s="242"/>
      <c r="D711" s="242" t="s">
        <v>24</v>
      </c>
      <c r="E711" s="275">
        <v>37401</v>
      </c>
      <c r="F711" s="242" t="s">
        <v>1179</v>
      </c>
      <c r="G711" s="242" t="s">
        <v>4340</v>
      </c>
      <c r="H711" s="242" t="s">
        <v>368</v>
      </c>
      <c r="I711" s="241" t="s">
        <v>4237</v>
      </c>
      <c r="J711" s="242" t="s">
        <v>3224</v>
      </c>
      <c r="K711" s="242" t="s">
        <v>29</v>
      </c>
      <c r="L711" s="242" t="s">
        <v>30</v>
      </c>
      <c r="M711" s="242"/>
      <c r="N711" s="242"/>
      <c r="O711" s="242"/>
      <c r="P711" s="242" t="s">
        <v>31</v>
      </c>
      <c r="Q711" s="314" t="s">
        <v>32</v>
      </c>
      <c r="R711" s="245" t="s">
        <v>43</v>
      </c>
      <c r="S711" s="242" t="s">
        <v>3225</v>
      </c>
      <c r="T711" s="275">
        <v>37401</v>
      </c>
      <c r="U711" s="242" t="s">
        <v>3224</v>
      </c>
      <c r="V711" s="475" t="s">
        <v>3127</v>
      </c>
      <c r="W711" s="474"/>
    </row>
    <row r="712" spans="1:23" ht="12.75">
      <c r="A712" s="379">
        <v>46111.61577546296</v>
      </c>
      <c r="B712" s="206" t="s">
        <v>4341</v>
      </c>
      <c r="C712" s="206" t="s">
        <v>3227</v>
      </c>
      <c r="D712" s="206" t="s">
        <v>24</v>
      </c>
      <c r="E712" s="380">
        <v>33700</v>
      </c>
      <c r="F712" s="206" t="s">
        <v>88</v>
      </c>
      <c r="G712" s="206" t="s">
        <v>3228</v>
      </c>
      <c r="H712" s="206" t="s">
        <v>4342</v>
      </c>
      <c r="I712" s="252" t="s">
        <v>4223</v>
      </c>
      <c r="J712" s="206" t="s">
        <v>3230</v>
      </c>
      <c r="K712" s="206" t="s">
        <v>39</v>
      </c>
      <c r="L712" s="206" t="s">
        <v>30</v>
      </c>
      <c r="M712" s="206"/>
      <c r="N712" s="206"/>
      <c r="O712" s="206"/>
      <c r="P712" s="206" t="s">
        <v>31</v>
      </c>
      <c r="Q712" s="369" t="s">
        <v>32</v>
      </c>
      <c r="R712" s="148"/>
      <c r="S712" s="206" t="s">
        <v>3231</v>
      </c>
      <c r="T712" s="389">
        <v>33500</v>
      </c>
      <c r="U712" s="206" t="s">
        <v>3230</v>
      </c>
      <c r="V712" s="141" t="s">
        <v>3232</v>
      </c>
      <c r="W712" s="141"/>
    </row>
    <row r="713" spans="1:23" ht="12.75">
      <c r="A713" s="274">
        <v>46111.70113425926</v>
      </c>
      <c r="B713" s="242" t="s">
        <v>3233</v>
      </c>
      <c r="C713" s="242" t="s">
        <v>3234</v>
      </c>
      <c r="D713" s="242" t="s">
        <v>24</v>
      </c>
      <c r="E713" s="275">
        <v>38465</v>
      </c>
      <c r="F713" s="242" t="s">
        <v>1053</v>
      </c>
      <c r="G713" s="242" t="s">
        <v>3235</v>
      </c>
      <c r="H713" s="242" t="s">
        <v>160</v>
      </c>
      <c r="I713" s="241" t="s">
        <v>4237</v>
      </c>
      <c r="J713" s="242" t="s">
        <v>3236</v>
      </c>
      <c r="K713" s="242" t="s">
        <v>39</v>
      </c>
      <c r="L713" s="242" t="s">
        <v>621</v>
      </c>
      <c r="M713" s="242"/>
      <c r="N713" s="242"/>
      <c r="O713" s="242"/>
      <c r="P713" s="242" t="s">
        <v>31</v>
      </c>
      <c r="Q713" s="314" t="s">
        <v>32</v>
      </c>
      <c r="R713" s="245" t="s">
        <v>43</v>
      </c>
      <c r="S713" s="242" t="s">
        <v>3233</v>
      </c>
      <c r="T713" s="275">
        <v>38465</v>
      </c>
      <c r="U713" s="242" t="s">
        <v>3236</v>
      </c>
      <c r="V713" s="475" t="s">
        <v>3127</v>
      </c>
      <c r="W713" s="474"/>
    </row>
    <row r="714" spans="1:23" ht="12.75">
      <c r="A714" s="379">
        <v>46111.915752314817</v>
      </c>
      <c r="B714" s="206" t="s">
        <v>3237</v>
      </c>
      <c r="C714" s="206" t="s">
        <v>3238</v>
      </c>
      <c r="D714" s="206" t="s">
        <v>45</v>
      </c>
      <c r="E714" s="380">
        <v>31413</v>
      </c>
      <c r="F714" s="206" t="s">
        <v>1316</v>
      </c>
      <c r="G714" s="206" t="s">
        <v>3239</v>
      </c>
      <c r="H714" s="206" t="s">
        <v>247</v>
      </c>
      <c r="I714" s="252" t="s">
        <v>4223</v>
      </c>
      <c r="J714" s="206" t="s">
        <v>3240</v>
      </c>
      <c r="K714" s="206" t="s">
        <v>29</v>
      </c>
      <c r="L714" s="206" t="s">
        <v>30</v>
      </c>
      <c r="M714" s="206"/>
      <c r="N714" s="206"/>
      <c r="O714" s="206"/>
      <c r="P714" s="206" t="s">
        <v>31</v>
      </c>
      <c r="Q714" s="369" t="s">
        <v>32</v>
      </c>
      <c r="R714" s="148"/>
      <c r="S714" s="206" t="s">
        <v>3241</v>
      </c>
      <c r="T714" s="380">
        <v>31413</v>
      </c>
      <c r="U714" s="206" t="s">
        <v>3240</v>
      </c>
      <c r="V714" s="476" t="s">
        <v>3127</v>
      </c>
      <c r="W714" s="474"/>
    </row>
    <row r="715" spans="1:23" ht="12.75">
      <c r="A715" s="379">
        <v>46111.919363425928</v>
      </c>
      <c r="B715" s="206" t="s">
        <v>3242</v>
      </c>
      <c r="C715" s="206" t="s">
        <v>3243</v>
      </c>
      <c r="D715" s="206" t="s">
        <v>24</v>
      </c>
      <c r="E715" s="380">
        <v>28491</v>
      </c>
      <c r="F715" s="206" t="s">
        <v>1316</v>
      </c>
      <c r="G715" s="206" t="s">
        <v>3244</v>
      </c>
      <c r="H715" s="206" t="s">
        <v>247</v>
      </c>
      <c r="I715" s="252" t="s">
        <v>4223</v>
      </c>
      <c r="J715" s="206" t="s">
        <v>3245</v>
      </c>
      <c r="K715" s="206" t="s">
        <v>29</v>
      </c>
      <c r="L715" s="206" t="s">
        <v>30</v>
      </c>
      <c r="M715" s="206"/>
      <c r="N715" s="206"/>
      <c r="O715" s="206"/>
      <c r="P715" s="206" t="s">
        <v>31</v>
      </c>
      <c r="Q715" s="369" t="s">
        <v>32</v>
      </c>
      <c r="R715" s="152"/>
      <c r="S715" s="206" t="s">
        <v>3246</v>
      </c>
      <c r="T715" s="380">
        <v>28491</v>
      </c>
      <c r="U715" s="206" t="s">
        <v>3247</v>
      </c>
      <c r="V715" s="476" t="s">
        <v>3127</v>
      </c>
      <c r="W715" s="474"/>
    </row>
    <row r="716" spans="1:23" ht="12.75">
      <c r="A716" s="274">
        <v>46112.435914351852</v>
      </c>
      <c r="B716" s="242" t="s">
        <v>3248</v>
      </c>
      <c r="C716" s="242"/>
      <c r="D716" s="242" t="s">
        <v>24</v>
      </c>
      <c r="E716" s="275">
        <v>20122</v>
      </c>
      <c r="F716" s="242" t="s">
        <v>198</v>
      </c>
      <c r="G716" s="242" t="s">
        <v>4343</v>
      </c>
      <c r="H716" s="242" t="s">
        <v>3250</v>
      </c>
      <c r="I716" s="241" t="s">
        <v>4219</v>
      </c>
      <c r="J716" s="242" t="s">
        <v>3251</v>
      </c>
      <c r="K716" s="242" t="s">
        <v>29</v>
      </c>
      <c r="L716" s="242" t="s">
        <v>30</v>
      </c>
      <c r="M716" s="242"/>
      <c r="N716" s="242"/>
      <c r="O716" s="242"/>
      <c r="P716" s="242" t="s">
        <v>31</v>
      </c>
      <c r="Q716" s="314" t="s">
        <v>32</v>
      </c>
      <c r="R716" s="248" t="s">
        <v>43</v>
      </c>
      <c r="S716" s="242" t="s">
        <v>3252</v>
      </c>
      <c r="T716" s="275">
        <v>20122</v>
      </c>
      <c r="U716" s="242" t="s">
        <v>3251</v>
      </c>
      <c r="V716" s="475" t="s">
        <v>3127</v>
      </c>
      <c r="W716" s="474"/>
    </row>
    <row r="717" spans="1:23" ht="12.75">
      <c r="A717" s="274">
        <v>46112.435995370368</v>
      </c>
      <c r="B717" s="242" t="s">
        <v>3253</v>
      </c>
      <c r="C717" s="242"/>
      <c r="D717" s="242" t="s">
        <v>24</v>
      </c>
      <c r="E717" s="275">
        <v>28244</v>
      </c>
      <c r="F717" s="242" t="s">
        <v>198</v>
      </c>
      <c r="G717" s="242" t="s">
        <v>3254</v>
      </c>
      <c r="H717" s="242" t="s">
        <v>3255</v>
      </c>
      <c r="I717" s="241" t="s">
        <v>4219</v>
      </c>
      <c r="J717" s="242" t="s">
        <v>3256</v>
      </c>
      <c r="K717" s="242" t="s">
        <v>29</v>
      </c>
      <c r="L717" s="242" t="s">
        <v>30</v>
      </c>
      <c r="M717" s="242"/>
      <c r="N717" s="242"/>
      <c r="O717" s="242"/>
      <c r="P717" s="242" t="s">
        <v>31</v>
      </c>
      <c r="Q717" s="314" t="s">
        <v>32</v>
      </c>
      <c r="R717" s="245" t="s">
        <v>43</v>
      </c>
      <c r="S717" s="242" t="s">
        <v>3257</v>
      </c>
      <c r="T717" s="275">
        <v>28244</v>
      </c>
      <c r="U717" s="242" t="s">
        <v>3256</v>
      </c>
      <c r="V717" s="475" t="s">
        <v>3127</v>
      </c>
      <c r="W717" s="474"/>
    </row>
    <row r="718" spans="1:23" ht="12.75">
      <c r="A718" s="274">
        <v>46112.615925925929</v>
      </c>
      <c r="B718" s="242" t="s">
        <v>3258</v>
      </c>
      <c r="C718" s="242" t="s">
        <v>3259</v>
      </c>
      <c r="D718" s="242" t="s">
        <v>45</v>
      </c>
      <c r="E718" s="275">
        <v>38342</v>
      </c>
      <c r="F718" s="242" t="s">
        <v>1053</v>
      </c>
      <c r="G718" s="242" t="s">
        <v>4344</v>
      </c>
      <c r="H718" s="242" t="s">
        <v>66</v>
      </c>
      <c r="I718" s="241" t="s">
        <v>4237</v>
      </c>
      <c r="J718" s="242" t="s">
        <v>3261</v>
      </c>
      <c r="K718" s="242" t="s">
        <v>29</v>
      </c>
      <c r="L718" s="242" t="s">
        <v>30</v>
      </c>
      <c r="M718" s="242"/>
      <c r="N718" s="242"/>
      <c r="O718" s="242"/>
      <c r="P718" s="242" t="s">
        <v>31</v>
      </c>
      <c r="Q718" s="314" t="s">
        <v>32</v>
      </c>
      <c r="R718" s="248" t="s">
        <v>43</v>
      </c>
      <c r="S718" s="242" t="s">
        <v>3258</v>
      </c>
      <c r="T718" s="275">
        <v>38342</v>
      </c>
      <c r="U718" s="242" t="s">
        <v>3262</v>
      </c>
      <c r="V718" s="475" t="s">
        <v>3127</v>
      </c>
      <c r="W718" s="474"/>
    </row>
    <row r="719" spans="1:23" ht="12.75">
      <c r="A719" s="390">
        <v>46112.779143518521</v>
      </c>
      <c r="B719" s="391" t="s">
        <v>4345</v>
      </c>
      <c r="C719" s="391" t="s">
        <v>3264</v>
      </c>
      <c r="D719" s="391" t="s">
        <v>24</v>
      </c>
      <c r="E719" s="392">
        <v>32819</v>
      </c>
      <c r="F719" s="391" t="s">
        <v>88</v>
      </c>
      <c r="G719" s="391" t="s">
        <v>3265</v>
      </c>
      <c r="H719" s="391" t="s">
        <v>4346</v>
      </c>
      <c r="I719" s="252" t="s">
        <v>4223</v>
      </c>
      <c r="J719" s="391" t="s">
        <v>3267</v>
      </c>
      <c r="K719" s="391" t="s">
        <v>39</v>
      </c>
      <c r="L719" s="391" t="s">
        <v>30</v>
      </c>
      <c r="M719" s="391"/>
      <c r="N719" s="391"/>
      <c r="O719" s="337"/>
      <c r="P719" s="391" t="s">
        <v>31</v>
      </c>
      <c r="Q719" s="369" t="s">
        <v>32</v>
      </c>
      <c r="R719" s="24"/>
      <c r="S719" s="276"/>
      <c r="T719" s="276"/>
      <c r="U719" s="276"/>
      <c r="V719" s="276"/>
      <c r="W719" s="276"/>
    </row>
    <row r="720" spans="1:23" ht="12.75">
      <c r="A720" s="379">
        <v>46112.787499999999</v>
      </c>
      <c r="B720" s="206" t="s">
        <v>3268</v>
      </c>
      <c r="C720" s="206"/>
      <c r="D720" s="206" t="s">
        <v>45</v>
      </c>
      <c r="E720" s="380">
        <v>32938</v>
      </c>
      <c r="F720" s="206" t="s">
        <v>799</v>
      </c>
      <c r="G720" s="206" t="s">
        <v>3269</v>
      </c>
      <c r="H720" s="206" t="s">
        <v>3270</v>
      </c>
      <c r="I720" s="252" t="s">
        <v>4223</v>
      </c>
      <c r="J720" s="206" t="s">
        <v>3271</v>
      </c>
      <c r="K720" s="206" t="s">
        <v>29</v>
      </c>
      <c r="L720" s="206" t="s">
        <v>30</v>
      </c>
      <c r="M720" s="206"/>
      <c r="N720" s="206"/>
      <c r="O720" s="206"/>
      <c r="P720" s="206" t="s">
        <v>31</v>
      </c>
      <c r="Q720" s="369" t="s">
        <v>32</v>
      </c>
      <c r="R720" s="152"/>
      <c r="S720" s="206" t="s">
        <v>3268</v>
      </c>
      <c r="T720" s="380">
        <v>32938</v>
      </c>
      <c r="U720" s="206" t="s">
        <v>3271</v>
      </c>
      <c r="V720" s="476" t="s">
        <v>3127</v>
      </c>
      <c r="W720" s="474"/>
    </row>
    <row r="721" spans="1:23" ht="12.75">
      <c r="A721" s="274">
        <v>46113.165243055555</v>
      </c>
      <c r="B721" s="242" t="s">
        <v>3276</v>
      </c>
      <c r="C721" s="242"/>
      <c r="D721" s="242" t="s">
        <v>45</v>
      </c>
      <c r="E721" s="275">
        <v>34856</v>
      </c>
      <c r="F721" s="242" t="s">
        <v>3273</v>
      </c>
      <c r="G721" s="242" t="s">
        <v>3274</v>
      </c>
      <c r="H721" s="242" t="s">
        <v>4280</v>
      </c>
      <c r="I721" s="241" t="s">
        <v>4223</v>
      </c>
      <c r="J721" s="242" t="s">
        <v>3277</v>
      </c>
      <c r="K721" s="242" t="s">
        <v>29</v>
      </c>
      <c r="L721" s="242" t="s">
        <v>30</v>
      </c>
      <c r="M721" s="242"/>
      <c r="N721" s="242"/>
      <c r="O721" s="242"/>
      <c r="P721" s="242" t="s">
        <v>31</v>
      </c>
      <c r="Q721" s="314" t="s">
        <v>32</v>
      </c>
      <c r="R721" s="245" t="s">
        <v>33</v>
      </c>
      <c r="S721" s="242" t="s">
        <v>3276</v>
      </c>
      <c r="T721" s="275">
        <v>34856</v>
      </c>
      <c r="U721" s="242" t="s">
        <v>3277</v>
      </c>
      <c r="V721" s="475" t="s">
        <v>3127</v>
      </c>
      <c r="W721" s="474"/>
    </row>
    <row r="722" spans="1:23" ht="12.75">
      <c r="A722" s="379">
        <v>46114.724895833337</v>
      </c>
      <c r="B722" s="206" t="s">
        <v>3278</v>
      </c>
      <c r="C722" s="206"/>
      <c r="D722" s="206" t="s">
        <v>24</v>
      </c>
      <c r="E722" s="380">
        <v>36674</v>
      </c>
      <c r="F722" s="206" t="s">
        <v>433</v>
      </c>
      <c r="G722" s="206" t="s">
        <v>3279</v>
      </c>
      <c r="H722" s="206" t="s">
        <v>191</v>
      </c>
      <c r="I722" s="252" t="s">
        <v>4223</v>
      </c>
      <c r="J722" s="206" t="s">
        <v>3280</v>
      </c>
      <c r="K722" s="206" t="s">
        <v>39</v>
      </c>
      <c r="L722" s="206" t="s">
        <v>30</v>
      </c>
      <c r="M722" s="206"/>
      <c r="N722" s="206"/>
      <c r="O722" s="206"/>
      <c r="P722" s="206" t="s">
        <v>31</v>
      </c>
      <c r="Q722" s="369" t="s">
        <v>32</v>
      </c>
      <c r="R722" s="148" t="s">
        <v>33</v>
      </c>
      <c r="S722" s="206" t="s">
        <v>3281</v>
      </c>
      <c r="T722" s="380">
        <v>36674</v>
      </c>
      <c r="U722" s="206" t="s">
        <v>3280</v>
      </c>
      <c r="V722" s="476" t="s">
        <v>3127</v>
      </c>
      <c r="W722" s="474"/>
    </row>
    <row r="723" spans="1:23" ht="12.75">
      <c r="A723" s="379">
        <v>46115.181550925925</v>
      </c>
      <c r="B723" s="206" t="s">
        <v>3282</v>
      </c>
      <c r="C723" s="206"/>
      <c r="D723" s="206" t="s">
        <v>45</v>
      </c>
      <c r="E723" s="380">
        <v>30667</v>
      </c>
      <c r="F723" s="206" t="s">
        <v>612</v>
      </c>
      <c r="G723" s="206" t="s">
        <v>3283</v>
      </c>
      <c r="H723" s="206" t="s">
        <v>186</v>
      </c>
      <c r="I723" s="252" t="s">
        <v>4223</v>
      </c>
      <c r="J723" s="206" t="s">
        <v>3284</v>
      </c>
      <c r="K723" s="206" t="s">
        <v>29</v>
      </c>
      <c r="L723" s="381">
        <v>46202</v>
      </c>
      <c r="M723" s="206"/>
      <c r="N723" s="206"/>
      <c r="O723" s="206"/>
      <c r="P723" s="206" t="s">
        <v>31</v>
      </c>
      <c r="Q723" s="369" t="s">
        <v>32</v>
      </c>
      <c r="R723" s="152"/>
      <c r="S723" s="206" t="s">
        <v>3285</v>
      </c>
      <c r="T723" s="380">
        <v>30667</v>
      </c>
      <c r="U723" s="206" t="s">
        <v>3284</v>
      </c>
      <c r="V723" s="476" t="s">
        <v>3127</v>
      </c>
      <c r="W723" s="474"/>
    </row>
    <row r="724" spans="1:23" ht="12.75">
      <c r="A724" s="274">
        <v>46115.465902777774</v>
      </c>
      <c r="B724" s="242" t="s">
        <v>3286</v>
      </c>
      <c r="C724" s="242"/>
      <c r="D724" s="242" t="s">
        <v>24</v>
      </c>
      <c r="E724" s="275">
        <v>30324</v>
      </c>
      <c r="F724" s="242" t="s">
        <v>1958</v>
      </c>
      <c r="G724" s="242" t="s">
        <v>3287</v>
      </c>
      <c r="H724" s="242" t="s">
        <v>1069</v>
      </c>
      <c r="I724" s="241" t="s">
        <v>4219</v>
      </c>
      <c r="J724" s="242" t="s">
        <v>3288</v>
      </c>
      <c r="K724" s="242" t="s">
        <v>29</v>
      </c>
      <c r="L724" s="242" t="s">
        <v>30</v>
      </c>
      <c r="M724" s="242"/>
      <c r="N724" s="242"/>
      <c r="O724" s="242"/>
      <c r="P724" s="242" t="s">
        <v>31</v>
      </c>
      <c r="Q724" s="314" t="s">
        <v>32</v>
      </c>
      <c r="R724" s="248" t="s">
        <v>43</v>
      </c>
      <c r="S724" s="242" t="s">
        <v>3286</v>
      </c>
      <c r="T724" s="275">
        <v>30324</v>
      </c>
      <c r="U724" s="242" t="s">
        <v>3288</v>
      </c>
      <c r="V724" s="475" t="s">
        <v>3127</v>
      </c>
      <c r="W724" s="474"/>
    </row>
    <row r="725" spans="1:23" ht="12.75">
      <c r="A725" s="393">
        <v>46118.09233796296</v>
      </c>
      <c r="B725" s="394" t="s">
        <v>3289</v>
      </c>
      <c r="C725" s="317"/>
      <c r="D725" s="394" t="s">
        <v>24</v>
      </c>
      <c r="E725" s="395">
        <v>35624</v>
      </c>
      <c r="F725" s="394" t="s">
        <v>3040</v>
      </c>
      <c r="G725" s="394" t="s">
        <v>209</v>
      </c>
      <c r="H725" s="394" t="s">
        <v>90</v>
      </c>
      <c r="I725" s="241" t="s">
        <v>4237</v>
      </c>
      <c r="J725" s="394" t="s">
        <v>3290</v>
      </c>
      <c r="K725" s="394" t="s">
        <v>29</v>
      </c>
      <c r="L725" s="394" t="s">
        <v>30</v>
      </c>
      <c r="M725" s="394"/>
      <c r="N725" s="394"/>
      <c r="O725" s="317"/>
      <c r="P725" s="394" t="s">
        <v>2293</v>
      </c>
      <c r="Q725" s="314" t="s">
        <v>32</v>
      </c>
      <c r="R725" s="246" t="s">
        <v>43</v>
      </c>
      <c r="S725" s="242"/>
      <c r="T725" s="242"/>
      <c r="U725" s="242"/>
      <c r="V725" s="242"/>
      <c r="W725" s="242"/>
    </row>
    <row r="726" spans="1:23" ht="12.75">
      <c r="A726" s="274">
        <v>46118.985081018516</v>
      </c>
      <c r="B726" s="242" t="s">
        <v>3291</v>
      </c>
      <c r="C726" s="242" t="s">
        <v>3292</v>
      </c>
      <c r="D726" s="242" t="s">
        <v>45</v>
      </c>
      <c r="E726" s="275">
        <v>35339</v>
      </c>
      <c r="F726" s="242" t="s">
        <v>3293</v>
      </c>
      <c r="G726" s="242" t="s">
        <v>4347</v>
      </c>
      <c r="H726" s="242" t="s">
        <v>4348</v>
      </c>
      <c r="I726" s="241" t="s">
        <v>4219</v>
      </c>
      <c r="J726" s="242" t="s">
        <v>3296</v>
      </c>
      <c r="K726" s="242" t="s">
        <v>29</v>
      </c>
      <c r="L726" s="242" t="s">
        <v>30</v>
      </c>
      <c r="M726" s="242"/>
      <c r="N726" s="242"/>
      <c r="O726" s="242"/>
      <c r="P726" s="242" t="s">
        <v>31</v>
      </c>
      <c r="Q726" s="314" t="s">
        <v>32</v>
      </c>
      <c r="R726" s="248" t="s">
        <v>33</v>
      </c>
      <c r="S726" s="242" t="s">
        <v>3297</v>
      </c>
      <c r="T726" s="275">
        <v>35339</v>
      </c>
      <c r="U726" s="242" t="s">
        <v>3296</v>
      </c>
      <c r="V726" s="475" t="s">
        <v>3127</v>
      </c>
      <c r="W726" s="474"/>
    </row>
    <row r="727" spans="1:23" ht="15.75" customHeight="1">
      <c r="A727" s="396">
        <v>46121.787118055552</v>
      </c>
      <c r="B727" s="397" t="s">
        <v>3298</v>
      </c>
      <c r="C727" s="315"/>
      <c r="D727" s="397" t="s">
        <v>45</v>
      </c>
      <c r="E727" s="398">
        <v>32515</v>
      </c>
      <c r="F727" s="397" t="s">
        <v>3040</v>
      </c>
      <c r="G727" s="397" t="s">
        <v>3299</v>
      </c>
      <c r="H727" s="397" t="s">
        <v>2162</v>
      </c>
      <c r="I727" s="241" t="s">
        <v>4237</v>
      </c>
      <c r="J727" s="397" t="s">
        <v>3300</v>
      </c>
      <c r="K727" s="397" t="s">
        <v>29</v>
      </c>
      <c r="L727" s="397" t="s">
        <v>30</v>
      </c>
      <c r="M727" s="397"/>
      <c r="N727" s="397"/>
      <c r="O727" s="399"/>
      <c r="P727" s="397" t="s">
        <v>31</v>
      </c>
      <c r="Q727" s="314" t="s">
        <v>32</v>
      </c>
      <c r="R727" s="246" t="s">
        <v>43</v>
      </c>
      <c r="S727" s="400"/>
      <c r="T727" s="400"/>
      <c r="U727" s="400"/>
      <c r="V727" s="242"/>
      <c r="W727" s="242"/>
    </row>
    <row r="728" spans="1:23" ht="15.75" customHeight="1">
      <c r="A728" s="274">
        <v>46121.994189814817</v>
      </c>
      <c r="B728" s="242" t="s">
        <v>3301</v>
      </c>
      <c r="C728" s="242"/>
      <c r="D728" s="242" t="s">
        <v>45</v>
      </c>
      <c r="E728" s="275">
        <v>31016</v>
      </c>
      <c r="F728" s="242" t="s">
        <v>232</v>
      </c>
      <c r="G728" s="242" t="s">
        <v>3302</v>
      </c>
      <c r="H728" s="242" t="s">
        <v>3303</v>
      </c>
      <c r="I728" s="241" t="s">
        <v>4219</v>
      </c>
      <c r="J728" s="242" t="s">
        <v>3304</v>
      </c>
      <c r="K728" s="242" t="s">
        <v>29</v>
      </c>
      <c r="L728" s="242" t="s">
        <v>30</v>
      </c>
      <c r="M728" s="242"/>
      <c r="N728" s="242"/>
      <c r="O728" s="242"/>
      <c r="P728" s="242" t="s">
        <v>31</v>
      </c>
      <c r="Q728" s="314" t="s">
        <v>32</v>
      </c>
      <c r="R728" s="401" t="s">
        <v>33</v>
      </c>
      <c r="S728" s="400" t="s">
        <v>3305</v>
      </c>
      <c r="T728" s="402">
        <v>31016</v>
      </c>
      <c r="U728" s="400" t="s">
        <v>3304</v>
      </c>
      <c r="V728" s="475" t="s">
        <v>3127</v>
      </c>
      <c r="W728" s="474"/>
    </row>
    <row r="729" spans="1:23" ht="15.75" customHeight="1">
      <c r="A729" s="403">
        <v>46122.730266203704</v>
      </c>
      <c r="B729" s="404" t="s">
        <v>3306</v>
      </c>
      <c r="C729" s="404" t="s">
        <v>3307</v>
      </c>
      <c r="D729" s="404" t="s">
        <v>45</v>
      </c>
      <c r="E729" s="405">
        <v>31381</v>
      </c>
      <c r="F729" s="404" t="s">
        <v>1053</v>
      </c>
      <c r="G729" s="404" t="s">
        <v>3308</v>
      </c>
      <c r="H729" s="404" t="s">
        <v>3309</v>
      </c>
      <c r="I729" s="241" t="s">
        <v>4237</v>
      </c>
      <c r="J729" s="404" t="s">
        <v>3310</v>
      </c>
      <c r="K729" s="404" t="s">
        <v>39</v>
      </c>
      <c r="L729" s="404" t="s">
        <v>152</v>
      </c>
      <c r="M729" s="404" t="s">
        <v>3311</v>
      </c>
      <c r="N729" s="404" t="s">
        <v>4349</v>
      </c>
      <c r="O729" s="404" t="s">
        <v>3313</v>
      </c>
      <c r="P729" s="404" t="s">
        <v>31</v>
      </c>
      <c r="Q729" s="314" t="s">
        <v>32</v>
      </c>
      <c r="R729" s="406" t="s">
        <v>43</v>
      </c>
      <c r="S729" s="400" t="s">
        <v>3306</v>
      </c>
      <c r="T729" s="407">
        <v>31117</v>
      </c>
      <c r="U729" s="400" t="s">
        <v>3310</v>
      </c>
      <c r="V729" s="485" t="s">
        <v>3314</v>
      </c>
      <c r="W729" s="474"/>
    </row>
    <row r="730" spans="1:23" ht="15.75" customHeight="1">
      <c r="A730" s="403">
        <v>46122.988993055558</v>
      </c>
      <c r="B730" s="404" t="s">
        <v>3315</v>
      </c>
      <c r="C730" s="404" t="s">
        <v>3316</v>
      </c>
      <c r="D730" s="404" t="s">
        <v>24</v>
      </c>
      <c r="E730" s="405">
        <v>35442</v>
      </c>
      <c r="F730" s="404" t="s">
        <v>3317</v>
      </c>
      <c r="G730" s="404" t="s">
        <v>209</v>
      </c>
      <c r="H730" s="404" t="s">
        <v>418</v>
      </c>
      <c r="I730" s="241" t="s">
        <v>4223</v>
      </c>
      <c r="J730" s="404" t="s">
        <v>3318</v>
      </c>
      <c r="K730" s="404" t="s">
        <v>29</v>
      </c>
      <c r="L730" s="404" t="s">
        <v>30</v>
      </c>
      <c r="M730" s="404" t="s">
        <v>3319</v>
      </c>
      <c r="N730" s="404"/>
      <c r="O730" s="404"/>
      <c r="P730" s="404" t="s">
        <v>31</v>
      </c>
      <c r="Q730" s="314" t="s">
        <v>32</v>
      </c>
      <c r="R730" s="401" t="s">
        <v>33</v>
      </c>
      <c r="S730" s="400" t="s">
        <v>3315</v>
      </c>
      <c r="T730" s="402">
        <v>35442</v>
      </c>
      <c r="U730" s="400" t="s">
        <v>3318</v>
      </c>
      <c r="V730" s="485" t="s">
        <v>3320</v>
      </c>
      <c r="W730" s="474"/>
    </row>
    <row r="731" spans="1:23" ht="15.75" customHeight="1">
      <c r="A731" s="274">
        <v>46123.005462962959</v>
      </c>
      <c r="B731" s="242" t="s">
        <v>4350</v>
      </c>
      <c r="C731" s="242"/>
      <c r="D731" s="242" t="s">
        <v>24</v>
      </c>
      <c r="E731" s="275">
        <v>35666</v>
      </c>
      <c r="F731" s="242" t="s">
        <v>346</v>
      </c>
      <c r="G731" s="242" t="s">
        <v>353</v>
      </c>
      <c r="H731" s="242" t="s">
        <v>1006</v>
      </c>
      <c r="I731" s="241" t="s">
        <v>4219</v>
      </c>
      <c r="J731" s="242" t="s">
        <v>3323</v>
      </c>
      <c r="K731" s="242" t="s">
        <v>29</v>
      </c>
      <c r="L731" s="242" t="s">
        <v>30</v>
      </c>
      <c r="M731" s="242"/>
      <c r="N731" s="242"/>
      <c r="O731" s="242"/>
      <c r="P731" s="242" t="s">
        <v>31</v>
      </c>
      <c r="Q731" s="314" t="s">
        <v>32</v>
      </c>
      <c r="R731" s="406" t="s">
        <v>33</v>
      </c>
      <c r="S731" s="408" t="s">
        <v>4351</v>
      </c>
      <c r="T731" s="402">
        <v>35666</v>
      </c>
      <c r="U731" s="400" t="s">
        <v>3323</v>
      </c>
      <c r="V731" s="486" t="s">
        <v>4352</v>
      </c>
      <c r="W731" s="474"/>
    </row>
    <row r="732" spans="1:23" ht="15.75" customHeight="1">
      <c r="A732" s="274">
        <v>46123.025682870371</v>
      </c>
      <c r="B732" s="242" t="s">
        <v>3326</v>
      </c>
      <c r="C732" s="242"/>
      <c r="D732" s="242" t="s">
        <v>24</v>
      </c>
      <c r="E732" s="275">
        <v>35424</v>
      </c>
      <c r="F732" s="242" t="s">
        <v>623</v>
      </c>
      <c r="G732" s="242" t="s">
        <v>3327</v>
      </c>
      <c r="H732" s="242" t="s">
        <v>1031</v>
      </c>
      <c r="I732" s="241" t="s">
        <v>4219</v>
      </c>
      <c r="J732" s="242" t="s">
        <v>3328</v>
      </c>
      <c r="K732" s="242" t="s">
        <v>39</v>
      </c>
      <c r="L732" s="242" t="s">
        <v>30</v>
      </c>
      <c r="M732" s="242" t="s">
        <v>3329</v>
      </c>
      <c r="N732" s="242"/>
      <c r="O732" s="242"/>
      <c r="P732" s="242" t="s">
        <v>31</v>
      </c>
      <c r="Q732" s="314" t="s">
        <v>32</v>
      </c>
      <c r="R732" s="406" t="s">
        <v>33</v>
      </c>
      <c r="S732" s="400" t="s">
        <v>3326</v>
      </c>
      <c r="T732" s="402">
        <v>35424</v>
      </c>
      <c r="U732" s="400" t="s">
        <v>3328</v>
      </c>
      <c r="V732" s="475" t="s">
        <v>3127</v>
      </c>
      <c r="W732" s="474"/>
    </row>
    <row r="733" spans="1:23" ht="15.75" customHeight="1">
      <c r="A733" s="274">
        <v>46123.239062499997</v>
      </c>
      <c r="B733" s="242" t="s">
        <v>3330</v>
      </c>
      <c r="C733" s="242"/>
      <c r="D733" s="242" t="s">
        <v>24</v>
      </c>
      <c r="E733" s="275">
        <v>37872</v>
      </c>
      <c r="F733" s="242" t="s">
        <v>475</v>
      </c>
      <c r="G733" s="242" t="s">
        <v>476</v>
      </c>
      <c r="H733" s="242" t="s">
        <v>138</v>
      </c>
      <c r="I733" s="241" t="s">
        <v>4219</v>
      </c>
      <c r="J733" s="242" t="s">
        <v>3331</v>
      </c>
      <c r="K733" s="242" t="s">
        <v>29</v>
      </c>
      <c r="L733" s="242" t="s">
        <v>30</v>
      </c>
      <c r="M733" s="242"/>
      <c r="N733" s="242"/>
      <c r="O733" s="242"/>
      <c r="P733" s="242" t="s">
        <v>31</v>
      </c>
      <c r="Q733" s="314" t="s">
        <v>32</v>
      </c>
      <c r="R733" s="401" t="s">
        <v>33</v>
      </c>
      <c r="S733" s="400" t="s">
        <v>3332</v>
      </c>
      <c r="T733" s="402">
        <v>37872</v>
      </c>
      <c r="U733" s="400" t="s">
        <v>3331</v>
      </c>
      <c r="V733" s="475" t="s">
        <v>3127</v>
      </c>
      <c r="W733" s="474"/>
    </row>
    <row r="734" spans="1:23" ht="15.75" customHeight="1">
      <c r="A734" s="274">
        <v>46123.275555555556</v>
      </c>
      <c r="B734" s="242" t="s">
        <v>3333</v>
      </c>
      <c r="C734" s="242"/>
      <c r="D734" s="242" t="s">
        <v>45</v>
      </c>
      <c r="E734" s="275">
        <v>20255</v>
      </c>
      <c r="F734" s="242" t="s">
        <v>623</v>
      </c>
      <c r="G734" s="242" t="s">
        <v>4353</v>
      </c>
      <c r="H734" s="242" t="s">
        <v>3335</v>
      </c>
      <c r="I734" s="241" t="s">
        <v>4219</v>
      </c>
      <c r="J734" s="242" t="s">
        <v>3336</v>
      </c>
      <c r="K734" s="242" t="s">
        <v>39</v>
      </c>
      <c r="L734" s="242" t="s">
        <v>152</v>
      </c>
      <c r="M734" s="242" t="s">
        <v>3337</v>
      </c>
      <c r="N734" s="242"/>
      <c r="O734" s="242"/>
      <c r="P734" s="242" t="s">
        <v>31</v>
      </c>
      <c r="Q734" s="314" t="s">
        <v>32</v>
      </c>
      <c r="R734" s="406" t="s">
        <v>33</v>
      </c>
      <c r="S734" s="400" t="s">
        <v>3333</v>
      </c>
      <c r="T734" s="402">
        <v>20255</v>
      </c>
      <c r="U734" s="400" t="s">
        <v>3336</v>
      </c>
      <c r="V734" s="475" t="s">
        <v>3127</v>
      </c>
      <c r="W734" s="474"/>
    </row>
    <row r="735" spans="1:23" ht="15.75" customHeight="1">
      <c r="A735" s="274">
        <v>46123.328287037039</v>
      </c>
      <c r="B735" s="242" t="s">
        <v>3338</v>
      </c>
      <c r="C735" s="242"/>
      <c r="D735" s="242" t="s">
        <v>24</v>
      </c>
      <c r="E735" s="275">
        <v>27492</v>
      </c>
      <c r="F735" s="242" t="s">
        <v>2066</v>
      </c>
      <c r="G735" s="242" t="s">
        <v>3339</v>
      </c>
      <c r="H735" s="242" t="s">
        <v>2219</v>
      </c>
      <c r="I735" s="241" t="s">
        <v>4237</v>
      </c>
      <c r="J735" s="242" t="s">
        <v>3340</v>
      </c>
      <c r="K735" s="242" t="s">
        <v>29</v>
      </c>
      <c r="L735" s="242" t="s">
        <v>30</v>
      </c>
      <c r="M735" s="242"/>
      <c r="N735" s="242"/>
      <c r="O735" s="242"/>
      <c r="P735" s="242" t="s">
        <v>31</v>
      </c>
      <c r="Q735" s="314" t="s">
        <v>32</v>
      </c>
      <c r="R735" s="401" t="s">
        <v>33</v>
      </c>
      <c r="S735" s="400" t="s">
        <v>3341</v>
      </c>
      <c r="T735" s="402">
        <v>27492</v>
      </c>
      <c r="U735" s="400" t="s">
        <v>3342</v>
      </c>
      <c r="V735" s="475" t="s">
        <v>3127</v>
      </c>
      <c r="W735" s="474"/>
    </row>
    <row r="736" spans="1:23" ht="15.75" customHeight="1">
      <c r="A736" s="379">
        <v>46123.394467592596</v>
      </c>
      <c r="B736" s="206" t="s">
        <v>3343</v>
      </c>
      <c r="C736" s="206"/>
      <c r="D736" s="206" t="s">
        <v>24</v>
      </c>
      <c r="E736" s="380">
        <v>20395</v>
      </c>
      <c r="F736" s="206" t="s">
        <v>623</v>
      </c>
      <c r="G736" s="206" t="s">
        <v>3344</v>
      </c>
      <c r="H736" s="206" t="s">
        <v>3344</v>
      </c>
      <c r="I736" s="252" t="s">
        <v>4219</v>
      </c>
      <c r="J736" s="206" t="s">
        <v>3345</v>
      </c>
      <c r="K736" s="206" t="s">
        <v>39</v>
      </c>
      <c r="L736" s="206" t="s">
        <v>30</v>
      </c>
      <c r="M736" s="206" t="s">
        <v>3346</v>
      </c>
      <c r="N736" s="206" t="s">
        <v>3347</v>
      </c>
      <c r="O736" s="206" t="s">
        <v>3348</v>
      </c>
      <c r="P736" s="206" t="s">
        <v>31</v>
      </c>
      <c r="Q736" s="369" t="s">
        <v>32</v>
      </c>
      <c r="R736" s="178"/>
      <c r="S736" s="409" t="s">
        <v>3343</v>
      </c>
      <c r="T736" s="410">
        <v>20395</v>
      </c>
      <c r="U736" s="409" t="s">
        <v>3345</v>
      </c>
      <c r="V736" s="476" t="s">
        <v>3127</v>
      </c>
      <c r="W736" s="474"/>
    </row>
    <row r="737" spans="1:23" ht="15.75" customHeight="1">
      <c r="A737" s="379">
        <v>46123.476631944446</v>
      </c>
      <c r="B737" s="473" t="s">
        <v>3349</v>
      </c>
      <c r="C737" s="474"/>
      <c r="D737" s="206" t="s">
        <v>24</v>
      </c>
      <c r="E737" s="380">
        <v>32314</v>
      </c>
      <c r="F737" s="206" t="s">
        <v>623</v>
      </c>
      <c r="G737" s="206" t="s">
        <v>3350</v>
      </c>
      <c r="H737" s="206" t="s">
        <v>3351</v>
      </c>
      <c r="I737" s="252" t="s">
        <v>4219</v>
      </c>
      <c r="J737" s="206" t="s">
        <v>3352</v>
      </c>
      <c r="K737" s="206" t="s">
        <v>29</v>
      </c>
      <c r="L737" s="206" t="s">
        <v>30</v>
      </c>
      <c r="M737" s="206"/>
      <c r="N737" s="206"/>
      <c r="O737" s="206"/>
      <c r="P737" s="206" t="s">
        <v>31</v>
      </c>
      <c r="Q737" s="369" t="s">
        <v>32</v>
      </c>
      <c r="R737" s="174" t="s">
        <v>33</v>
      </c>
      <c r="S737" s="409" t="s">
        <v>3353</v>
      </c>
      <c r="T737" s="410">
        <v>32314</v>
      </c>
      <c r="U737" s="409" t="s">
        <v>3352</v>
      </c>
      <c r="V737" s="476" t="s">
        <v>3127</v>
      </c>
      <c r="W737" s="474"/>
    </row>
    <row r="738" spans="1:23" ht="15.75" customHeight="1">
      <c r="A738" s="411">
        <v>46123.607291666667</v>
      </c>
      <c r="B738" s="412" t="s">
        <v>3354</v>
      </c>
      <c r="C738" s="412"/>
      <c r="D738" s="412" t="s">
        <v>24</v>
      </c>
      <c r="E738" s="413">
        <v>20428</v>
      </c>
      <c r="F738" s="412" t="s">
        <v>623</v>
      </c>
      <c r="G738" s="412" t="s">
        <v>3355</v>
      </c>
      <c r="H738" s="412" t="s">
        <v>3335</v>
      </c>
      <c r="I738" s="252" t="s">
        <v>4219</v>
      </c>
      <c r="J738" s="412" t="s">
        <v>3356</v>
      </c>
      <c r="K738" s="412" t="s">
        <v>39</v>
      </c>
      <c r="L738" s="412" t="s">
        <v>3108</v>
      </c>
      <c r="M738" s="412" t="s">
        <v>3357</v>
      </c>
      <c r="N738" s="412"/>
      <c r="O738" s="412"/>
      <c r="P738" s="412" t="s">
        <v>31</v>
      </c>
      <c r="Q738" s="323" t="s">
        <v>4207</v>
      </c>
      <c r="R738" s="414" t="s">
        <v>33</v>
      </c>
      <c r="S738" s="415" t="s">
        <v>3354</v>
      </c>
      <c r="T738" s="416"/>
      <c r="U738" s="416"/>
      <c r="V738" s="416" t="s">
        <v>4354</v>
      </c>
      <c r="W738" s="416"/>
    </row>
    <row r="739" spans="1:23" ht="15.75" customHeight="1">
      <c r="A739" s="274">
        <v>46123.730231481481</v>
      </c>
      <c r="B739" s="242" t="s">
        <v>4355</v>
      </c>
      <c r="C739" s="242" t="s">
        <v>4355</v>
      </c>
      <c r="D739" s="242" t="s">
        <v>24</v>
      </c>
      <c r="E739" s="275">
        <v>37472</v>
      </c>
      <c r="F739" s="242" t="s">
        <v>732</v>
      </c>
      <c r="G739" s="242" t="s">
        <v>3361</v>
      </c>
      <c r="H739" s="242" t="s">
        <v>138</v>
      </c>
      <c r="I739" s="241" t="s">
        <v>4219</v>
      </c>
      <c r="J739" s="242" t="s">
        <v>3363</v>
      </c>
      <c r="K739" s="242" t="s">
        <v>39</v>
      </c>
      <c r="L739" s="242" t="s">
        <v>30</v>
      </c>
      <c r="M739" s="242"/>
      <c r="N739" s="242"/>
      <c r="O739" s="242"/>
      <c r="P739" s="242" t="s">
        <v>31</v>
      </c>
      <c r="Q739" s="314" t="s">
        <v>32</v>
      </c>
      <c r="R739" s="406" t="s">
        <v>33</v>
      </c>
      <c r="S739" s="400" t="s">
        <v>3364</v>
      </c>
      <c r="T739" s="402">
        <v>37472</v>
      </c>
      <c r="U739" s="400" t="s">
        <v>3363</v>
      </c>
      <c r="V739" s="475" t="s">
        <v>3127</v>
      </c>
      <c r="W739" s="474"/>
    </row>
    <row r="740" spans="1:23" ht="15.75" customHeight="1">
      <c r="A740" s="274">
        <v>46125.07236111111</v>
      </c>
      <c r="B740" s="242" t="s">
        <v>3365</v>
      </c>
      <c r="C740" s="242"/>
      <c r="D740" s="242" t="s">
        <v>24</v>
      </c>
      <c r="E740" s="275">
        <v>35839</v>
      </c>
      <c r="F740" s="242" t="s">
        <v>1112</v>
      </c>
      <c r="G740" s="242" t="s">
        <v>3366</v>
      </c>
      <c r="H740" s="242" t="s">
        <v>66</v>
      </c>
      <c r="I740" s="241" t="s">
        <v>4223</v>
      </c>
      <c r="J740" s="242" t="s">
        <v>1964</v>
      </c>
      <c r="K740" s="242" t="s">
        <v>29</v>
      </c>
      <c r="L740" s="385">
        <v>46202</v>
      </c>
      <c r="M740" s="242"/>
      <c r="N740" s="242"/>
      <c r="O740" s="242"/>
      <c r="P740" s="242" t="s">
        <v>31</v>
      </c>
      <c r="Q740" s="314" t="s">
        <v>32</v>
      </c>
      <c r="R740" s="406" t="s">
        <v>33</v>
      </c>
      <c r="S740" s="400" t="s">
        <v>1965</v>
      </c>
      <c r="T740" s="402">
        <v>35839</v>
      </c>
      <c r="U740" s="400" t="s">
        <v>1966</v>
      </c>
      <c r="V740" s="475" t="s">
        <v>3367</v>
      </c>
      <c r="W740" s="474"/>
    </row>
    <row r="741" spans="1:23" ht="15.75" customHeight="1">
      <c r="A741" s="379">
        <v>46125.077291666668</v>
      </c>
      <c r="B741" s="206" t="s">
        <v>3368</v>
      </c>
      <c r="C741" s="206"/>
      <c r="D741" s="206" t="s">
        <v>45</v>
      </c>
      <c r="E741" s="380">
        <v>25709</v>
      </c>
      <c r="F741" s="206" t="s">
        <v>3369</v>
      </c>
      <c r="G741" s="206" t="s">
        <v>3370</v>
      </c>
      <c r="H741" s="206" t="s">
        <v>90</v>
      </c>
      <c r="I741" s="252" t="s">
        <v>4223</v>
      </c>
      <c r="J741" s="206" t="s">
        <v>3371</v>
      </c>
      <c r="K741" s="206" t="s">
        <v>29</v>
      </c>
      <c r="L741" s="206" t="s">
        <v>30</v>
      </c>
      <c r="M741" s="206" t="s">
        <v>3372</v>
      </c>
      <c r="N741" s="206"/>
      <c r="O741" s="206"/>
      <c r="P741" s="206" t="s">
        <v>31</v>
      </c>
      <c r="Q741" s="369" t="s">
        <v>32</v>
      </c>
      <c r="R741" s="174" t="s">
        <v>33</v>
      </c>
      <c r="S741" s="409" t="s">
        <v>3368</v>
      </c>
      <c r="T741" s="410">
        <v>25709</v>
      </c>
      <c r="U741" s="409" t="s">
        <v>3371</v>
      </c>
      <c r="V741" s="476" t="s">
        <v>3367</v>
      </c>
      <c r="W741" s="474"/>
    </row>
    <row r="742" spans="1:23" ht="15.75" customHeight="1">
      <c r="A742" s="274">
        <v>46125.094074074077</v>
      </c>
      <c r="B742" s="475" t="s">
        <v>3373</v>
      </c>
      <c r="C742" s="474"/>
      <c r="D742" s="242" t="s">
        <v>24</v>
      </c>
      <c r="E742" s="275">
        <v>26434</v>
      </c>
      <c r="F742" s="242" t="s">
        <v>3369</v>
      </c>
      <c r="G742" s="242" t="s">
        <v>3370</v>
      </c>
      <c r="H742" s="242" t="s">
        <v>1643</v>
      </c>
      <c r="I742" s="241" t="s">
        <v>4223</v>
      </c>
      <c r="J742" s="242" t="s">
        <v>3374</v>
      </c>
      <c r="K742" s="242" t="s">
        <v>29</v>
      </c>
      <c r="L742" s="242" t="s">
        <v>30</v>
      </c>
      <c r="M742" s="242" t="s">
        <v>3375</v>
      </c>
      <c r="N742" s="242"/>
      <c r="O742" s="242"/>
      <c r="P742" s="242" t="s">
        <v>31</v>
      </c>
      <c r="Q742" s="314" t="s">
        <v>32</v>
      </c>
      <c r="R742" s="406" t="s">
        <v>33</v>
      </c>
      <c r="S742" s="400" t="s">
        <v>3376</v>
      </c>
      <c r="T742" s="402">
        <v>26434</v>
      </c>
      <c r="U742" s="400" t="s">
        <v>3374</v>
      </c>
      <c r="V742" s="475" t="s">
        <v>3367</v>
      </c>
      <c r="W742" s="474"/>
    </row>
    <row r="743" spans="1:23" ht="14.25">
      <c r="A743" s="274">
        <v>46125.749490740738</v>
      </c>
      <c r="B743" s="242" t="s">
        <v>3377</v>
      </c>
      <c r="C743" s="242" t="s">
        <v>3378</v>
      </c>
      <c r="D743" s="242" t="s">
        <v>45</v>
      </c>
      <c r="E743" s="275">
        <v>35849</v>
      </c>
      <c r="F743" s="242" t="s">
        <v>1053</v>
      </c>
      <c r="G743" s="242" t="s">
        <v>3379</v>
      </c>
      <c r="H743" s="242" t="s">
        <v>2024</v>
      </c>
      <c r="I743" s="241" t="s">
        <v>4237</v>
      </c>
      <c r="J743" s="242" t="s">
        <v>3380</v>
      </c>
      <c r="K743" s="242" t="s">
        <v>39</v>
      </c>
      <c r="L743" s="242" t="s">
        <v>3381</v>
      </c>
      <c r="M743" s="242"/>
      <c r="N743" s="242"/>
      <c r="O743" s="242"/>
      <c r="P743" s="242" t="s">
        <v>31</v>
      </c>
      <c r="Q743" s="314" t="s">
        <v>32</v>
      </c>
      <c r="R743" s="245" t="s">
        <v>43</v>
      </c>
      <c r="S743" s="378" t="s">
        <v>3377</v>
      </c>
      <c r="T743" s="417">
        <v>35849</v>
      </c>
      <c r="U743" s="242"/>
      <c r="V743" s="378"/>
      <c r="W743" s="378"/>
    </row>
    <row r="744" spans="1:23" ht="14.25">
      <c r="A744" s="274">
        <v>46125.8984375</v>
      </c>
      <c r="B744" s="242" t="s">
        <v>3382</v>
      </c>
      <c r="C744" s="242" t="s">
        <v>3383</v>
      </c>
      <c r="D744" s="242" t="s">
        <v>45</v>
      </c>
      <c r="E744" s="275">
        <v>38579</v>
      </c>
      <c r="F744" s="242" t="s">
        <v>1063</v>
      </c>
      <c r="G744" s="242" t="s">
        <v>1093</v>
      </c>
      <c r="H744" s="242" t="s">
        <v>66</v>
      </c>
      <c r="I744" s="241" t="s">
        <v>4219</v>
      </c>
      <c r="J744" s="242" t="s">
        <v>3384</v>
      </c>
      <c r="K744" s="242" t="s">
        <v>29</v>
      </c>
      <c r="L744" s="242" t="s">
        <v>3385</v>
      </c>
      <c r="M744" s="242"/>
      <c r="N744" s="242"/>
      <c r="O744" s="242"/>
      <c r="P744" s="242" t="s">
        <v>31</v>
      </c>
      <c r="Q744" s="314" t="s">
        <v>32</v>
      </c>
      <c r="R744" s="248" t="s">
        <v>33</v>
      </c>
      <c r="S744" s="378" t="s">
        <v>3382</v>
      </c>
      <c r="T744" s="417">
        <v>38579</v>
      </c>
      <c r="U744" s="242"/>
      <c r="V744" s="378"/>
      <c r="W744" s="378"/>
    </row>
    <row r="745" spans="1:23" ht="14.25">
      <c r="A745" s="274">
        <v>46126.69840277778</v>
      </c>
      <c r="B745" s="242" t="s">
        <v>3386</v>
      </c>
      <c r="C745" s="242" t="s">
        <v>3386</v>
      </c>
      <c r="D745" s="242" t="s">
        <v>24</v>
      </c>
      <c r="E745" s="275">
        <v>31542</v>
      </c>
      <c r="F745" s="242" t="s">
        <v>406</v>
      </c>
      <c r="G745" s="242" t="s">
        <v>3387</v>
      </c>
      <c r="H745" s="242" t="s">
        <v>98</v>
      </c>
      <c r="I745" s="241" t="s">
        <v>4223</v>
      </c>
      <c r="J745" s="242" t="s">
        <v>3388</v>
      </c>
      <c r="K745" s="242" t="s">
        <v>29</v>
      </c>
      <c r="L745" s="242" t="s">
        <v>30</v>
      </c>
      <c r="M745" s="242"/>
      <c r="N745" s="242"/>
      <c r="O745" s="242"/>
      <c r="P745" s="242" t="s">
        <v>31</v>
      </c>
      <c r="Q745" s="314" t="s">
        <v>32</v>
      </c>
      <c r="R745" s="248" t="s">
        <v>33</v>
      </c>
      <c r="S745" s="378" t="s">
        <v>3386</v>
      </c>
      <c r="T745" s="417">
        <v>31542</v>
      </c>
      <c r="U745" s="242"/>
      <c r="V745" s="378"/>
      <c r="W745" s="378"/>
    </row>
    <row r="746" spans="1:23" ht="14.25">
      <c r="A746" s="379">
        <v>46127.693692129629</v>
      </c>
      <c r="B746" s="206" t="s">
        <v>3389</v>
      </c>
      <c r="C746" s="206"/>
      <c r="D746" s="206" t="s">
        <v>24</v>
      </c>
      <c r="E746" s="380">
        <v>28965</v>
      </c>
      <c r="F746" s="206" t="s">
        <v>2556</v>
      </c>
      <c r="G746" s="206" t="s">
        <v>209</v>
      </c>
      <c r="H746" s="206" t="s">
        <v>3391</v>
      </c>
      <c r="I746" s="252" t="s">
        <v>4219</v>
      </c>
      <c r="J746" s="206" t="s">
        <v>3392</v>
      </c>
      <c r="K746" s="206" t="s">
        <v>39</v>
      </c>
      <c r="L746" s="206" t="s">
        <v>152</v>
      </c>
      <c r="M746" s="206"/>
      <c r="N746" s="206"/>
      <c r="O746" s="206"/>
      <c r="P746" s="206" t="s">
        <v>31</v>
      </c>
      <c r="Q746" s="369" t="s">
        <v>32</v>
      </c>
      <c r="R746" s="152" t="s">
        <v>33</v>
      </c>
      <c r="S746" s="418" t="s">
        <v>3389</v>
      </c>
      <c r="T746" s="419">
        <v>28965</v>
      </c>
      <c r="U746" s="206"/>
      <c r="V746" s="418"/>
      <c r="W746" s="418"/>
    </row>
    <row r="747" spans="1:23" ht="14.25">
      <c r="A747" s="379">
        <v>46127.925462962965</v>
      </c>
      <c r="B747" s="206" t="s">
        <v>3393</v>
      </c>
      <c r="C747" s="206" t="s">
        <v>3394</v>
      </c>
      <c r="D747" s="206" t="s">
        <v>24</v>
      </c>
      <c r="E747" s="380">
        <v>32870</v>
      </c>
      <c r="F747" s="206" t="s">
        <v>198</v>
      </c>
      <c r="G747" s="206" t="s">
        <v>3395</v>
      </c>
      <c r="H747" s="206" t="s">
        <v>111</v>
      </c>
      <c r="I747" s="252" t="s">
        <v>4219</v>
      </c>
      <c r="J747" s="206" t="s">
        <v>3396</v>
      </c>
      <c r="K747" s="206" t="s">
        <v>29</v>
      </c>
      <c r="L747" s="206" t="s">
        <v>30</v>
      </c>
      <c r="M747" s="206"/>
      <c r="N747" s="206"/>
      <c r="O747" s="206"/>
      <c r="P747" s="206" t="s">
        <v>31</v>
      </c>
      <c r="Q747" s="323" t="s">
        <v>56</v>
      </c>
      <c r="R747" s="24"/>
      <c r="S747" s="418"/>
      <c r="T747" s="418"/>
      <c r="U747" s="206"/>
      <c r="V747" s="418"/>
      <c r="W747" s="418"/>
    </row>
    <row r="748" spans="1:23" ht="14.25">
      <c r="A748" s="274">
        <v>46128.350532407407</v>
      </c>
      <c r="B748" s="242" t="s">
        <v>3397</v>
      </c>
      <c r="C748" s="242"/>
      <c r="D748" s="242" t="s">
        <v>45</v>
      </c>
      <c r="E748" s="275">
        <v>27853</v>
      </c>
      <c r="F748" s="242" t="s">
        <v>227</v>
      </c>
      <c r="G748" s="242" t="s">
        <v>360</v>
      </c>
      <c r="H748" s="242" t="s">
        <v>3398</v>
      </c>
      <c r="I748" s="241" t="s">
        <v>4219</v>
      </c>
      <c r="J748" s="242" t="s">
        <v>3399</v>
      </c>
      <c r="K748" s="242" t="s">
        <v>29</v>
      </c>
      <c r="L748" s="242" t="s">
        <v>162</v>
      </c>
      <c r="M748" s="242"/>
      <c r="N748" s="242"/>
      <c r="O748" s="242"/>
      <c r="P748" s="242" t="s">
        <v>31</v>
      </c>
      <c r="Q748" s="314" t="s">
        <v>32</v>
      </c>
      <c r="R748" s="248" t="s">
        <v>33</v>
      </c>
      <c r="S748" s="378" t="s">
        <v>3397</v>
      </c>
      <c r="T748" s="417">
        <v>27853</v>
      </c>
      <c r="U748" s="242"/>
      <c r="V748" s="378"/>
      <c r="W748" s="378"/>
    </row>
    <row r="749" spans="1:23" ht="14.25">
      <c r="A749" s="393">
        <v>46128.909375000003</v>
      </c>
      <c r="B749" s="394" t="s">
        <v>3400</v>
      </c>
      <c r="C749" s="394" t="s">
        <v>3401</v>
      </c>
      <c r="D749" s="394" t="s">
        <v>24</v>
      </c>
      <c r="E749" s="395">
        <v>36243</v>
      </c>
      <c r="F749" s="394" t="s">
        <v>1063</v>
      </c>
      <c r="G749" s="394" t="s">
        <v>3402</v>
      </c>
      <c r="H749" s="394" t="s">
        <v>305</v>
      </c>
      <c r="I749" s="241" t="s">
        <v>4219</v>
      </c>
      <c r="J749" s="394" t="s">
        <v>3403</v>
      </c>
      <c r="K749" s="394" t="s">
        <v>39</v>
      </c>
      <c r="L749" s="394" t="s">
        <v>30</v>
      </c>
      <c r="M749" s="394"/>
      <c r="N749" s="394"/>
      <c r="O749" s="242"/>
      <c r="P749" s="394" t="s">
        <v>31</v>
      </c>
      <c r="Q749" s="314" t="s">
        <v>32</v>
      </c>
      <c r="R749" s="246" t="s">
        <v>43</v>
      </c>
      <c r="S749" s="378" t="s">
        <v>3400</v>
      </c>
      <c r="T749" s="378"/>
      <c r="U749" s="242"/>
      <c r="V749" s="378"/>
      <c r="W749" s="378"/>
    </row>
    <row r="750" spans="1:23" ht="14.25">
      <c r="A750" s="274">
        <v>46129.013159722221</v>
      </c>
      <c r="B750" s="242" t="s">
        <v>3404</v>
      </c>
      <c r="C750" s="242"/>
      <c r="D750" s="242" t="s">
        <v>24</v>
      </c>
      <c r="E750" s="275">
        <v>32759</v>
      </c>
      <c r="F750" s="242" t="s">
        <v>1983</v>
      </c>
      <c r="G750" s="242" t="s">
        <v>209</v>
      </c>
      <c r="H750" s="242" t="s">
        <v>3405</v>
      </c>
      <c r="I750" s="241" t="s">
        <v>4237</v>
      </c>
      <c r="J750" s="242" t="s">
        <v>3406</v>
      </c>
      <c r="K750" s="242" t="s">
        <v>29</v>
      </c>
      <c r="L750" s="242" t="s">
        <v>162</v>
      </c>
      <c r="M750" s="242"/>
      <c r="N750" s="242"/>
      <c r="O750" s="242"/>
      <c r="P750" s="242" t="s">
        <v>31</v>
      </c>
      <c r="Q750" s="314" t="s">
        <v>32</v>
      </c>
      <c r="R750" s="245" t="s">
        <v>43</v>
      </c>
      <c r="S750" s="378" t="s">
        <v>3404</v>
      </c>
      <c r="T750" s="417">
        <v>32759</v>
      </c>
      <c r="U750" s="242"/>
      <c r="V750" s="378"/>
      <c r="W750" s="378"/>
    </row>
    <row r="751" spans="1:23" ht="14.25">
      <c r="A751" s="379">
        <v>46129.577870370369</v>
      </c>
      <c r="B751" s="206" t="s">
        <v>3407</v>
      </c>
      <c r="C751" s="206"/>
      <c r="D751" s="206" t="s">
        <v>24</v>
      </c>
      <c r="E751" s="380">
        <v>33415</v>
      </c>
      <c r="F751" s="206" t="s">
        <v>2378</v>
      </c>
      <c r="G751" s="206" t="s">
        <v>3408</v>
      </c>
      <c r="H751" s="206" t="s">
        <v>3409</v>
      </c>
      <c r="I751" s="252" t="s">
        <v>4219</v>
      </c>
      <c r="J751" s="206" t="s">
        <v>3410</v>
      </c>
      <c r="K751" s="206" t="s">
        <v>29</v>
      </c>
      <c r="L751" s="206" t="s">
        <v>30</v>
      </c>
      <c r="M751" s="206" t="s">
        <v>3411</v>
      </c>
      <c r="N751" s="206"/>
      <c r="O751" s="206"/>
      <c r="P751" s="206" t="s">
        <v>31</v>
      </c>
      <c r="Q751" s="369" t="s">
        <v>32</v>
      </c>
      <c r="R751" s="148"/>
      <c r="S751" s="418" t="s">
        <v>3407</v>
      </c>
      <c r="T751" s="419">
        <v>33415</v>
      </c>
      <c r="U751" s="206"/>
      <c r="V751" s="418"/>
      <c r="W751" s="418"/>
    </row>
    <row r="752" spans="1:23" ht="14.25">
      <c r="A752" s="274">
        <v>46130.361666666664</v>
      </c>
      <c r="B752" s="242" t="s">
        <v>3412</v>
      </c>
      <c r="C752" s="242"/>
      <c r="D752" s="242" t="s">
        <v>45</v>
      </c>
      <c r="E752" s="275">
        <v>30778</v>
      </c>
      <c r="F752" s="242" t="s">
        <v>1179</v>
      </c>
      <c r="G752" s="242" t="s">
        <v>3413</v>
      </c>
      <c r="H752" s="242" t="s">
        <v>3414</v>
      </c>
      <c r="I752" s="241" t="s">
        <v>4237</v>
      </c>
      <c r="J752" s="242" t="s">
        <v>3415</v>
      </c>
      <c r="K752" s="242" t="s">
        <v>29</v>
      </c>
      <c r="L752" s="242" t="s">
        <v>30</v>
      </c>
      <c r="M752" s="242"/>
      <c r="N752" s="242"/>
      <c r="O752" s="242"/>
      <c r="P752" s="242" t="s">
        <v>31</v>
      </c>
      <c r="Q752" s="314" t="s">
        <v>32</v>
      </c>
      <c r="R752" s="420" t="s">
        <v>33</v>
      </c>
      <c r="S752" s="378" t="s">
        <v>4356</v>
      </c>
      <c r="T752" s="421" t="s">
        <v>3417</v>
      </c>
      <c r="U752" s="475" t="s">
        <v>3415</v>
      </c>
      <c r="V752" s="474"/>
      <c r="W752" s="378"/>
    </row>
    <row r="753" spans="1:23" ht="14.25">
      <c r="A753" s="274">
        <v>46130.380659722221</v>
      </c>
      <c r="B753" s="242" t="s">
        <v>3418</v>
      </c>
      <c r="C753" s="242"/>
      <c r="D753" s="242" t="s">
        <v>24</v>
      </c>
      <c r="E753" s="275">
        <v>32320</v>
      </c>
      <c r="F753" s="242" t="s">
        <v>3419</v>
      </c>
      <c r="G753" s="242" t="s">
        <v>3420</v>
      </c>
      <c r="H753" s="242" t="s">
        <v>4357</v>
      </c>
      <c r="I753" s="241" t="s">
        <v>4219</v>
      </c>
      <c r="J753" s="242" t="s">
        <v>3422</v>
      </c>
      <c r="K753" s="242" t="s">
        <v>29</v>
      </c>
      <c r="L753" s="242" t="s">
        <v>30</v>
      </c>
      <c r="M753" s="242"/>
      <c r="N753" s="242"/>
      <c r="O753" s="242"/>
      <c r="P753" s="242" t="s">
        <v>31</v>
      </c>
      <c r="Q753" s="314" t="s">
        <v>32</v>
      </c>
      <c r="R753" s="248" t="s">
        <v>33</v>
      </c>
      <c r="S753" s="378" t="s">
        <v>3418</v>
      </c>
      <c r="T753" s="417">
        <v>32320</v>
      </c>
      <c r="U753" s="242"/>
      <c r="V753" s="378"/>
      <c r="W753" s="378"/>
    </row>
    <row r="754" spans="1:23" ht="14.25">
      <c r="A754" s="396">
        <v>46130.729930555557</v>
      </c>
      <c r="B754" s="397" t="s">
        <v>4358</v>
      </c>
      <c r="C754" s="315"/>
      <c r="D754" s="397" t="s">
        <v>45</v>
      </c>
      <c r="E754" s="398">
        <v>34905</v>
      </c>
      <c r="F754" s="397" t="s">
        <v>3040</v>
      </c>
      <c r="G754" s="397" t="s">
        <v>4359</v>
      </c>
      <c r="H754" s="397" t="s">
        <v>111</v>
      </c>
      <c r="I754" s="241" t="s">
        <v>4237</v>
      </c>
      <c r="J754" s="397" t="s">
        <v>3425</v>
      </c>
      <c r="K754" s="397" t="s">
        <v>29</v>
      </c>
      <c r="L754" s="397" t="s">
        <v>30</v>
      </c>
      <c r="M754" s="397"/>
      <c r="N754" s="397"/>
      <c r="O754" s="399"/>
      <c r="P754" s="397" t="s">
        <v>31</v>
      </c>
      <c r="Q754" s="314" t="s">
        <v>32</v>
      </c>
      <c r="R754" s="246" t="s">
        <v>43</v>
      </c>
      <c r="S754" s="378" t="s">
        <v>4360</v>
      </c>
      <c r="T754" s="378"/>
      <c r="U754" s="242"/>
      <c r="V754" s="378"/>
      <c r="W754" s="378"/>
    </row>
    <row r="755" spans="1:23" ht="14.25">
      <c r="A755" s="422">
        <v>46131.128784722219</v>
      </c>
      <c r="B755" s="423" t="s">
        <v>62</v>
      </c>
      <c r="C755" s="424"/>
      <c r="D755" s="423" t="s">
        <v>24</v>
      </c>
      <c r="E755" s="425">
        <v>36458</v>
      </c>
      <c r="F755" s="423" t="s">
        <v>58</v>
      </c>
      <c r="G755" s="423" t="s">
        <v>4361</v>
      </c>
      <c r="H755" s="423" t="s">
        <v>90</v>
      </c>
      <c r="I755" s="252" t="s">
        <v>4219</v>
      </c>
      <c r="J755" s="426" t="s">
        <v>61</v>
      </c>
      <c r="K755" s="423" t="s">
        <v>29</v>
      </c>
      <c r="L755" s="423" t="s">
        <v>30</v>
      </c>
      <c r="M755" s="423"/>
      <c r="N755" s="423"/>
      <c r="O755" s="424"/>
      <c r="P755" s="423" t="s">
        <v>31</v>
      </c>
      <c r="Q755" s="369" t="s">
        <v>32</v>
      </c>
      <c r="R755" s="24" t="s">
        <v>33</v>
      </c>
      <c r="S755" s="427" t="s">
        <v>62</v>
      </c>
      <c r="T755" s="427"/>
      <c r="U755" s="276"/>
      <c r="V755" s="427"/>
      <c r="W755" s="427"/>
    </row>
    <row r="756" spans="1:23" ht="14.25">
      <c r="A756" s="274">
        <v>46131.262187499997</v>
      </c>
      <c r="B756" s="242" t="s">
        <v>3428</v>
      </c>
      <c r="C756" s="242"/>
      <c r="D756" s="242" t="s">
        <v>45</v>
      </c>
      <c r="E756" s="275">
        <v>27983</v>
      </c>
      <c r="F756" s="242" t="s">
        <v>46</v>
      </c>
      <c r="G756" s="242" t="s">
        <v>3429</v>
      </c>
      <c r="H756" s="242" t="s">
        <v>933</v>
      </c>
      <c r="I756" s="241" t="s">
        <v>4223</v>
      </c>
      <c r="J756" s="242" t="s">
        <v>3430</v>
      </c>
      <c r="K756" s="242" t="s">
        <v>29</v>
      </c>
      <c r="L756" s="242" t="s">
        <v>162</v>
      </c>
      <c r="M756" s="242"/>
      <c r="N756" s="242"/>
      <c r="O756" s="242"/>
      <c r="P756" s="242" t="s">
        <v>31</v>
      </c>
      <c r="Q756" s="314" t="s">
        <v>32</v>
      </c>
      <c r="R756" s="248" t="s">
        <v>43</v>
      </c>
      <c r="S756" s="378" t="s">
        <v>3428</v>
      </c>
      <c r="T756" s="417">
        <v>28072</v>
      </c>
      <c r="U756" s="242"/>
      <c r="V756" s="378"/>
      <c r="W756" s="378"/>
    </row>
    <row r="757" spans="1:23" ht="14.25">
      <c r="A757" s="379">
        <v>46131.529074074075</v>
      </c>
      <c r="B757" s="473" t="s">
        <v>3431</v>
      </c>
      <c r="C757" s="474"/>
      <c r="D757" s="206" t="s">
        <v>24</v>
      </c>
      <c r="E757" s="380">
        <v>23682</v>
      </c>
      <c r="F757" s="206" t="s">
        <v>198</v>
      </c>
      <c r="G757" s="206" t="s">
        <v>3432</v>
      </c>
      <c r="H757" s="206" t="s">
        <v>3433</v>
      </c>
      <c r="I757" s="252" t="s">
        <v>4219</v>
      </c>
      <c r="J757" s="206" t="s">
        <v>3434</v>
      </c>
      <c r="K757" s="206" t="s">
        <v>29</v>
      </c>
      <c r="L757" s="206" t="s">
        <v>30</v>
      </c>
      <c r="M757" s="206"/>
      <c r="N757" s="206"/>
      <c r="O757" s="206"/>
      <c r="P757" s="206" t="s">
        <v>31</v>
      </c>
      <c r="Q757" s="369" t="s">
        <v>32</v>
      </c>
      <c r="R757" s="152"/>
      <c r="S757" s="418" t="s">
        <v>3431</v>
      </c>
      <c r="T757" s="419">
        <v>23682</v>
      </c>
      <c r="U757" s="206"/>
      <c r="V757" s="418"/>
      <c r="W757" s="418"/>
    </row>
    <row r="758" spans="1:23" ht="14.25">
      <c r="A758" s="274">
        <v>46131.571736111109</v>
      </c>
      <c r="B758" s="242" t="s">
        <v>3435</v>
      </c>
      <c r="C758" s="242" t="s">
        <v>3435</v>
      </c>
      <c r="D758" s="242" t="s">
        <v>45</v>
      </c>
      <c r="E758" s="275">
        <v>20526</v>
      </c>
      <c r="F758" s="242" t="s">
        <v>332</v>
      </c>
      <c r="G758" s="242" t="s">
        <v>3436</v>
      </c>
      <c r="H758" s="242" t="s">
        <v>3437</v>
      </c>
      <c r="I758" s="241" t="s">
        <v>4237</v>
      </c>
      <c r="J758" s="242" t="s">
        <v>3438</v>
      </c>
      <c r="K758" s="242" t="s">
        <v>29</v>
      </c>
      <c r="L758" s="242" t="s">
        <v>30</v>
      </c>
      <c r="M758" s="242" t="s">
        <v>3439</v>
      </c>
      <c r="N758" s="242"/>
      <c r="O758" s="242"/>
      <c r="P758" s="242" t="s">
        <v>31</v>
      </c>
      <c r="Q758" s="314" t="s">
        <v>32</v>
      </c>
      <c r="R758" s="428" t="s">
        <v>43</v>
      </c>
      <c r="S758" s="378" t="s">
        <v>4362</v>
      </c>
      <c r="T758" s="421" t="s">
        <v>3441</v>
      </c>
      <c r="U758" s="487" t="s">
        <v>3442</v>
      </c>
      <c r="V758" s="474"/>
      <c r="W758" s="242"/>
    </row>
    <row r="759" spans="1:23" ht="14.25">
      <c r="A759" s="274">
        <v>46131.573182870372</v>
      </c>
      <c r="B759" s="242" t="s">
        <v>3443</v>
      </c>
      <c r="C759" s="242"/>
      <c r="D759" s="242" t="s">
        <v>24</v>
      </c>
      <c r="E759" s="275">
        <v>19760</v>
      </c>
      <c r="F759" s="242" t="s">
        <v>332</v>
      </c>
      <c r="G759" s="242" t="s">
        <v>3436</v>
      </c>
      <c r="H759" s="242" t="s">
        <v>3437</v>
      </c>
      <c r="I759" s="241" t="s">
        <v>4237</v>
      </c>
      <c r="J759" s="242" t="s">
        <v>3438</v>
      </c>
      <c r="K759" s="242" t="s">
        <v>29</v>
      </c>
      <c r="L759" s="242" t="s">
        <v>30</v>
      </c>
      <c r="M759" s="242" t="s">
        <v>3444</v>
      </c>
      <c r="N759" s="242"/>
      <c r="O759" s="242"/>
      <c r="P759" s="242" t="s">
        <v>31</v>
      </c>
      <c r="Q759" s="314" t="s">
        <v>32</v>
      </c>
      <c r="R759" s="429" t="s">
        <v>43</v>
      </c>
      <c r="S759" s="378" t="s">
        <v>4363</v>
      </c>
      <c r="T759" s="421" t="s">
        <v>3446</v>
      </c>
      <c r="U759" s="487" t="s">
        <v>3447</v>
      </c>
      <c r="V759" s="474"/>
      <c r="W759" s="242"/>
    </row>
    <row r="760" spans="1:23" ht="12.75">
      <c r="A760" s="379">
        <v>46131.885914351849</v>
      </c>
      <c r="B760" s="206" t="s">
        <v>3448</v>
      </c>
      <c r="C760" s="206"/>
      <c r="D760" s="206" t="s">
        <v>45</v>
      </c>
      <c r="E760" s="380">
        <v>37582</v>
      </c>
      <c r="F760" s="206" t="s">
        <v>208</v>
      </c>
      <c r="G760" s="206" t="s">
        <v>2310</v>
      </c>
      <c r="H760" s="206" t="s">
        <v>3449</v>
      </c>
      <c r="I760" s="252" t="s">
        <v>4223</v>
      </c>
      <c r="J760" s="206" t="s">
        <v>3450</v>
      </c>
      <c r="K760" s="206" t="s">
        <v>29</v>
      </c>
      <c r="L760" s="206" t="s">
        <v>30</v>
      </c>
      <c r="M760" s="206"/>
      <c r="N760" s="206"/>
      <c r="O760" s="206"/>
      <c r="P760" s="206" t="s">
        <v>31</v>
      </c>
      <c r="Q760" s="369" t="s">
        <v>32</v>
      </c>
      <c r="R760" s="141"/>
      <c r="S760" s="206" t="s">
        <v>3451</v>
      </c>
      <c r="T760" s="380">
        <v>37582</v>
      </c>
      <c r="U760" s="206" t="s">
        <v>3450</v>
      </c>
      <c r="V760" s="206"/>
      <c r="W760" s="206"/>
    </row>
    <row r="761" spans="1:23" ht="12.75">
      <c r="A761" s="379">
        <v>46132.212685185186</v>
      </c>
      <c r="B761" s="206" t="s">
        <v>3457</v>
      </c>
      <c r="C761" s="206"/>
      <c r="D761" s="206" t="s">
        <v>24</v>
      </c>
      <c r="E761" s="380">
        <v>32069</v>
      </c>
      <c r="F761" s="206" t="s">
        <v>3453</v>
      </c>
      <c r="G761" s="206" t="s">
        <v>3454</v>
      </c>
      <c r="H761" s="206" t="s">
        <v>247</v>
      </c>
      <c r="I761" s="252" t="s">
        <v>4223</v>
      </c>
      <c r="J761" s="206" t="s">
        <v>3456</v>
      </c>
      <c r="K761" s="206" t="s">
        <v>29</v>
      </c>
      <c r="L761" s="206" t="s">
        <v>30</v>
      </c>
      <c r="M761" s="206"/>
      <c r="N761" s="206"/>
      <c r="O761" s="206"/>
      <c r="P761" s="206" t="s">
        <v>31</v>
      </c>
      <c r="Q761" s="369" t="s">
        <v>32</v>
      </c>
      <c r="R761" s="141"/>
      <c r="S761" s="206" t="s">
        <v>3457</v>
      </c>
      <c r="T761" s="206"/>
      <c r="U761" s="473" t="s">
        <v>3456</v>
      </c>
      <c r="V761" s="474"/>
      <c r="W761" s="206"/>
    </row>
    <row r="762" spans="1:23" ht="12.75">
      <c r="A762" s="379">
        <v>46133.77238425926</v>
      </c>
      <c r="B762" s="206" t="s">
        <v>4364</v>
      </c>
      <c r="C762" s="206"/>
      <c r="D762" s="206" t="s">
        <v>24</v>
      </c>
      <c r="E762" s="380">
        <v>37841</v>
      </c>
      <c r="F762" s="206" t="s">
        <v>64</v>
      </c>
      <c r="G762" s="206" t="s">
        <v>4365</v>
      </c>
      <c r="H762" s="206" t="s">
        <v>461</v>
      </c>
      <c r="I762" s="252" t="s">
        <v>4219</v>
      </c>
      <c r="J762" s="206" t="s">
        <v>3461</v>
      </c>
      <c r="K762" s="206" t="s">
        <v>29</v>
      </c>
      <c r="L762" s="381">
        <v>46203</v>
      </c>
      <c r="M762" s="206"/>
      <c r="N762" s="206"/>
      <c r="O762" s="206"/>
      <c r="P762" s="206" t="s">
        <v>31</v>
      </c>
      <c r="Q762" s="369" t="s">
        <v>32</v>
      </c>
      <c r="R762" s="141"/>
      <c r="S762" s="206" t="s">
        <v>3462</v>
      </c>
      <c r="T762" s="206"/>
      <c r="U762" s="206" t="s">
        <v>3461</v>
      </c>
      <c r="V762" s="206"/>
      <c r="W762" s="206"/>
    </row>
    <row r="763" spans="1:23" ht="12.75">
      <c r="A763" s="379">
        <v>46135.958344907405</v>
      </c>
      <c r="B763" s="206" t="s">
        <v>4366</v>
      </c>
      <c r="C763" s="206"/>
      <c r="D763" s="206" t="s">
        <v>24</v>
      </c>
      <c r="E763" s="380">
        <v>33887</v>
      </c>
      <c r="F763" s="206" t="s">
        <v>3464</v>
      </c>
      <c r="G763" s="206" t="s">
        <v>3465</v>
      </c>
      <c r="H763" s="206" t="s">
        <v>2778</v>
      </c>
      <c r="I763" s="252" t="s">
        <v>4223</v>
      </c>
      <c r="J763" s="206" t="s">
        <v>3466</v>
      </c>
      <c r="K763" s="206" t="s">
        <v>29</v>
      </c>
      <c r="L763" s="206" t="s">
        <v>241</v>
      </c>
      <c r="M763" s="206"/>
      <c r="N763" s="206"/>
      <c r="O763" s="206"/>
      <c r="P763" s="206" t="s">
        <v>31</v>
      </c>
      <c r="Q763" s="323" t="s">
        <v>3467</v>
      </c>
      <c r="R763" s="141"/>
      <c r="S763" s="206"/>
      <c r="T763" s="206"/>
      <c r="U763" s="206"/>
      <c r="V763" s="206"/>
      <c r="W763" s="206"/>
    </row>
    <row r="764" spans="1:23" ht="12.75">
      <c r="A764" s="274">
        <v>46136.529386574075</v>
      </c>
      <c r="B764" s="242" t="s">
        <v>3468</v>
      </c>
      <c r="C764" s="242" t="s">
        <v>871</v>
      </c>
      <c r="D764" s="242" t="s">
        <v>24</v>
      </c>
      <c r="E764" s="275">
        <v>31597</v>
      </c>
      <c r="F764" s="242" t="s">
        <v>3469</v>
      </c>
      <c r="G764" s="242" t="s">
        <v>3470</v>
      </c>
      <c r="H764" s="242" t="s">
        <v>111</v>
      </c>
      <c r="I764" s="241" t="s">
        <v>4219</v>
      </c>
      <c r="J764" s="242" t="s">
        <v>4367</v>
      </c>
      <c r="K764" s="242" t="s">
        <v>29</v>
      </c>
      <c r="L764" s="242" t="s">
        <v>30</v>
      </c>
      <c r="M764" s="242" t="s">
        <v>3472</v>
      </c>
      <c r="N764" s="242" t="s">
        <v>4368</v>
      </c>
      <c r="O764" s="242" t="s">
        <v>3474</v>
      </c>
      <c r="P764" s="242" t="s">
        <v>31</v>
      </c>
      <c r="Q764" s="314" t="s">
        <v>32</v>
      </c>
      <c r="R764" s="242" t="s">
        <v>43</v>
      </c>
      <c r="S764" s="242"/>
      <c r="T764" s="242"/>
      <c r="U764" s="242"/>
      <c r="V764" s="242"/>
      <c r="W764" s="242"/>
    </row>
    <row r="765" spans="1:23" ht="12.75">
      <c r="A765" s="274">
        <v>46136.645844907405</v>
      </c>
      <c r="B765" s="242" t="s">
        <v>3475</v>
      </c>
      <c r="C765" s="242" t="s">
        <v>3476</v>
      </c>
      <c r="D765" s="242" t="s">
        <v>24</v>
      </c>
      <c r="E765" s="275">
        <v>36719</v>
      </c>
      <c r="F765" s="242" t="s">
        <v>1053</v>
      </c>
      <c r="G765" s="242" t="s">
        <v>3477</v>
      </c>
      <c r="H765" s="242" t="s">
        <v>2606</v>
      </c>
      <c r="I765" s="241" t="s">
        <v>4237</v>
      </c>
      <c r="J765" s="242" t="s">
        <v>3478</v>
      </c>
      <c r="K765" s="242" t="s">
        <v>39</v>
      </c>
      <c r="L765" s="242" t="s">
        <v>621</v>
      </c>
      <c r="M765" s="242"/>
      <c r="N765" s="242"/>
      <c r="O765" s="242"/>
      <c r="P765" s="242" t="s">
        <v>31</v>
      </c>
      <c r="Q765" s="314" t="s">
        <v>32</v>
      </c>
      <c r="R765" s="242" t="s">
        <v>43</v>
      </c>
      <c r="S765" s="242" t="s">
        <v>3475</v>
      </c>
      <c r="T765" s="242"/>
      <c r="U765" s="242" t="s">
        <v>3478</v>
      </c>
      <c r="V765" s="242"/>
      <c r="W765" s="242"/>
    </row>
    <row r="766" spans="1:23" ht="12.75">
      <c r="A766" s="379">
        <v>46137.516122685185</v>
      </c>
      <c r="B766" s="206" t="s">
        <v>3479</v>
      </c>
      <c r="C766" s="206"/>
      <c r="D766" s="206" t="s">
        <v>24</v>
      </c>
      <c r="E766" s="380">
        <v>23489</v>
      </c>
      <c r="F766" s="206" t="s">
        <v>623</v>
      </c>
      <c r="G766" s="206" t="s">
        <v>3480</v>
      </c>
      <c r="H766" s="206" t="s">
        <v>1667</v>
      </c>
      <c r="I766" s="252" t="s">
        <v>4219</v>
      </c>
      <c r="J766" s="206" t="s">
        <v>3481</v>
      </c>
      <c r="K766" s="206" t="s">
        <v>29</v>
      </c>
      <c r="L766" s="206" t="s">
        <v>30</v>
      </c>
      <c r="M766" s="206"/>
      <c r="N766" s="206"/>
      <c r="O766" s="206"/>
      <c r="P766" s="206" t="s">
        <v>31</v>
      </c>
      <c r="Q766" s="369" t="s">
        <v>32</v>
      </c>
      <c r="R766" s="141"/>
      <c r="S766" s="206"/>
      <c r="T766" s="206"/>
      <c r="U766" s="206"/>
      <c r="V766" s="206"/>
      <c r="W766" s="206"/>
    </row>
    <row r="767" spans="1:23" ht="12.75">
      <c r="A767" s="274">
        <v>46137.665370370371</v>
      </c>
      <c r="B767" s="242" t="s">
        <v>4094</v>
      </c>
      <c r="C767" s="242" t="s">
        <v>3483</v>
      </c>
      <c r="D767" s="242" t="s">
        <v>24</v>
      </c>
      <c r="E767" s="275">
        <v>36420</v>
      </c>
      <c r="F767" s="242" t="s">
        <v>1053</v>
      </c>
      <c r="G767" s="242" t="s">
        <v>3484</v>
      </c>
      <c r="H767" s="242" t="s">
        <v>1031</v>
      </c>
      <c r="I767" s="241" t="s">
        <v>4237</v>
      </c>
      <c r="J767" s="242" t="s">
        <v>3485</v>
      </c>
      <c r="K767" s="242" t="s">
        <v>39</v>
      </c>
      <c r="L767" s="242" t="s">
        <v>621</v>
      </c>
      <c r="M767" s="242"/>
      <c r="N767" s="242"/>
      <c r="O767" s="242"/>
      <c r="P767" s="242" t="s">
        <v>31</v>
      </c>
      <c r="Q767" s="314" t="s">
        <v>32</v>
      </c>
      <c r="R767" s="242" t="s">
        <v>43</v>
      </c>
      <c r="S767" s="242" t="s">
        <v>4094</v>
      </c>
      <c r="T767" s="242"/>
      <c r="U767" s="242" t="s">
        <v>3485</v>
      </c>
      <c r="V767" s="242"/>
      <c r="W767" s="242"/>
    </row>
    <row r="768" spans="1:23" ht="12.75">
      <c r="A768" s="274">
        <v>46138.807013888887</v>
      </c>
      <c r="B768" s="242" t="s">
        <v>3488</v>
      </c>
      <c r="C768" s="242"/>
      <c r="D768" s="242" t="s">
        <v>45</v>
      </c>
      <c r="E768" s="275">
        <v>26141</v>
      </c>
      <c r="F768" s="242" t="s">
        <v>799</v>
      </c>
      <c r="G768" s="242" t="s">
        <v>4369</v>
      </c>
      <c r="H768" s="242" t="s">
        <v>4370</v>
      </c>
      <c r="I768" s="241" t="s">
        <v>4223</v>
      </c>
      <c r="J768" s="242" t="s">
        <v>3491</v>
      </c>
      <c r="K768" s="242" t="s">
        <v>29</v>
      </c>
      <c r="L768" s="242" t="s">
        <v>162</v>
      </c>
      <c r="M768" s="242" t="s">
        <v>4371</v>
      </c>
      <c r="N768" s="242"/>
      <c r="O768" s="242"/>
      <c r="P768" s="242" t="s">
        <v>31</v>
      </c>
      <c r="Q768" s="314" t="s">
        <v>32</v>
      </c>
      <c r="R768" s="242" t="s">
        <v>33</v>
      </c>
      <c r="S768" s="242"/>
      <c r="T768" s="242"/>
      <c r="U768" s="242"/>
      <c r="V768" s="242"/>
      <c r="W768" s="242"/>
    </row>
    <row r="769" spans="1:23" ht="12.75">
      <c r="A769" s="274">
        <v>46139.094722222224</v>
      </c>
      <c r="B769" s="242" t="s">
        <v>4372</v>
      </c>
      <c r="C769" s="242"/>
      <c r="D769" s="242" t="s">
        <v>45</v>
      </c>
      <c r="E769" s="275">
        <v>37516</v>
      </c>
      <c r="F769" s="242" t="s">
        <v>52</v>
      </c>
      <c r="G769" s="242" t="s">
        <v>4373</v>
      </c>
      <c r="H769" s="242" t="s">
        <v>4374</v>
      </c>
      <c r="I769" s="241" t="s">
        <v>4219</v>
      </c>
      <c r="J769" s="242" t="s">
        <v>3496</v>
      </c>
      <c r="K769" s="242" t="s">
        <v>29</v>
      </c>
      <c r="L769" s="242" t="s">
        <v>30</v>
      </c>
      <c r="M769" s="242"/>
      <c r="N769" s="242"/>
      <c r="O769" s="242"/>
      <c r="P769" s="242" t="s">
        <v>31</v>
      </c>
      <c r="Q769" s="314" t="s">
        <v>32</v>
      </c>
      <c r="R769" s="242" t="s">
        <v>33</v>
      </c>
      <c r="S769" s="242"/>
      <c r="T769" s="242"/>
      <c r="U769" s="242"/>
      <c r="V769" s="242"/>
      <c r="W769" s="242"/>
    </row>
    <row r="770" spans="1:23" ht="12.75">
      <c r="A770" s="274">
        <v>46139.10119212963</v>
      </c>
      <c r="B770" s="242" t="s">
        <v>4375</v>
      </c>
      <c r="C770" s="242"/>
      <c r="D770" s="242" t="s">
        <v>24</v>
      </c>
      <c r="E770" s="275">
        <v>35581</v>
      </c>
      <c r="F770" s="242" t="s">
        <v>799</v>
      </c>
      <c r="G770" s="242" t="s">
        <v>3498</v>
      </c>
      <c r="H770" s="242" t="s">
        <v>3499</v>
      </c>
      <c r="I770" s="241" t="s">
        <v>4223</v>
      </c>
      <c r="J770" s="242" t="s">
        <v>4376</v>
      </c>
      <c r="K770" s="242" t="s">
        <v>29</v>
      </c>
      <c r="L770" s="385">
        <v>46202</v>
      </c>
      <c r="M770" s="242"/>
      <c r="N770" s="242"/>
      <c r="O770" s="242"/>
      <c r="P770" s="242" t="s">
        <v>31</v>
      </c>
      <c r="Q770" s="314" t="s">
        <v>32</v>
      </c>
      <c r="R770" s="242" t="s">
        <v>33</v>
      </c>
      <c r="S770" s="242"/>
      <c r="T770" s="242"/>
      <c r="U770" s="242"/>
      <c r="V770" s="242"/>
      <c r="W770" s="242"/>
    </row>
    <row r="771" spans="1:23" ht="12.75">
      <c r="A771" s="379">
        <v>46139.575150462966</v>
      </c>
      <c r="B771" s="206" t="s">
        <v>3501</v>
      </c>
      <c r="C771" s="206" t="s">
        <v>3502</v>
      </c>
      <c r="D771" s="206" t="s">
        <v>24</v>
      </c>
      <c r="E771" s="380">
        <v>36791</v>
      </c>
      <c r="F771" s="206" t="s">
        <v>1053</v>
      </c>
      <c r="G771" s="206" t="s">
        <v>3503</v>
      </c>
      <c r="H771" s="206" t="s">
        <v>160</v>
      </c>
      <c r="I771" s="252" t="s">
        <v>4237</v>
      </c>
      <c r="J771" s="206" t="s">
        <v>3504</v>
      </c>
      <c r="K771" s="206" t="s">
        <v>29</v>
      </c>
      <c r="L771" s="206" t="s">
        <v>30</v>
      </c>
      <c r="M771" s="206"/>
      <c r="N771" s="206"/>
      <c r="O771" s="206"/>
      <c r="P771" s="206" t="s">
        <v>31</v>
      </c>
      <c r="Q771" s="369" t="s">
        <v>32</v>
      </c>
      <c r="R771" s="141"/>
      <c r="S771" s="206" t="s">
        <v>3505</v>
      </c>
      <c r="T771" s="206"/>
      <c r="U771" s="206" t="s">
        <v>3504</v>
      </c>
      <c r="V771" s="206"/>
      <c r="W771" s="206"/>
    </row>
    <row r="772" spans="1:23" ht="12.75">
      <c r="A772" s="379">
        <v>46139.667939814812</v>
      </c>
      <c r="B772" s="206" t="s">
        <v>3506</v>
      </c>
      <c r="C772" s="206"/>
      <c r="D772" s="206" t="s">
        <v>45</v>
      </c>
      <c r="E772" s="380">
        <v>34576</v>
      </c>
      <c r="F772" s="206" t="s">
        <v>83</v>
      </c>
      <c r="G772" s="206" t="s">
        <v>4377</v>
      </c>
      <c r="H772" s="206" t="s">
        <v>111</v>
      </c>
      <c r="I772" s="252" t="s">
        <v>4223</v>
      </c>
      <c r="J772" s="206" t="s">
        <v>3508</v>
      </c>
      <c r="K772" s="206" t="s">
        <v>29</v>
      </c>
      <c r="L772" s="206" t="s">
        <v>30</v>
      </c>
      <c r="M772" s="206"/>
      <c r="N772" s="206"/>
      <c r="O772" s="206"/>
      <c r="P772" s="206" t="s">
        <v>31</v>
      </c>
      <c r="Q772" s="369" t="s">
        <v>32</v>
      </c>
      <c r="R772" s="141" t="s">
        <v>33</v>
      </c>
      <c r="S772" s="206" t="s">
        <v>3509</v>
      </c>
      <c r="T772" s="206"/>
      <c r="U772" s="206" t="s">
        <v>3508</v>
      </c>
      <c r="V772" s="206"/>
      <c r="W772" s="206"/>
    </row>
    <row r="773" spans="1:23" ht="12.75">
      <c r="A773" s="274">
        <v>46139.771053240744</v>
      </c>
      <c r="B773" s="242" t="s">
        <v>3510</v>
      </c>
      <c r="C773" s="242"/>
      <c r="D773" s="242" t="s">
        <v>24</v>
      </c>
      <c r="E773" s="275">
        <v>36355</v>
      </c>
      <c r="F773" s="242" t="s">
        <v>433</v>
      </c>
      <c r="G773" s="242" t="s">
        <v>4378</v>
      </c>
      <c r="H773" s="242" t="s">
        <v>3512</v>
      </c>
      <c r="I773" s="241" t="s">
        <v>4223</v>
      </c>
      <c r="J773" s="242" t="s">
        <v>3513</v>
      </c>
      <c r="K773" s="242" t="s">
        <v>29</v>
      </c>
      <c r="L773" s="242" t="s">
        <v>30</v>
      </c>
      <c r="M773" s="242"/>
      <c r="N773" s="242"/>
      <c r="O773" s="242"/>
      <c r="P773" s="242" t="s">
        <v>31</v>
      </c>
      <c r="Q773" s="314" t="s">
        <v>32</v>
      </c>
      <c r="R773" s="242" t="s">
        <v>43</v>
      </c>
      <c r="S773" s="242"/>
      <c r="T773" s="242"/>
      <c r="U773" s="242"/>
      <c r="V773" s="242"/>
      <c r="W773" s="242"/>
    </row>
    <row r="774" spans="1:23" ht="12.75">
      <c r="A774" s="274">
        <v>46140.894837962966</v>
      </c>
      <c r="B774" s="242" t="s">
        <v>3514</v>
      </c>
      <c r="C774" s="242"/>
      <c r="D774" s="242" t="s">
        <v>24</v>
      </c>
      <c r="E774" s="275">
        <v>35193</v>
      </c>
      <c r="F774" s="242" t="s">
        <v>3040</v>
      </c>
      <c r="G774" s="242" t="s">
        <v>3515</v>
      </c>
      <c r="H774" s="242" t="s">
        <v>156</v>
      </c>
      <c r="I774" s="241" t="s">
        <v>4237</v>
      </c>
      <c r="J774" s="242" t="s">
        <v>3516</v>
      </c>
      <c r="K774" s="242" t="s">
        <v>39</v>
      </c>
      <c r="L774" s="242" t="s">
        <v>152</v>
      </c>
      <c r="M774" s="242"/>
      <c r="N774" s="242"/>
      <c r="O774" s="242"/>
      <c r="P774" s="242" t="s">
        <v>31</v>
      </c>
      <c r="Q774" s="314" t="s">
        <v>32</v>
      </c>
      <c r="R774" s="242" t="s">
        <v>43</v>
      </c>
      <c r="S774" s="242" t="s">
        <v>3517</v>
      </c>
      <c r="T774" s="242"/>
      <c r="U774" s="242" t="s">
        <v>3516</v>
      </c>
      <c r="V774" s="242"/>
      <c r="W774" s="242"/>
    </row>
    <row r="775" spans="1:23" ht="12.75">
      <c r="A775" s="274">
        <v>46140.942002314812</v>
      </c>
      <c r="B775" s="242" t="s">
        <v>3518</v>
      </c>
      <c r="C775" s="242"/>
      <c r="D775" s="242" t="s">
        <v>24</v>
      </c>
      <c r="E775" s="275">
        <v>27327</v>
      </c>
      <c r="F775" s="242" t="s">
        <v>52</v>
      </c>
      <c r="G775" s="242" t="s">
        <v>4379</v>
      </c>
      <c r="H775" s="242" t="s">
        <v>1310</v>
      </c>
      <c r="I775" s="241" t="s">
        <v>4219</v>
      </c>
      <c r="J775" s="242" t="s">
        <v>3520</v>
      </c>
      <c r="K775" s="242" t="s">
        <v>39</v>
      </c>
      <c r="L775" s="242" t="s">
        <v>152</v>
      </c>
      <c r="M775" s="242"/>
      <c r="N775" s="242"/>
      <c r="O775" s="242"/>
      <c r="P775" s="242" t="s">
        <v>31</v>
      </c>
      <c r="Q775" s="314" t="s">
        <v>32</v>
      </c>
      <c r="R775" s="242" t="s">
        <v>43</v>
      </c>
      <c r="S775" s="242" t="s">
        <v>3521</v>
      </c>
      <c r="T775" s="242"/>
      <c r="U775" s="242" t="s">
        <v>3520</v>
      </c>
      <c r="V775" s="242"/>
      <c r="W775" s="242"/>
    </row>
    <row r="776" spans="1:23" ht="12.75">
      <c r="A776" s="379">
        <v>46141.401863425926</v>
      </c>
      <c r="B776" s="206" t="s">
        <v>3522</v>
      </c>
      <c r="C776" s="206" t="s">
        <v>941</v>
      </c>
      <c r="D776" s="206" t="s">
        <v>24</v>
      </c>
      <c r="E776" s="380">
        <v>24631</v>
      </c>
      <c r="F776" s="206" t="s">
        <v>198</v>
      </c>
      <c r="G776" s="206" t="s">
        <v>941</v>
      </c>
      <c r="H776" s="206" t="s">
        <v>186</v>
      </c>
      <c r="I776" s="252" t="s">
        <v>4219</v>
      </c>
      <c r="J776" s="206" t="s">
        <v>3523</v>
      </c>
      <c r="K776" s="206" t="s">
        <v>29</v>
      </c>
      <c r="L776" s="206" t="s">
        <v>30</v>
      </c>
      <c r="M776" s="206"/>
      <c r="N776" s="206"/>
      <c r="O776" s="206"/>
      <c r="P776" s="206" t="s">
        <v>31</v>
      </c>
      <c r="Q776" s="369" t="s">
        <v>32</v>
      </c>
      <c r="R776" s="141"/>
      <c r="S776" s="473" t="s">
        <v>3524</v>
      </c>
      <c r="T776" s="474"/>
      <c r="U776" s="206" t="s">
        <v>3523</v>
      </c>
      <c r="V776" s="206"/>
      <c r="W776" s="206"/>
    </row>
    <row r="777" spans="1:23" ht="12.75">
      <c r="A777" s="274">
        <v>46141.701678240737</v>
      </c>
      <c r="B777" s="242" t="s">
        <v>3525</v>
      </c>
      <c r="C777" s="242"/>
      <c r="D777" s="242" t="s">
        <v>45</v>
      </c>
      <c r="E777" s="275">
        <v>37262</v>
      </c>
      <c r="F777" s="242" t="s">
        <v>1983</v>
      </c>
      <c r="G777" s="242" t="s">
        <v>3526</v>
      </c>
      <c r="H777" s="242" t="s">
        <v>66</v>
      </c>
      <c r="I777" s="241" t="s">
        <v>4237</v>
      </c>
      <c r="J777" s="242" t="s">
        <v>3527</v>
      </c>
      <c r="K777" s="242" t="s">
        <v>29</v>
      </c>
      <c r="L777" s="242" t="s">
        <v>162</v>
      </c>
      <c r="M777" s="242"/>
      <c r="N777" s="242"/>
      <c r="O777" s="242"/>
      <c r="P777" s="242" t="s">
        <v>31</v>
      </c>
      <c r="Q777" s="314" t="s">
        <v>32</v>
      </c>
      <c r="R777" s="242" t="s">
        <v>43</v>
      </c>
      <c r="S777" s="242" t="s">
        <v>3528</v>
      </c>
      <c r="T777" s="242"/>
      <c r="U777" s="475" t="s">
        <v>3527</v>
      </c>
      <c r="V777" s="474"/>
      <c r="W777" s="242"/>
    </row>
    <row r="778" spans="1:23" ht="12.75">
      <c r="A778" s="430">
        <v>46142.194456018522</v>
      </c>
      <c r="B778" s="431" t="s">
        <v>4380</v>
      </c>
      <c r="C778" s="432"/>
      <c r="D778" s="431" t="s">
        <v>45</v>
      </c>
      <c r="E778" s="433">
        <v>21014</v>
      </c>
      <c r="F778" s="431" t="s">
        <v>2246</v>
      </c>
      <c r="G778" s="431" t="s">
        <v>3530</v>
      </c>
      <c r="H778" s="431" t="s">
        <v>4381</v>
      </c>
      <c r="I778" s="241" t="s">
        <v>4237</v>
      </c>
      <c r="J778" s="431" t="s">
        <v>3532</v>
      </c>
      <c r="K778" s="431" t="s">
        <v>29</v>
      </c>
      <c r="L778" s="431" t="s">
        <v>30</v>
      </c>
      <c r="M778" s="431" t="s">
        <v>4382</v>
      </c>
      <c r="N778" s="431"/>
      <c r="O778" s="432"/>
      <c r="P778" s="431" t="s">
        <v>31</v>
      </c>
      <c r="Q778" s="314" t="s">
        <v>32</v>
      </c>
      <c r="R778" s="242" t="s">
        <v>43</v>
      </c>
      <c r="S778" s="242" t="s">
        <v>3534</v>
      </c>
      <c r="T778" s="242"/>
      <c r="U778" s="475" t="s">
        <v>3532</v>
      </c>
      <c r="V778" s="474"/>
      <c r="W778" s="242"/>
    </row>
    <row r="779" spans="1:23" ht="12.75">
      <c r="A779" s="274">
        <v>46142.604675925926</v>
      </c>
      <c r="B779" s="242" t="s">
        <v>4383</v>
      </c>
      <c r="C779" s="242"/>
      <c r="D779" s="242" t="s">
        <v>24</v>
      </c>
      <c r="E779" s="275">
        <v>26478</v>
      </c>
      <c r="F779" s="242" t="s">
        <v>2738</v>
      </c>
      <c r="G779" s="242" t="s">
        <v>3536</v>
      </c>
      <c r="H779" s="242" t="s">
        <v>276</v>
      </c>
      <c r="I779" s="241" t="s">
        <v>4237</v>
      </c>
      <c r="J779" s="242" t="s">
        <v>3538</v>
      </c>
      <c r="K779" s="242" t="s">
        <v>29</v>
      </c>
      <c r="L779" s="242" t="s">
        <v>30</v>
      </c>
      <c r="M779" s="242"/>
      <c r="N779" s="242"/>
      <c r="O779" s="242"/>
      <c r="P779" s="242" t="s">
        <v>31</v>
      </c>
      <c r="Q779" s="314" t="s">
        <v>32</v>
      </c>
      <c r="R779" s="242" t="s">
        <v>43</v>
      </c>
      <c r="S779" s="242" t="s">
        <v>4383</v>
      </c>
      <c r="T779" s="242"/>
      <c r="U779" s="242" t="s">
        <v>3538</v>
      </c>
      <c r="V779" s="242"/>
      <c r="W779" s="242"/>
    </row>
    <row r="780" spans="1:23" ht="12.75">
      <c r="A780" s="379">
        <v>46142.657465277778</v>
      </c>
      <c r="B780" s="473" t="s">
        <v>3539</v>
      </c>
      <c r="C780" s="474"/>
      <c r="D780" s="206" t="s">
        <v>24</v>
      </c>
      <c r="E780" s="380">
        <v>30445</v>
      </c>
      <c r="F780" s="206" t="s">
        <v>3540</v>
      </c>
      <c r="G780" s="206" t="s">
        <v>3541</v>
      </c>
      <c r="H780" s="206" t="s">
        <v>98</v>
      </c>
      <c r="I780" s="252" t="s">
        <v>4219</v>
      </c>
      <c r="J780" s="206" t="s">
        <v>3542</v>
      </c>
      <c r="K780" s="206" t="s">
        <v>39</v>
      </c>
      <c r="L780" s="206" t="s">
        <v>30</v>
      </c>
      <c r="M780" s="206"/>
      <c r="N780" s="206"/>
      <c r="O780" s="206"/>
      <c r="P780" s="206" t="s">
        <v>31</v>
      </c>
      <c r="Q780" s="369" t="s">
        <v>32</v>
      </c>
      <c r="R780" s="141"/>
      <c r="S780" s="206"/>
      <c r="T780" s="206"/>
      <c r="U780" s="206"/>
      <c r="V780" s="206"/>
      <c r="W780" s="206"/>
    </row>
    <row r="781" spans="1:23" ht="12.75">
      <c r="A781" s="379">
        <v>46143.97278935185</v>
      </c>
      <c r="B781" s="206" t="s">
        <v>3718</v>
      </c>
      <c r="C781" s="206"/>
      <c r="D781" s="206" t="s">
        <v>24</v>
      </c>
      <c r="E781" s="380">
        <v>37775</v>
      </c>
      <c r="F781" s="206" t="s">
        <v>3544</v>
      </c>
      <c r="G781" s="206" t="s">
        <v>4384</v>
      </c>
      <c r="H781" s="206" t="s">
        <v>368</v>
      </c>
      <c r="I781" s="252" t="s">
        <v>4219</v>
      </c>
      <c r="J781" s="206" t="s">
        <v>3546</v>
      </c>
      <c r="K781" s="206" t="s">
        <v>29</v>
      </c>
      <c r="L781" s="206" t="s">
        <v>30</v>
      </c>
      <c r="M781" s="206"/>
      <c r="N781" s="206"/>
      <c r="O781" s="206"/>
      <c r="P781" s="206" t="s">
        <v>31</v>
      </c>
      <c r="Q781" s="369" t="s">
        <v>32</v>
      </c>
      <c r="R781" s="141" t="s">
        <v>33</v>
      </c>
      <c r="S781" s="206"/>
      <c r="T781" s="206"/>
      <c r="U781" s="206"/>
      <c r="V781" s="206"/>
      <c r="W781" s="206"/>
    </row>
    <row r="782" spans="1:23" ht="12.75">
      <c r="A782" s="379">
        <v>46143.978831018518</v>
      </c>
      <c r="B782" s="206" t="s">
        <v>3547</v>
      </c>
      <c r="C782" s="206"/>
      <c r="D782" s="206" t="s">
        <v>24</v>
      </c>
      <c r="E782" s="380">
        <v>21916</v>
      </c>
      <c r="F782" s="206" t="s">
        <v>623</v>
      </c>
      <c r="G782" s="206" t="s">
        <v>3548</v>
      </c>
      <c r="H782" s="206" t="s">
        <v>3549</v>
      </c>
      <c r="I782" s="252" t="s">
        <v>4219</v>
      </c>
      <c r="J782" s="206" t="s">
        <v>3550</v>
      </c>
      <c r="K782" s="206" t="s">
        <v>39</v>
      </c>
      <c r="L782" s="206" t="s">
        <v>152</v>
      </c>
      <c r="M782" s="206" t="s">
        <v>4385</v>
      </c>
      <c r="N782" s="206" t="s">
        <v>4386</v>
      </c>
      <c r="O782" s="434" t="s">
        <v>3553</v>
      </c>
      <c r="P782" s="206" t="s">
        <v>31</v>
      </c>
      <c r="Q782" s="369" t="s">
        <v>32</v>
      </c>
      <c r="R782" s="141"/>
      <c r="S782" s="206"/>
      <c r="T782" s="206"/>
      <c r="U782" s="206"/>
      <c r="V782" s="206"/>
      <c r="W782" s="206"/>
    </row>
    <row r="783" spans="1:23" ht="12.75">
      <c r="A783" s="379">
        <v>46144.0858912037</v>
      </c>
      <c r="B783" s="206" t="s">
        <v>3554</v>
      </c>
      <c r="C783" s="206"/>
      <c r="D783" s="206" t="s">
        <v>45</v>
      </c>
      <c r="E783" s="380">
        <v>29317</v>
      </c>
      <c r="F783" s="206" t="s">
        <v>380</v>
      </c>
      <c r="G783" s="206" t="s">
        <v>3555</v>
      </c>
      <c r="H783" s="206" t="s">
        <v>3556</v>
      </c>
      <c r="I783" s="252" t="s">
        <v>4223</v>
      </c>
      <c r="J783" s="206" t="s">
        <v>3557</v>
      </c>
      <c r="K783" s="206" t="s">
        <v>29</v>
      </c>
      <c r="L783" s="206" t="s">
        <v>30</v>
      </c>
      <c r="M783" s="206"/>
      <c r="N783" s="206"/>
      <c r="O783" s="206"/>
      <c r="P783" s="206" t="s">
        <v>31</v>
      </c>
      <c r="Q783" s="369" t="s">
        <v>32</v>
      </c>
      <c r="R783" s="141" t="s">
        <v>33</v>
      </c>
      <c r="S783" s="206"/>
      <c r="T783" s="206"/>
      <c r="U783" s="206"/>
      <c r="V783" s="206"/>
      <c r="W783" s="206"/>
    </row>
    <row r="784" spans="1:23" ht="12.75">
      <c r="A784" s="379">
        <v>46144.607835648145</v>
      </c>
      <c r="B784" s="206" t="s">
        <v>3563</v>
      </c>
      <c r="C784" s="206"/>
      <c r="D784" s="206" t="s">
        <v>45</v>
      </c>
      <c r="E784" s="380">
        <v>22228</v>
      </c>
      <c r="F784" s="206" t="s">
        <v>3559</v>
      </c>
      <c r="G784" s="206" t="s">
        <v>4387</v>
      </c>
      <c r="H784" s="206" t="s">
        <v>4388</v>
      </c>
      <c r="I784" s="252" t="s">
        <v>4219</v>
      </c>
      <c r="J784" s="206" t="s">
        <v>3562</v>
      </c>
      <c r="K784" s="206" t="s">
        <v>29</v>
      </c>
      <c r="L784" s="381">
        <v>46202</v>
      </c>
      <c r="M784" s="206"/>
      <c r="N784" s="206"/>
      <c r="O784" s="206"/>
      <c r="P784" s="206" t="s">
        <v>31</v>
      </c>
      <c r="Q784" s="369" t="s">
        <v>32</v>
      </c>
      <c r="R784" s="141" t="s">
        <v>33</v>
      </c>
      <c r="S784" s="206" t="s">
        <v>3563</v>
      </c>
      <c r="T784" s="206"/>
      <c r="U784" s="206" t="s">
        <v>3564</v>
      </c>
      <c r="V784" s="206"/>
      <c r="W784" s="206"/>
    </row>
    <row r="785" spans="1:23" ht="12.75">
      <c r="A785" s="379">
        <v>46146.825138888889</v>
      </c>
      <c r="B785" s="206" t="s">
        <v>3565</v>
      </c>
      <c r="C785" s="206"/>
      <c r="D785" s="206" t="s">
        <v>24</v>
      </c>
      <c r="E785" s="380">
        <v>34470</v>
      </c>
      <c r="F785" s="206" t="s">
        <v>58</v>
      </c>
      <c r="G785" s="206" t="s">
        <v>1922</v>
      </c>
      <c r="H785" s="206" t="s">
        <v>186</v>
      </c>
      <c r="I785" s="252" t="s">
        <v>4219</v>
      </c>
      <c r="J785" s="206" t="s">
        <v>3567</v>
      </c>
      <c r="K785" s="206" t="s">
        <v>39</v>
      </c>
      <c r="L785" s="206" t="s">
        <v>162</v>
      </c>
      <c r="M785" s="206"/>
      <c r="N785" s="206"/>
      <c r="O785" s="206"/>
      <c r="P785" s="206" t="s">
        <v>31</v>
      </c>
      <c r="Q785" s="205" t="s">
        <v>32</v>
      </c>
      <c r="R785" s="141"/>
      <c r="S785" s="206" t="s">
        <v>3565</v>
      </c>
      <c r="T785" s="380">
        <v>34470</v>
      </c>
      <c r="U785" s="206" t="s">
        <v>3567</v>
      </c>
      <c r="V785" s="208" t="s">
        <v>3568</v>
      </c>
      <c r="W785" s="209">
        <v>720573</v>
      </c>
    </row>
    <row r="786" spans="1:23" ht="12.75">
      <c r="A786" s="379">
        <v>46146.840578703705</v>
      </c>
      <c r="B786" s="206" t="s">
        <v>3573</v>
      </c>
      <c r="C786" s="206"/>
      <c r="D786" s="206" t="s">
        <v>45</v>
      </c>
      <c r="E786" s="380">
        <v>30379</v>
      </c>
      <c r="F786" s="206" t="s">
        <v>475</v>
      </c>
      <c r="G786" s="206" t="s">
        <v>3570</v>
      </c>
      <c r="H786" s="206" t="s">
        <v>276</v>
      </c>
      <c r="I786" s="252" t="s">
        <v>4219</v>
      </c>
      <c r="J786" s="206" t="s">
        <v>3571</v>
      </c>
      <c r="K786" s="206" t="s">
        <v>39</v>
      </c>
      <c r="L786" s="206" t="s">
        <v>30</v>
      </c>
      <c r="M786" s="206" t="s">
        <v>3572</v>
      </c>
      <c r="N786" s="206"/>
      <c r="O786" s="206"/>
      <c r="P786" s="206" t="s">
        <v>31</v>
      </c>
      <c r="Q786" s="205" t="s">
        <v>32</v>
      </c>
      <c r="R786" s="141" t="s">
        <v>43</v>
      </c>
      <c r="S786" s="206" t="s">
        <v>3573</v>
      </c>
      <c r="T786" s="380">
        <v>30394</v>
      </c>
      <c r="U786" s="206" t="s">
        <v>3574</v>
      </c>
      <c r="V786" s="208" t="s">
        <v>3575</v>
      </c>
      <c r="W786" s="209">
        <v>718594</v>
      </c>
    </row>
    <row r="787" spans="1:23" ht="12.75">
      <c r="A787" s="379">
        <v>46146.85728009259</v>
      </c>
      <c r="B787" s="206" t="s">
        <v>3576</v>
      </c>
      <c r="C787" s="206"/>
      <c r="D787" s="206" t="s">
        <v>24</v>
      </c>
      <c r="E787" s="380">
        <v>31148</v>
      </c>
      <c r="F787" s="206" t="s">
        <v>475</v>
      </c>
      <c r="G787" s="206" t="s">
        <v>4389</v>
      </c>
      <c r="H787" s="206" t="s">
        <v>3051</v>
      </c>
      <c r="I787" s="252" t="s">
        <v>4219</v>
      </c>
      <c r="J787" s="206" t="s">
        <v>3579</v>
      </c>
      <c r="K787" s="206" t="s">
        <v>39</v>
      </c>
      <c r="L787" s="206" t="s">
        <v>30</v>
      </c>
      <c r="M787" s="206" t="s">
        <v>4390</v>
      </c>
      <c r="N787" s="206"/>
      <c r="O787" s="206"/>
      <c r="P787" s="206" t="s">
        <v>31</v>
      </c>
      <c r="Q787" s="205" t="s">
        <v>32</v>
      </c>
      <c r="R787" s="141" t="s">
        <v>43</v>
      </c>
      <c r="S787" s="206" t="s">
        <v>3576</v>
      </c>
      <c r="T787" s="380">
        <v>31148</v>
      </c>
      <c r="U787" s="206" t="s">
        <v>3579</v>
      </c>
      <c r="V787" s="208" t="s">
        <v>3581</v>
      </c>
      <c r="W787" s="209">
        <v>718595</v>
      </c>
    </row>
    <row r="788" spans="1:23" ht="12.75">
      <c r="A788" s="435">
        <v>46146.865312499998</v>
      </c>
      <c r="B788" s="436" t="s">
        <v>3582</v>
      </c>
      <c r="C788" s="436"/>
      <c r="D788" s="436" t="s">
        <v>24</v>
      </c>
      <c r="E788" s="437">
        <v>36614</v>
      </c>
      <c r="F788" s="436" t="s">
        <v>470</v>
      </c>
      <c r="G788" s="436" t="s">
        <v>3583</v>
      </c>
      <c r="H788" s="436" t="s">
        <v>3584</v>
      </c>
      <c r="I788" s="252" t="s">
        <v>4219</v>
      </c>
      <c r="J788" s="436" t="s">
        <v>3585</v>
      </c>
      <c r="K788" s="436" t="s">
        <v>29</v>
      </c>
      <c r="L788" s="436" t="s">
        <v>30</v>
      </c>
      <c r="M788" s="436"/>
      <c r="N788" s="436"/>
      <c r="O788" s="436"/>
      <c r="P788" s="436" t="s">
        <v>31</v>
      </c>
      <c r="Q788" s="205" t="s">
        <v>32</v>
      </c>
      <c r="R788" s="141" t="s">
        <v>33</v>
      </c>
      <c r="S788" s="436" t="s">
        <v>3586</v>
      </c>
      <c r="T788" s="437">
        <v>36614</v>
      </c>
      <c r="U788" s="436" t="s">
        <v>3587</v>
      </c>
      <c r="V788" s="216" t="s">
        <v>3588</v>
      </c>
      <c r="W788" s="217">
        <v>720300</v>
      </c>
    </row>
    <row r="789" spans="1:23" ht="12.75">
      <c r="A789" s="379">
        <v>46146.897361111114</v>
      </c>
      <c r="B789" s="206" t="s">
        <v>762</v>
      </c>
      <c r="C789" s="206"/>
      <c r="D789" s="206" t="s">
        <v>45</v>
      </c>
      <c r="E789" s="380">
        <v>34722</v>
      </c>
      <c r="F789" s="206" t="s">
        <v>751</v>
      </c>
      <c r="G789" s="206" t="s">
        <v>763</v>
      </c>
      <c r="H789" s="206" t="s">
        <v>943</v>
      </c>
      <c r="I789" s="252" t="s">
        <v>4223</v>
      </c>
      <c r="J789" s="206" t="s">
        <v>764</v>
      </c>
      <c r="K789" s="206" t="s">
        <v>29</v>
      </c>
      <c r="L789" s="206" t="s">
        <v>30</v>
      </c>
      <c r="M789" s="206"/>
      <c r="N789" s="206"/>
      <c r="O789" s="206"/>
      <c r="P789" s="206" t="s">
        <v>31</v>
      </c>
      <c r="Q789" s="205" t="s">
        <v>32</v>
      </c>
      <c r="R789" s="141" t="s">
        <v>33</v>
      </c>
      <c r="S789" s="206" t="s">
        <v>762</v>
      </c>
      <c r="T789" s="380">
        <v>34722</v>
      </c>
      <c r="U789" s="206" t="s">
        <v>764</v>
      </c>
      <c r="V789" s="208" t="s">
        <v>3589</v>
      </c>
      <c r="W789" s="209">
        <v>719403</v>
      </c>
    </row>
    <row r="790" spans="1:23" ht="12.75">
      <c r="A790" s="438">
        <v>46146.811423611114</v>
      </c>
      <c r="B790" s="439" t="s">
        <v>3590</v>
      </c>
      <c r="C790" s="439" t="s">
        <v>3032</v>
      </c>
      <c r="D790" s="439" t="s">
        <v>24</v>
      </c>
      <c r="E790" s="440">
        <v>31365</v>
      </c>
      <c r="F790" s="439" t="s">
        <v>3591</v>
      </c>
      <c r="G790" s="439" t="s">
        <v>4391</v>
      </c>
      <c r="H790" s="439" t="s">
        <v>111</v>
      </c>
      <c r="I790" s="439" t="s">
        <v>3593</v>
      </c>
      <c r="J790" s="439" t="s">
        <v>3594</v>
      </c>
      <c r="K790" s="439" t="s">
        <v>29</v>
      </c>
      <c r="L790" s="439" t="s">
        <v>1324</v>
      </c>
      <c r="M790" s="439" t="s">
        <v>2699</v>
      </c>
      <c r="N790" s="439"/>
      <c r="O790" s="441"/>
      <c r="P790" s="441"/>
      <c r="Q790" s="225" t="s">
        <v>56</v>
      </c>
      <c r="R790" s="141"/>
      <c r="S790" s="206"/>
      <c r="T790" s="206"/>
      <c r="U790" s="236"/>
      <c r="V790" s="224" t="s">
        <v>3595</v>
      </c>
      <c r="W790" s="206"/>
    </row>
    <row r="791" spans="1:23" ht="12.75">
      <c r="A791" s="396">
        <v>46146.833148148151</v>
      </c>
      <c r="B791" s="397" t="s">
        <v>2685</v>
      </c>
      <c r="C791" s="315"/>
      <c r="D791" s="397" t="s">
        <v>45</v>
      </c>
      <c r="E791" s="398">
        <v>34242</v>
      </c>
      <c r="F791" s="397" t="s">
        <v>3596</v>
      </c>
      <c r="G791" s="397" t="s">
        <v>3597</v>
      </c>
      <c r="H791" s="397" t="s">
        <v>418</v>
      </c>
      <c r="I791" s="397" t="s">
        <v>3598</v>
      </c>
      <c r="J791" s="397" t="s">
        <v>2688</v>
      </c>
      <c r="K791" s="397" t="s">
        <v>39</v>
      </c>
      <c r="L791" s="397" t="s">
        <v>30</v>
      </c>
      <c r="M791" s="397" t="s">
        <v>941</v>
      </c>
      <c r="N791" s="397"/>
      <c r="O791" s="315"/>
      <c r="P791" s="315"/>
      <c r="Q791" s="242" t="s">
        <v>32</v>
      </c>
      <c r="R791" s="242" t="s">
        <v>33</v>
      </c>
      <c r="S791" s="242" t="s">
        <v>2685</v>
      </c>
      <c r="T791" s="275">
        <v>34242</v>
      </c>
      <c r="U791" s="242" t="s">
        <v>2688</v>
      </c>
      <c r="V791" s="442" t="s">
        <v>3599</v>
      </c>
      <c r="W791" s="277">
        <v>721996</v>
      </c>
    </row>
    <row r="792" spans="1:23" ht="12.75">
      <c r="A792" s="379">
        <v>46147.117673611108</v>
      </c>
      <c r="B792" s="206" t="s">
        <v>3600</v>
      </c>
      <c r="C792" s="206"/>
      <c r="D792" s="206" t="s">
        <v>24</v>
      </c>
      <c r="E792" s="380">
        <v>30038</v>
      </c>
      <c r="F792" s="206" t="s">
        <v>52</v>
      </c>
      <c r="G792" s="206" t="s">
        <v>664</v>
      </c>
      <c r="H792" s="206" t="s">
        <v>186</v>
      </c>
      <c r="I792" s="252" t="s">
        <v>4219</v>
      </c>
      <c r="J792" s="206" t="s">
        <v>3601</v>
      </c>
      <c r="K792" s="206" t="s">
        <v>39</v>
      </c>
      <c r="L792" s="206" t="s">
        <v>30</v>
      </c>
      <c r="M792" s="206"/>
      <c r="N792" s="206"/>
      <c r="O792" s="206"/>
      <c r="P792" s="206" t="s">
        <v>31</v>
      </c>
      <c r="Q792" s="205" t="s">
        <v>32</v>
      </c>
      <c r="R792" s="141" t="s">
        <v>33</v>
      </c>
      <c r="S792" s="206" t="s">
        <v>3602</v>
      </c>
      <c r="T792" s="380">
        <v>30038</v>
      </c>
      <c r="U792" s="206" t="s">
        <v>3601</v>
      </c>
      <c r="V792" s="208" t="s">
        <v>3603</v>
      </c>
      <c r="W792" s="209">
        <v>722094</v>
      </c>
    </row>
    <row r="793" spans="1:23" ht="12.75">
      <c r="A793" s="274">
        <v>46147.178495370368</v>
      </c>
      <c r="B793" s="242" t="s">
        <v>3604</v>
      </c>
      <c r="C793" s="242"/>
      <c r="D793" s="242" t="s">
        <v>24</v>
      </c>
      <c r="E793" s="275">
        <v>16387</v>
      </c>
      <c r="F793" s="242" t="s">
        <v>198</v>
      </c>
      <c r="G793" s="242" t="s">
        <v>3605</v>
      </c>
      <c r="H793" s="242" t="s">
        <v>3606</v>
      </c>
      <c r="I793" s="241" t="s">
        <v>4219</v>
      </c>
      <c r="J793" s="242" t="s">
        <v>2658</v>
      </c>
      <c r="K793" s="242" t="s">
        <v>29</v>
      </c>
      <c r="L793" s="242" t="s">
        <v>30</v>
      </c>
      <c r="M793" s="242" t="s">
        <v>3607</v>
      </c>
      <c r="N793" s="242" t="s">
        <v>3608</v>
      </c>
      <c r="O793" s="242" t="s">
        <v>3609</v>
      </c>
      <c r="P793" s="242" t="s">
        <v>31</v>
      </c>
      <c r="Q793" s="242" t="s">
        <v>32</v>
      </c>
      <c r="R793" s="242" t="s">
        <v>43</v>
      </c>
      <c r="S793" s="242" t="s">
        <v>3610</v>
      </c>
      <c r="T793" s="275">
        <v>16387</v>
      </c>
      <c r="U793" s="242" t="s">
        <v>2658</v>
      </c>
      <c r="V793" s="442" t="s">
        <v>3611</v>
      </c>
      <c r="W793" s="277">
        <v>720843</v>
      </c>
    </row>
    <row r="794" spans="1:23" ht="12.75">
      <c r="A794" s="379">
        <v>46147.241678240738</v>
      </c>
      <c r="B794" s="206" t="s">
        <v>3612</v>
      </c>
      <c r="C794" s="206"/>
      <c r="D794" s="206" t="s">
        <v>45</v>
      </c>
      <c r="E794" s="380">
        <v>25840</v>
      </c>
      <c r="F794" s="206" t="s">
        <v>3613</v>
      </c>
      <c r="G794" s="206" t="s">
        <v>3614</v>
      </c>
      <c r="H794" s="206" t="s">
        <v>3614</v>
      </c>
      <c r="I794" s="252" t="s">
        <v>4219</v>
      </c>
      <c r="J794" s="206" t="s">
        <v>3615</v>
      </c>
      <c r="K794" s="206" t="s">
        <v>29</v>
      </c>
      <c r="L794" s="206" t="s">
        <v>162</v>
      </c>
      <c r="M794" s="206" t="s">
        <v>3616</v>
      </c>
      <c r="N794" s="206"/>
      <c r="O794" s="206"/>
      <c r="P794" s="206" t="s">
        <v>31</v>
      </c>
      <c r="Q794" s="205" t="s">
        <v>32</v>
      </c>
      <c r="R794" s="141" t="s">
        <v>33</v>
      </c>
      <c r="S794" s="206" t="s">
        <v>3612</v>
      </c>
      <c r="T794" s="380">
        <v>25840</v>
      </c>
      <c r="U794" s="206" t="s">
        <v>3615</v>
      </c>
      <c r="V794" s="208" t="s">
        <v>3617</v>
      </c>
      <c r="W794" s="209">
        <v>718539</v>
      </c>
    </row>
    <row r="795" spans="1:23" ht="12.75">
      <c r="A795" s="274">
        <v>46147.243356481478</v>
      </c>
      <c r="B795" s="242" t="s">
        <v>197</v>
      </c>
      <c r="C795" s="242"/>
      <c r="D795" s="242" t="s">
        <v>24</v>
      </c>
      <c r="E795" s="275">
        <v>32847</v>
      </c>
      <c r="F795" s="242" t="s">
        <v>198</v>
      </c>
      <c r="G795" s="242" t="s">
        <v>4392</v>
      </c>
      <c r="H795" s="242" t="s">
        <v>4393</v>
      </c>
      <c r="I795" s="241" t="s">
        <v>4219</v>
      </c>
      <c r="J795" s="242" t="s">
        <v>201</v>
      </c>
      <c r="K795" s="242" t="s">
        <v>29</v>
      </c>
      <c r="L795" s="242" t="s">
        <v>30</v>
      </c>
      <c r="M795" s="242"/>
      <c r="N795" s="242"/>
      <c r="O795" s="242"/>
      <c r="P795" s="242" t="s">
        <v>31</v>
      </c>
      <c r="Q795" s="242" t="s">
        <v>32</v>
      </c>
      <c r="R795" s="242" t="s">
        <v>43</v>
      </c>
      <c r="S795" s="242" t="s">
        <v>197</v>
      </c>
      <c r="T795" s="275">
        <v>32847</v>
      </c>
      <c r="U795" s="242" t="s">
        <v>201</v>
      </c>
      <c r="V795" s="442" t="s">
        <v>3621</v>
      </c>
      <c r="W795" s="277">
        <v>717398</v>
      </c>
    </row>
    <row r="796" spans="1:23" ht="12.75">
      <c r="A796" s="274">
        <v>46147.300775462965</v>
      </c>
      <c r="B796" s="242" t="s">
        <v>2667</v>
      </c>
      <c r="C796" s="242"/>
      <c r="D796" s="242" t="s">
        <v>45</v>
      </c>
      <c r="E796" s="275">
        <v>19426</v>
      </c>
      <c r="F796" s="242" t="s">
        <v>203</v>
      </c>
      <c r="G796" s="242" t="s">
        <v>1890</v>
      </c>
      <c r="H796" s="242" t="s">
        <v>3622</v>
      </c>
      <c r="I796" s="241" t="s">
        <v>4219</v>
      </c>
      <c r="J796" s="242" t="s">
        <v>2669</v>
      </c>
      <c r="K796" s="242" t="s">
        <v>39</v>
      </c>
      <c r="L796" s="242" t="s">
        <v>162</v>
      </c>
      <c r="M796" s="242" t="s">
        <v>3623</v>
      </c>
      <c r="N796" s="242"/>
      <c r="O796" s="242"/>
      <c r="P796" s="242" t="s">
        <v>31</v>
      </c>
      <c r="Q796" s="242" t="s">
        <v>32</v>
      </c>
      <c r="R796" s="242" t="s">
        <v>33</v>
      </c>
      <c r="S796" s="242" t="s">
        <v>2667</v>
      </c>
      <c r="T796" s="275">
        <v>19426</v>
      </c>
      <c r="U796" s="242" t="s">
        <v>2669</v>
      </c>
      <c r="V796" s="442" t="s">
        <v>3624</v>
      </c>
      <c r="W796" s="277">
        <v>720070</v>
      </c>
    </row>
    <row r="797" spans="1:23" ht="12.75">
      <c r="A797" s="379">
        <v>46147.353958333333</v>
      </c>
      <c r="B797" s="206" t="s">
        <v>4394</v>
      </c>
      <c r="C797" s="206"/>
      <c r="D797" s="206" t="s">
        <v>24</v>
      </c>
      <c r="E797" s="380">
        <v>20428</v>
      </c>
      <c r="F797" s="206" t="s">
        <v>623</v>
      </c>
      <c r="G797" s="206" t="s">
        <v>1238</v>
      </c>
      <c r="H797" s="206" t="s">
        <v>1238</v>
      </c>
      <c r="I797" s="252" t="s">
        <v>4219</v>
      </c>
      <c r="J797" s="206" t="s">
        <v>3626</v>
      </c>
      <c r="K797" s="206" t="s">
        <v>39</v>
      </c>
      <c r="L797" s="206" t="s">
        <v>621</v>
      </c>
      <c r="M797" s="206" t="s">
        <v>3333</v>
      </c>
      <c r="N797" s="206"/>
      <c r="O797" s="206"/>
      <c r="P797" s="206" t="s">
        <v>31</v>
      </c>
      <c r="Q797" s="225" t="s">
        <v>56</v>
      </c>
      <c r="R797" s="141" t="s">
        <v>33</v>
      </c>
      <c r="S797" s="206"/>
      <c r="T797" s="206"/>
      <c r="U797" s="206"/>
      <c r="V797" s="484" t="s">
        <v>3595</v>
      </c>
      <c r="W797" s="474"/>
    </row>
    <row r="798" spans="1:23" ht="12.75">
      <c r="A798" s="274">
        <v>46147.674050925925</v>
      </c>
      <c r="B798" s="242" t="s">
        <v>3628</v>
      </c>
      <c r="C798" s="242" t="s">
        <v>3629</v>
      </c>
      <c r="D798" s="242" t="s">
        <v>45</v>
      </c>
      <c r="E798" s="275">
        <v>38579</v>
      </c>
      <c r="F798" s="242" t="s">
        <v>64</v>
      </c>
      <c r="G798" s="242" t="s">
        <v>3630</v>
      </c>
      <c r="H798" s="242" t="s">
        <v>66</v>
      </c>
      <c r="I798" s="241" t="s">
        <v>4219</v>
      </c>
      <c r="J798" s="242" t="s">
        <v>571</v>
      </c>
      <c r="K798" s="242" t="s">
        <v>29</v>
      </c>
      <c r="L798" s="242" t="s">
        <v>30</v>
      </c>
      <c r="M798" s="242"/>
      <c r="N798" s="242"/>
      <c r="O798" s="242"/>
      <c r="P798" s="242" t="s">
        <v>31</v>
      </c>
      <c r="Q798" s="242" t="s">
        <v>32</v>
      </c>
      <c r="R798" s="242" t="s">
        <v>33</v>
      </c>
      <c r="S798" s="242" t="s">
        <v>568</v>
      </c>
      <c r="T798" s="275">
        <v>38579</v>
      </c>
      <c r="U798" s="242" t="s">
        <v>571</v>
      </c>
      <c r="V798" s="442" t="s">
        <v>3631</v>
      </c>
      <c r="W798" s="277">
        <v>719187</v>
      </c>
    </row>
    <row r="799" spans="1:23" ht="12.75">
      <c r="A799" s="379">
        <v>46147.884502314817</v>
      </c>
      <c r="B799" s="206" t="s">
        <v>3632</v>
      </c>
      <c r="C799" s="206"/>
      <c r="D799" s="206" t="s">
        <v>24</v>
      </c>
      <c r="E799" s="380">
        <v>26129</v>
      </c>
      <c r="F799" s="206" t="s">
        <v>475</v>
      </c>
      <c r="G799" s="206" t="s">
        <v>3570</v>
      </c>
      <c r="H799" s="206" t="s">
        <v>3634</v>
      </c>
      <c r="I799" s="252" t="s">
        <v>4219</v>
      </c>
      <c r="J799" s="206" t="s">
        <v>3635</v>
      </c>
      <c r="K799" s="206" t="s">
        <v>29</v>
      </c>
      <c r="L799" s="206" t="s">
        <v>30</v>
      </c>
      <c r="M799" s="206" t="s">
        <v>3636</v>
      </c>
      <c r="N799" s="206"/>
      <c r="O799" s="206"/>
      <c r="P799" s="206" t="s">
        <v>31</v>
      </c>
      <c r="Q799" s="205" t="s">
        <v>32</v>
      </c>
      <c r="R799" s="141" t="s">
        <v>43</v>
      </c>
      <c r="S799" s="206" t="s">
        <v>3637</v>
      </c>
      <c r="T799" s="380">
        <v>26129</v>
      </c>
      <c r="U799" s="206" t="s">
        <v>3635</v>
      </c>
      <c r="V799" s="208" t="s">
        <v>3638</v>
      </c>
      <c r="W799" s="209">
        <v>720053</v>
      </c>
    </row>
    <row r="800" spans="1:23" ht="12.75">
      <c r="A800" s="379">
        <v>46148.012013888889</v>
      </c>
      <c r="B800" s="206" t="s">
        <v>4395</v>
      </c>
      <c r="C800" s="206" t="s">
        <v>3640</v>
      </c>
      <c r="D800" s="206" t="s">
        <v>45</v>
      </c>
      <c r="E800" s="380">
        <v>46147</v>
      </c>
      <c r="F800" s="206" t="s">
        <v>198</v>
      </c>
      <c r="G800" s="206" t="s">
        <v>3641</v>
      </c>
      <c r="H800" s="206" t="s">
        <v>3642</v>
      </c>
      <c r="I800" s="252" t="s">
        <v>4219</v>
      </c>
      <c r="J800" s="206" t="s">
        <v>3643</v>
      </c>
      <c r="K800" s="206" t="s">
        <v>29</v>
      </c>
      <c r="L800" s="206" t="s">
        <v>30</v>
      </c>
      <c r="M800" s="206"/>
      <c r="N800" s="206"/>
      <c r="O800" s="206"/>
      <c r="P800" s="206" t="s">
        <v>31</v>
      </c>
      <c r="Q800" s="205" t="s">
        <v>32</v>
      </c>
      <c r="R800" s="141" t="s">
        <v>33</v>
      </c>
      <c r="S800" s="206" t="s">
        <v>3644</v>
      </c>
      <c r="T800" s="380">
        <v>36457</v>
      </c>
      <c r="U800" s="206" t="s">
        <v>3643</v>
      </c>
      <c r="V800" s="208" t="s">
        <v>3645</v>
      </c>
      <c r="W800" s="209">
        <v>717288</v>
      </c>
    </row>
    <row r="801" spans="1:23" ht="12.75">
      <c r="A801" s="379">
        <v>46148.346574074072</v>
      </c>
      <c r="B801" s="206" t="s">
        <v>3650</v>
      </c>
      <c r="C801" s="206"/>
      <c r="D801" s="206" t="s">
        <v>45</v>
      </c>
      <c r="E801" s="380">
        <v>28186</v>
      </c>
      <c r="F801" s="206" t="s">
        <v>475</v>
      </c>
      <c r="G801" s="206" t="s">
        <v>4396</v>
      </c>
      <c r="H801" s="206" t="s">
        <v>3648</v>
      </c>
      <c r="I801" s="252" t="s">
        <v>4219</v>
      </c>
      <c r="J801" s="206" t="s">
        <v>3649</v>
      </c>
      <c r="K801" s="206" t="s">
        <v>39</v>
      </c>
      <c r="L801" s="206" t="s">
        <v>30</v>
      </c>
      <c r="M801" s="206"/>
      <c r="N801" s="206"/>
      <c r="O801" s="206"/>
      <c r="P801" s="206" t="s">
        <v>31</v>
      </c>
      <c r="Q801" s="205" t="s">
        <v>32</v>
      </c>
      <c r="R801" s="141" t="s">
        <v>43</v>
      </c>
      <c r="S801" s="206" t="s">
        <v>3650</v>
      </c>
      <c r="T801" s="380">
        <v>28186</v>
      </c>
      <c r="U801" s="206" t="s">
        <v>3649</v>
      </c>
      <c r="V801" s="208" t="s">
        <v>3651</v>
      </c>
      <c r="W801" s="209">
        <v>719739</v>
      </c>
    </row>
    <row r="802" spans="1:23" ht="12.75">
      <c r="A802" s="274">
        <v>46148.482349537036</v>
      </c>
      <c r="B802" s="242" t="s">
        <v>3652</v>
      </c>
      <c r="C802" s="242" t="s">
        <v>3653</v>
      </c>
      <c r="D802" s="242" t="s">
        <v>24</v>
      </c>
      <c r="E802" s="275">
        <v>28629</v>
      </c>
      <c r="F802" s="242" t="s">
        <v>1932</v>
      </c>
      <c r="G802" s="242" t="s">
        <v>3654</v>
      </c>
      <c r="H802" s="242" t="s">
        <v>3655</v>
      </c>
      <c r="I802" s="241" t="s">
        <v>4219</v>
      </c>
      <c r="J802" s="242" t="s">
        <v>3656</v>
      </c>
      <c r="K802" s="242" t="s">
        <v>29</v>
      </c>
      <c r="L802" s="242" t="s">
        <v>30</v>
      </c>
      <c r="M802" s="242" t="s">
        <v>3657</v>
      </c>
      <c r="N802" s="242"/>
      <c r="O802" s="242"/>
      <c r="P802" s="242" t="s">
        <v>31</v>
      </c>
      <c r="Q802" s="242" t="s">
        <v>32</v>
      </c>
      <c r="R802" s="242" t="s">
        <v>33</v>
      </c>
      <c r="S802" s="242" t="s">
        <v>2208</v>
      </c>
      <c r="T802" s="275">
        <v>28629</v>
      </c>
      <c r="U802" s="242" t="s">
        <v>2207</v>
      </c>
      <c r="V802" s="442" t="s">
        <v>3658</v>
      </c>
      <c r="W802" s="277">
        <v>722097</v>
      </c>
    </row>
    <row r="803" spans="1:23" ht="12.75">
      <c r="A803" s="379">
        <v>46148.528981481482</v>
      </c>
      <c r="B803" s="206" t="s">
        <v>591</v>
      </c>
      <c r="C803" s="206"/>
      <c r="D803" s="206" t="s">
        <v>45</v>
      </c>
      <c r="E803" s="380">
        <v>37547</v>
      </c>
      <c r="F803" s="206" t="s">
        <v>208</v>
      </c>
      <c r="G803" s="206" t="s">
        <v>4397</v>
      </c>
      <c r="H803" s="206" t="s">
        <v>4398</v>
      </c>
      <c r="I803" s="252" t="s">
        <v>4223</v>
      </c>
      <c r="J803" s="206" t="s">
        <v>593</v>
      </c>
      <c r="K803" s="206" t="s">
        <v>29</v>
      </c>
      <c r="L803" s="206" t="s">
        <v>30</v>
      </c>
      <c r="M803" s="206"/>
      <c r="N803" s="206"/>
      <c r="O803" s="206"/>
      <c r="P803" s="206" t="s">
        <v>31</v>
      </c>
      <c r="Q803" s="205" t="s">
        <v>32</v>
      </c>
      <c r="R803" s="141" t="s">
        <v>33</v>
      </c>
      <c r="S803" s="206" t="s">
        <v>591</v>
      </c>
      <c r="T803" s="380">
        <v>37182</v>
      </c>
      <c r="U803" s="206" t="s">
        <v>593</v>
      </c>
      <c r="V803" s="208" t="s">
        <v>3661</v>
      </c>
      <c r="W803" s="209">
        <v>717161</v>
      </c>
    </row>
    <row r="804" spans="1:23" ht="12.75">
      <c r="A804" s="255">
        <v>46148.534259259257</v>
      </c>
      <c r="B804" s="141" t="s">
        <v>3662</v>
      </c>
      <c r="C804" s="141"/>
      <c r="D804" s="141" t="s">
        <v>24</v>
      </c>
      <c r="E804" s="256">
        <v>31038</v>
      </c>
      <c r="F804" s="141" t="s">
        <v>52</v>
      </c>
      <c r="G804" s="141" t="s">
        <v>3663</v>
      </c>
      <c r="H804" s="141" t="s">
        <v>3664</v>
      </c>
      <c r="I804" s="252" t="s">
        <v>4219</v>
      </c>
      <c r="J804" s="141" t="s">
        <v>1230</v>
      </c>
      <c r="K804" s="141" t="s">
        <v>39</v>
      </c>
      <c r="L804" s="141" t="s">
        <v>162</v>
      </c>
      <c r="M804" s="141"/>
      <c r="N804" s="141"/>
      <c r="O804" s="141"/>
      <c r="P804" s="141" t="s">
        <v>31</v>
      </c>
      <c r="Q804" s="205" t="s">
        <v>32</v>
      </c>
      <c r="R804" s="141" t="s">
        <v>33</v>
      </c>
      <c r="S804" s="141" t="s">
        <v>1231</v>
      </c>
      <c r="T804" s="256">
        <v>31038</v>
      </c>
      <c r="U804" s="141" t="s">
        <v>1230</v>
      </c>
      <c r="V804" s="227" t="s">
        <v>3665</v>
      </c>
      <c r="W804" s="228">
        <v>717435</v>
      </c>
    </row>
    <row r="805" spans="1:23" ht="12.75">
      <c r="A805" s="379">
        <v>46148.636446759258</v>
      </c>
      <c r="B805" s="206" t="s">
        <v>3672</v>
      </c>
      <c r="C805" s="206"/>
      <c r="D805" s="206" t="s">
        <v>45</v>
      </c>
      <c r="E805" s="380">
        <v>24412</v>
      </c>
      <c r="F805" s="206" t="s">
        <v>3667</v>
      </c>
      <c r="G805" s="206" t="s">
        <v>4399</v>
      </c>
      <c r="H805" s="206" t="s">
        <v>4400</v>
      </c>
      <c r="I805" s="252" t="s">
        <v>4219</v>
      </c>
      <c r="J805" s="206" t="s">
        <v>3670</v>
      </c>
      <c r="K805" s="206" t="s">
        <v>29</v>
      </c>
      <c r="L805" s="206" t="s">
        <v>30</v>
      </c>
      <c r="M805" s="206" t="s">
        <v>3671</v>
      </c>
      <c r="N805" s="206"/>
      <c r="O805" s="206"/>
      <c r="P805" s="206" t="s">
        <v>31</v>
      </c>
      <c r="Q805" s="205" t="s">
        <v>32</v>
      </c>
      <c r="R805" s="141" t="s">
        <v>33</v>
      </c>
      <c r="S805" s="206" t="s">
        <v>3672</v>
      </c>
      <c r="T805" s="380">
        <v>24412</v>
      </c>
      <c r="U805" s="206" t="s">
        <v>3670</v>
      </c>
      <c r="V805" s="208" t="s">
        <v>3673</v>
      </c>
      <c r="W805" s="209">
        <v>723769</v>
      </c>
    </row>
    <row r="806" spans="1:23" ht="12.75">
      <c r="A806" s="379">
        <v>46148.641909722224</v>
      </c>
      <c r="B806" s="206" t="s">
        <v>3678</v>
      </c>
      <c r="C806" s="206"/>
      <c r="D806" s="206" t="s">
        <v>24</v>
      </c>
      <c r="E806" s="380">
        <v>35565</v>
      </c>
      <c r="F806" s="206" t="s">
        <v>3544</v>
      </c>
      <c r="G806" s="206" t="s">
        <v>4401</v>
      </c>
      <c r="H806" s="206" t="s">
        <v>3676</v>
      </c>
      <c r="I806" s="252" t="s">
        <v>4219</v>
      </c>
      <c r="J806" s="206" t="s">
        <v>3677</v>
      </c>
      <c r="K806" s="206" t="s">
        <v>39</v>
      </c>
      <c r="L806" s="206" t="s">
        <v>30</v>
      </c>
      <c r="M806" s="206"/>
      <c r="N806" s="206"/>
      <c r="O806" s="206"/>
      <c r="P806" s="206" t="s">
        <v>31</v>
      </c>
      <c r="Q806" s="205" t="s">
        <v>32</v>
      </c>
      <c r="R806" s="141" t="s">
        <v>33</v>
      </c>
      <c r="S806" s="206" t="s">
        <v>3678</v>
      </c>
      <c r="T806" s="380">
        <v>35565</v>
      </c>
      <c r="U806" s="206" t="s">
        <v>3677</v>
      </c>
      <c r="V806" s="208" t="s">
        <v>3679</v>
      </c>
      <c r="W806" s="209">
        <v>719722</v>
      </c>
    </row>
    <row r="807" spans="1:23" ht="12.75">
      <c r="A807" s="379">
        <v>46148.68408564815</v>
      </c>
      <c r="B807" s="206" t="s">
        <v>3680</v>
      </c>
      <c r="C807" s="206"/>
      <c r="D807" s="206" t="s">
        <v>24</v>
      </c>
      <c r="E807" s="380">
        <v>38887</v>
      </c>
      <c r="F807" s="206" t="s">
        <v>2332</v>
      </c>
      <c r="G807" s="206" t="s">
        <v>3681</v>
      </c>
      <c r="H807" s="206" t="s">
        <v>3682</v>
      </c>
      <c r="I807" s="252" t="s">
        <v>4237</v>
      </c>
      <c r="J807" s="206" t="s">
        <v>3683</v>
      </c>
      <c r="K807" s="206" t="s">
        <v>29</v>
      </c>
      <c r="L807" s="206" t="s">
        <v>30</v>
      </c>
      <c r="M807" s="206" t="s">
        <v>3684</v>
      </c>
      <c r="N807" s="206"/>
      <c r="O807" s="206"/>
      <c r="P807" s="206" t="s">
        <v>31</v>
      </c>
      <c r="Q807" s="205" t="s">
        <v>32</v>
      </c>
      <c r="R807" s="141" t="s">
        <v>43</v>
      </c>
      <c r="S807" s="206" t="s">
        <v>3680</v>
      </c>
      <c r="T807" s="380">
        <v>38887</v>
      </c>
      <c r="U807" s="206" t="s">
        <v>3685</v>
      </c>
      <c r="V807" s="208" t="s">
        <v>3686</v>
      </c>
      <c r="W807" s="209">
        <v>722162</v>
      </c>
    </row>
    <row r="808" spans="1:23" ht="12.75">
      <c r="A808" s="379">
        <v>46148.724363425928</v>
      </c>
      <c r="B808" s="206" t="s">
        <v>3687</v>
      </c>
      <c r="C808" s="206" t="s">
        <v>3688</v>
      </c>
      <c r="D808" s="206" t="s">
        <v>45</v>
      </c>
      <c r="E808" s="380">
        <v>33504</v>
      </c>
      <c r="F808" s="206" t="s">
        <v>1905</v>
      </c>
      <c r="G808" s="206" t="s">
        <v>3689</v>
      </c>
      <c r="H808" s="206" t="s">
        <v>933</v>
      </c>
      <c r="I808" s="252" t="s">
        <v>4223</v>
      </c>
      <c r="J808" s="206" t="s">
        <v>3690</v>
      </c>
      <c r="K808" s="206" t="s">
        <v>29</v>
      </c>
      <c r="L808" s="206" t="s">
        <v>30</v>
      </c>
      <c r="M808" s="206"/>
      <c r="N808" s="206"/>
      <c r="O808" s="206"/>
      <c r="P808" s="206" t="s">
        <v>31</v>
      </c>
      <c r="Q808" s="205" t="s">
        <v>32</v>
      </c>
      <c r="R808" s="141" t="s">
        <v>33</v>
      </c>
      <c r="S808" s="206" t="s">
        <v>3691</v>
      </c>
      <c r="T808" s="380">
        <v>33504</v>
      </c>
      <c r="U808" s="206" t="s">
        <v>3690</v>
      </c>
      <c r="V808" s="208" t="s">
        <v>3692</v>
      </c>
      <c r="W808" s="209">
        <v>717234</v>
      </c>
    </row>
    <row r="809" spans="1:23" ht="12.75">
      <c r="A809" s="379">
        <v>46148.790613425925</v>
      </c>
      <c r="B809" s="206" t="s">
        <v>576</v>
      </c>
      <c r="C809" s="206"/>
      <c r="D809" s="206" t="s">
        <v>45</v>
      </c>
      <c r="E809" s="380">
        <v>35236</v>
      </c>
      <c r="F809" s="206" t="s">
        <v>208</v>
      </c>
      <c r="G809" s="206" t="s">
        <v>3693</v>
      </c>
      <c r="H809" s="206" t="s">
        <v>3694</v>
      </c>
      <c r="I809" s="252" t="s">
        <v>4223</v>
      </c>
      <c r="J809" s="206" t="s">
        <v>579</v>
      </c>
      <c r="K809" s="206" t="s">
        <v>29</v>
      </c>
      <c r="L809" s="206" t="s">
        <v>30</v>
      </c>
      <c r="M809" s="206"/>
      <c r="N809" s="206"/>
      <c r="O809" s="206"/>
      <c r="P809" s="206" t="s">
        <v>31</v>
      </c>
      <c r="Q809" s="205" t="s">
        <v>32</v>
      </c>
      <c r="R809" s="141" t="s">
        <v>33</v>
      </c>
      <c r="S809" s="206" t="s">
        <v>580</v>
      </c>
      <c r="T809" s="380">
        <v>35236</v>
      </c>
      <c r="U809" s="206" t="s">
        <v>579</v>
      </c>
      <c r="V809" s="208" t="s">
        <v>3695</v>
      </c>
      <c r="W809" s="209">
        <v>719217</v>
      </c>
    </row>
    <row r="810" spans="1:23" ht="12.75">
      <c r="A810" s="379">
        <v>46148.812824074077</v>
      </c>
      <c r="B810" s="206" t="s">
        <v>2026</v>
      </c>
      <c r="C810" s="206"/>
      <c r="D810" s="206" t="s">
        <v>24</v>
      </c>
      <c r="E810" s="380">
        <v>46216</v>
      </c>
      <c r="F810" s="206" t="s">
        <v>1905</v>
      </c>
      <c r="G810" s="206" t="s">
        <v>2017</v>
      </c>
      <c r="H810" s="206" t="s">
        <v>66</v>
      </c>
      <c r="I810" s="252" t="s">
        <v>4223</v>
      </c>
      <c r="J810" s="206" t="s">
        <v>2027</v>
      </c>
      <c r="K810" s="206" t="s">
        <v>29</v>
      </c>
      <c r="L810" s="206" t="s">
        <v>30</v>
      </c>
      <c r="M810" s="206"/>
      <c r="N810" s="206"/>
      <c r="O810" s="206"/>
      <c r="P810" s="206" t="s">
        <v>31</v>
      </c>
      <c r="Q810" s="205" t="s">
        <v>32</v>
      </c>
      <c r="R810" s="141"/>
      <c r="S810" s="206" t="s">
        <v>2026</v>
      </c>
      <c r="T810" s="380">
        <v>37815</v>
      </c>
      <c r="U810" s="206" t="s">
        <v>2027</v>
      </c>
      <c r="V810" s="208" t="s">
        <v>3696</v>
      </c>
      <c r="W810" s="209">
        <v>722114</v>
      </c>
    </row>
    <row r="811" spans="1:23" ht="12.75">
      <c r="A811" s="379">
        <v>46148.822199074071</v>
      </c>
      <c r="B811" s="206" t="s">
        <v>2301</v>
      </c>
      <c r="C811" s="206" t="s">
        <v>2301</v>
      </c>
      <c r="D811" s="206" t="s">
        <v>24</v>
      </c>
      <c r="E811" s="380">
        <v>35691</v>
      </c>
      <c r="F811" s="206" t="s">
        <v>208</v>
      </c>
      <c r="G811" s="206" t="s">
        <v>1228</v>
      </c>
      <c r="H811" s="206" t="s">
        <v>2303</v>
      </c>
      <c r="I811" s="252" t="s">
        <v>4223</v>
      </c>
      <c r="J811" s="206" t="s">
        <v>2304</v>
      </c>
      <c r="K811" s="206" t="s">
        <v>29</v>
      </c>
      <c r="L811" s="206" t="s">
        <v>30</v>
      </c>
      <c r="M811" s="206"/>
      <c r="N811" s="206"/>
      <c r="O811" s="206"/>
      <c r="P811" s="206" t="s">
        <v>31</v>
      </c>
      <c r="Q811" s="205" t="s">
        <v>32</v>
      </c>
      <c r="R811" s="141" t="s">
        <v>33</v>
      </c>
      <c r="S811" s="206" t="s">
        <v>2301</v>
      </c>
      <c r="T811" s="380">
        <v>35691</v>
      </c>
      <c r="U811" s="206" t="s">
        <v>2304</v>
      </c>
      <c r="V811" s="208" t="s">
        <v>3700</v>
      </c>
      <c r="W811" s="209">
        <v>718993</v>
      </c>
    </row>
    <row r="812" spans="1:23" ht="12.75">
      <c r="A812" s="379">
        <v>46148.861712962964</v>
      </c>
      <c r="B812" s="206" t="s">
        <v>3701</v>
      </c>
      <c r="C812" s="206" t="s">
        <v>3705</v>
      </c>
      <c r="D812" s="206" t="s">
        <v>45</v>
      </c>
      <c r="E812" s="380">
        <v>29338</v>
      </c>
      <c r="F812" s="206" t="s">
        <v>380</v>
      </c>
      <c r="G812" s="206" t="s">
        <v>209</v>
      </c>
      <c r="H812" s="206" t="s">
        <v>4402</v>
      </c>
      <c r="I812" s="252" t="s">
        <v>4223</v>
      </c>
      <c r="J812" s="206" t="s">
        <v>3704</v>
      </c>
      <c r="K812" s="206" t="s">
        <v>39</v>
      </c>
      <c r="L812" s="381">
        <v>46202</v>
      </c>
      <c r="M812" s="206"/>
      <c r="N812" s="206"/>
      <c r="O812" s="206"/>
      <c r="P812" s="206" t="s">
        <v>31</v>
      </c>
      <c r="Q812" s="205" t="s">
        <v>32</v>
      </c>
      <c r="R812" s="141" t="s">
        <v>33</v>
      </c>
      <c r="S812" s="206" t="s">
        <v>3705</v>
      </c>
      <c r="T812" s="380">
        <v>29338</v>
      </c>
      <c r="U812" s="206" t="s">
        <v>3704</v>
      </c>
      <c r="V812" s="208" t="s">
        <v>3706</v>
      </c>
      <c r="W812" s="209">
        <v>718592</v>
      </c>
    </row>
    <row r="813" spans="1:23" ht="12.75">
      <c r="A813" s="379">
        <v>46148.882395833331</v>
      </c>
      <c r="B813" s="206" t="s">
        <v>3707</v>
      </c>
      <c r="C813" s="206" t="s">
        <v>3708</v>
      </c>
      <c r="D813" s="206" t="s">
        <v>24</v>
      </c>
      <c r="E813" s="380">
        <v>33868</v>
      </c>
      <c r="F813" s="206" t="s">
        <v>88</v>
      </c>
      <c r="G813" s="206" t="s">
        <v>3709</v>
      </c>
      <c r="H813" s="206" t="s">
        <v>3710</v>
      </c>
      <c r="I813" s="252" t="s">
        <v>4223</v>
      </c>
      <c r="J813" s="206" t="s">
        <v>934</v>
      </c>
      <c r="K813" s="206" t="s">
        <v>29</v>
      </c>
      <c r="L813" s="206" t="s">
        <v>30</v>
      </c>
      <c r="M813" s="206"/>
      <c r="N813" s="206"/>
      <c r="O813" s="206"/>
      <c r="P813" s="206" t="s">
        <v>31</v>
      </c>
      <c r="Q813" s="205" t="s">
        <v>32</v>
      </c>
      <c r="R813" s="141" t="s">
        <v>33</v>
      </c>
      <c r="S813" s="206" t="s">
        <v>931</v>
      </c>
      <c r="T813" s="380">
        <v>33868</v>
      </c>
      <c r="U813" s="206" t="s">
        <v>934</v>
      </c>
      <c r="V813" s="208" t="s">
        <v>3711</v>
      </c>
      <c r="W813" s="209">
        <v>719630</v>
      </c>
    </row>
    <row r="814" spans="1:23" ht="12.75">
      <c r="A814" s="379">
        <v>46148.937858796293</v>
      </c>
      <c r="B814" s="206" t="s">
        <v>1079</v>
      </c>
      <c r="C814" s="206"/>
      <c r="D814" s="206" t="s">
        <v>45</v>
      </c>
      <c r="E814" s="380">
        <v>32733</v>
      </c>
      <c r="F814" s="206" t="s">
        <v>980</v>
      </c>
      <c r="G814" s="206" t="s">
        <v>1500</v>
      </c>
      <c r="H814" s="206" t="s">
        <v>4403</v>
      </c>
      <c r="I814" s="252" t="s">
        <v>4219</v>
      </c>
      <c r="J814" s="206" t="s">
        <v>1081</v>
      </c>
      <c r="K814" s="206" t="s">
        <v>39</v>
      </c>
      <c r="L814" s="206" t="s">
        <v>621</v>
      </c>
      <c r="M814" s="206" t="s">
        <v>4404</v>
      </c>
      <c r="N814" s="206"/>
      <c r="O814" s="206"/>
      <c r="P814" s="206" t="s">
        <v>31</v>
      </c>
      <c r="Q814" s="205" t="s">
        <v>32</v>
      </c>
      <c r="R814" s="141" t="s">
        <v>33</v>
      </c>
      <c r="S814" s="206" t="s">
        <v>1079</v>
      </c>
      <c r="T814" s="380">
        <v>32733</v>
      </c>
      <c r="U814" s="206" t="s">
        <v>1081</v>
      </c>
      <c r="V814" s="208" t="s">
        <v>3715</v>
      </c>
      <c r="W814" s="209">
        <v>720891</v>
      </c>
    </row>
    <row r="815" spans="1:23" ht="12.75">
      <c r="A815" s="379">
        <v>46149.058657407404</v>
      </c>
      <c r="B815" s="206" t="s">
        <v>728</v>
      </c>
      <c r="C815" s="206"/>
      <c r="D815" s="206" t="s">
        <v>45</v>
      </c>
      <c r="E815" s="380">
        <v>36016</v>
      </c>
      <c r="F815" s="206" t="s">
        <v>70</v>
      </c>
      <c r="G815" s="206" t="s">
        <v>811</v>
      </c>
      <c r="H815" s="206" t="s">
        <v>2162</v>
      </c>
      <c r="I815" s="252" t="s">
        <v>4219</v>
      </c>
      <c r="J815" s="206" t="s">
        <v>730</v>
      </c>
      <c r="K815" s="206" t="s">
        <v>29</v>
      </c>
      <c r="L815" s="206" t="s">
        <v>30</v>
      </c>
      <c r="M815" s="206"/>
      <c r="N815" s="206"/>
      <c r="O815" s="206"/>
      <c r="P815" s="206" t="s">
        <v>31</v>
      </c>
      <c r="Q815" s="205" t="s">
        <v>32</v>
      </c>
      <c r="R815" s="141" t="s">
        <v>33</v>
      </c>
      <c r="S815" s="206" t="s">
        <v>728</v>
      </c>
      <c r="T815" s="380">
        <v>36016</v>
      </c>
      <c r="U815" s="206" t="s">
        <v>730</v>
      </c>
      <c r="V815" s="208" t="s">
        <v>3716</v>
      </c>
      <c r="W815" s="209">
        <v>718656</v>
      </c>
    </row>
    <row r="816" spans="1:23" ht="12.75">
      <c r="A816" s="379">
        <v>46149.154351851852</v>
      </c>
      <c r="B816" s="206" t="s">
        <v>3718</v>
      </c>
      <c r="C816" s="206"/>
      <c r="D816" s="206" t="s">
        <v>24</v>
      </c>
      <c r="E816" s="380">
        <v>37775</v>
      </c>
      <c r="F816" s="206" t="s">
        <v>3544</v>
      </c>
      <c r="G816" s="206" t="s">
        <v>4405</v>
      </c>
      <c r="H816" s="206" t="s">
        <v>66</v>
      </c>
      <c r="I816" s="252" t="s">
        <v>4219</v>
      </c>
      <c r="J816" s="206" t="s">
        <v>3546</v>
      </c>
      <c r="K816" s="206" t="s">
        <v>29</v>
      </c>
      <c r="L816" s="206" t="s">
        <v>30</v>
      </c>
      <c r="M816" s="206"/>
      <c r="N816" s="206"/>
      <c r="O816" s="206"/>
      <c r="P816" s="206" t="s">
        <v>31</v>
      </c>
      <c r="Q816" s="205" t="s">
        <v>32</v>
      </c>
      <c r="R816" s="141" t="s">
        <v>33</v>
      </c>
      <c r="S816" s="206" t="s">
        <v>3718</v>
      </c>
      <c r="T816" s="380">
        <v>37775</v>
      </c>
      <c r="U816" s="206" t="s">
        <v>3546</v>
      </c>
      <c r="V816" s="208" t="s">
        <v>3719</v>
      </c>
      <c r="W816" s="209">
        <v>723572</v>
      </c>
    </row>
    <row r="817" spans="1:23" ht="12.75">
      <c r="A817" s="379">
        <v>46149.232800925929</v>
      </c>
      <c r="B817" s="206" t="s">
        <v>3720</v>
      </c>
      <c r="C817" s="206"/>
      <c r="D817" s="206" t="s">
        <v>24</v>
      </c>
      <c r="E817" s="380">
        <v>36844</v>
      </c>
      <c r="F817" s="206" t="s">
        <v>232</v>
      </c>
      <c r="G817" s="206" t="s">
        <v>3721</v>
      </c>
      <c r="H817" s="206" t="s">
        <v>160</v>
      </c>
      <c r="I817" s="252" t="s">
        <v>4219</v>
      </c>
      <c r="J817" s="206" t="s">
        <v>3722</v>
      </c>
      <c r="K817" s="206" t="s">
        <v>39</v>
      </c>
      <c r="L817" s="206" t="s">
        <v>30</v>
      </c>
      <c r="M817" s="206"/>
      <c r="N817" s="206"/>
      <c r="O817" s="206"/>
      <c r="P817" s="206" t="s">
        <v>31</v>
      </c>
      <c r="Q817" s="205" t="s">
        <v>32</v>
      </c>
      <c r="R817" s="141"/>
      <c r="S817" s="206" t="s">
        <v>3723</v>
      </c>
      <c r="T817" s="380">
        <v>36844</v>
      </c>
      <c r="U817" s="206" t="s">
        <v>3722</v>
      </c>
      <c r="V817" s="208" t="s">
        <v>3724</v>
      </c>
      <c r="W817" s="209">
        <v>720727</v>
      </c>
    </row>
    <row r="818" spans="1:23" ht="12.75">
      <c r="A818" s="379">
        <v>46149.251956018517</v>
      </c>
      <c r="B818" s="206" t="s">
        <v>3725</v>
      </c>
      <c r="C818" s="206"/>
      <c r="D818" s="206" t="s">
        <v>45</v>
      </c>
      <c r="E818" s="380">
        <v>35291</v>
      </c>
      <c r="F818" s="206" t="s">
        <v>35</v>
      </c>
      <c r="G818" s="206" t="s">
        <v>3726</v>
      </c>
      <c r="H818" s="206" t="s">
        <v>4406</v>
      </c>
      <c r="I818" s="252" t="s">
        <v>4219</v>
      </c>
      <c r="J818" s="206" t="s">
        <v>3728</v>
      </c>
      <c r="K818" s="206" t="s">
        <v>39</v>
      </c>
      <c r="L818" s="206" t="s">
        <v>30</v>
      </c>
      <c r="M818" s="206"/>
      <c r="N818" s="206"/>
      <c r="O818" s="206"/>
      <c r="P818" s="206" t="s">
        <v>31</v>
      </c>
      <c r="Q818" s="205" t="s">
        <v>32</v>
      </c>
      <c r="R818" s="141" t="s">
        <v>33</v>
      </c>
      <c r="S818" s="206" t="s">
        <v>3729</v>
      </c>
      <c r="T818" s="380">
        <v>35291</v>
      </c>
      <c r="U818" s="206" t="s">
        <v>3728</v>
      </c>
      <c r="V818" s="208" t="s">
        <v>3730</v>
      </c>
      <c r="W818" s="209">
        <v>717412</v>
      </c>
    </row>
    <row r="819" spans="1:23" ht="12.75">
      <c r="A819" s="379">
        <v>46149.567106481481</v>
      </c>
      <c r="B819" s="206" t="s">
        <v>3731</v>
      </c>
      <c r="C819" s="206"/>
      <c r="D819" s="206" t="s">
        <v>45</v>
      </c>
      <c r="E819" s="380">
        <v>30098</v>
      </c>
      <c r="F819" s="206" t="s">
        <v>64</v>
      </c>
      <c r="G819" s="206" t="s">
        <v>3732</v>
      </c>
      <c r="H819" s="206" t="s">
        <v>3733</v>
      </c>
      <c r="I819" s="252" t="s">
        <v>4219</v>
      </c>
      <c r="J819" s="206" t="s">
        <v>695</v>
      </c>
      <c r="K819" s="206" t="s">
        <v>29</v>
      </c>
      <c r="L819" s="206" t="s">
        <v>30</v>
      </c>
      <c r="M819" s="206"/>
      <c r="N819" s="206"/>
      <c r="O819" s="206"/>
      <c r="P819" s="206" t="s">
        <v>31</v>
      </c>
      <c r="Q819" s="205" t="s">
        <v>32</v>
      </c>
      <c r="R819" s="141" t="s">
        <v>33</v>
      </c>
      <c r="S819" s="206" t="s">
        <v>696</v>
      </c>
      <c r="T819" s="380">
        <v>30098</v>
      </c>
      <c r="U819" s="206" t="s">
        <v>695</v>
      </c>
      <c r="V819" s="208" t="s">
        <v>3734</v>
      </c>
      <c r="W819" s="209">
        <v>719331</v>
      </c>
    </row>
    <row r="820" spans="1:23" ht="12.75">
      <c r="A820" s="379">
        <v>46149.632685185185</v>
      </c>
      <c r="B820" s="206" t="s">
        <v>663</v>
      </c>
      <c r="C820" s="206"/>
      <c r="D820" s="206" t="s">
        <v>24</v>
      </c>
      <c r="E820" s="380">
        <v>36380</v>
      </c>
      <c r="F820" s="206" t="s">
        <v>52</v>
      </c>
      <c r="G820" s="206" t="s">
        <v>4407</v>
      </c>
      <c r="H820" s="206" t="s">
        <v>1941</v>
      </c>
      <c r="I820" s="252" t="s">
        <v>4219</v>
      </c>
      <c r="J820" s="206" t="s">
        <v>665</v>
      </c>
      <c r="K820" s="206" t="s">
        <v>29</v>
      </c>
      <c r="L820" s="206" t="s">
        <v>30</v>
      </c>
      <c r="M820" s="206"/>
      <c r="N820" s="206"/>
      <c r="O820" s="206"/>
      <c r="P820" s="206" t="s">
        <v>31</v>
      </c>
      <c r="Q820" s="205" t="s">
        <v>32</v>
      </c>
      <c r="R820" s="141" t="s">
        <v>33</v>
      </c>
      <c r="S820" s="206" t="s">
        <v>663</v>
      </c>
      <c r="T820" s="380">
        <v>36376</v>
      </c>
      <c r="U820" s="206" t="s">
        <v>666</v>
      </c>
      <c r="V820" s="208" t="s">
        <v>3737</v>
      </c>
      <c r="W820" s="209">
        <v>717417</v>
      </c>
    </row>
    <row r="821" spans="1:23" ht="12.75">
      <c r="A821" s="379">
        <v>46149.740833333337</v>
      </c>
      <c r="B821" s="206" t="s">
        <v>3738</v>
      </c>
      <c r="C821" s="206" t="s">
        <v>3738</v>
      </c>
      <c r="D821" s="206" t="s">
        <v>24</v>
      </c>
      <c r="E821" s="380">
        <v>35102</v>
      </c>
      <c r="F821" s="206" t="s">
        <v>3739</v>
      </c>
      <c r="G821" s="206" t="s">
        <v>3740</v>
      </c>
      <c r="H821" s="206" t="s">
        <v>66</v>
      </c>
      <c r="I821" s="252" t="s">
        <v>4219</v>
      </c>
      <c r="J821" s="206" t="s">
        <v>3741</v>
      </c>
      <c r="K821" s="206" t="s">
        <v>29</v>
      </c>
      <c r="L821" s="206" t="s">
        <v>30</v>
      </c>
      <c r="M821" s="206"/>
      <c r="N821" s="206"/>
      <c r="O821" s="206"/>
      <c r="P821" s="206" t="s">
        <v>31</v>
      </c>
      <c r="Q821" s="205" t="s">
        <v>32</v>
      </c>
      <c r="R821" s="141" t="s">
        <v>33</v>
      </c>
      <c r="S821" s="206" t="s">
        <v>3738</v>
      </c>
      <c r="T821" s="380">
        <v>35102</v>
      </c>
      <c r="U821" s="206" t="s">
        <v>3741</v>
      </c>
      <c r="V821" s="208" t="s">
        <v>3742</v>
      </c>
      <c r="W821" s="209">
        <v>722843</v>
      </c>
    </row>
    <row r="822" spans="1:23" ht="12.75">
      <c r="A822" s="379">
        <v>46149.812118055554</v>
      </c>
      <c r="B822" s="206" t="s">
        <v>4408</v>
      </c>
      <c r="C822" s="206" t="s">
        <v>3749</v>
      </c>
      <c r="D822" s="206" t="s">
        <v>24</v>
      </c>
      <c r="E822" s="380">
        <v>34493</v>
      </c>
      <c r="F822" s="206" t="s">
        <v>198</v>
      </c>
      <c r="G822" s="206" t="s">
        <v>3745</v>
      </c>
      <c r="H822" s="206" t="s">
        <v>3746</v>
      </c>
      <c r="I822" s="252" t="s">
        <v>4219</v>
      </c>
      <c r="J822" s="206" t="s">
        <v>3747</v>
      </c>
      <c r="K822" s="206" t="s">
        <v>29</v>
      </c>
      <c r="L822" s="206" t="s">
        <v>30</v>
      </c>
      <c r="M822" s="206" t="s">
        <v>4409</v>
      </c>
      <c r="N822" s="206"/>
      <c r="O822" s="206"/>
      <c r="P822" s="206" t="s">
        <v>31</v>
      </c>
      <c r="Q822" s="205" t="s">
        <v>32</v>
      </c>
      <c r="R822" s="141" t="s">
        <v>43</v>
      </c>
      <c r="S822" s="206" t="s">
        <v>3749</v>
      </c>
      <c r="T822" s="380">
        <v>34493</v>
      </c>
      <c r="U822" s="206" t="s">
        <v>3750</v>
      </c>
      <c r="V822" s="208" t="s">
        <v>3751</v>
      </c>
      <c r="W822" s="209">
        <v>724804</v>
      </c>
    </row>
    <row r="823" spans="1:23" ht="12.75">
      <c r="A823" s="379">
        <v>46149.850775462961</v>
      </c>
      <c r="B823" s="206" t="s">
        <v>2555</v>
      </c>
      <c r="C823" s="206"/>
      <c r="D823" s="206" t="s">
        <v>24</v>
      </c>
      <c r="E823" s="380">
        <v>35342</v>
      </c>
      <c r="F823" s="206" t="s">
        <v>2556</v>
      </c>
      <c r="G823" s="206" t="s">
        <v>4410</v>
      </c>
      <c r="H823" s="206" t="s">
        <v>2558</v>
      </c>
      <c r="I823" s="252" t="s">
        <v>4219</v>
      </c>
      <c r="J823" s="206" t="s">
        <v>2559</v>
      </c>
      <c r="K823" s="206" t="s">
        <v>29</v>
      </c>
      <c r="L823" s="206" t="s">
        <v>30</v>
      </c>
      <c r="M823" s="206"/>
      <c r="N823" s="206"/>
      <c r="O823" s="206"/>
      <c r="P823" s="206" t="s">
        <v>31</v>
      </c>
      <c r="Q823" s="205" t="s">
        <v>32</v>
      </c>
      <c r="R823" s="141" t="s">
        <v>33</v>
      </c>
      <c r="S823" s="206" t="s">
        <v>2555</v>
      </c>
      <c r="T823" s="380">
        <v>35342</v>
      </c>
      <c r="U823" s="206" t="s">
        <v>2559</v>
      </c>
      <c r="V823" s="208" t="s">
        <v>3754</v>
      </c>
      <c r="W823" s="209">
        <v>720759</v>
      </c>
    </row>
    <row r="824" spans="1:23" ht="12.75">
      <c r="A824" s="379">
        <v>46149.904178240744</v>
      </c>
      <c r="B824" s="206" t="s">
        <v>3755</v>
      </c>
      <c r="C824" s="206"/>
      <c r="D824" s="206" t="s">
        <v>45</v>
      </c>
      <c r="E824" s="380">
        <v>36907</v>
      </c>
      <c r="F824" s="206" t="s">
        <v>470</v>
      </c>
      <c r="G824" s="206" t="s">
        <v>3756</v>
      </c>
      <c r="H824" s="206" t="s">
        <v>66</v>
      </c>
      <c r="I824" s="252" t="s">
        <v>4219</v>
      </c>
      <c r="J824" s="206" t="s">
        <v>3757</v>
      </c>
      <c r="K824" s="206" t="s">
        <v>29</v>
      </c>
      <c r="L824" s="206" t="s">
        <v>30</v>
      </c>
      <c r="M824" s="206"/>
      <c r="N824" s="206"/>
      <c r="O824" s="206"/>
      <c r="P824" s="206" t="s">
        <v>31</v>
      </c>
      <c r="Q824" s="205" t="s">
        <v>32</v>
      </c>
      <c r="R824" s="141" t="s">
        <v>33</v>
      </c>
      <c r="S824" s="206" t="s">
        <v>3758</v>
      </c>
      <c r="T824" s="380">
        <v>36907</v>
      </c>
      <c r="U824" s="206" t="s">
        <v>3757</v>
      </c>
      <c r="V824" s="208" t="s">
        <v>3759</v>
      </c>
      <c r="W824" s="209">
        <v>720597</v>
      </c>
    </row>
    <row r="825" spans="1:23" ht="12.75">
      <c r="A825" s="274">
        <v>46149.907407407409</v>
      </c>
      <c r="B825" s="242" t="s">
        <v>2228</v>
      </c>
      <c r="C825" s="242" t="s">
        <v>3760</v>
      </c>
      <c r="D825" s="242" t="s">
        <v>45</v>
      </c>
      <c r="E825" s="275">
        <v>38427</v>
      </c>
      <c r="F825" s="242" t="s">
        <v>1932</v>
      </c>
      <c r="G825" s="242" t="s">
        <v>3761</v>
      </c>
      <c r="H825" s="242" t="s">
        <v>90</v>
      </c>
      <c r="I825" s="241" t="s">
        <v>4219</v>
      </c>
      <c r="J825" s="242" t="s">
        <v>2231</v>
      </c>
      <c r="K825" s="242" t="s">
        <v>29</v>
      </c>
      <c r="L825" s="242" t="s">
        <v>162</v>
      </c>
      <c r="M825" s="242"/>
      <c r="N825" s="242"/>
      <c r="O825" s="242"/>
      <c r="P825" s="242" t="s">
        <v>31</v>
      </c>
      <c r="Q825" s="242" t="s">
        <v>32</v>
      </c>
      <c r="R825" s="242" t="s">
        <v>33</v>
      </c>
      <c r="S825" s="242" t="s">
        <v>2228</v>
      </c>
      <c r="T825" s="275">
        <v>38427</v>
      </c>
      <c r="U825" s="242" t="s">
        <v>2231</v>
      </c>
      <c r="V825" s="442" t="s">
        <v>3762</v>
      </c>
      <c r="W825" s="277">
        <v>722232</v>
      </c>
    </row>
    <row r="826" spans="1:23" ht="12.75">
      <c r="A826" s="379">
        <v>46150.141423611109</v>
      </c>
      <c r="B826" s="206" t="s">
        <v>3763</v>
      </c>
      <c r="C826" s="206"/>
      <c r="D826" s="206" t="s">
        <v>24</v>
      </c>
      <c r="E826" s="380">
        <v>37200</v>
      </c>
      <c r="F826" s="206" t="s">
        <v>3764</v>
      </c>
      <c r="G826" s="206" t="s">
        <v>3765</v>
      </c>
      <c r="H826" s="206" t="s">
        <v>66</v>
      </c>
      <c r="I826" s="252" t="s">
        <v>4237</v>
      </c>
      <c r="J826" s="206" t="s">
        <v>3766</v>
      </c>
      <c r="K826" s="206" t="s">
        <v>29</v>
      </c>
      <c r="L826" s="206" t="s">
        <v>30</v>
      </c>
      <c r="M826" s="206"/>
      <c r="N826" s="206"/>
      <c r="O826" s="206"/>
      <c r="P826" s="206" t="s">
        <v>31</v>
      </c>
      <c r="Q826" s="205" t="s">
        <v>32</v>
      </c>
      <c r="R826" s="141" t="s">
        <v>43</v>
      </c>
      <c r="S826" s="206" t="s">
        <v>3767</v>
      </c>
      <c r="T826" s="380">
        <v>37200</v>
      </c>
      <c r="U826" s="206" t="s">
        <v>3766</v>
      </c>
      <c r="V826" s="208" t="s">
        <v>3768</v>
      </c>
      <c r="W826" s="209">
        <v>722393</v>
      </c>
    </row>
    <row r="827" spans="1:23" ht="12.75">
      <c r="A827" s="379">
        <v>46150.215277777781</v>
      </c>
      <c r="B827" s="206" t="s">
        <v>2998</v>
      </c>
      <c r="C827" s="206"/>
      <c r="D827" s="206" t="s">
        <v>45</v>
      </c>
      <c r="E827" s="380">
        <v>38488</v>
      </c>
      <c r="F827" s="206" t="s">
        <v>232</v>
      </c>
      <c r="G827" s="206" t="s">
        <v>2995</v>
      </c>
      <c r="H827" s="206" t="s">
        <v>66</v>
      </c>
      <c r="I827" s="252" t="s">
        <v>4219</v>
      </c>
      <c r="J827" s="206" t="s">
        <v>3770</v>
      </c>
      <c r="K827" s="206" t="s">
        <v>39</v>
      </c>
      <c r="L827" s="206" t="s">
        <v>162</v>
      </c>
      <c r="M827" s="206"/>
      <c r="N827" s="206"/>
      <c r="O827" s="206"/>
      <c r="P827" s="206" t="s">
        <v>31</v>
      </c>
      <c r="Q827" s="205" t="s">
        <v>32</v>
      </c>
      <c r="R827" s="141"/>
      <c r="S827" s="206" t="s">
        <v>2998</v>
      </c>
      <c r="T827" s="380">
        <v>32874</v>
      </c>
      <c r="U827" s="206" t="s">
        <v>3770</v>
      </c>
      <c r="V827" s="208" t="s">
        <v>3771</v>
      </c>
      <c r="W827" s="209">
        <v>719571</v>
      </c>
    </row>
    <row r="828" spans="1:23" ht="12.75">
      <c r="A828" s="379">
        <v>46150.216481481482</v>
      </c>
      <c r="B828" s="206" t="s">
        <v>3772</v>
      </c>
      <c r="C828" s="206" t="s">
        <v>4411</v>
      </c>
      <c r="D828" s="206" t="s">
        <v>24</v>
      </c>
      <c r="E828" s="380">
        <v>35562</v>
      </c>
      <c r="F828" s="206" t="s">
        <v>232</v>
      </c>
      <c r="G828" s="206" t="s">
        <v>3868</v>
      </c>
      <c r="H828" s="206" t="s">
        <v>186</v>
      </c>
      <c r="I828" s="252" t="s">
        <v>4219</v>
      </c>
      <c r="J828" s="206" t="s">
        <v>3775</v>
      </c>
      <c r="K828" s="206" t="s">
        <v>29</v>
      </c>
      <c r="L828" s="206" t="s">
        <v>30</v>
      </c>
      <c r="M828" s="206"/>
      <c r="N828" s="206"/>
      <c r="O828" s="206"/>
      <c r="P828" s="206" t="s">
        <v>31</v>
      </c>
      <c r="Q828" s="205" t="s">
        <v>32</v>
      </c>
      <c r="R828" s="141"/>
      <c r="S828" s="206" t="s">
        <v>3776</v>
      </c>
      <c r="T828" s="380">
        <v>35562</v>
      </c>
      <c r="U828" s="206" t="s">
        <v>3775</v>
      </c>
      <c r="V828" s="208" t="s">
        <v>3777</v>
      </c>
      <c r="W828" s="209">
        <v>720501</v>
      </c>
    </row>
    <row r="829" spans="1:23" ht="12.75">
      <c r="A829" s="379">
        <v>46150.222696759258</v>
      </c>
      <c r="B829" s="206" t="s">
        <v>1448</v>
      </c>
      <c r="C829" s="206"/>
      <c r="D829" s="206" t="s">
        <v>24</v>
      </c>
      <c r="E829" s="380">
        <v>36954</v>
      </c>
      <c r="F829" s="206" t="s">
        <v>232</v>
      </c>
      <c r="G829" s="206" t="s">
        <v>1542</v>
      </c>
      <c r="H829" s="206" t="s">
        <v>66</v>
      </c>
      <c r="I829" s="252" t="s">
        <v>4219</v>
      </c>
      <c r="J829" s="206" t="s">
        <v>3779</v>
      </c>
      <c r="K829" s="206" t="s">
        <v>29</v>
      </c>
      <c r="L829" s="206" t="s">
        <v>30</v>
      </c>
      <c r="M829" s="206"/>
      <c r="N829" s="206"/>
      <c r="O829" s="206"/>
      <c r="P829" s="206" t="s">
        <v>31</v>
      </c>
      <c r="Q829" s="205" t="s">
        <v>32</v>
      </c>
      <c r="R829" s="141" t="s">
        <v>43</v>
      </c>
      <c r="S829" s="206" t="s">
        <v>1448</v>
      </c>
      <c r="T829" s="380">
        <v>36954</v>
      </c>
      <c r="U829" s="206" t="s">
        <v>3779</v>
      </c>
      <c r="V829" s="208" t="s">
        <v>3780</v>
      </c>
      <c r="W829" s="209">
        <v>723766</v>
      </c>
    </row>
    <row r="830" spans="1:23" ht="12.75">
      <c r="A830" s="379">
        <v>46150.25440972222</v>
      </c>
      <c r="B830" s="206" t="s">
        <v>3781</v>
      </c>
      <c r="C830" s="206"/>
      <c r="D830" s="206" t="s">
        <v>24</v>
      </c>
      <c r="E830" s="380">
        <v>39086</v>
      </c>
      <c r="F830" s="206" t="s">
        <v>232</v>
      </c>
      <c r="G830" s="206" t="s">
        <v>3782</v>
      </c>
      <c r="H830" s="206" t="s">
        <v>4412</v>
      </c>
      <c r="I830" s="252" t="s">
        <v>4219</v>
      </c>
      <c r="J830" s="206" t="s">
        <v>3784</v>
      </c>
      <c r="K830" s="206" t="s">
        <v>29</v>
      </c>
      <c r="L830" s="206" t="s">
        <v>162</v>
      </c>
      <c r="M830" s="206"/>
      <c r="N830" s="206"/>
      <c r="O830" s="206"/>
      <c r="P830" s="206" t="s">
        <v>31</v>
      </c>
      <c r="Q830" s="205" t="s">
        <v>32</v>
      </c>
      <c r="R830" s="141"/>
      <c r="S830" s="206" t="s">
        <v>3781</v>
      </c>
      <c r="T830" s="380">
        <v>39086</v>
      </c>
      <c r="U830" s="206" t="s">
        <v>3770</v>
      </c>
      <c r="V830" s="208" t="s">
        <v>3785</v>
      </c>
      <c r="W830" s="209">
        <v>719572</v>
      </c>
    </row>
    <row r="831" spans="1:23" ht="12.75">
      <c r="A831" s="379">
        <v>46150.420069444444</v>
      </c>
      <c r="B831" s="206" t="s">
        <v>3786</v>
      </c>
      <c r="C831" s="206"/>
      <c r="D831" s="206" t="s">
        <v>45</v>
      </c>
      <c r="E831" s="380">
        <v>37198</v>
      </c>
      <c r="F831" s="206" t="s">
        <v>416</v>
      </c>
      <c r="G831" s="206" t="s">
        <v>3787</v>
      </c>
      <c r="H831" s="206" t="s">
        <v>530</v>
      </c>
      <c r="I831" s="252" t="s">
        <v>4219</v>
      </c>
      <c r="J831" s="206" t="s">
        <v>3788</v>
      </c>
      <c r="K831" s="206" t="s">
        <v>39</v>
      </c>
      <c r="L831" s="206" t="s">
        <v>162</v>
      </c>
      <c r="M831" s="206"/>
      <c r="N831" s="206"/>
      <c r="O831" s="206"/>
      <c r="P831" s="206" t="s">
        <v>31</v>
      </c>
      <c r="Q831" s="205" t="s">
        <v>32</v>
      </c>
      <c r="R831" s="141" t="s">
        <v>33</v>
      </c>
      <c r="S831" s="206" t="s">
        <v>3786</v>
      </c>
      <c r="T831" s="380">
        <v>37198</v>
      </c>
      <c r="U831" s="206" t="s">
        <v>3788</v>
      </c>
      <c r="V831" s="208" t="s">
        <v>3789</v>
      </c>
      <c r="W831" s="209">
        <v>723760</v>
      </c>
    </row>
    <row r="832" spans="1:23" ht="12.75">
      <c r="A832" s="379">
        <v>46150.547569444447</v>
      </c>
      <c r="B832" s="206" t="s">
        <v>3790</v>
      </c>
      <c r="C832" s="206"/>
      <c r="D832" s="206" t="s">
        <v>45</v>
      </c>
      <c r="E832" s="380">
        <v>35849</v>
      </c>
      <c r="F832" s="141" t="s">
        <v>438</v>
      </c>
      <c r="G832" s="206" t="s">
        <v>3791</v>
      </c>
      <c r="H832" s="206" t="s">
        <v>4413</v>
      </c>
      <c r="I832" s="252" t="s">
        <v>4219</v>
      </c>
      <c r="J832" s="206" t="s">
        <v>3793</v>
      </c>
      <c r="K832" s="206" t="s">
        <v>39</v>
      </c>
      <c r="L832" s="206" t="s">
        <v>152</v>
      </c>
      <c r="M832" s="206"/>
      <c r="N832" s="206"/>
      <c r="O832" s="206"/>
      <c r="P832" s="206" t="s">
        <v>31</v>
      </c>
      <c r="Q832" s="205" t="s">
        <v>32</v>
      </c>
      <c r="R832" s="141"/>
      <c r="S832" s="206" t="s">
        <v>3794</v>
      </c>
      <c r="T832" s="380">
        <v>35849</v>
      </c>
      <c r="U832" s="206" t="s">
        <v>3793</v>
      </c>
      <c r="V832" s="208" t="s">
        <v>3795</v>
      </c>
      <c r="W832" s="209">
        <v>724789</v>
      </c>
    </row>
    <row r="833" spans="1:23" ht="12.75">
      <c r="A833" s="379">
        <v>46150.554548611108</v>
      </c>
      <c r="B833" s="206" t="s">
        <v>832</v>
      </c>
      <c r="C833" s="206"/>
      <c r="D833" s="206" t="s">
        <v>45</v>
      </c>
      <c r="E833" s="380">
        <v>26816</v>
      </c>
      <c r="F833" s="206" t="s">
        <v>433</v>
      </c>
      <c r="G833" s="206" t="s">
        <v>3797</v>
      </c>
      <c r="H833" s="206" t="s">
        <v>3798</v>
      </c>
      <c r="I833" s="252" t="s">
        <v>4223</v>
      </c>
      <c r="J833" s="206" t="s">
        <v>3799</v>
      </c>
      <c r="K833" s="206" t="s">
        <v>29</v>
      </c>
      <c r="L833" s="206" t="s">
        <v>30</v>
      </c>
      <c r="M833" s="206"/>
      <c r="N833" s="206"/>
      <c r="O833" s="206"/>
      <c r="P833" s="206" t="s">
        <v>31</v>
      </c>
      <c r="Q833" s="205" t="s">
        <v>32</v>
      </c>
      <c r="R833" s="141" t="s">
        <v>33</v>
      </c>
      <c r="S833" s="206" t="s">
        <v>832</v>
      </c>
      <c r="T833" s="380">
        <v>26816</v>
      </c>
      <c r="U833" s="206" t="s">
        <v>836</v>
      </c>
      <c r="V833" s="208" t="s">
        <v>3800</v>
      </c>
      <c r="W833" s="209">
        <v>719511</v>
      </c>
    </row>
    <row r="834" spans="1:23" ht="12.75">
      <c r="A834" s="379">
        <v>46150.579386574071</v>
      </c>
      <c r="B834" s="206" t="s">
        <v>3801</v>
      </c>
      <c r="C834" s="206"/>
      <c r="D834" s="206" t="s">
        <v>24</v>
      </c>
      <c r="E834" s="380">
        <v>35903</v>
      </c>
      <c r="F834" s="206" t="s">
        <v>232</v>
      </c>
      <c r="G834" s="206" t="s">
        <v>3802</v>
      </c>
      <c r="H834" s="206" t="s">
        <v>186</v>
      </c>
      <c r="I834" s="252" t="s">
        <v>4219</v>
      </c>
      <c r="J834" s="206" t="s">
        <v>3803</v>
      </c>
      <c r="K834" s="206" t="s">
        <v>29</v>
      </c>
      <c r="L834" s="206" t="s">
        <v>30</v>
      </c>
      <c r="M834" s="206"/>
      <c r="N834" s="206"/>
      <c r="O834" s="206"/>
      <c r="P834" s="206" t="s">
        <v>31</v>
      </c>
      <c r="Q834" s="205" t="s">
        <v>32</v>
      </c>
      <c r="R834" s="141" t="s">
        <v>43</v>
      </c>
      <c r="S834" s="206" t="s">
        <v>3804</v>
      </c>
      <c r="T834" s="380">
        <v>36268</v>
      </c>
      <c r="U834" s="206" t="s">
        <v>3803</v>
      </c>
      <c r="V834" s="208" t="s">
        <v>3805</v>
      </c>
      <c r="W834" s="209">
        <v>720417</v>
      </c>
    </row>
    <row r="835" spans="1:23" ht="12.75">
      <c r="A835" s="379">
        <v>46150.590381944443</v>
      </c>
      <c r="B835" s="206" t="s">
        <v>3806</v>
      </c>
      <c r="C835" s="206"/>
      <c r="D835" s="206" t="s">
        <v>24</v>
      </c>
      <c r="E835" s="380">
        <v>36194</v>
      </c>
      <c r="F835" s="206" t="s">
        <v>1362</v>
      </c>
      <c r="G835" s="206" t="s">
        <v>1509</v>
      </c>
      <c r="H835" s="206" t="s">
        <v>3808</v>
      </c>
      <c r="I835" s="252" t="s">
        <v>4219</v>
      </c>
      <c r="J835" s="206" t="s">
        <v>3809</v>
      </c>
      <c r="K835" s="206" t="s">
        <v>39</v>
      </c>
      <c r="L835" s="206" t="s">
        <v>30</v>
      </c>
      <c r="M835" s="206"/>
      <c r="N835" s="206"/>
      <c r="O835" s="206"/>
      <c r="P835" s="206" t="s">
        <v>31</v>
      </c>
      <c r="Q835" s="205" t="s">
        <v>32</v>
      </c>
      <c r="R835" s="141" t="s">
        <v>43</v>
      </c>
      <c r="S835" s="206" t="s">
        <v>3806</v>
      </c>
      <c r="T835" s="380">
        <v>36194</v>
      </c>
      <c r="U835" s="206" t="s">
        <v>3809</v>
      </c>
      <c r="V835" s="208" t="s">
        <v>3810</v>
      </c>
      <c r="W835" s="209">
        <v>722829</v>
      </c>
    </row>
    <row r="836" spans="1:23" ht="12.75">
      <c r="A836" s="379">
        <v>46150.841145833336</v>
      </c>
      <c r="B836" s="206" t="s">
        <v>4414</v>
      </c>
      <c r="C836" s="206"/>
      <c r="D836" s="206" t="s">
        <v>24</v>
      </c>
      <c r="E836" s="380">
        <v>37276</v>
      </c>
      <c r="F836" s="206" t="s">
        <v>88</v>
      </c>
      <c r="G836" s="206" t="s">
        <v>3745</v>
      </c>
      <c r="H836" s="206" t="s">
        <v>66</v>
      </c>
      <c r="I836" s="252" t="s">
        <v>4223</v>
      </c>
      <c r="J836" s="206" t="s">
        <v>3813</v>
      </c>
      <c r="K836" s="206" t="s">
        <v>39</v>
      </c>
      <c r="L836" s="206" t="s">
        <v>524</v>
      </c>
      <c r="M836" s="206"/>
      <c r="N836" s="206"/>
      <c r="O836" s="206"/>
      <c r="P836" s="206" t="s">
        <v>31</v>
      </c>
      <c r="Q836" s="205" t="s">
        <v>32</v>
      </c>
      <c r="R836" s="141" t="s">
        <v>43</v>
      </c>
      <c r="S836" s="206" t="s">
        <v>3814</v>
      </c>
      <c r="T836" s="380">
        <v>37276</v>
      </c>
      <c r="U836" s="206" t="s">
        <v>3813</v>
      </c>
      <c r="V836" s="208" t="s">
        <v>3815</v>
      </c>
      <c r="W836" s="209">
        <v>720301</v>
      </c>
    </row>
    <row r="837" spans="1:23" ht="12.75">
      <c r="A837" s="379">
        <v>46151.207071759258</v>
      </c>
      <c r="B837" s="206" t="s">
        <v>535</v>
      </c>
      <c r="C837" s="206"/>
      <c r="D837" s="206" t="s">
        <v>24</v>
      </c>
      <c r="E837" s="380">
        <v>34099</v>
      </c>
      <c r="F837" s="206" t="s">
        <v>346</v>
      </c>
      <c r="G837" s="206" t="s">
        <v>3816</v>
      </c>
      <c r="H837" s="206" t="s">
        <v>4415</v>
      </c>
      <c r="I837" s="252" t="s">
        <v>4219</v>
      </c>
      <c r="J837" s="206" t="s">
        <v>539</v>
      </c>
      <c r="K837" s="206" t="s">
        <v>29</v>
      </c>
      <c r="L837" s="206" t="s">
        <v>30</v>
      </c>
      <c r="M837" s="206"/>
      <c r="N837" s="206"/>
      <c r="O837" s="206"/>
      <c r="P837" s="206" t="s">
        <v>31</v>
      </c>
      <c r="Q837" s="205" t="s">
        <v>32</v>
      </c>
      <c r="R837" s="141" t="s">
        <v>33</v>
      </c>
      <c r="S837" s="206" t="s">
        <v>540</v>
      </c>
      <c r="T837" s="380">
        <v>34099</v>
      </c>
      <c r="U837" s="206" t="s">
        <v>539</v>
      </c>
      <c r="V837" s="208" t="s">
        <v>3819</v>
      </c>
      <c r="W837" s="209">
        <v>719154</v>
      </c>
    </row>
    <row r="838" spans="1:23" ht="12.75">
      <c r="A838" s="379">
        <v>46151.221030092594</v>
      </c>
      <c r="B838" s="206" t="s">
        <v>3823</v>
      </c>
      <c r="C838" s="206"/>
      <c r="D838" s="206" t="s">
        <v>24</v>
      </c>
      <c r="E838" s="380">
        <v>30941</v>
      </c>
      <c r="F838" s="206" t="s">
        <v>2154</v>
      </c>
      <c r="G838" s="206" t="s">
        <v>2107</v>
      </c>
      <c r="H838" s="206" t="s">
        <v>3821</v>
      </c>
      <c r="I838" s="252" t="s">
        <v>4219</v>
      </c>
      <c r="J838" s="206" t="s">
        <v>3822</v>
      </c>
      <c r="K838" s="206" t="s">
        <v>39</v>
      </c>
      <c r="L838" s="206" t="s">
        <v>30</v>
      </c>
      <c r="M838" s="206"/>
      <c r="N838" s="206"/>
      <c r="O838" s="206"/>
      <c r="P838" s="206" t="s">
        <v>31</v>
      </c>
      <c r="Q838" s="205" t="s">
        <v>32</v>
      </c>
      <c r="R838" s="141"/>
      <c r="S838" s="206" t="s">
        <v>3823</v>
      </c>
      <c r="T838" s="380">
        <v>30941</v>
      </c>
      <c r="U838" s="206" t="s">
        <v>3822</v>
      </c>
      <c r="V838" s="208" t="s">
        <v>3824</v>
      </c>
      <c r="W838" s="209">
        <v>724917</v>
      </c>
    </row>
    <row r="839" spans="1:23" ht="12.75">
      <c r="A839" s="379">
        <v>46151.228819444441</v>
      </c>
      <c r="B839" s="206" t="s">
        <v>3563</v>
      </c>
      <c r="C839" s="206"/>
      <c r="D839" s="206" t="s">
        <v>45</v>
      </c>
      <c r="E839" s="380">
        <v>22228</v>
      </c>
      <c r="F839" s="206" t="s">
        <v>3559</v>
      </c>
      <c r="G839" s="206" t="s">
        <v>4387</v>
      </c>
      <c r="H839" s="206" t="s">
        <v>4416</v>
      </c>
      <c r="I839" s="252" t="s">
        <v>4219</v>
      </c>
      <c r="J839" s="206" t="s">
        <v>3562</v>
      </c>
      <c r="K839" s="206" t="s">
        <v>29</v>
      </c>
      <c r="L839" s="381">
        <v>46202</v>
      </c>
      <c r="M839" s="206"/>
      <c r="N839" s="206"/>
      <c r="O839" s="206"/>
      <c r="P839" s="206" t="s">
        <v>31</v>
      </c>
      <c r="Q839" s="205" t="s">
        <v>32</v>
      </c>
      <c r="R839" s="141" t="s">
        <v>33</v>
      </c>
      <c r="S839" s="206" t="s">
        <v>3563</v>
      </c>
      <c r="T839" s="380">
        <v>22228</v>
      </c>
      <c r="U839" s="206" t="s">
        <v>3564</v>
      </c>
      <c r="V839" s="208" t="s">
        <v>3827</v>
      </c>
      <c r="W839" s="209">
        <v>720085</v>
      </c>
    </row>
    <row r="840" spans="1:23" ht="12.75">
      <c r="A840" s="379">
        <v>46151.48369212963</v>
      </c>
      <c r="B840" s="206" t="s">
        <v>3828</v>
      </c>
      <c r="C840" s="206"/>
      <c r="D840" s="206" t="s">
        <v>24</v>
      </c>
      <c r="E840" s="380">
        <v>23294</v>
      </c>
      <c r="F840" s="206" t="s">
        <v>416</v>
      </c>
      <c r="G840" s="206" t="s">
        <v>3829</v>
      </c>
      <c r="H840" s="206" t="s">
        <v>90</v>
      </c>
      <c r="I840" s="252" t="s">
        <v>4219</v>
      </c>
      <c r="J840" s="206" t="s">
        <v>3830</v>
      </c>
      <c r="K840" s="206" t="s">
        <v>29</v>
      </c>
      <c r="L840" s="206" t="s">
        <v>162</v>
      </c>
      <c r="M840" s="206" t="s">
        <v>960</v>
      </c>
      <c r="N840" s="206"/>
      <c r="O840" s="206"/>
      <c r="P840" s="206" t="s">
        <v>31</v>
      </c>
      <c r="Q840" s="205" t="s">
        <v>32</v>
      </c>
      <c r="R840" s="141"/>
      <c r="S840" s="206" t="s">
        <v>3828</v>
      </c>
      <c r="T840" s="380">
        <v>23294</v>
      </c>
      <c r="U840" s="206" t="s">
        <v>3830</v>
      </c>
      <c r="V840" s="208" t="s">
        <v>3831</v>
      </c>
      <c r="W840" s="209">
        <v>719673</v>
      </c>
    </row>
    <row r="841" spans="1:23" ht="12.75">
      <c r="A841" s="379">
        <v>46151.558263888888</v>
      </c>
      <c r="B841" s="206" t="s">
        <v>4417</v>
      </c>
      <c r="C841" s="206"/>
      <c r="D841" s="206" t="s">
        <v>24</v>
      </c>
      <c r="E841" s="380">
        <v>36651</v>
      </c>
      <c r="F841" s="206" t="s">
        <v>980</v>
      </c>
      <c r="G841" s="206" t="s">
        <v>1462</v>
      </c>
      <c r="H841" s="206" t="s">
        <v>90</v>
      </c>
      <c r="I841" s="252" t="s">
        <v>4219</v>
      </c>
      <c r="J841" s="206" t="s">
        <v>1505</v>
      </c>
      <c r="K841" s="206" t="s">
        <v>39</v>
      </c>
      <c r="L841" s="206" t="s">
        <v>621</v>
      </c>
      <c r="M841" s="206"/>
      <c r="N841" s="206"/>
      <c r="O841" s="206"/>
      <c r="P841" s="206" t="s">
        <v>31</v>
      </c>
      <c r="Q841" s="205" t="s">
        <v>32</v>
      </c>
      <c r="R841" s="141" t="s">
        <v>33</v>
      </c>
      <c r="S841" s="206" t="s">
        <v>1503</v>
      </c>
      <c r="T841" s="380">
        <v>36651</v>
      </c>
      <c r="U841" s="206" t="s">
        <v>1506</v>
      </c>
      <c r="V841" s="208" t="s">
        <v>3833</v>
      </c>
      <c r="W841" s="209">
        <v>720745</v>
      </c>
    </row>
    <row r="842" spans="1:23" ht="12.75">
      <c r="A842" s="379">
        <v>46151.622418981482</v>
      </c>
      <c r="B842" s="206" t="s">
        <v>3834</v>
      </c>
      <c r="C842" s="206"/>
      <c r="D842" s="206" t="s">
        <v>24</v>
      </c>
      <c r="E842" s="380">
        <v>38508</v>
      </c>
      <c r="F842" s="206" t="s">
        <v>980</v>
      </c>
      <c r="G842" s="206" t="s">
        <v>1072</v>
      </c>
      <c r="H842" s="206" t="s">
        <v>66</v>
      </c>
      <c r="I842" s="252" t="s">
        <v>4219</v>
      </c>
      <c r="J842" s="206" t="s">
        <v>1078</v>
      </c>
      <c r="K842" s="206" t="s">
        <v>39</v>
      </c>
      <c r="L842" s="206" t="s">
        <v>621</v>
      </c>
      <c r="M842" s="206"/>
      <c r="N842" s="206"/>
      <c r="O842" s="206"/>
      <c r="P842" s="206" t="s">
        <v>31</v>
      </c>
      <c r="Q842" s="205" t="s">
        <v>32</v>
      </c>
      <c r="R842" s="141" t="s">
        <v>33</v>
      </c>
      <c r="S842" s="206" t="s">
        <v>1077</v>
      </c>
      <c r="T842" s="380">
        <v>38508</v>
      </c>
      <c r="U842" s="206" t="s">
        <v>1078</v>
      </c>
      <c r="V842" s="208" t="s">
        <v>3836</v>
      </c>
      <c r="W842" s="209">
        <v>720791</v>
      </c>
    </row>
    <row r="843" spans="1:23" ht="12.75">
      <c r="A843" s="379">
        <v>46151.627962962964</v>
      </c>
      <c r="B843" s="206" t="s">
        <v>3837</v>
      </c>
      <c r="C843" s="206"/>
      <c r="D843" s="206" t="s">
        <v>45</v>
      </c>
      <c r="E843" s="380">
        <v>38977</v>
      </c>
      <c r="F843" s="206" t="s">
        <v>980</v>
      </c>
      <c r="G843" s="206" t="s">
        <v>3838</v>
      </c>
      <c r="H843" s="206" t="s">
        <v>66</v>
      </c>
      <c r="I843" s="252" t="s">
        <v>4219</v>
      </c>
      <c r="J843" s="206" t="s">
        <v>1076</v>
      </c>
      <c r="K843" s="206" t="s">
        <v>39</v>
      </c>
      <c r="L843" s="206" t="s">
        <v>621</v>
      </c>
      <c r="M843" s="206"/>
      <c r="N843" s="206"/>
      <c r="O843" s="206"/>
      <c r="P843" s="206" t="s">
        <v>31</v>
      </c>
      <c r="Q843" s="205" t="s">
        <v>32</v>
      </c>
      <c r="R843" s="141" t="s">
        <v>33</v>
      </c>
      <c r="S843" s="206" t="s">
        <v>1074</v>
      </c>
      <c r="T843" s="380">
        <v>38977</v>
      </c>
      <c r="U843" s="206" t="s">
        <v>3839</v>
      </c>
      <c r="V843" s="208" t="s">
        <v>3840</v>
      </c>
      <c r="W843" s="209">
        <v>720793</v>
      </c>
    </row>
    <row r="844" spans="1:23" ht="12.75">
      <c r="A844" s="379">
        <v>46151.628287037034</v>
      </c>
      <c r="B844" s="206" t="s">
        <v>3841</v>
      </c>
      <c r="C844" s="206"/>
      <c r="D844" s="206" t="s">
        <v>24</v>
      </c>
      <c r="E844" s="380">
        <v>38389</v>
      </c>
      <c r="F844" s="206" t="s">
        <v>980</v>
      </c>
      <c r="G844" s="206" t="s">
        <v>1072</v>
      </c>
      <c r="H844" s="206" t="s">
        <v>66</v>
      </c>
      <c r="I844" s="252" t="s">
        <v>4219</v>
      </c>
      <c r="J844" s="206" t="s">
        <v>1073</v>
      </c>
      <c r="K844" s="206" t="s">
        <v>39</v>
      </c>
      <c r="L844" s="206" t="s">
        <v>621</v>
      </c>
      <c r="M844" s="206"/>
      <c r="N844" s="206"/>
      <c r="O844" s="206"/>
      <c r="P844" s="206" t="s">
        <v>31</v>
      </c>
      <c r="Q844" s="205" t="s">
        <v>32</v>
      </c>
      <c r="R844" s="141" t="s">
        <v>33</v>
      </c>
      <c r="S844" s="206" t="s">
        <v>1071</v>
      </c>
      <c r="T844" s="380">
        <v>38389</v>
      </c>
      <c r="U844" s="206" t="s">
        <v>1073</v>
      </c>
      <c r="V844" s="208" t="s">
        <v>3842</v>
      </c>
      <c r="W844" s="209">
        <v>720790</v>
      </c>
    </row>
    <row r="845" spans="1:23" ht="12.75">
      <c r="A845" s="379">
        <v>46151.64135416667</v>
      </c>
      <c r="B845" s="206" t="s">
        <v>3843</v>
      </c>
      <c r="C845" s="206"/>
      <c r="D845" s="206" t="s">
        <v>45</v>
      </c>
      <c r="E845" s="380">
        <v>37916</v>
      </c>
      <c r="F845" s="206" t="s">
        <v>980</v>
      </c>
      <c r="G845" s="206" t="s">
        <v>999</v>
      </c>
      <c r="H845" s="206" t="s">
        <v>66</v>
      </c>
      <c r="I845" s="252" t="s">
        <v>4219</v>
      </c>
      <c r="J845" s="206" t="s">
        <v>3844</v>
      </c>
      <c r="K845" s="206" t="s">
        <v>39</v>
      </c>
      <c r="L845" s="206" t="s">
        <v>621</v>
      </c>
      <c r="M845" s="206" t="s">
        <v>4418</v>
      </c>
      <c r="N845" s="206"/>
      <c r="O845" s="206"/>
      <c r="P845" s="206" t="s">
        <v>31</v>
      </c>
      <c r="Q845" s="205" t="s">
        <v>32</v>
      </c>
      <c r="R845" s="141" t="s">
        <v>33</v>
      </c>
      <c r="S845" s="206" t="s">
        <v>3846</v>
      </c>
      <c r="T845" s="380">
        <v>37916</v>
      </c>
      <c r="U845" s="206" t="s">
        <v>3844</v>
      </c>
      <c r="V845" s="208" t="s">
        <v>3847</v>
      </c>
      <c r="W845" s="209">
        <v>720786</v>
      </c>
    </row>
    <row r="846" spans="1:23" ht="12.75">
      <c r="A846" s="379">
        <v>46151.701620370368</v>
      </c>
      <c r="B846" s="206" t="s">
        <v>3848</v>
      </c>
      <c r="C846" s="206"/>
      <c r="D846" s="206" t="s">
        <v>24</v>
      </c>
      <c r="E846" s="380">
        <v>32725</v>
      </c>
      <c r="F846" s="206" t="s">
        <v>232</v>
      </c>
      <c r="G846" s="206" t="s">
        <v>3849</v>
      </c>
      <c r="H846" s="206" t="s">
        <v>186</v>
      </c>
      <c r="I846" s="252" t="s">
        <v>4219</v>
      </c>
      <c r="J846" s="206" t="s">
        <v>3850</v>
      </c>
      <c r="K846" s="206" t="s">
        <v>29</v>
      </c>
      <c r="L846" s="206" t="s">
        <v>30</v>
      </c>
      <c r="M846" s="206"/>
      <c r="N846" s="206"/>
      <c r="O846" s="206"/>
      <c r="P846" s="206" t="s">
        <v>31</v>
      </c>
      <c r="Q846" s="205" t="s">
        <v>32</v>
      </c>
      <c r="R846" s="141" t="s">
        <v>43</v>
      </c>
      <c r="S846" s="206" t="s">
        <v>3851</v>
      </c>
      <c r="T846" s="380">
        <v>32725</v>
      </c>
      <c r="U846" s="206" t="s">
        <v>3850</v>
      </c>
      <c r="V846" s="208" t="s">
        <v>3852</v>
      </c>
      <c r="W846" s="209">
        <v>722117</v>
      </c>
    </row>
    <row r="847" spans="1:23" ht="12.75">
      <c r="A847" s="379">
        <v>46151.771238425928</v>
      </c>
      <c r="B847" s="206" t="s">
        <v>1012</v>
      </c>
      <c r="C847" s="206"/>
      <c r="D847" s="206" t="s">
        <v>24</v>
      </c>
      <c r="E847" s="380">
        <v>38619</v>
      </c>
      <c r="F847" s="206" t="s">
        <v>980</v>
      </c>
      <c r="G847" s="206" t="s">
        <v>1504</v>
      </c>
      <c r="H847" s="206" t="s">
        <v>66</v>
      </c>
      <c r="I847" s="252" t="s">
        <v>4219</v>
      </c>
      <c r="J847" s="206" t="s">
        <v>1015</v>
      </c>
      <c r="K847" s="206" t="s">
        <v>39</v>
      </c>
      <c r="L847" s="206" t="s">
        <v>621</v>
      </c>
      <c r="M847" s="206" t="s">
        <v>3853</v>
      </c>
      <c r="N847" s="206"/>
      <c r="O847" s="206"/>
      <c r="P847" s="206" t="s">
        <v>31</v>
      </c>
      <c r="Q847" s="205" t="s">
        <v>32</v>
      </c>
      <c r="R847" s="141" t="s">
        <v>33</v>
      </c>
      <c r="S847" s="206" t="s">
        <v>1017</v>
      </c>
      <c r="T847" s="380">
        <v>38619</v>
      </c>
      <c r="U847" s="206" t="s">
        <v>1015</v>
      </c>
      <c r="V847" s="208" t="s">
        <v>3854</v>
      </c>
      <c r="W847" s="209">
        <v>720726</v>
      </c>
    </row>
    <row r="848" spans="1:23" ht="12.75">
      <c r="A848" s="379">
        <v>46151.889641203707</v>
      </c>
      <c r="B848" s="206" t="s">
        <v>3855</v>
      </c>
      <c r="C848" s="206"/>
      <c r="D848" s="206" t="s">
        <v>24</v>
      </c>
      <c r="E848" s="380">
        <v>37925</v>
      </c>
      <c r="F848" s="206" t="s">
        <v>980</v>
      </c>
      <c r="G848" s="206" t="s">
        <v>4419</v>
      </c>
      <c r="H848" s="206" t="s">
        <v>66</v>
      </c>
      <c r="I848" s="252" t="s">
        <v>4219</v>
      </c>
      <c r="J848" s="206" t="s">
        <v>3857</v>
      </c>
      <c r="K848" s="206" t="s">
        <v>39</v>
      </c>
      <c r="L848" s="206" t="s">
        <v>621</v>
      </c>
      <c r="M848" s="206"/>
      <c r="N848" s="206"/>
      <c r="O848" s="206"/>
      <c r="P848" s="206" t="s">
        <v>31</v>
      </c>
      <c r="Q848" s="205" t="s">
        <v>32</v>
      </c>
      <c r="R848" s="141" t="s">
        <v>33</v>
      </c>
      <c r="S848" s="206" t="s">
        <v>3855</v>
      </c>
      <c r="T848" s="380">
        <v>37925</v>
      </c>
      <c r="U848" s="206" t="s">
        <v>3857</v>
      </c>
      <c r="V848" s="208" t="s">
        <v>3858</v>
      </c>
      <c r="W848" s="209">
        <v>722013</v>
      </c>
    </row>
    <row r="849" spans="1:23" ht="12.75">
      <c r="A849" s="379">
        <v>46151.923738425925</v>
      </c>
      <c r="B849" s="206" t="s">
        <v>3828</v>
      </c>
      <c r="C849" s="206"/>
      <c r="D849" s="206" t="s">
        <v>24</v>
      </c>
      <c r="E849" s="380">
        <v>23294</v>
      </c>
      <c r="F849" s="206" t="s">
        <v>416</v>
      </c>
      <c r="G849" s="206" t="s">
        <v>3860</v>
      </c>
      <c r="H849" s="206" t="s">
        <v>186</v>
      </c>
      <c r="I849" s="252" t="s">
        <v>4219</v>
      </c>
      <c r="J849" s="206" t="s">
        <v>3830</v>
      </c>
      <c r="K849" s="206" t="s">
        <v>29</v>
      </c>
      <c r="L849" s="206" t="s">
        <v>3861</v>
      </c>
      <c r="M849" s="206" t="s">
        <v>4420</v>
      </c>
      <c r="N849" s="206"/>
      <c r="O849" s="206"/>
      <c r="P849" s="206" t="s">
        <v>31</v>
      </c>
      <c r="Q849" s="205" t="s">
        <v>32</v>
      </c>
      <c r="R849" s="141"/>
      <c r="S849" s="206" t="s">
        <v>3828</v>
      </c>
      <c r="T849" s="380">
        <v>23294</v>
      </c>
      <c r="U849" s="206" t="s">
        <v>3830</v>
      </c>
      <c r="V849" s="208" t="s">
        <v>3831</v>
      </c>
      <c r="W849" s="209">
        <v>719673</v>
      </c>
    </row>
    <row r="850" spans="1:23" ht="12.75">
      <c r="A850" s="379">
        <v>46152.146539351852</v>
      </c>
      <c r="B850" s="206" t="s">
        <v>4421</v>
      </c>
      <c r="C850" s="206"/>
      <c r="D850" s="206" t="s">
        <v>24</v>
      </c>
      <c r="E850" s="380">
        <v>35790</v>
      </c>
      <c r="F850" s="206" t="s">
        <v>52</v>
      </c>
      <c r="G850" s="206" t="s">
        <v>3864</v>
      </c>
      <c r="H850" s="206" t="s">
        <v>72</v>
      </c>
      <c r="I850" s="252" t="s">
        <v>4219</v>
      </c>
      <c r="J850" s="206" t="s">
        <v>1344</v>
      </c>
      <c r="K850" s="206" t="s">
        <v>39</v>
      </c>
      <c r="L850" s="206" t="s">
        <v>30</v>
      </c>
      <c r="M850" s="206"/>
      <c r="N850" s="206"/>
      <c r="O850" s="206"/>
      <c r="P850" s="206" t="s">
        <v>31</v>
      </c>
      <c r="Q850" s="205" t="s">
        <v>32</v>
      </c>
      <c r="R850" s="141" t="s">
        <v>33</v>
      </c>
      <c r="S850" s="206" t="s">
        <v>1341</v>
      </c>
      <c r="T850" s="380">
        <v>35790</v>
      </c>
      <c r="U850" s="206" t="s">
        <v>1344</v>
      </c>
      <c r="V850" s="208" t="s">
        <v>3866</v>
      </c>
      <c r="W850" s="209">
        <v>720147</v>
      </c>
    </row>
    <row r="851" spans="1:23" ht="12.75">
      <c r="A851" s="379">
        <v>46152.175497685188</v>
      </c>
      <c r="B851" s="206" t="s">
        <v>3867</v>
      </c>
      <c r="C851" s="206" t="s">
        <v>3867</v>
      </c>
      <c r="D851" s="206" t="s">
        <v>24</v>
      </c>
      <c r="E851" s="380">
        <v>35167</v>
      </c>
      <c r="F851" s="206" t="s">
        <v>232</v>
      </c>
      <c r="G851" s="206" t="s">
        <v>3868</v>
      </c>
      <c r="H851" s="206" t="s">
        <v>186</v>
      </c>
      <c r="I851" s="252" t="s">
        <v>4219</v>
      </c>
      <c r="J851" s="206" t="s">
        <v>3869</v>
      </c>
      <c r="K851" s="206" t="s">
        <v>29</v>
      </c>
      <c r="L851" s="381">
        <v>46203</v>
      </c>
      <c r="M851" s="206"/>
      <c r="N851" s="206"/>
      <c r="O851" s="206"/>
      <c r="P851" s="206" t="s">
        <v>31</v>
      </c>
      <c r="Q851" s="205" t="s">
        <v>32</v>
      </c>
      <c r="R851" s="141" t="s">
        <v>43</v>
      </c>
      <c r="S851" s="206" t="s">
        <v>3870</v>
      </c>
      <c r="T851" s="380">
        <v>35167</v>
      </c>
      <c r="U851" s="206" t="s">
        <v>3869</v>
      </c>
      <c r="V851" s="208" t="s">
        <v>3871</v>
      </c>
      <c r="W851" s="209">
        <v>720357</v>
      </c>
    </row>
    <row r="852" spans="1:23" ht="12.75">
      <c r="A852" s="379">
        <v>46152.568506944444</v>
      </c>
      <c r="B852" s="206" t="s">
        <v>3872</v>
      </c>
      <c r="C852" s="206"/>
      <c r="D852" s="206" t="s">
        <v>24</v>
      </c>
      <c r="E852" s="380">
        <v>37385</v>
      </c>
      <c r="F852" s="206" t="s">
        <v>416</v>
      </c>
      <c r="G852" s="206" t="s">
        <v>1171</v>
      </c>
      <c r="H852" s="206" t="s">
        <v>276</v>
      </c>
      <c r="I852" s="252" t="s">
        <v>4219</v>
      </c>
      <c r="J852" s="206" t="s">
        <v>3874</v>
      </c>
      <c r="K852" s="206" t="s">
        <v>29</v>
      </c>
      <c r="L852" s="206" t="s">
        <v>162</v>
      </c>
      <c r="M852" s="206"/>
      <c r="N852" s="206"/>
      <c r="O852" s="206"/>
      <c r="P852" s="206" t="s">
        <v>31</v>
      </c>
      <c r="Q852" s="205" t="s">
        <v>32</v>
      </c>
      <c r="R852" s="141" t="s">
        <v>33</v>
      </c>
      <c r="S852" s="206" t="s">
        <v>3875</v>
      </c>
      <c r="T852" s="380">
        <v>37385</v>
      </c>
      <c r="U852" s="206" t="s">
        <v>3874</v>
      </c>
      <c r="V852" s="208" t="s">
        <v>3876</v>
      </c>
      <c r="W852" s="209">
        <v>723763</v>
      </c>
    </row>
    <row r="853" spans="1:23" ht="12.75">
      <c r="A853" s="379">
        <v>46153.384791666664</v>
      </c>
      <c r="B853" s="206" t="s">
        <v>3801</v>
      </c>
      <c r="C853" s="206"/>
      <c r="D853" s="206" t="s">
        <v>24</v>
      </c>
      <c r="E853" s="380">
        <v>36268</v>
      </c>
      <c r="F853" s="206" t="s">
        <v>232</v>
      </c>
      <c r="G853" s="206" t="s">
        <v>3802</v>
      </c>
      <c r="H853" s="206" t="s">
        <v>186</v>
      </c>
      <c r="I853" s="252" t="s">
        <v>4219</v>
      </c>
      <c r="J853" s="206" t="s">
        <v>3803</v>
      </c>
      <c r="K853" s="206" t="s">
        <v>39</v>
      </c>
      <c r="L853" s="206" t="s">
        <v>621</v>
      </c>
      <c r="M853" s="206"/>
      <c r="N853" s="206"/>
      <c r="O853" s="206"/>
      <c r="P853" s="206" t="s">
        <v>31</v>
      </c>
      <c r="Q853" s="205" t="s">
        <v>32</v>
      </c>
      <c r="R853" s="141" t="s">
        <v>43</v>
      </c>
      <c r="S853" s="206" t="s">
        <v>3804</v>
      </c>
      <c r="T853" s="380">
        <v>36268</v>
      </c>
      <c r="U853" s="206" t="s">
        <v>3803</v>
      </c>
      <c r="V853" s="208" t="s">
        <v>3879</v>
      </c>
      <c r="W853" s="209">
        <v>720417</v>
      </c>
    </row>
    <row r="854" spans="1:23" ht="12.75">
      <c r="A854" s="379">
        <v>46153.702928240738</v>
      </c>
      <c r="B854" s="206" t="s">
        <v>3885</v>
      </c>
      <c r="C854" s="206"/>
      <c r="D854" s="206" t="s">
        <v>45</v>
      </c>
      <c r="E854" s="380">
        <v>31693</v>
      </c>
      <c r="F854" s="206" t="s">
        <v>3881</v>
      </c>
      <c r="G854" s="206" t="s">
        <v>4422</v>
      </c>
      <c r="H854" s="206" t="s">
        <v>3883</v>
      </c>
      <c r="I854" s="252" t="s">
        <v>4219</v>
      </c>
      <c r="J854" s="206" t="s">
        <v>3884</v>
      </c>
      <c r="K854" s="206" t="s">
        <v>29</v>
      </c>
      <c r="L854" s="381">
        <v>46203</v>
      </c>
      <c r="M854" s="206"/>
      <c r="N854" s="206"/>
      <c r="O854" s="206"/>
      <c r="P854" s="206" t="s">
        <v>31</v>
      </c>
      <c r="Q854" s="205" t="s">
        <v>32</v>
      </c>
      <c r="R854" s="141" t="s">
        <v>33</v>
      </c>
      <c r="S854" s="206" t="s">
        <v>3885</v>
      </c>
      <c r="T854" s="380">
        <v>31693</v>
      </c>
      <c r="U854" s="206" t="s">
        <v>3884</v>
      </c>
      <c r="V854" s="208" t="s">
        <v>3886</v>
      </c>
      <c r="W854" s="209">
        <v>724953</v>
      </c>
    </row>
    <row r="855" spans="1:23" ht="12.75">
      <c r="A855" s="379">
        <v>46153.71707175926</v>
      </c>
      <c r="B855" s="206" t="s">
        <v>3889</v>
      </c>
      <c r="C855" s="206"/>
      <c r="D855" s="206" t="s">
        <v>24</v>
      </c>
      <c r="E855" s="380">
        <v>38517</v>
      </c>
      <c r="F855" s="206" t="s">
        <v>232</v>
      </c>
      <c r="G855" s="206" t="s">
        <v>3849</v>
      </c>
      <c r="H855" s="206" t="s">
        <v>66</v>
      </c>
      <c r="I855" s="252" t="s">
        <v>4219</v>
      </c>
      <c r="J855" s="206" t="s">
        <v>3784</v>
      </c>
      <c r="K855" s="206" t="s">
        <v>29</v>
      </c>
      <c r="L855" s="206" t="s">
        <v>30</v>
      </c>
      <c r="M855" s="206"/>
      <c r="N855" s="206"/>
      <c r="O855" s="206"/>
      <c r="P855" s="206" t="s">
        <v>31</v>
      </c>
      <c r="Q855" s="205" t="s">
        <v>32</v>
      </c>
      <c r="R855" s="141"/>
      <c r="S855" s="206" t="s">
        <v>3889</v>
      </c>
      <c r="T855" s="380">
        <v>38517</v>
      </c>
      <c r="U855" s="206" t="s">
        <v>3770</v>
      </c>
      <c r="V855" s="208" t="s">
        <v>3890</v>
      </c>
      <c r="W855" s="209">
        <v>719569</v>
      </c>
    </row>
    <row r="856" spans="1:23" ht="12.75">
      <c r="A856" s="274">
        <v>46154.057430555556</v>
      </c>
      <c r="B856" s="475" t="s">
        <v>3610</v>
      </c>
      <c r="C856" s="474"/>
      <c r="D856" s="242" t="s">
        <v>24</v>
      </c>
      <c r="E856" s="275">
        <v>16387</v>
      </c>
      <c r="F856" s="242" t="s">
        <v>198</v>
      </c>
      <c r="G856" s="242" t="s">
        <v>586</v>
      </c>
      <c r="H856" s="242" t="s">
        <v>3891</v>
      </c>
      <c r="I856" s="241" t="s">
        <v>4219</v>
      </c>
      <c r="J856" s="242" t="s">
        <v>2658</v>
      </c>
      <c r="K856" s="242" t="s">
        <v>29</v>
      </c>
      <c r="L856" s="242" t="s">
        <v>30</v>
      </c>
      <c r="M856" s="242" t="s">
        <v>3892</v>
      </c>
      <c r="N856" s="242"/>
      <c r="O856" s="242"/>
      <c r="P856" s="242" t="s">
        <v>31</v>
      </c>
      <c r="Q856" s="242" t="s">
        <v>32</v>
      </c>
      <c r="R856" s="242" t="s">
        <v>43</v>
      </c>
      <c r="S856" s="242" t="s">
        <v>3610</v>
      </c>
      <c r="T856" s="275">
        <v>16387</v>
      </c>
      <c r="U856" s="242" t="s">
        <v>2658</v>
      </c>
      <c r="V856" s="442" t="s">
        <v>3893</v>
      </c>
      <c r="W856" s="277">
        <v>720843</v>
      </c>
    </row>
    <row r="857" spans="1:23" ht="12.75">
      <c r="A857" s="379">
        <v>46154.426145833335</v>
      </c>
      <c r="B857" s="206" t="s">
        <v>688</v>
      </c>
      <c r="C857" s="206"/>
      <c r="D857" s="206" t="s">
        <v>45</v>
      </c>
      <c r="E857" s="380">
        <v>35712</v>
      </c>
      <c r="F857" s="206" t="s">
        <v>64</v>
      </c>
      <c r="G857" s="206" t="s">
        <v>3894</v>
      </c>
      <c r="H857" s="206" t="s">
        <v>90</v>
      </c>
      <c r="I857" s="252" t="s">
        <v>4219</v>
      </c>
      <c r="J857" s="206" t="s">
        <v>690</v>
      </c>
      <c r="K857" s="206" t="s">
        <v>29</v>
      </c>
      <c r="L857" s="206" t="s">
        <v>30</v>
      </c>
      <c r="M857" s="206"/>
      <c r="N857" s="206"/>
      <c r="O857" s="206"/>
      <c r="P857" s="206" t="s">
        <v>31</v>
      </c>
      <c r="Q857" s="205" t="s">
        <v>32</v>
      </c>
      <c r="R857" s="141" t="s">
        <v>33</v>
      </c>
      <c r="S857" s="206" t="s">
        <v>691</v>
      </c>
      <c r="T857" s="380">
        <v>35712</v>
      </c>
      <c r="U857" s="206" t="s">
        <v>690</v>
      </c>
      <c r="V857" s="208" t="s">
        <v>3895</v>
      </c>
      <c r="W857" s="209">
        <v>719335</v>
      </c>
    </row>
    <row r="858" spans="1:23" ht="12.75">
      <c r="A858" s="379">
        <v>46154.659780092596</v>
      </c>
      <c r="B858" s="206" t="s">
        <v>3896</v>
      </c>
      <c r="C858" s="206"/>
      <c r="D858" s="206" t="s">
        <v>45</v>
      </c>
      <c r="E858" s="380">
        <v>36011</v>
      </c>
      <c r="F858" s="206" t="s">
        <v>980</v>
      </c>
      <c r="G858" s="206" t="s">
        <v>3897</v>
      </c>
      <c r="H858" s="206" t="s">
        <v>111</v>
      </c>
      <c r="I858" s="252" t="s">
        <v>4219</v>
      </c>
      <c r="J858" s="206" t="s">
        <v>3898</v>
      </c>
      <c r="K858" s="206" t="s">
        <v>39</v>
      </c>
      <c r="L858" s="206" t="s">
        <v>621</v>
      </c>
      <c r="M858" s="206"/>
      <c r="N858" s="206"/>
      <c r="O858" s="206"/>
      <c r="P858" s="206" t="s">
        <v>31</v>
      </c>
      <c r="Q858" s="205" t="s">
        <v>32</v>
      </c>
      <c r="R858" s="141" t="s">
        <v>33</v>
      </c>
      <c r="S858" s="206" t="s">
        <v>3899</v>
      </c>
      <c r="T858" s="380">
        <v>32359</v>
      </c>
      <c r="U858" s="206" t="s">
        <v>3898</v>
      </c>
      <c r="V858" s="208" t="s">
        <v>3900</v>
      </c>
      <c r="W858" s="209">
        <v>720714</v>
      </c>
    </row>
    <row r="859" spans="1:23" ht="12.75">
      <c r="A859" s="379">
        <v>46154.751377314817</v>
      </c>
      <c r="B859" s="206" t="s">
        <v>2998</v>
      </c>
      <c r="C859" s="206"/>
      <c r="D859" s="206" t="s">
        <v>45</v>
      </c>
      <c r="E859" s="380">
        <v>38488</v>
      </c>
      <c r="F859" s="206" t="s">
        <v>232</v>
      </c>
      <c r="G859" s="206" t="s">
        <v>4423</v>
      </c>
      <c r="H859" s="206" t="s">
        <v>66</v>
      </c>
      <c r="I859" s="252" t="s">
        <v>4219</v>
      </c>
      <c r="J859" s="206" t="s">
        <v>2997</v>
      </c>
      <c r="K859" s="206" t="s">
        <v>39</v>
      </c>
      <c r="L859" s="206" t="s">
        <v>162</v>
      </c>
      <c r="M859" s="206"/>
      <c r="N859" s="206"/>
      <c r="O859" s="206"/>
      <c r="P859" s="206" t="s">
        <v>31</v>
      </c>
      <c r="Q859" s="205" t="s">
        <v>32</v>
      </c>
      <c r="R859" s="141"/>
      <c r="S859" s="206" t="s">
        <v>2998</v>
      </c>
      <c r="T859" s="380">
        <v>38488</v>
      </c>
      <c r="U859" s="206" t="s">
        <v>2997</v>
      </c>
      <c r="V859" s="208" t="s">
        <v>3902</v>
      </c>
      <c r="W859" s="209">
        <v>720724</v>
      </c>
    </row>
    <row r="860" spans="1:23" ht="12.75">
      <c r="A860" s="379">
        <v>46154.861967592595</v>
      </c>
      <c r="B860" s="473" t="s">
        <v>1823</v>
      </c>
      <c r="C860" s="474"/>
      <c r="D860" s="206" t="s">
        <v>45</v>
      </c>
      <c r="E860" s="380">
        <v>34163</v>
      </c>
      <c r="F860" s="206" t="s">
        <v>198</v>
      </c>
      <c r="G860" s="206" t="s">
        <v>3903</v>
      </c>
      <c r="H860" s="206" t="s">
        <v>111</v>
      </c>
      <c r="I860" s="252" t="s">
        <v>4219</v>
      </c>
      <c r="J860" s="206" t="s">
        <v>1822</v>
      </c>
      <c r="K860" s="206" t="s">
        <v>29</v>
      </c>
      <c r="L860" s="206" t="s">
        <v>30</v>
      </c>
      <c r="M860" s="206"/>
      <c r="N860" s="206"/>
      <c r="O860" s="206"/>
      <c r="P860" s="206" t="s">
        <v>31</v>
      </c>
      <c r="Q860" s="205" t="s">
        <v>32</v>
      </c>
      <c r="R860" s="141" t="s">
        <v>33</v>
      </c>
      <c r="S860" s="206" t="s">
        <v>1823</v>
      </c>
      <c r="T860" s="380">
        <v>34163</v>
      </c>
      <c r="U860" s="206" t="s">
        <v>1822</v>
      </c>
      <c r="V860" s="208" t="s">
        <v>3904</v>
      </c>
      <c r="W860" s="209">
        <v>720754</v>
      </c>
    </row>
    <row r="861" spans="1:23" ht="12.75">
      <c r="A861" s="379">
        <v>46154.914814814816</v>
      </c>
      <c r="B861" s="206" t="s">
        <v>1939</v>
      </c>
      <c r="C861" s="206"/>
      <c r="D861" s="206" t="s">
        <v>24</v>
      </c>
      <c r="E861" s="380">
        <v>37378</v>
      </c>
      <c r="F861" s="206" t="s">
        <v>64</v>
      </c>
      <c r="G861" s="206" t="s">
        <v>4424</v>
      </c>
      <c r="H861" s="206" t="s">
        <v>1941</v>
      </c>
      <c r="I861" s="252" t="s">
        <v>4219</v>
      </c>
      <c r="J861" s="206" t="s">
        <v>1942</v>
      </c>
      <c r="K861" s="206" t="s">
        <v>29</v>
      </c>
      <c r="L861" s="206" t="s">
        <v>30</v>
      </c>
      <c r="M861" s="206"/>
      <c r="N861" s="206"/>
      <c r="O861" s="206"/>
      <c r="P861" s="206" t="s">
        <v>31</v>
      </c>
      <c r="Q861" s="205" t="s">
        <v>32</v>
      </c>
      <c r="R861" s="141" t="s">
        <v>33</v>
      </c>
      <c r="S861" s="206" t="s">
        <v>1943</v>
      </c>
      <c r="T861" s="380">
        <v>37378</v>
      </c>
      <c r="U861" s="206" t="s">
        <v>1942</v>
      </c>
      <c r="V861" s="208" t="s">
        <v>3907</v>
      </c>
      <c r="W861" s="209">
        <v>719869</v>
      </c>
    </row>
    <row r="862" spans="1:23" ht="12.75">
      <c r="A862" s="379">
        <v>46154.934189814812</v>
      </c>
      <c r="B862" s="206" t="s">
        <v>3911</v>
      </c>
      <c r="C862" s="206"/>
      <c r="D862" s="206" t="s">
        <v>24</v>
      </c>
      <c r="E862" s="380">
        <v>33018</v>
      </c>
      <c r="F862" s="206" t="s">
        <v>208</v>
      </c>
      <c r="G862" s="206" t="s">
        <v>452</v>
      </c>
      <c r="H862" s="206" t="s">
        <v>90</v>
      </c>
      <c r="I862" s="252" t="s">
        <v>4223</v>
      </c>
      <c r="J862" s="206" t="s">
        <v>3910</v>
      </c>
      <c r="K862" s="206" t="s">
        <v>39</v>
      </c>
      <c r="L862" s="206" t="s">
        <v>30</v>
      </c>
      <c r="M862" s="206"/>
      <c r="N862" s="206"/>
      <c r="O862" s="206"/>
      <c r="P862" s="206" t="s">
        <v>31</v>
      </c>
      <c r="Q862" s="205" t="s">
        <v>32</v>
      </c>
      <c r="R862" s="141"/>
      <c r="S862" s="206" t="s">
        <v>3911</v>
      </c>
      <c r="T862" s="380">
        <v>33018</v>
      </c>
      <c r="U862" s="206" t="s">
        <v>3910</v>
      </c>
      <c r="V862" s="208" t="s">
        <v>3912</v>
      </c>
      <c r="W862" s="209">
        <v>724941</v>
      </c>
    </row>
    <row r="863" spans="1:23" ht="12.75">
      <c r="A863" s="379">
        <v>46155.128391203703</v>
      </c>
      <c r="B863" s="206" t="s">
        <v>2057</v>
      </c>
      <c r="C863" s="206"/>
      <c r="D863" s="206" t="s">
        <v>24</v>
      </c>
      <c r="E863" s="380">
        <v>36754</v>
      </c>
      <c r="F863" s="206" t="s">
        <v>416</v>
      </c>
      <c r="G863" s="206" t="s">
        <v>2861</v>
      </c>
      <c r="H863" s="206" t="s">
        <v>3914</v>
      </c>
      <c r="I863" s="252" t="s">
        <v>4219</v>
      </c>
      <c r="J863" s="206" t="s">
        <v>2060</v>
      </c>
      <c r="K863" s="206" t="s">
        <v>1042</v>
      </c>
      <c r="L863" s="206" t="s">
        <v>30</v>
      </c>
      <c r="M863" s="206" t="s">
        <v>4425</v>
      </c>
      <c r="N863" s="206"/>
      <c r="O863" s="206"/>
      <c r="P863" s="206" t="s">
        <v>31</v>
      </c>
      <c r="Q863" s="205" t="s">
        <v>32</v>
      </c>
      <c r="R863" s="141"/>
      <c r="S863" s="206" t="s">
        <v>3916</v>
      </c>
      <c r="T863" s="380">
        <v>36754</v>
      </c>
      <c r="U863" s="206" t="s">
        <v>2060</v>
      </c>
      <c r="V863" s="208" t="s">
        <v>3917</v>
      </c>
      <c r="W863" s="209">
        <v>724997</v>
      </c>
    </row>
    <row r="864" spans="1:23" ht="12.75">
      <c r="A864" s="379">
        <v>46155.362141203703</v>
      </c>
      <c r="B864" s="206" t="s">
        <v>3918</v>
      </c>
      <c r="C864" s="206" t="s">
        <v>3919</v>
      </c>
      <c r="D864" s="206" t="s">
        <v>24</v>
      </c>
      <c r="E864" s="380">
        <v>38355</v>
      </c>
      <c r="F864" s="206" t="s">
        <v>1053</v>
      </c>
      <c r="G864" s="206" t="s">
        <v>3920</v>
      </c>
      <c r="H864" s="206" t="s">
        <v>3921</v>
      </c>
      <c r="I864" s="252" t="s">
        <v>4237</v>
      </c>
      <c r="J864" s="206" t="s">
        <v>3922</v>
      </c>
      <c r="K864" s="206" t="s">
        <v>39</v>
      </c>
      <c r="L864" s="206" t="s">
        <v>621</v>
      </c>
      <c r="M864" s="206"/>
      <c r="N864" s="206"/>
      <c r="O864" s="206"/>
      <c r="P864" s="206" t="s">
        <v>31</v>
      </c>
      <c r="Q864" s="205" t="s">
        <v>32</v>
      </c>
      <c r="R864" s="141" t="s">
        <v>43</v>
      </c>
      <c r="S864" s="206" t="s">
        <v>3918</v>
      </c>
      <c r="T864" s="380">
        <v>38355</v>
      </c>
      <c r="U864" s="206" t="s">
        <v>3922</v>
      </c>
      <c r="V864" s="208" t="s">
        <v>3923</v>
      </c>
      <c r="W864" s="209">
        <v>722459</v>
      </c>
    </row>
    <row r="865" spans="1:23" ht="12.75">
      <c r="A865" s="379">
        <v>46155.380243055559</v>
      </c>
      <c r="B865" s="206" t="s">
        <v>3924</v>
      </c>
      <c r="C865" s="206" t="s">
        <v>3925</v>
      </c>
      <c r="D865" s="206" t="s">
        <v>24</v>
      </c>
      <c r="E865" s="380">
        <v>38648</v>
      </c>
      <c r="F865" s="206" t="s">
        <v>1053</v>
      </c>
      <c r="G865" s="206" t="s">
        <v>3926</v>
      </c>
      <c r="H865" s="206" t="s">
        <v>66</v>
      </c>
      <c r="I865" s="252" t="s">
        <v>4237</v>
      </c>
      <c r="J865" s="206" t="s">
        <v>3927</v>
      </c>
      <c r="K865" s="206" t="s">
        <v>29</v>
      </c>
      <c r="L865" s="206" t="s">
        <v>162</v>
      </c>
      <c r="M865" s="206"/>
      <c r="N865" s="206"/>
      <c r="O865" s="206"/>
      <c r="P865" s="206" t="s">
        <v>31</v>
      </c>
      <c r="Q865" s="205" t="s">
        <v>32</v>
      </c>
      <c r="R865" s="141" t="s">
        <v>43</v>
      </c>
      <c r="S865" s="206" t="s">
        <v>3928</v>
      </c>
      <c r="T865" s="380">
        <v>38648</v>
      </c>
      <c r="U865" s="206" t="s">
        <v>3927</v>
      </c>
      <c r="V865" s="208" t="s">
        <v>3929</v>
      </c>
      <c r="W865" s="209">
        <v>721804</v>
      </c>
    </row>
    <row r="866" spans="1:23" ht="12.75">
      <c r="A866" s="379">
        <v>46155.542546296296</v>
      </c>
      <c r="B866" s="206" t="s">
        <v>3786</v>
      </c>
      <c r="C866" s="206"/>
      <c r="D866" s="206" t="s">
        <v>45</v>
      </c>
      <c r="E866" s="380">
        <v>37198</v>
      </c>
      <c r="F866" s="206" t="s">
        <v>416</v>
      </c>
      <c r="G866" s="206" t="s">
        <v>3930</v>
      </c>
      <c r="H866" s="206" t="s">
        <v>530</v>
      </c>
      <c r="I866" s="252" t="s">
        <v>4219</v>
      </c>
      <c r="J866" s="206" t="s">
        <v>3788</v>
      </c>
      <c r="K866" s="206" t="s">
        <v>39</v>
      </c>
      <c r="L866" s="206" t="s">
        <v>152</v>
      </c>
      <c r="M866" s="206"/>
      <c r="N866" s="206"/>
      <c r="O866" s="206"/>
      <c r="P866" s="206" t="s">
        <v>31</v>
      </c>
      <c r="Q866" s="205" t="s">
        <v>32</v>
      </c>
      <c r="R866" s="141" t="s">
        <v>33</v>
      </c>
      <c r="S866" s="206" t="s">
        <v>3786</v>
      </c>
      <c r="T866" s="380">
        <v>37198</v>
      </c>
      <c r="U866" s="206" t="s">
        <v>3788</v>
      </c>
      <c r="V866" s="208" t="s">
        <v>3789</v>
      </c>
      <c r="W866" s="209">
        <v>723760</v>
      </c>
    </row>
    <row r="867" spans="1:23" ht="12.75">
      <c r="A867" s="379">
        <v>46155.571712962963</v>
      </c>
      <c r="B867" s="206" t="s">
        <v>3872</v>
      </c>
      <c r="C867" s="206"/>
      <c r="D867" s="206" t="s">
        <v>24</v>
      </c>
      <c r="E867" s="380">
        <v>37389</v>
      </c>
      <c r="F867" s="206" t="s">
        <v>416</v>
      </c>
      <c r="G867" s="206" t="s">
        <v>1171</v>
      </c>
      <c r="H867" s="206" t="s">
        <v>2162</v>
      </c>
      <c r="I867" s="252" t="s">
        <v>4219</v>
      </c>
      <c r="J867" s="206" t="s">
        <v>3874</v>
      </c>
      <c r="K867" s="206" t="s">
        <v>39</v>
      </c>
      <c r="L867" s="206" t="s">
        <v>162</v>
      </c>
      <c r="M867" s="206"/>
      <c r="N867" s="206"/>
      <c r="O867" s="206"/>
      <c r="P867" s="206" t="s">
        <v>31</v>
      </c>
      <c r="Q867" s="205" t="s">
        <v>32</v>
      </c>
      <c r="R867" s="141" t="s">
        <v>33</v>
      </c>
      <c r="S867" s="206" t="s">
        <v>3875</v>
      </c>
      <c r="T867" s="380">
        <v>37385</v>
      </c>
      <c r="U867" s="206" t="s">
        <v>3874</v>
      </c>
      <c r="V867" s="208" t="s">
        <v>3933</v>
      </c>
      <c r="W867" s="209">
        <v>723763</v>
      </c>
    </row>
    <row r="868" spans="1:23" ht="12.75">
      <c r="A868" s="393">
        <v>46155.224062499998</v>
      </c>
      <c r="B868" s="394" t="s">
        <v>352</v>
      </c>
      <c r="C868" s="317"/>
      <c r="D868" s="394" t="s">
        <v>24</v>
      </c>
      <c r="E868" s="395">
        <v>30328</v>
      </c>
      <c r="F868" s="394" t="s">
        <v>3934</v>
      </c>
      <c r="G868" s="394" t="s">
        <v>3935</v>
      </c>
      <c r="H868" s="394" t="s">
        <v>3936</v>
      </c>
      <c r="I868" s="394" t="s">
        <v>3598</v>
      </c>
      <c r="J868" s="394" t="s">
        <v>3937</v>
      </c>
      <c r="K868" s="394" t="s">
        <v>29</v>
      </c>
      <c r="L868" s="394" t="s">
        <v>30</v>
      </c>
      <c r="M868" s="394" t="s">
        <v>4426</v>
      </c>
      <c r="N868" s="394"/>
      <c r="O868" s="317"/>
      <c r="P868" s="317"/>
      <c r="Q868" s="242" t="s">
        <v>32</v>
      </c>
      <c r="R868" s="242" t="s">
        <v>33</v>
      </c>
      <c r="S868" s="242" t="s">
        <v>358</v>
      </c>
      <c r="T868" s="275">
        <v>30328</v>
      </c>
      <c r="U868" s="242" t="s">
        <v>355</v>
      </c>
      <c r="V868" s="442" t="s">
        <v>3939</v>
      </c>
      <c r="W868" s="277">
        <v>720001</v>
      </c>
    </row>
    <row r="869" spans="1:23" ht="12.75">
      <c r="A869" s="379">
        <v>46156.598981481482</v>
      </c>
      <c r="B869" s="206" t="s">
        <v>3940</v>
      </c>
      <c r="C869" s="206"/>
      <c r="D869" s="206" t="s">
        <v>24</v>
      </c>
      <c r="E869" s="380">
        <v>21981</v>
      </c>
      <c r="F869" s="206" t="s">
        <v>1063</v>
      </c>
      <c r="G869" s="206" t="s">
        <v>3941</v>
      </c>
      <c r="H869" s="206" t="s">
        <v>3942</v>
      </c>
      <c r="I869" s="252" t="s">
        <v>4219</v>
      </c>
      <c r="J869" s="206" t="s">
        <v>3943</v>
      </c>
      <c r="K869" s="206" t="s">
        <v>29</v>
      </c>
      <c r="L869" s="206" t="s">
        <v>30</v>
      </c>
      <c r="M869" s="206"/>
      <c r="N869" s="206"/>
      <c r="O869" s="206"/>
      <c r="P869" s="206" t="s">
        <v>31</v>
      </c>
      <c r="Q869" s="205" t="s">
        <v>32</v>
      </c>
      <c r="R869" s="141" t="s">
        <v>33</v>
      </c>
      <c r="S869" s="206" t="s">
        <v>3940</v>
      </c>
      <c r="T869" s="380">
        <v>21981</v>
      </c>
      <c r="U869" s="206" t="s">
        <v>3944</v>
      </c>
      <c r="V869" s="208" t="s">
        <v>3945</v>
      </c>
      <c r="W869" s="209">
        <v>719802</v>
      </c>
    </row>
    <row r="870" spans="1:23" ht="12.75">
      <c r="A870" s="379">
        <v>46157.04111111111</v>
      </c>
      <c r="B870" s="206" t="s">
        <v>4427</v>
      </c>
      <c r="C870" s="206"/>
      <c r="D870" s="206" t="s">
        <v>24</v>
      </c>
      <c r="E870" s="380">
        <v>23332</v>
      </c>
      <c r="F870" s="206" t="s">
        <v>2246</v>
      </c>
      <c r="G870" s="206" t="s">
        <v>4428</v>
      </c>
      <c r="H870" s="206" t="s">
        <v>4429</v>
      </c>
      <c r="I870" s="252" t="s">
        <v>4237</v>
      </c>
      <c r="J870" s="206" t="s">
        <v>3949</v>
      </c>
      <c r="K870" s="206" t="s">
        <v>29</v>
      </c>
      <c r="L870" s="206" t="s">
        <v>30</v>
      </c>
      <c r="M870" s="206"/>
      <c r="N870" s="206"/>
      <c r="O870" s="206"/>
      <c r="P870" s="206" t="s">
        <v>31</v>
      </c>
      <c r="Q870" s="205" t="s">
        <v>32</v>
      </c>
      <c r="R870" s="141" t="s">
        <v>43</v>
      </c>
      <c r="S870" s="206" t="s">
        <v>3950</v>
      </c>
      <c r="T870" s="380">
        <v>23332</v>
      </c>
      <c r="U870" s="206" t="s">
        <v>3949</v>
      </c>
      <c r="V870" s="208" t="s">
        <v>3951</v>
      </c>
      <c r="W870" s="209">
        <v>722681</v>
      </c>
    </row>
    <row r="871" spans="1:23" ht="12.75">
      <c r="A871" s="325">
        <v>46157.944155092591</v>
      </c>
      <c r="B871" s="326" t="s">
        <v>3952</v>
      </c>
      <c r="C871" s="104"/>
      <c r="D871" s="326" t="s">
        <v>24</v>
      </c>
      <c r="E871" s="327">
        <v>33144</v>
      </c>
      <c r="F871" s="326" t="s">
        <v>3934</v>
      </c>
      <c r="G871" s="326" t="s">
        <v>3954</v>
      </c>
      <c r="H871" s="326" t="s">
        <v>3955</v>
      </c>
      <c r="I871" s="326" t="s">
        <v>3598</v>
      </c>
      <c r="J871" s="326" t="s">
        <v>3956</v>
      </c>
      <c r="K871" s="326" t="s">
        <v>29</v>
      </c>
      <c r="L871" s="326" t="s">
        <v>30</v>
      </c>
      <c r="M871" s="326" t="s">
        <v>1100</v>
      </c>
      <c r="N871" s="326"/>
      <c r="O871" s="104"/>
      <c r="P871" s="104"/>
      <c r="Q871" s="205" t="s">
        <v>32</v>
      </c>
      <c r="R871" s="141"/>
      <c r="S871" s="206" t="s">
        <v>3957</v>
      </c>
      <c r="T871" s="380">
        <v>33144</v>
      </c>
      <c r="U871" s="236" t="s">
        <v>3956</v>
      </c>
      <c r="V871" s="224" t="s">
        <v>3958</v>
      </c>
      <c r="W871" s="209">
        <v>725032</v>
      </c>
    </row>
    <row r="872" spans="1:23" ht="12.75">
      <c r="A872" s="379">
        <v>46158.812268518515</v>
      </c>
      <c r="B872" s="206" t="s">
        <v>2537</v>
      </c>
      <c r="C872" s="206"/>
      <c r="D872" s="206" t="s">
        <v>45</v>
      </c>
      <c r="E872" s="380">
        <v>36879</v>
      </c>
      <c r="F872" s="206" t="s">
        <v>52</v>
      </c>
      <c r="G872" s="206" t="s">
        <v>4430</v>
      </c>
      <c r="H872" s="206" t="s">
        <v>66</v>
      </c>
      <c r="I872" s="252" t="s">
        <v>4219</v>
      </c>
      <c r="J872" s="206" t="s">
        <v>3960</v>
      </c>
      <c r="K872" s="206" t="s">
        <v>29</v>
      </c>
      <c r="L872" s="206" t="s">
        <v>30</v>
      </c>
      <c r="M872" s="206"/>
      <c r="N872" s="206"/>
      <c r="O872" s="206"/>
      <c r="P872" s="206" t="s">
        <v>31</v>
      </c>
      <c r="Q872" s="205" t="s">
        <v>32</v>
      </c>
      <c r="R872" s="141" t="s">
        <v>33</v>
      </c>
      <c r="S872" s="206" t="s">
        <v>2537</v>
      </c>
      <c r="T872" s="380">
        <v>36879</v>
      </c>
      <c r="U872" s="206" t="s">
        <v>2536</v>
      </c>
      <c r="V872" s="208" t="s">
        <v>3961</v>
      </c>
      <c r="W872" s="209">
        <v>719235</v>
      </c>
    </row>
    <row r="873" spans="1:23" ht="12.75">
      <c r="A873" s="379">
        <v>46158.939803240741</v>
      </c>
      <c r="B873" s="206" t="s">
        <v>3962</v>
      </c>
      <c r="C873" s="206" t="s">
        <v>3963</v>
      </c>
      <c r="D873" s="206" t="s">
        <v>45</v>
      </c>
      <c r="E873" s="380">
        <v>36998</v>
      </c>
      <c r="F873" s="206" t="s">
        <v>1053</v>
      </c>
      <c r="G873" s="206" t="s">
        <v>3964</v>
      </c>
      <c r="H873" s="206" t="s">
        <v>66</v>
      </c>
      <c r="I873" s="252" t="s">
        <v>4237</v>
      </c>
      <c r="J873" s="206" t="s">
        <v>3965</v>
      </c>
      <c r="K873" s="206" t="s">
        <v>39</v>
      </c>
      <c r="L873" s="206" t="s">
        <v>1991</v>
      </c>
      <c r="M873" s="206"/>
      <c r="N873" s="206"/>
      <c r="O873" s="206"/>
      <c r="P873" s="206" t="s">
        <v>31</v>
      </c>
      <c r="Q873" s="205" t="s">
        <v>32</v>
      </c>
      <c r="R873" s="141" t="s">
        <v>43</v>
      </c>
      <c r="S873" s="206" t="s">
        <v>3966</v>
      </c>
      <c r="T873" s="380">
        <v>36998</v>
      </c>
      <c r="U873" s="206" t="s">
        <v>3965</v>
      </c>
      <c r="V873" s="208" t="s">
        <v>3967</v>
      </c>
      <c r="W873" s="209">
        <v>723249</v>
      </c>
    </row>
    <row r="874" spans="1:23" ht="12.75">
      <c r="A874" s="379">
        <v>46159.040532407409</v>
      </c>
      <c r="B874" s="206" t="s">
        <v>4431</v>
      </c>
      <c r="C874" s="206"/>
      <c r="D874" s="206" t="s">
        <v>24</v>
      </c>
      <c r="E874" s="380">
        <v>36811</v>
      </c>
      <c r="F874" s="206" t="s">
        <v>52</v>
      </c>
      <c r="G874" s="206" t="s">
        <v>3969</v>
      </c>
      <c r="H874" s="206" t="s">
        <v>578</v>
      </c>
      <c r="I874" s="252" t="s">
        <v>4219</v>
      </c>
      <c r="J874" s="206" t="s">
        <v>3971</v>
      </c>
      <c r="K874" s="206" t="s">
        <v>29</v>
      </c>
      <c r="L874" s="206" t="s">
        <v>30</v>
      </c>
      <c r="M874" s="206"/>
      <c r="N874" s="206"/>
      <c r="O874" s="206"/>
      <c r="P874" s="206" t="s">
        <v>31</v>
      </c>
      <c r="Q874" s="205" t="s">
        <v>32</v>
      </c>
      <c r="R874" s="141"/>
      <c r="S874" s="206" t="s">
        <v>3972</v>
      </c>
      <c r="T874" s="380">
        <v>36811</v>
      </c>
      <c r="U874" s="206" t="s">
        <v>3971</v>
      </c>
      <c r="V874" s="208" t="s">
        <v>3973</v>
      </c>
      <c r="W874" s="209">
        <v>725296</v>
      </c>
    </row>
    <row r="875" spans="1:23" ht="12.75">
      <c r="A875" s="379">
        <v>46159.502696759257</v>
      </c>
      <c r="B875" s="206" t="s">
        <v>1043</v>
      </c>
      <c r="C875" s="206"/>
      <c r="D875" s="206" t="s">
        <v>45</v>
      </c>
      <c r="E875" s="380">
        <v>37591</v>
      </c>
      <c r="F875" s="206" t="s">
        <v>52</v>
      </c>
      <c r="G875" s="206" t="s">
        <v>4432</v>
      </c>
      <c r="H875" s="206" t="s">
        <v>66</v>
      </c>
      <c r="I875" s="252" t="s">
        <v>4219</v>
      </c>
      <c r="J875" s="206" t="s">
        <v>1046</v>
      </c>
      <c r="K875" s="206" t="s">
        <v>29</v>
      </c>
      <c r="L875" s="206" t="s">
        <v>30</v>
      </c>
      <c r="M875" s="206"/>
      <c r="N875" s="206"/>
      <c r="O875" s="206"/>
      <c r="P875" s="206" t="s">
        <v>31</v>
      </c>
      <c r="Q875" s="205" t="s">
        <v>32</v>
      </c>
      <c r="R875" s="141"/>
      <c r="S875" s="206" t="s">
        <v>1047</v>
      </c>
      <c r="T875" s="380">
        <v>37591</v>
      </c>
      <c r="U875" s="206" t="s">
        <v>1046</v>
      </c>
      <c r="V875" s="208" t="s">
        <v>3976</v>
      </c>
      <c r="W875" s="209">
        <v>719596</v>
      </c>
    </row>
    <row r="876" spans="1:23" ht="12.75">
      <c r="A876" s="379">
        <v>46159.986770833333</v>
      </c>
      <c r="B876" s="206" t="s">
        <v>3977</v>
      </c>
      <c r="C876" s="206"/>
      <c r="D876" s="206" t="s">
        <v>24</v>
      </c>
      <c r="E876" s="380">
        <v>30127</v>
      </c>
      <c r="F876" s="206" t="s">
        <v>332</v>
      </c>
      <c r="G876" s="206" t="s">
        <v>3978</v>
      </c>
      <c r="H876" s="206" t="s">
        <v>3979</v>
      </c>
      <c r="I876" s="252" t="s">
        <v>4237</v>
      </c>
      <c r="J876" s="206" t="s">
        <v>3980</v>
      </c>
      <c r="K876" s="206" t="s">
        <v>29</v>
      </c>
      <c r="L876" s="206" t="s">
        <v>30</v>
      </c>
      <c r="M876" s="206"/>
      <c r="N876" s="206"/>
      <c r="O876" s="206"/>
      <c r="P876" s="206" t="s">
        <v>31</v>
      </c>
      <c r="Q876" s="205" t="s">
        <v>32</v>
      </c>
      <c r="R876" s="141" t="s">
        <v>43</v>
      </c>
      <c r="S876" s="206" t="s">
        <v>3981</v>
      </c>
      <c r="T876" s="380">
        <v>30127</v>
      </c>
      <c r="U876" s="206" t="s">
        <v>3980</v>
      </c>
      <c r="V876" s="208" t="s">
        <v>3982</v>
      </c>
      <c r="W876" s="209">
        <v>722237</v>
      </c>
    </row>
    <row r="877" spans="1:23" ht="12.75">
      <c r="A877" s="379">
        <v>46160.113229166665</v>
      </c>
      <c r="B877" s="206" t="s">
        <v>3983</v>
      </c>
      <c r="C877" s="206" t="s">
        <v>3983</v>
      </c>
      <c r="D877" s="206" t="s">
        <v>24</v>
      </c>
      <c r="E877" s="380">
        <v>38085</v>
      </c>
      <c r="F877" s="206" t="s">
        <v>232</v>
      </c>
      <c r="G877" s="206" t="s">
        <v>1922</v>
      </c>
      <c r="H877" s="206" t="s">
        <v>3984</v>
      </c>
      <c r="I877" s="252" t="s">
        <v>4219</v>
      </c>
      <c r="J877" s="206" t="s">
        <v>3985</v>
      </c>
      <c r="K877" s="206" t="s">
        <v>29</v>
      </c>
      <c r="L877" s="206" t="s">
        <v>30</v>
      </c>
      <c r="M877" s="206"/>
      <c r="N877" s="206"/>
      <c r="O877" s="206"/>
      <c r="P877" s="206" t="s">
        <v>31</v>
      </c>
      <c r="Q877" s="205" t="s">
        <v>32</v>
      </c>
      <c r="R877" s="141" t="s">
        <v>33</v>
      </c>
      <c r="S877" s="206" t="s">
        <v>3983</v>
      </c>
      <c r="T877" s="380">
        <v>38085</v>
      </c>
      <c r="U877" s="206" t="s">
        <v>3985</v>
      </c>
      <c r="V877" s="208" t="s">
        <v>3986</v>
      </c>
      <c r="W877" s="209">
        <v>724944</v>
      </c>
    </row>
    <row r="878" spans="1:23" ht="12.75">
      <c r="A878" s="379">
        <v>46160.658807870372</v>
      </c>
      <c r="B878" s="206" t="s">
        <v>1285</v>
      </c>
      <c r="C878" s="206"/>
      <c r="D878" s="206" t="s">
        <v>24</v>
      </c>
      <c r="E878" s="380">
        <v>36333</v>
      </c>
      <c r="F878" s="206" t="s">
        <v>52</v>
      </c>
      <c r="G878" s="206" t="s">
        <v>664</v>
      </c>
      <c r="H878" s="206" t="s">
        <v>4111</v>
      </c>
      <c r="I878" s="252" t="s">
        <v>4219</v>
      </c>
      <c r="J878" s="206" t="s">
        <v>1284</v>
      </c>
      <c r="K878" s="206" t="s">
        <v>29</v>
      </c>
      <c r="L878" s="206" t="s">
        <v>30</v>
      </c>
      <c r="M878" s="206"/>
      <c r="N878" s="206"/>
      <c r="O878" s="206"/>
      <c r="P878" s="206" t="s">
        <v>31</v>
      </c>
      <c r="Q878" s="205" t="s">
        <v>32</v>
      </c>
      <c r="R878" s="141" t="s">
        <v>43</v>
      </c>
      <c r="S878" s="206" t="s">
        <v>1285</v>
      </c>
      <c r="T878" s="380">
        <v>36333</v>
      </c>
      <c r="U878" s="206" t="s">
        <v>1284</v>
      </c>
      <c r="V878" s="208" t="s">
        <v>3990</v>
      </c>
      <c r="W878" s="209">
        <v>719603</v>
      </c>
    </row>
    <row r="879" spans="1:23" ht="12.75">
      <c r="A879" s="379">
        <v>46160.915393518517</v>
      </c>
      <c r="B879" s="206" t="s">
        <v>3991</v>
      </c>
      <c r="C879" s="206" t="s">
        <v>3992</v>
      </c>
      <c r="D879" s="206" t="s">
        <v>45</v>
      </c>
      <c r="E879" s="380">
        <v>35760</v>
      </c>
      <c r="F879" s="206" t="s">
        <v>2246</v>
      </c>
      <c r="G879" s="206" t="s">
        <v>3993</v>
      </c>
      <c r="H879" s="206" t="s">
        <v>3994</v>
      </c>
      <c r="I879" s="252" t="s">
        <v>4237</v>
      </c>
      <c r="J879" s="206" t="s">
        <v>3995</v>
      </c>
      <c r="K879" s="206" t="s">
        <v>39</v>
      </c>
      <c r="L879" s="206" t="s">
        <v>162</v>
      </c>
      <c r="M879" s="206"/>
      <c r="N879" s="206"/>
      <c r="O879" s="206"/>
      <c r="P879" s="206" t="s">
        <v>31</v>
      </c>
      <c r="Q879" s="205" t="s">
        <v>32</v>
      </c>
      <c r="R879" s="141" t="s">
        <v>43</v>
      </c>
      <c r="S879" s="206" t="s">
        <v>3996</v>
      </c>
      <c r="T879" s="380">
        <v>35760</v>
      </c>
      <c r="U879" s="206" t="s">
        <v>3995</v>
      </c>
      <c r="V879" s="208" t="s">
        <v>3997</v>
      </c>
      <c r="W879" s="209">
        <v>722676</v>
      </c>
    </row>
    <row r="880" spans="1:23" ht="12.75">
      <c r="A880" s="379">
        <v>46160.958171296297</v>
      </c>
      <c r="B880" s="206" t="s">
        <v>3998</v>
      </c>
      <c r="C880" s="206" t="s">
        <v>3999</v>
      </c>
      <c r="D880" s="206" t="s">
        <v>24</v>
      </c>
      <c r="E880" s="380">
        <v>33127</v>
      </c>
      <c r="F880" s="206" t="s">
        <v>623</v>
      </c>
      <c r="G880" s="206" t="s">
        <v>4000</v>
      </c>
      <c r="H880" s="206" t="s">
        <v>4001</v>
      </c>
      <c r="I880" s="252" t="s">
        <v>4219</v>
      </c>
      <c r="J880" s="206" t="s">
        <v>4002</v>
      </c>
      <c r="K880" s="206" t="s">
        <v>39</v>
      </c>
      <c r="L880" s="206" t="s">
        <v>30</v>
      </c>
      <c r="M880" s="206"/>
      <c r="N880" s="206"/>
      <c r="O880" s="206"/>
      <c r="P880" s="206" t="s">
        <v>31</v>
      </c>
      <c r="Q880" s="205" t="s">
        <v>32</v>
      </c>
      <c r="R880" s="141"/>
      <c r="S880" s="206" t="s">
        <v>4003</v>
      </c>
      <c r="T880" s="380">
        <v>33127</v>
      </c>
      <c r="U880" s="206" t="s">
        <v>4002</v>
      </c>
      <c r="V880" s="208" t="s">
        <v>4004</v>
      </c>
      <c r="W880" s="209">
        <v>725355</v>
      </c>
    </row>
    <row r="881" spans="1:23" ht="12.75">
      <c r="A881" s="379">
        <v>46161.035740740743</v>
      </c>
      <c r="B881" s="206" t="s">
        <v>4005</v>
      </c>
      <c r="C881" s="206" t="s">
        <v>4006</v>
      </c>
      <c r="D881" s="206" t="s">
        <v>24</v>
      </c>
      <c r="E881" s="380">
        <v>24631</v>
      </c>
      <c r="F881" s="206" t="s">
        <v>4007</v>
      </c>
      <c r="G881" s="206" t="s">
        <v>4008</v>
      </c>
      <c r="H881" s="206" t="s">
        <v>186</v>
      </c>
      <c r="I881" s="252" t="s">
        <v>4237</v>
      </c>
      <c r="J881" s="206" t="s">
        <v>3523</v>
      </c>
      <c r="K881" s="206" t="s">
        <v>29</v>
      </c>
      <c r="L881" s="206" t="s">
        <v>152</v>
      </c>
      <c r="M881" s="206"/>
      <c r="N881" s="206"/>
      <c r="O881" s="206"/>
      <c r="P881" s="206" t="s">
        <v>31</v>
      </c>
      <c r="Q881" s="205" t="s">
        <v>32</v>
      </c>
      <c r="R881" s="141"/>
      <c r="S881" s="206" t="s">
        <v>3524</v>
      </c>
      <c r="T881" s="380">
        <v>24631</v>
      </c>
      <c r="U881" s="206" t="s">
        <v>3523</v>
      </c>
      <c r="V881" s="208" t="s">
        <v>4009</v>
      </c>
      <c r="W881" s="209">
        <v>720761</v>
      </c>
    </row>
    <row r="882" spans="1:23" ht="12.75">
      <c r="A882" s="274">
        <v>46161.087916666664</v>
      </c>
      <c r="B882" s="242" t="s">
        <v>321</v>
      </c>
      <c r="C882" s="242"/>
      <c r="D882" s="242" t="s">
        <v>45</v>
      </c>
      <c r="E882" s="275">
        <v>35302</v>
      </c>
      <c r="F882" s="242" t="s">
        <v>58</v>
      </c>
      <c r="G882" s="242" t="s">
        <v>4010</v>
      </c>
      <c r="H882" s="242" t="s">
        <v>138</v>
      </c>
      <c r="I882" s="241" t="s">
        <v>4219</v>
      </c>
      <c r="J882" s="242" t="s">
        <v>325</v>
      </c>
      <c r="K882" s="242" t="s">
        <v>29</v>
      </c>
      <c r="L882" s="242" t="s">
        <v>30</v>
      </c>
      <c r="M882" s="242"/>
      <c r="N882" s="242"/>
      <c r="O882" s="242"/>
      <c r="P882" s="242" t="s">
        <v>31</v>
      </c>
      <c r="Q882" s="242" t="s">
        <v>32</v>
      </c>
      <c r="R882" s="242" t="s">
        <v>33</v>
      </c>
      <c r="S882" s="242" t="s">
        <v>326</v>
      </c>
      <c r="T882" s="275">
        <v>35302</v>
      </c>
      <c r="U882" s="242" t="s">
        <v>325</v>
      </c>
      <c r="V882" s="442" t="s">
        <v>4011</v>
      </c>
      <c r="W882" s="277">
        <v>720701</v>
      </c>
    </row>
    <row r="883" spans="1:23" ht="12.75">
      <c r="A883" s="379">
        <v>46161.558946759258</v>
      </c>
      <c r="B883" s="206" t="s">
        <v>4012</v>
      </c>
      <c r="C883" s="206"/>
      <c r="D883" s="206" t="s">
        <v>45</v>
      </c>
      <c r="E883" s="380">
        <v>30269</v>
      </c>
      <c r="F883" s="206" t="s">
        <v>1932</v>
      </c>
      <c r="G883" s="206" t="s">
        <v>4013</v>
      </c>
      <c r="H883" s="206" t="s">
        <v>4014</v>
      </c>
      <c r="I883" s="252" t="s">
        <v>4219</v>
      </c>
      <c r="J883" s="206" t="s">
        <v>2203</v>
      </c>
      <c r="K883" s="206" t="s">
        <v>39</v>
      </c>
      <c r="L883" s="206" t="s">
        <v>30</v>
      </c>
      <c r="M883" s="206"/>
      <c r="N883" s="206"/>
      <c r="O883" s="206"/>
      <c r="P883" s="206" t="s">
        <v>31</v>
      </c>
      <c r="Q883" s="205" t="s">
        <v>32</v>
      </c>
      <c r="R883" s="141"/>
      <c r="S883" s="206" t="s">
        <v>2202</v>
      </c>
      <c r="T883" s="380">
        <v>30269</v>
      </c>
      <c r="U883" s="206" t="s">
        <v>2203</v>
      </c>
      <c r="V883" s="208" t="s">
        <v>4015</v>
      </c>
      <c r="W883" s="209">
        <v>722276</v>
      </c>
    </row>
    <row r="884" spans="1:23" ht="12.75">
      <c r="A884" s="379">
        <v>46161.749363425923</v>
      </c>
      <c r="B884" s="206" t="s">
        <v>3200</v>
      </c>
      <c r="C884" s="206"/>
      <c r="D884" s="206" t="s">
        <v>24</v>
      </c>
      <c r="E884" s="380">
        <v>37565</v>
      </c>
      <c r="F884" s="206" t="s">
        <v>612</v>
      </c>
      <c r="G884" s="206" t="s">
        <v>4433</v>
      </c>
      <c r="H884" s="206" t="s">
        <v>4338</v>
      </c>
      <c r="I884" s="252" t="s">
        <v>4223</v>
      </c>
      <c r="J884" s="206" t="s">
        <v>3199</v>
      </c>
      <c r="K884" s="206" t="s">
        <v>29</v>
      </c>
      <c r="L884" s="206" t="s">
        <v>30</v>
      </c>
      <c r="M884" s="206"/>
      <c r="N884" s="206"/>
      <c r="O884" s="206"/>
      <c r="P884" s="206" t="s">
        <v>31</v>
      </c>
      <c r="Q884" s="205" t="s">
        <v>32</v>
      </c>
      <c r="R884" s="141" t="s">
        <v>33</v>
      </c>
      <c r="S884" s="206" t="s">
        <v>3200</v>
      </c>
      <c r="T884" s="380">
        <v>37565</v>
      </c>
      <c r="U884" s="206" t="s">
        <v>3199</v>
      </c>
      <c r="V884" s="208" t="s">
        <v>4018</v>
      </c>
      <c r="W884" s="209">
        <v>719351</v>
      </c>
    </row>
    <row r="885" spans="1:23" ht="12.75">
      <c r="A885" s="274">
        <v>46161.872395833336</v>
      </c>
      <c r="B885" s="242" t="s">
        <v>2812</v>
      </c>
      <c r="C885" s="242"/>
      <c r="D885" s="242" t="s">
        <v>24</v>
      </c>
      <c r="E885" s="275">
        <v>20765</v>
      </c>
      <c r="F885" s="242" t="s">
        <v>2556</v>
      </c>
      <c r="G885" s="242" t="s">
        <v>4020</v>
      </c>
      <c r="H885" s="242" t="s">
        <v>2558</v>
      </c>
      <c r="I885" s="241" t="s">
        <v>4219</v>
      </c>
      <c r="J885" s="242" t="s">
        <v>2814</v>
      </c>
      <c r="K885" s="242" t="s">
        <v>39</v>
      </c>
      <c r="L885" s="242" t="s">
        <v>30</v>
      </c>
      <c r="M885" s="242"/>
      <c r="N885" s="242"/>
      <c r="O885" s="242"/>
      <c r="P885" s="242" t="s">
        <v>31</v>
      </c>
      <c r="Q885" s="242" t="s">
        <v>32</v>
      </c>
      <c r="R885" s="242" t="s">
        <v>33</v>
      </c>
      <c r="S885" s="242" t="s">
        <v>2812</v>
      </c>
      <c r="T885" s="275">
        <v>20765</v>
      </c>
      <c r="U885" s="242" t="s">
        <v>2814</v>
      </c>
      <c r="V885" s="442" t="s">
        <v>4021</v>
      </c>
      <c r="W885" s="277">
        <v>720293</v>
      </c>
    </row>
    <row r="886" spans="1:23" ht="12.75">
      <c r="A886" s="379">
        <v>46162.194618055553</v>
      </c>
      <c r="B886" s="473" t="s">
        <v>4434</v>
      </c>
      <c r="C886" s="474"/>
      <c r="D886" s="206" t="s">
        <v>45</v>
      </c>
      <c r="E886" s="380">
        <v>34964</v>
      </c>
      <c r="F886" s="206" t="s">
        <v>799</v>
      </c>
      <c r="G886" s="206" t="s">
        <v>4435</v>
      </c>
      <c r="H886" s="206" t="s">
        <v>4024</v>
      </c>
      <c r="I886" s="252" t="s">
        <v>4223</v>
      </c>
      <c r="J886" s="206" t="s">
        <v>1408</v>
      </c>
      <c r="K886" s="206" t="s">
        <v>29</v>
      </c>
      <c r="L886" s="381">
        <v>46202</v>
      </c>
      <c r="M886" s="206"/>
      <c r="N886" s="206"/>
      <c r="O886" s="206"/>
      <c r="P886" s="206" t="s">
        <v>31</v>
      </c>
      <c r="Q886" s="205" t="s">
        <v>32</v>
      </c>
      <c r="R886" s="141" t="s">
        <v>33</v>
      </c>
      <c r="S886" s="206" t="s">
        <v>1405</v>
      </c>
      <c r="T886" s="380">
        <v>34964</v>
      </c>
      <c r="U886" s="206" t="s">
        <v>1408</v>
      </c>
      <c r="V886" s="208" t="s">
        <v>4025</v>
      </c>
      <c r="W886" s="209">
        <v>720272</v>
      </c>
    </row>
    <row r="887" spans="1:23" ht="12.75">
      <c r="A887" s="379">
        <v>46162.314004629632</v>
      </c>
      <c r="B887" s="206" t="s">
        <v>3885</v>
      </c>
      <c r="C887" s="206"/>
      <c r="D887" s="206" t="s">
        <v>45</v>
      </c>
      <c r="E887" s="380">
        <v>31693</v>
      </c>
      <c r="F887" s="206" t="s">
        <v>3881</v>
      </c>
      <c r="G887" s="206" t="s">
        <v>4422</v>
      </c>
      <c r="H887" s="206" t="s">
        <v>3883</v>
      </c>
      <c r="I887" s="252" t="s">
        <v>4219</v>
      </c>
      <c r="J887" s="206" t="s">
        <v>3884</v>
      </c>
      <c r="K887" s="206" t="s">
        <v>29</v>
      </c>
      <c r="L887" s="206" t="s">
        <v>30</v>
      </c>
      <c r="M887" s="206"/>
      <c r="N887" s="206"/>
      <c r="O887" s="206"/>
      <c r="P887" s="206" t="s">
        <v>31</v>
      </c>
      <c r="Q887" s="205" t="s">
        <v>32</v>
      </c>
      <c r="R887" s="141" t="s">
        <v>33</v>
      </c>
      <c r="S887" s="206" t="s">
        <v>3885</v>
      </c>
      <c r="T887" s="380">
        <v>31693</v>
      </c>
      <c r="U887" s="206" t="s">
        <v>3884</v>
      </c>
      <c r="V887" s="208" t="s">
        <v>3886</v>
      </c>
      <c r="W887" s="209">
        <v>724953</v>
      </c>
    </row>
    <row r="888" spans="1:23" ht="12.75">
      <c r="A888" s="379">
        <v>46162.35497685185</v>
      </c>
      <c r="B888" s="206" t="s">
        <v>4026</v>
      </c>
      <c r="C888" s="206"/>
      <c r="D888" s="206" t="s">
        <v>45</v>
      </c>
      <c r="E888" s="380">
        <v>28245</v>
      </c>
      <c r="F888" s="206" t="s">
        <v>799</v>
      </c>
      <c r="G888" s="206" t="s">
        <v>4027</v>
      </c>
      <c r="H888" s="206" t="s">
        <v>111</v>
      </c>
      <c r="I888" s="252" t="s">
        <v>4223</v>
      </c>
      <c r="J888" s="206" t="s">
        <v>4028</v>
      </c>
      <c r="K888" s="206" t="s">
        <v>29</v>
      </c>
      <c r="L888" s="206" t="s">
        <v>30</v>
      </c>
      <c r="M888" s="206"/>
      <c r="N888" s="206"/>
      <c r="O888" s="206"/>
      <c r="P888" s="206" t="s">
        <v>31</v>
      </c>
      <c r="Q888" s="205" t="s">
        <v>32</v>
      </c>
      <c r="R888" s="141" t="s">
        <v>43</v>
      </c>
      <c r="S888" s="206" t="s">
        <v>4026</v>
      </c>
      <c r="T888" s="380">
        <v>28245</v>
      </c>
      <c r="U888" s="206" t="s">
        <v>4029</v>
      </c>
      <c r="V888" s="208" t="s">
        <v>4030</v>
      </c>
      <c r="W888" s="209">
        <v>721823</v>
      </c>
    </row>
    <row r="889" spans="1:23" ht="12.75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25" t="s">
        <v>56</v>
      </c>
      <c r="R889" s="141"/>
      <c r="S889" s="206"/>
      <c r="T889" s="206"/>
      <c r="U889" s="206"/>
      <c r="V889" s="484" t="s">
        <v>3595</v>
      </c>
      <c r="W889" s="474"/>
    </row>
    <row r="890" spans="1:23" ht="12.75">
      <c r="A890" s="379">
        <v>46162.374745370369</v>
      </c>
      <c r="B890" s="473" t="s">
        <v>4036</v>
      </c>
      <c r="C890" s="474"/>
      <c r="D890" s="206" t="s">
        <v>45</v>
      </c>
      <c r="E890" s="380">
        <v>23854</v>
      </c>
      <c r="F890" s="206" t="s">
        <v>799</v>
      </c>
      <c r="G890" s="206" t="s">
        <v>1203</v>
      </c>
      <c r="H890" s="206" t="s">
        <v>4436</v>
      </c>
      <c r="I890" s="252" t="s">
        <v>4223</v>
      </c>
      <c r="J890" s="206" t="s">
        <v>4034</v>
      </c>
      <c r="K890" s="206" t="s">
        <v>29</v>
      </c>
      <c r="L890" s="206" t="s">
        <v>30</v>
      </c>
      <c r="M890" s="206" t="s">
        <v>4437</v>
      </c>
      <c r="N890" s="206"/>
      <c r="O890" s="206"/>
      <c r="P890" s="206" t="s">
        <v>31</v>
      </c>
      <c r="Q890" s="205" t="s">
        <v>32</v>
      </c>
      <c r="R890" s="141" t="s">
        <v>43</v>
      </c>
      <c r="S890" s="206" t="s">
        <v>4036</v>
      </c>
      <c r="T890" s="380">
        <v>23854</v>
      </c>
      <c r="U890" s="206" t="s">
        <v>4034</v>
      </c>
      <c r="V890" s="208" t="s">
        <v>4037</v>
      </c>
      <c r="W890" s="209">
        <v>720010</v>
      </c>
    </row>
    <row r="891" spans="1:23" ht="12.75">
      <c r="A891" s="379">
        <v>46162.658750000002</v>
      </c>
      <c r="B891" s="473" t="s">
        <v>4042</v>
      </c>
      <c r="C891" s="474"/>
      <c r="D891" s="206" t="s">
        <v>24</v>
      </c>
      <c r="E891" s="380">
        <v>24517</v>
      </c>
      <c r="F891" s="206" t="s">
        <v>799</v>
      </c>
      <c r="G891" s="206" t="s">
        <v>4438</v>
      </c>
      <c r="H891" s="206" t="s">
        <v>111</v>
      </c>
      <c r="I891" s="252" t="s">
        <v>4223</v>
      </c>
      <c r="J891" s="206" t="s">
        <v>4040</v>
      </c>
      <c r="K891" s="206" t="s">
        <v>29</v>
      </c>
      <c r="L891" s="206" t="s">
        <v>30</v>
      </c>
      <c r="M891" s="206" t="s">
        <v>4439</v>
      </c>
      <c r="N891" s="206"/>
      <c r="O891" s="206"/>
      <c r="P891" s="206" t="s">
        <v>31</v>
      </c>
      <c r="Q891" s="205" t="s">
        <v>32</v>
      </c>
      <c r="R891" s="141" t="s">
        <v>43</v>
      </c>
      <c r="S891" s="206" t="s">
        <v>4042</v>
      </c>
      <c r="T891" s="380">
        <v>24820</v>
      </c>
      <c r="U891" s="206" t="s">
        <v>4040</v>
      </c>
      <c r="V891" s="208" t="s">
        <v>4043</v>
      </c>
      <c r="W891" s="209">
        <v>719941</v>
      </c>
    </row>
    <row r="892" spans="1:23" ht="12.75">
      <c r="A892" s="274">
        <v>46162.852141203701</v>
      </c>
      <c r="B892" s="242" t="s">
        <v>4044</v>
      </c>
      <c r="C892" s="242"/>
      <c r="D892" s="242" t="s">
        <v>24</v>
      </c>
      <c r="E892" s="275">
        <v>28647</v>
      </c>
      <c r="F892" s="242" t="s">
        <v>2596</v>
      </c>
      <c r="G892" s="242" t="s">
        <v>4045</v>
      </c>
      <c r="H892" s="242" t="s">
        <v>4046</v>
      </c>
      <c r="I892" s="241" t="s">
        <v>4219</v>
      </c>
      <c r="J892" s="242" t="s">
        <v>3491</v>
      </c>
      <c r="K892" s="242" t="s">
        <v>39</v>
      </c>
      <c r="L892" s="242" t="s">
        <v>152</v>
      </c>
      <c r="M892" s="242" t="s">
        <v>4047</v>
      </c>
      <c r="N892" s="242"/>
      <c r="O892" s="242"/>
      <c r="P892" s="242" t="s">
        <v>31</v>
      </c>
      <c r="Q892" s="242" t="s">
        <v>32</v>
      </c>
      <c r="R892" s="242" t="s">
        <v>43</v>
      </c>
      <c r="S892" s="242" t="s">
        <v>4044</v>
      </c>
      <c r="T892" s="275">
        <v>28647</v>
      </c>
      <c r="U892" s="242" t="s">
        <v>3491</v>
      </c>
      <c r="V892" s="442" t="s">
        <v>4048</v>
      </c>
      <c r="W892" s="277">
        <v>725704</v>
      </c>
    </row>
    <row r="893" spans="1:23" ht="12.75">
      <c r="A893" s="379">
        <v>46163.632928240739</v>
      </c>
      <c r="B893" s="206" t="s">
        <v>3547</v>
      </c>
      <c r="C893" s="206"/>
      <c r="D893" s="206" t="s">
        <v>24</v>
      </c>
      <c r="E893" s="380">
        <v>21916</v>
      </c>
      <c r="F893" s="206" t="s">
        <v>623</v>
      </c>
      <c r="G893" s="206" t="s">
        <v>3548</v>
      </c>
      <c r="H893" s="206" t="s">
        <v>3549</v>
      </c>
      <c r="I893" s="252" t="s">
        <v>4219</v>
      </c>
      <c r="J893" s="206" t="s">
        <v>3550</v>
      </c>
      <c r="K893" s="206" t="s">
        <v>39</v>
      </c>
      <c r="L893" s="206" t="s">
        <v>30</v>
      </c>
      <c r="M893" s="206" t="s">
        <v>4440</v>
      </c>
      <c r="N893" s="206" t="s">
        <v>4050</v>
      </c>
      <c r="O893" s="206" t="s">
        <v>4051</v>
      </c>
      <c r="P893" s="206" t="s">
        <v>31</v>
      </c>
      <c r="Q893" s="205" t="s">
        <v>32</v>
      </c>
      <c r="R893" s="141" t="s">
        <v>43</v>
      </c>
      <c r="S893" s="206" t="s">
        <v>3547</v>
      </c>
      <c r="T893" s="380">
        <v>21916</v>
      </c>
      <c r="U893" s="206" t="s">
        <v>3550</v>
      </c>
      <c r="V893" s="208" t="s">
        <v>4052</v>
      </c>
      <c r="W893" s="209">
        <v>725030</v>
      </c>
    </row>
    <row r="894" spans="1:23" ht="12.75">
      <c r="A894" s="379">
        <v>46163.636678240742</v>
      </c>
      <c r="B894" s="206" t="s">
        <v>4053</v>
      </c>
      <c r="C894" s="206"/>
      <c r="D894" s="206" t="s">
        <v>45</v>
      </c>
      <c r="E894" s="380">
        <v>34837</v>
      </c>
      <c r="F894" s="206" t="s">
        <v>623</v>
      </c>
      <c r="G894" s="206" t="s">
        <v>3548</v>
      </c>
      <c r="H894" s="206" t="s">
        <v>4054</v>
      </c>
      <c r="I894" s="252" t="s">
        <v>4219</v>
      </c>
      <c r="J894" s="206" t="s">
        <v>3550</v>
      </c>
      <c r="K894" s="206" t="s">
        <v>39</v>
      </c>
      <c r="L894" s="206" t="s">
        <v>30</v>
      </c>
      <c r="M894" s="206" t="s">
        <v>4055</v>
      </c>
      <c r="N894" s="206" t="s">
        <v>4056</v>
      </c>
      <c r="O894" s="206" t="s">
        <v>4057</v>
      </c>
      <c r="P894" s="206" t="s">
        <v>31</v>
      </c>
      <c r="Q894" s="205" t="s">
        <v>32</v>
      </c>
      <c r="R894" s="141" t="s">
        <v>43</v>
      </c>
      <c r="S894" s="206" t="s">
        <v>3547</v>
      </c>
      <c r="T894" s="380">
        <v>21916</v>
      </c>
      <c r="U894" s="206" t="s">
        <v>3550</v>
      </c>
      <c r="V894" s="208" t="s">
        <v>4058</v>
      </c>
      <c r="W894" s="209">
        <v>725030</v>
      </c>
    </row>
    <row r="895" spans="1:23" ht="12.75">
      <c r="A895" s="255">
        <v>46164.726979166669</v>
      </c>
      <c r="B895" s="141" t="s">
        <v>4059</v>
      </c>
      <c r="C895" s="141"/>
      <c r="D895" s="141" t="s">
        <v>45</v>
      </c>
      <c r="E895" s="256">
        <v>38058</v>
      </c>
      <c r="F895" s="141" t="s">
        <v>70</v>
      </c>
      <c r="G895" s="141" t="s">
        <v>1379</v>
      </c>
      <c r="H895" s="141" t="s">
        <v>138</v>
      </c>
      <c r="I895" s="252" t="s">
        <v>4219</v>
      </c>
      <c r="J895" s="141" t="s">
        <v>4060</v>
      </c>
      <c r="K895" s="141" t="s">
        <v>39</v>
      </c>
      <c r="L895" s="141" t="s">
        <v>30</v>
      </c>
      <c r="M895" s="141"/>
      <c r="N895" s="141"/>
      <c r="O895" s="141"/>
      <c r="P895" s="141" t="s">
        <v>31</v>
      </c>
      <c r="Q895" s="205" t="s">
        <v>32</v>
      </c>
      <c r="R895" s="141" t="s">
        <v>33</v>
      </c>
      <c r="S895" s="141" t="s">
        <v>4061</v>
      </c>
      <c r="T895" s="256">
        <v>38058</v>
      </c>
      <c r="U895" s="141" t="s">
        <v>4060</v>
      </c>
      <c r="V895" s="227" t="s">
        <v>4062</v>
      </c>
      <c r="W895" s="228">
        <v>717265</v>
      </c>
    </row>
    <row r="896" spans="1:23" ht="14.25">
      <c r="A896" s="379">
        <v>46165.097222222219</v>
      </c>
      <c r="B896" s="206" t="s">
        <v>4421</v>
      </c>
      <c r="C896" s="206"/>
      <c r="D896" s="206" t="s">
        <v>24</v>
      </c>
      <c r="E896" s="380">
        <v>35790</v>
      </c>
      <c r="F896" s="206" t="s">
        <v>1770</v>
      </c>
      <c r="G896" s="206" t="s">
        <v>4441</v>
      </c>
      <c r="H896" s="206" t="s">
        <v>3006</v>
      </c>
      <c r="I896" s="252" t="s">
        <v>4219</v>
      </c>
      <c r="J896" s="206" t="s">
        <v>1344</v>
      </c>
      <c r="K896" s="206" t="s">
        <v>39</v>
      </c>
      <c r="L896" s="206" t="s">
        <v>30</v>
      </c>
      <c r="M896" s="206"/>
      <c r="N896" s="206"/>
      <c r="O896" s="206"/>
      <c r="P896" s="206" t="s">
        <v>31</v>
      </c>
      <c r="Q896" s="205" t="s">
        <v>32</v>
      </c>
      <c r="R896" s="418" t="s">
        <v>1008</v>
      </c>
      <c r="S896" s="206" t="s">
        <v>1341</v>
      </c>
      <c r="T896" s="380">
        <v>35790</v>
      </c>
      <c r="U896" s="206" t="s">
        <v>1344</v>
      </c>
      <c r="V896" s="208" t="s">
        <v>3866</v>
      </c>
      <c r="W896" s="209">
        <v>720147</v>
      </c>
    </row>
    <row r="897" spans="1:23" ht="12.75">
      <c r="A897" s="379">
        <v>46165.121967592589</v>
      </c>
      <c r="B897" s="206" t="s">
        <v>4442</v>
      </c>
      <c r="C897" s="206"/>
      <c r="D897" s="206" t="s">
        <v>24</v>
      </c>
      <c r="E897" s="380">
        <v>36811</v>
      </c>
      <c r="F897" s="206" t="s">
        <v>1770</v>
      </c>
      <c r="G897" s="206" t="s">
        <v>3969</v>
      </c>
      <c r="H897" s="206" t="s">
        <v>66</v>
      </c>
      <c r="I897" s="252" t="s">
        <v>4219</v>
      </c>
      <c r="J897" s="206" t="s">
        <v>3971</v>
      </c>
      <c r="K897" s="206" t="s">
        <v>29</v>
      </c>
      <c r="L897" s="206" t="s">
        <v>30</v>
      </c>
      <c r="M897" s="206"/>
      <c r="N897" s="206"/>
      <c r="O897" s="206"/>
      <c r="P897" s="206" t="s">
        <v>31</v>
      </c>
      <c r="Q897" s="205" t="s">
        <v>32</v>
      </c>
      <c r="R897" s="141"/>
      <c r="S897" s="206" t="s">
        <v>3972</v>
      </c>
      <c r="T897" s="380">
        <v>36811</v>
      </c>
      <c r="U897" s="206" t="s">
        <v>3971</v>
      </c>
      <c r="V897" s="208" t="s">
        <v>3973</v>
      </c>
      <c r="W897" s="209">
        <v>725296</v>
      </c>
    </row>
    <row r="898" spans="1:23" ht="12.75">
      <c r="A898" s="379">
        <v>46165.226134259261</v>
      </c>
      <c r="B898" s="206" t="s">
        <v>4443</v>
      </c>
      <c r="C898" s="206"/>
      <c r="D898" s="206" t="s">
        <v>24</v>
      </c>
      <c r="E898" s="380">
        <v>28105</v>
      </c>
      <c r="F898" s="206" t="s">
        <v>64</v>
      </c>
      <c r="G898" s="206" t="s">
        <v>3732</v>
      </c>
      <c r="H898" s="206" t="s">
        <v>186</v>
      </c>
      <c r="I898" s="252" t="s">
        <v>4219</v>
      </c>
      <c r="J898" s="206" t="s">
        <v>4069</v>
      </c>
      <c r="K898" s="206" t="s">
        <v>29</v>
      </c>
      <c r="L898" s="206" t="s">
        <v>30</v>
      </c>
      <c r="M898" s="206"/>
      <c r="N898" s="206"/>
      <c r="O898" s="206"/>
      <c r="P898" s="206" t="s">
        <v>31</v>
      </c>
      <c r="Q898" s="205" t="s">
        <v>32</v>
      </c>
      <c r="R898" s="141"/>
      <c r="S898" s="206" t="s">
        <v>4070</v>
      </c>
      <c r="T898" s="380">
        <v>28105</v>
      </c>
      <c r="U898" s="206" t="s">
        <v>4069</v>
      </c>
      <c r="V898" s="208" t="s">
        <v>4071</v>
      </c>
      <c r="W898" s="209">
        <v>725764</v>
      </c>
    </row>
    <row r="899" spans="1:23" ht="12.75">
      <c r="A899" s="379">
        <v>46165.834965277776</v>
      </c>
      <c r="B899" s="206" t="s">
        <v>1448</v>
      </c>
      <c r="C899" s="206"/>
      <c r="D899" s="206" t="s">
        <v>24</v>
      </c>
      <c r="E899" s="380">
        <v>36954</v>
      </c>
      <c r="F899" s="206" t="s">
        <v>1449</v>
      </c>
      <c r="G899" s="206" t="s">
        <v>2995</v>
      </c>
      <c r="H899" s="206" t="s">
        <v>66</v>
      </c>
      <c r="I899" s="252" t="s">
        <v>4219</v>
      </c>
      <c r="J899" s="206" t="s">
        <v>3779</v>
      </c>
      <c r="K899" s="206" t="s">
        <v>29</v>
      </c>
      <c r="L899" s="206" t="s">
        <v>4072</v>
      </c>
      <c r="M899" s="206"/>
      <c r="N899" s="206"/>
      <c r="O899" s="206"/>
      <c r="P899" s="206" t="s">
        <v>31</v>
      </c>
      <c r="Q899" s="205" t="s">
        <v>32</v>
      </c>
      <c r="R899" s="141" t="s">
        <v>43</v>
      </c>
      <c r="S899" s="206" t="s">
        <v>1448</v>
      </c>
      <c r="T899" s="380">
        <v>36954</v>
      </c>
      <c r="U899" s="206" t="s">
        <v>3779</v>
      </c>
      <c r="V899" s="208" t="s">
        <v>3780</v>
      </c>
      <c r="W899" s="209">
        <v>723766</v>
      </c>
    </row>
    <row r="900" spans="1:23" ht="12.75">
      <c r="A900" s="379">
        <v>46166.931388888886</v>
      </c>
      <c r="B900" s="206" t="s">
        <v>4076</v>
      </c>
      <c r="C900" s="206"/>
      <c r="D900" s="206" t="s">
        <v>45</v>
      </c>
      <c r="E900" s="380">
        <v>34648</v>
      </c>
      <c r="F900" s="206" t="s">
        <v>1427</v>
      </c>
      <c r="G900" s="206" t="s">
        <v>1428</v>
      </c>
      <c r="H900" s="206" t="s">
        <v>4444</v>
      </c>
      <c r="I900" s="252" t="s">
        <v>4223</v>
      </c>
      <c r="J900" s="206" t="s">
        <v>4075</v>
      </c>
      <c r="K900" s="206" t="s">
        <v>29</v>
      </c>
      <c r="L900" s="206" t="s">
        <v>30</v>
      </c>
      <c r="M900" s="206"/>
      <c r="N900" s="206"/>
      <c r="O900" s="206"/>
      <c r="P900" s="206" t="s">
        <v>31</v>
      </c>
      <c r="Q900" s="205" t="s">
        <v>32</v>
      </c>
      <c r="R900" s="141"/>
      <c r="S900" s="206" t="s">
        <v>4076</v>
      </c>
      <c r="T900" s="380">
        <v>34648</v>
      </c>
      <c r="U900" s="206" t="s">
        <v>4075</v>
      </c>
      <c r="V900" s="208" t="s">
        <v>4077</v>
      </c>
      <c r="W900" s="209">
        <v>725772</v>
      </c>
    </row>
    <row r="901" spans="1:23" ht="12.75">
      <c r="A901" s="379">
        <v>46166.957754629628</v>
      </c>
      <c r="B901" s="473" t="s">
        <v>4445</v>
      </c>
      <c r="C901" s="474"/>
      <c r="D901" s="206" t="s">
        <v>45</v>
      </c>
      <c r="E901" s="380">
        <v>40555</v>
      </c>
      <c r="F901" s="206" t="s">
        <v>1427</v>
      </c>
      <c r="G901" s="206" t="s">
        <v>1428</v>
      </c>
      <c r="H901" s="206" t="s">
        <v>4446</v>
      </c>
      <c r="I901" s="252" t="s">
        <v>4223</v>
      </c>
      <c r="J901" s="206" t="s">
        <v>4080</v>
      </c>
      <c r="K901" s="206" t="s">
        <v>29</v>
      </c>
      <c r="L901" s="206" t="s">
        <v>30</v>
      </c>
      <c r="M901" s="206"/>
      <c r="N901" s="206"/>
      <c r="O901" s="206"/>
      <c r="P901" s="206" t="s">
        <v>31</v>
      </c>
      <c r="Q901" s="205" t="s">
        <v>32</v>
      </c>
      <c r="R901" s="141"/>
      <c r="S901" s="206" t="s">
        <v>4081</v>
      </c>
      <c r="T901" s="380">
        <v>33250</v>
      </c>
      <c r="U901" s="206" t="s">
        <v>4080</v>
      </c>
      <c r="V901" s="208" t="s">
        <v>4082</v>
      </c>
      <c r="W901" s="209">
        <v>723767</v>
      </c>
    </row>
    <row r="902" spans="1:23" ht="12.75">
      <c r="A902" s="379">
        <v>46167.333668981482</v>
      </c>
      <c r="B902" s="206" t="s">
        <v>4083</v>
      </c>
      <c r="C902" s="206" t="s">
        <v>4084</v>
      </c>
      <c r="D902" s="206" t="s">
        <v>24</v>
      </c>
      <c r="E902" s="380">
        <v>25941</v>
      </c>
      <c r="F902" s="206" t="s">
        <v>623</v>
      </c>
      <c r="G902" s="206" t="s">
        <v>4085</v>
      </c>
      <c r="H902" s="206" t="s">
        <v>4086</v>
      </c>
      <c r="I902" s="252" t="s">
        <v>4219</v>
      </c>
      <c r="J902" s="206" t="s">
        <v>4087</v>
      </c>
      <c r="K902" s="206" t="s">
        <v>29</v>
      </c>
      <c r="L902" s="206" t="s">
        <v>30</v>
      </c>
      <c r="M902" s="206"/>
      <c r="N902" s="206"/>
      <c r="O902" s="206"/>
      <c r="P902" s="206" t="s">
        <v>31</v>
      </c>
      <c r="Q902" s="205" t="s">
        <v>32</v>
      </c>
      <c r="R902" s="141"/>
      <c r="S902" s="206" t="s">
        <v>4088</v>
      </c>
      <c r="T902" s="380">
        <v>25941</v>
      </c>
      <c r="U902" s="206" t="s">
        <v>4087</v>
      </c>
      <c r="V902" s="208" t="s">
        <v>4089</v>
      </c>
      <c r="W902" s="209">
        <v>723021</v>
      </c>
    </row>
    <row r="903" spans="1:23" ht="12.75">
      <c r="A903" s="379">
        <v>46167.387314814812</v>
      </c>
      <c r="B903" s="206" t="s">
        <v>4090</v>
      </c>
      <c r="C903" s="206"/>
      <c r="D903" s="206" t="s">
        <v>45</v>
      </c>
      <c r="E903" s="380">
        <v>34835</v>
      </c>
      <c r="F903" s="206" t="s">
        <v>1179</v>
      </c>
      <c r="G903" s="206" t="s">
        <v>4091</v>
      </c>
      <c r="H903" s="206" t="s">
        <v>138</v>
      </c>
      <c r="I903" s="252" t="s">
        <v>4237</v>
      </c>
      <c r="J903" s="206" t="s">
        <v>4092</v>
      </c>
      <c r="K903" s="206" t="s">
        <v>29</v>
      </c>
      <c r="L903" s="206" t="s">
        <v>396</v>
      </c>
      <c r="M903" s="206"/>
      <c r="N903" s="206"/>
      <c r="O903" s="206"/>
      <c r="P903" s="206" t="s">
        <v>31</v>
      </c>
      <c r="Q903" s="205" t="s">
        <v>32</v>
      </c>
      <c r="R903" s="141" t="s">
        <v>43</v>
      </c>
      <c r="S903" s="206" t="s">
        <v>4090</v>
      </c>
      <c r="T903" s="380">
        <v>34835</v>
      </c>
      <c r="U903" s="206" t="s">
        <v>4092</v>
      </c>
      <c r="V903" s="208" t="s">
        <v>4093</v>
      </c>
      <c r="W903" s="209">
        <v>725776</v>
      </c>
    </row>
    <row r="904" spans="1:23" ht="12.75">
      <c r="A904" s="274">
        <v>46167.641712962963</v>
      </c>
      <c r="B904" s="242" t="s">
        <v>4094</v>
      </c>
      <c r="C904" s="242" t="s">
        <v>3483</v>
      </c>
      <c r="D904" s="242" t="s">
        <v>24</v>
      </c>
      <c r="E904" s="275">
        <v>36420</v>
      </c>
      <c r="F904" s="242" t="s">
        <v>1053</v>
      </c>
      <c r="G904" s="242" t="s">
        <v>3484</v>
      </c>
      <c r="H904" s="242" t="s">
        <v>4095</v>
      </c>
      <c r="I904" s="241" t="s">
        <v>4237</v>
      </c>
      <c r="J904" s="242" t="s">
        <v>3485</v>
      </c>
      <c r="K904" s="242" t="s">
        <v>39</v>
      </c>
      <c r="L904" s="242" t="s">
        <v>152</v>
      </c>
      <c r="M904" s="242"/>
      <c r="N904" s="242"/>
      <c r="O904" s="242"/>
      <c r="P904" s="242" t="s">
        <v>31</v>
      </c>
      <c r="Q904" s="242" t="s">
        <v>32</v>
      </c>
      <c r="R904" s="242" t="s">
        <v>43</v>
      </c>
      <c r="S904" s="242" t="s">
        <v>4094</v>
      </c>
      <c r="T904" s="275">
        <v>36420</v>
      </c>
      <c r="U904" s="242" t="s">
        <v>3485</v>
      </c>
      <c r="V904" s="442" t="s">
        <v>4096</v>
      </c>
      <c r="W904" s="277">
        <v>723721</v>
      </c>
    </row>
    <row r="905" spans="1:23" ht="12.75">
      <c r="A905" s="379">
        <v>46167.662152777775</v>
      </c>
      <c r="B905" s="206" t="s">
        <v>4097</v>
      </c>
      <c r="C905" s="206"/>
      <c r="D905" s="206" t="s">
        <v>24</v>
      </c>
      <c r="E905" s="380">
        <v>27795</v>
      </c>
      <c r="F905" s="206" t="s">
        <v>623</v>
      </c>
      <c r="G905" s="206" t="s">
        <v>4098</v>
      </c>
      <c r="H905" s="206" t="s">
        <v>4099</v>
      </c>
      <c r="I905" s="252" t="s">
        <v>4219</v>
      </c>
      <c r="J905" s="206" t="s">
        <v>4100</v>
      </c>
      <c r="K905" s="206" t="s">
        <v>29</v>
      </c>
      <c r="L905" s="206" t="s">
        <v>30</v>
      </c>
      <c r="M905" s="206"/>
      <c r="N905" s="206"/>
      <c r="O905" s="206"/>
      <c r="P905" s="206" t="s">
        <v>31</v>
      </c>
      <c r="Q905" s="205" t="s">
        <v>32</v>
      </c>
      <c r="R905" s="141" t="s">
        <v>33</v>
      </c>
      <c r="S905" s="206" t="s">
        <v>4097</v>
      </c>
      <c r="T905" s="380">
        <v>27795</v>
      </c>
      <c r="U905" s="206" t="s">
        <v>4100</v>
      </c>
      <c r="V905" s="208" t="s">
        <v>4101</v>
      </c>
      <c r="W905" s="209">
        <v>718609</v>
      </c>
    </row>
    <row r="906" spans="1:23" ht="12.75">
      <c r="A906" s="379">
        <v>46167.671574074076</v>
      </c>
      <c r="B906" s="206" t="s">
        <v>4102</v>
      </c>
      <c r="C906" s="206"/>
      <c r="D906" s="206" t="s">
        <v>24</v>
      </c>
      <c r="E906" s="380">
        <v>33280</v>
      </c>
      <c r="F906" s="206" t="s">
        <v>332</v>
      </c>
      <c r="G906" s="206" t="s">
        <v>4103</v>
      </c>
      <c r="H906" s="206" t="s">
        <v>1747</v>
      </c>
      <c r="I906" s="252" t="s">
        <v>4237</v>
      </c>
      <c r="J906" s="206" t="s">
        <v>4104</v>
      </c>
      <c r="K906" s="206" t="s">
        <v>29</v>
      </c>
      <c r="L906" s="206" t="s">
        <v>30</v>
      </c>
      <c r="M906" s="206"/>
      <c r="N906" s="206"/>
      <c r="O906" s="206"/>
      <c r="P906" s="206" t="s">
        <v>31</v>
      </c>
      <c r="Q906" s="205" t="s">
        <v>32</v>
      </c>
      <c r="R906" s="141" t="s">
        <v>43</v>
      </c>
      <c r="S906" s="206" t="s">
        <v>4102</v>
      </c>
      <c r="T906" s="380">
        <v>33280</v>
      </c>
      <c r="U906" s="206" t="s">
        <v>4104</v>
      </c>
      <c r="V906" s="208" t="s">
        <v>4105</v>
      </c>
      <c r="W906" s="209">
        <v>722131</v>
      </c>
    </row>
    <row r="907" spans="1:23" ht="12.75">
      <c r="A907" s="379">
        <v>46167.672314814816</v>
      </c>
      <c r="B907" s="473" t="s">
        <v>4106</v>
      </c>
      <c r="C907" s="474"/>
      <c r="D907" s="206" t="s">
        <v>24</v>
      </c>
      <c r="E907" s="380">
        <v>34959</v>
      </c>
      <c r="F907" s="206" t="s">
        <v>332</v>
      </c>
      <c r="G907" s="206" t="s">
        <v>4103</v>
      </c>
      <c r="H907" s="206" t="s">
        <v>4107</v>
      </c>
      <c r="I907" s="252" t="s">
        <v>4237</v>
      </c>
      <c r="J907" s="206" t="s">
        <v>4108</v>
      </c>
      <c r="K907" s="206" t="s">
        <v>29</v>
      </c>
      <c r="L907" s="206" t="s">
        <v>30</v>
      </c>
      <c r="M907" s="206"/>
      <c r="N907" s="206"/>
      <c r="O907" s="206"/>
      <c r="P907" s="206" t="s">
        <v>31</v>
      </c>
      <c r="Q907" s="205" t="s">
        <v>32</v>
      </c>
      <c r="R907" s="141" t="s">
        <v>43</v>
      </c>
      <c r="S907" s="206" t="s">
        <v>4109</v>
      </c>
      <c r="T907" s="380">
        <v>34959</v>
      </c>
      <c r="U907" s="206" t="s">
        <v>4108</v>
      </c>
      <c r="V907" s="208" t="s">
        <v>4110</v>
      </c>
      <c r="W907" s="209">
        <v>723216</v>
      </c>
    </row>
    <row r="908" spans="1:23" ht="12.75">
      <c r="A908" s="379">
        <v>46167.771412037036</v>
      </c>
      <c r="B908" s="206" t="s">
        <v>1285</v>
      </c>
      <c r="C908" s="206"/>
      <c r="D908" s="206" t="s">
        <v>24</v>
      </c>
      <c r="E908" s="380">
        <v>36333</v>
      </c>
      <c r="F908" s="206" t="s">
        <v>52</v>
      </c>
      <c r="G908" s="206" t="s">
        <v>664</v>
      </c>
      <c r="H908" s="206" t="s">
        <v>4111</v>
      </c>
      <c r="I908" s="252" t="s">
        <v>4219</v>
      </c>
      <c r="J908" s="206" t="s">
        <v>1284</v>
      </c>
      <c r="K908" s="206" t="s">
        <v>29</v>
      </c>
      <c r="L908" s="206" t="s">
        <v>30</v>
      </c>
      <c r="M908" s="206"/>
      <c r="N908" s="206"/>
      <c r="O908" s="206"/>
      <c r="P908" s="206" t="s">
        <v>31</v>
      </c>
      <c r="Q908" s="205" t="s">
        <v>32</v>
      </c>
      <c r="R908" s="141" t="s">
        <v>43</v>
      </c>
      <c r="S908" s="206" t="s">
        <v>1285</v>
      </c>
      <c r="T908" s="380">
        <v>36333</v>
      </c>
      <c r="U908" s="206" t="s">
        <v>1284</v>
      </c>
      <c r="V908" s="208" t="s">
        <v>3990</v>
      </c>
      <c r="W908" s="209">
        <v>719603</v>
      </c>
    </row>
    <row r="909" spans="1:23" ht="14.25">
      <c r="A909" s="379">
        <v>46167.990266203706</v>
      </c>
      <c r="B909" s="206" t="s">
        <v>3389</v>
      </c>
      <c r="C909" s="206" t="s">
        <v>871</v>
      </c>
      <c r="D909" s="206" t="s">
        <v>24</v>
      </c>
      <c r="E909" s="380">
        <v>28965</v>
      </c>
      <c r="F909" s="206" t="s">
        <v>2556</v>
      </c>
      <c r="G909" s="206" t="s">
        <v>209</v>
      </c>
      <c r="H909" s="206" t="s">
        <v>4447</v>
      </c>
      <c r="I909" s="252" t="s">
        <v>4219</v>
      </c>
      <c r="J909" s="206" t="s">
        <v>4113</v>
      </c>
      <c r="K909" s="206" t="s">
        <v>29</v>
      </c>
      <c r="L909" s="206" t="s">
        <v>30</v>
      </c>
      <c r="M909" s="206"/>
      <c r="N909" s="206"/>
      <c r="O909" s="206"/>
      <c r="P909" s="206" t="s">
        <v>31</v>
      </c>
      <c r="Q909" s="205" t="s">
        <v>32</v>
      </c>
      <c r="R909" s="418" t="s">
        <v>1008</v>
      </c>
      <c r="S909" s="206" t="s">
        <v>3389</v>
      </c>
      <c r="T909" s="380">
        <v>28965</v>
      </c>
      <c r="U909" s="206" t="s">
        <v>3392</v>
      </c>
      <c r="V909" s="208" t="s">
        <v>4114</v>
      </c>
      <c r="W909" s="209">
        <v>723617</v>
      </c>
    </row>
    <row r="910" spans="1:23" ht="14.25">
      <c r="A910" s="379">
        <v>46168.026736111111</v>
      </c>
      <c r="B910" s="206" t="s">
        <v>4115</v>
      </c>
      <c r="C910" s="206"/>
      <c r="D910" s="206" t="s">
        <v>24</v>
      </c>
      <c r="E910" s="380">
        <v>38109</v>
      </c>
      <c r="F910" s="206" t="s">
        <v>232</v>
      </c>
      <c r="G910" s="206" t="s">
        <v>4116</v>
      </c>
      <c r="H910" s="206" t="s">
        <v>4117</v>
      </c>
      <c r="I910" s="252" t="s">
        <v>4219</v>
      </c>
      <c r="J910" s="206" t="s">
        <v>4118</v>
      </c>
      <c r="K910" s="206" t="s">
        <v>29</v>
      </c>
      <c r="L910" s="206" t="s">
        <v>30</v>
      </c>
      <c r="M910" s="206"/>
      <c r="N910" s="206"/>
      <c r="O910" s="206"/>
      <c r="P910" s="206" t="s">
        <v>31</v>
      </c>
      <c r="Q910" s="205" t="s">
        <v>32</v>
      </c>
      <c r="R910" s="418" t="s">
        <v>1008</v>
      </c>
      <c r="S910" s="206" t="s">
        <v>4115</v>
      </c>
      <c r="T910" s="380">
        <v>38109</v>
      </c>
      <c r="U910" s="206" t="s">
        <v>4118</v>
      </c>
      <c r="V910" s="208" t="s">
        <v>4119</v>
      </c>
      <c r="W910" s="209">
        <v>725515</v>
      </c>
    </row>
    <row r="911" spans="1:23" ht="12.75">
      <c r="A911" s="379">
        <v>46168.032129629632</v>
      </c>
      <c r="B911" s="206" t="s">
        <v>4097</v>
      </c>
      <c r="C911" s="206"/>
      <c r="D911" s="206" t="s">
        <v>24</v>
      </c>
      <c r="E911" s="380">
        <v>27795</v>
      </c>
      <c r="F911" s="206" t="s">
        <v>623</v>
      </c>
      <c r="G911" s="206" t="s">
        <v>4098</v>
      </c>
      <c r="H911" s="206" t="s">
        <v>4120</v>
      </c>
      <c r="I911" s="252" t="s">
        <v>4219</v>
      </c>
      <c r="J911" s="206" t="s">
        <v>4121</v>
      </c>
      <c r="K911" s="206" t="s">
        <v>39</v>
      </c>
      <c r="L911" s="206" t="s">
        <v>152</v>
      </c>
      <c r="M911" s="206"/>
      <c r="N911" s="206"/>
      <c r="O911" s="206"/>
      <c r="P911" s="206" t="s">
        <v>31</v>
      </c>
      <c r="Q911" s="205" t="s">
        <v>32</v>
      </c>
      <c r="R911" s="141" t="s">
        <v>33</v>
      </c>
      <c r="S911" s="206" t="s">
        <v>4097</v>
      </c>
      <c r="T911" s="380">
        <v>27795</v>
      </c>
      <c r="U911" s="206" t="s">
        <v>4100</v>
      </c>
      <c r="V911" s="208" t="s">
        <v>4122</v>
      </c>
      <c r="W911" s="209">
        <v>718609</v>
      </c>
    </row>
    <row r="912" spans="1:23" ht="12.75">
      <c r="A912" s="379">
        <v>46168.039861111109</v>
      </c>
      <c r="B912" s="206" t="s">
        <v>4123</v>
      </c>
      <c r="C912" s="206" t="s">
        <v>4124</v>
      </c>
      <c r="D912" s="206" t="s">
        <v>24</v>
      </c>
      <c r="E912" s="380">
        <v>38570</v>
      </c>
      <c r="F912" s="206" t="s">
        <v>4125</v>
      </c>
      <c r="G912" s="206" t="s">
        <v>4448</v>
      </c>
      <c r="H912" s="206" t="s">
        <v>66</v>
      </c>
      <c r="I912" s="252" t="s">
        <v>4219</v>
      </c>
      <c r="J912" s="206" t="s">
        <v>4127</v>
      </c>
      <c r="K912" s="206" t="s">
        <v>29</v>
      </c>
      <c r="L912" s="206" t="s">
        <v>30</v>
      </c>
      <c r="M912" s="206"/>
      <c r="N912" s="206"/>
      <c r="O912" s="206"/>
      <c r="P912" s="206" t="s">
        <v>31</v>
      </c>
      <c r="Q912" s="205" t="s">
        <v>32</v>
      </c>
      <c r="R912" s="141" t="s">
        <v>43</v>
      </c>
      <c r="S912" s="206" t="s">
        <v>4123</v>
      </c>
      <c r="T912" s="380">
        <v>38570</v>
      </c>
      <c r="U912" s="206" t="s">
        <v>4127</v>
      </c>
      <c r="V912" s="208" t="s">
        <v>4128</v>
      </c>
      <c r="W912" s="209">
        <v>725791</v>
      </c>
    </row>
    <row r="913" spans="1:23" ht="12.75">
      <c r="A913" s="379">
        <v>46168.041597222225</v>
      </c>
      <c r="B913" s="206" t="s">
        <v>4129</v>
      </c>
      <c r="C913" s="206"/>
      <c r="D913" s="206" t="s">
        <v>24</v>
      </c>
      <c r="E913" s="380">
        <v>38085</v>
      </c>
      <c r="F913" s="206" t="s">
        <v>4130</v>
      </c>
      <c r="G913" s="206" t="s">
        <v>4131</v>
      </c>
      <c r="H913" s="206" t="s">
        <v>4132</v>
      </c>
      <c r="I913" s="252" t="s">
        <v>4237</v>
      </c>
      <c r="J913" s="206" t="s">
        <v>4133</v>
      </c>
      <c r="K913" s="206" t="s">
        <v>29</v>
      </c>
      <c r="L913" s="206" t="s">
        <v>30</v>
      </c>
      <c r="M913" s="206" t="s">
        <v>4134</v>
      </c>
      <c r="N913" s="206"/>
      <c r="O913" s="206"/>
      <c r="P913" s="206" t="s">
        <v>31</v>
      </c>
      <c r="Q913" s="205" t="s">
        <v>32</v>
      </c>
      <c r="R913" s="141"/>
      <c r="S913" s="206" t="s">
        <v>4129</v>
      </c>
      <c r="T913" s="380">
        <v>38085</v>
      </c>
      <c r="U913" s="206" t="s">
        <v>4133</v>
      </c>
      <c r="V913" s="208" t="s">
        <v>4135</v>
      </c>
      <c r="W913" s="209">
        <v>725794</v>
      </c>
    </row>
    <row r="914" spans="1:23" ht="12.75">
      <c r="A914" s="379">
        <v>46168.276631944442</v>
      </c>
      <c r="B914" s="206" t="s">
        <v>4136</v>
      </c>
      <c r="C914" s="206" t="s">
        <v>4137</v>
      </c>
      <c r="D914" s="206" t="s">
        <v>24</v>
      </c>
      <c r="E914" s="380">
        <v>34993</v>
      </c>
      <c r="F914" s="206" t="s">
        <v>332</v>
      </c>
      <c r="G914" s="206" t="s">
        <v>1258</v>
      </c>
      <c r="H914" s="206" t="s">
        <v>186</v>
      </c>
      <c r="I914" s="252" t="s">
        <v>4237</v>
      </c>
      <c r="J914" s="206" t="s">
        <v>4138</v>
      </c>
      <c r="K914" s="206" t="s">
        <v>39</v>
      </c>
      <c r="L914" s="206" t="s">
        <v>621</v>
      </c>
      <c r="M914" s="206"/>
      <c r="N914" s="206"/>
      <c r="O914" s="206"/>
      <c r="P914" s="206" t="s">
        <v>31</v>
      </c>
      <c r="Q914" s="205" t="s">
        <v>32</v>
      </c>
      <c r="R914" s="141" t="s">
        <v>43</v>
      </c>
      <c r="S914" s="206" t="s">
        <v>4139</v>
      </c>
      <c r="T914" s="380">
        <v>34993</v>
      </c>
      <c r="U914" s="206" t="s">
        <v>4138</v>
      </c>
      <c r="V914" s="208" t="s">
        <v>4140</v>
      </c>
      <c r="W914" s="209">
        <v>723241</v>
      </c>
    </row>
    <row r="915" spans="1:23" ht="12.75">
      <c r="A915" s="379">
        <v>46168.314282407409</v>
      </c>
      <c r="B915" s="206" t="s">
        <v>4449</v>
      </c>
      <c r="C915" s="206"/>
      <c r="D915" s="206" t="s">
        <v>24</v>
      </c>
      <c r="E915" s="380">
        <v>31330</v>
      </c>
      <c r="F915" s="206" t="s">
        <v>406</v>
      </c>
      <c r="G915" s="206" t="s">
        <v>4142</v>
      </c>
      <c r="H915" s="206" t="s">
        <v>1049</v>
      </c>
      <c r="I915" s="252" t="s">
        <v>4223</v>
      </c>
      <c r="J915" s="206" t="s">
        <v>4143</v>
      </c>
      <c r="K915" s="206" t="s">
        <v>29</v>
      </c>
      <c r="L915" s="206" t="s">
        <v>30</v>
      </c>
      <c r="M915" s="206" t="s">
        <v>4144</v>
      </c>
      <c r="N915" s="206"/>
      <c r="O915" s="206"/>
      <c r="P915" s="206" t="s">
        <v>31</v>
      </c>
      <c r="Q915" s="205" t="s">
        <v>32</v>
      </c>
      <c r="R915" s="141"/>
      <c r="S915" s="206" t="s">
        <v>4145</v>
      </c>
      <c r="T915" s="380">
        <v>31330</v>
      </c>
      <c r="U915" s="206" t="s">
        <v>4143</v>
      </c>
      <c r="V915" s="208" t="s">
        <v>4146</v>
      </c>
      <c r="W915" s="209">
        <v>720049</v>
      </c>
    </row>
    <row r="916" spans="1:23" ht="12.75">
      <c r="A916" s="379">
        <v>46168.343148148146</v>
      </c>
      <c r="B916" s="206" t="s">
        <v>4147</v>
      </c>
      <c r="C916" s="206" t="s">
        <v>4450</v>
      </c>
      <c r="D916" s="206" t="s">
        <v>24</v>
      </c>
      <c r="E916" s="380">
        <v>30647</v>
      </c>
      <c r="F916" s="206" t="s">
        <v>198</v>
      </c>
      <c r="G916" s="206" t="s">
        <v>4451</v>
      </c>
      <c r="H916" s="206" t="s">
        <v>4452</v>
      </c>
      <c r="I916" s="252" t="s">
        <v>4219</v>
      </c>
      <c r="J916" s="206" t="s">
        <v>4151</v>
      </c>
      <c r="K916" s="206" t="s">
        <v>29</v>
      </c>
      <c r="L916" s="206" t="s">
        <v>30</v>
      </c>
      <c r="M916" s="206"/>
      <c r="N916" s="206"/>
      <c r="O916" s="206"/>
      <c r="P916" s="206" t="s">
        <v>31</v>
      </c>
      <c r="Q916" s="225" t="s">
        <v>56</v>
      </c>
      <c r="R916" s="141"/>
      <c r="S916" s="206"/>
      <c r="T916" s="206"/>
      <c r="U916" s="206"/>
      <c r="V916" s="484" t="s">
        <v>3595</v>
      </c>
      <c r="W916" s="474"/>
    </row>
    <row r="917" spans="1:23" ht="14.25">
      <c r="A917" s="379">
        <v>46168.496388888889</v>
      </c>
      <c r="B917" s="206" t="s">
        <v>4152</v>
      </c>
      <c r="C917" s="206"/>
      <c r="D917" s="206" t="s">
        <v>24</v>
      </c>
      <c r="E917" s="380">
        <v>22312</v>
      </c>
      <c r="F917" s="206" t="s">
        <v>1063</v>
      </c>
      <c r="G917" s="206" t="s">
        <v>4453</v>
      </c>
      <c r="H917" s="206" t="s">
        <v>90</v>
      </c>
      <c r="I917" s="252" t="s">
        <v>4219</v>
      </c>
      <c r="J917" s="206" t="s">
        <v>4155</v>
      </c>
      <c r="K917" s="206" t="s">
        <v>29</v>
      </c>
      <c r="L917" s="206" t="s">
        <v>162</v>
      </c>
      <c r="M917" s="206"/>
      <c r="N917" s="206"/>
      <c r="O917" s="206"/>
      <c r="P917" s="206" t="s">
        <v>31</v>
      </c>
      <c r="Q917" s="205" t="s">
        <v>32</v>
      </c>
      <c r="R917" s="418" t="s">
        <v>1008</v>
      </c>
      <c r="S917" s="206" t="s">
        <v>4152</v>
      </c>
      <c r="T917" s="380">
        <v>22312</v>
      </c>
      <c r="U917" s="206" t="s">
        <v>4155</v>
      </c>
      <c r="V917" s="208" t="s">
        <v>4156</v>
      </c>
      <c r="W917" s="209">
        <v>719698</v>
      </c>
    </row>
    <row r="918" spans="1:23" ht="12.75">
      <c r="A918" s="379">
        <v>46168.79587962963</v>
      </c>
      <c r="B918" s="206" t="s">
        <v>4157</v>
      </c>
      <c r="C918" s="206"/>
      <c r="D918" s="206" t="s">
        <v>45</v>
      </c>
      <c r="E918" s="380">
        <v>32563</v>
      </c>
      <c r="F918" s="206" t="s">
        <v>46</v>
      </c>
      <c r="G918" s="206" t="s">
        <v>2369</v>
      </c>
      <c r="H918" s="206" t="s">
        <v>72</v>
      </c>
      <c r="I918" s="252" t="s">
        <v>4223</v>
      </c>
      <c r="J918" s="206" t="s">
        <v>4158</v>
      </c>
      <c r="K918" s="206" t="s">
        <v>39</v>
      </c>
      <c r="L918" s="206" t="s">
        <v>241</v>
      </c>
      <c r="M918" s="206"/>
      <c r="N918" s="206"/>
      <c r="O918" s="206"/>
      <c r="P918" s="206" t="s">
        <v>31</v>
      </c>
      <c r="Q918" s="205" t="s">
        <v>32</v>
      </c>
      <c r="R918" s="141"/>
      <c r="S918" s="206" t="s">
        <v>4159</v>
      </c>
      <c r="T918" s="380">
        <v>32563</v>
      </c>
      <c r="U918" s="206" t="s">
        <v>4158</v>
      </c>
      <c r="V918" s="208" t="s">
        <v>4160</v>
      </c>
      <c r="W918" s="209">
        <v>722430</v>
      </c>
    </row>
    <row r="919" spans="1:23" ht="12.75">
      <c r="A919" s="443">
        <v>46168.041550925926</v>
      </c>
      <c r="B919" s="444" t="s">
        <v>4161</v>
      </c>
      <c r="C919" s="445"/>
      <c r="D919" s="444" t="s">
        <v>24</v>
      </c>
      <c r="E919" s="446">
        <v>38226</v>
      </c>
      <c r="F919" s="444" t="s">
        <v>4454</v>
      </c>
      <c r="G919" s="444" t="s">
        <v>4131</v>
      </c>
      <c r="H919" s="444" t="s">
        <v>4132</v>
      </c>
      <c r="I919" s="444" t="s">
        <v>3593</v>
      </c>
      <c r="J919" s="444" t="s">
        <v>4163</v>
      </c>
      <c r="K919" s="444" t="s">
        <v>29</v>
      </c>
      <c r="L919" s="444" t="s">
        <v>30</v>
      </c>
      <c r="M919" s="444" t="s">
        <v>4164</v>
      </c>
      <c r="N919" s="444"/>
      <c r="O919" s="445"/>
      <c r="P919" s="445"/>
      <c r="Q919" s="205" t="s">
        <v>32</v>
      </c>
      <c r="R919" s="141" t="s">
        <v>43</v>
      </c>
      <c r="S919" s="206" t="s">
        <v>4161</v>
      </c>
      <c r="T919" s="380">
        <v>38226</v>
      </c>
      <c r="U919" s="141" t="s">
        <v>4163</v>
      </c>
      <c r="V919" s="227" t="s">
        <v>4165</v>
      </c>
      <c r="W919" s="209">
        <v>725806</v>
      </c>
    </row>
    <row r="920" spans="1:23" ht="12.75">
      <c r="A920" s="379">
        <v>46169.041030092594</v>
      </c>
      <c r="B920" s="206" t="s">
        <v>4455</v>
      </c>
      <c r="C920" s="206"/>
      <c r="D920" s="206" t="s">
        <v>24</v>
      </c>
      <c r="E920" s="380">
        <v>24912</v>
      </c>
      <c r="F920" s="206" t="s">
        <v>2053</v>
      </c>
      <c r="G920" s="206" t="s">
        <v>4456</v>
      </c>
      <c r="H920" s="206" t="s">
        <v>4457</v>
      </c>
      <c r="I920" s="252" t="s">
        <v>4219</v>
      </c>
      <c r="J920" s="206" t="s">
        <v>4169</v>
      </c>
      <c r="K920" s="206" t="s">
        <v>29</v>
      </c>
      <c r="L920" s="206" t="s">
        <v>162</v>
      </c>
      <c r="M920" s="473" t="s">
        <v>4458</v>
      </c>
      <c r="N920" s="474"/>
      <c r="O920" s="206"/>
      <c r="P920" s="206" t="s">
        <v>31</v>
      </c>
      <c r="Q920" s="225" t="s">
        <v>56</v>
      </c>
      <c r="R920" s="141"/>
      <c r="S920" s="206"/>
      <c r="T920" s="206"/>
      <c r="U920" s="206"/>
      <c r="V920" s="484" t="s">
        <v>3595</v>
      </c>
      <c r="W920" s="474"/>
    </row>
    <row r="921" spans="1:23" ht="14.25">
      <c r="A921" s="379">
        <v>46169.042766203704</v>
      </c>
      <c r="B921" s="473" t="s">
        <v>4171</v>
      </c>
      <c r="C921" s="474"/>
      <c r="D921" s="206" t="s">
        <v>45</v>
      </c>
      <c r="E921" s="380">
        <v>36770</v>
      </c>
      <c r="F921" s="206" t="s">
        <v>198</v>
      </c>
      <c r="G921" s="206" t="s">
        <v>1859</v>
      </c>
      <c r="H921" s="206" t="s">
        <v>4173</v>
      </c>
      <c r="I921" s="252" t="s">
        <v>4219</v>
      </c>
      <c r="J921" s="206" t="s">
        <v>2159</v>
      </c>
      <c r="K921" s="206" t="s">
        <v>39</v>
      </c>
      <c r="L921" s="206" t="s">
        <v>30</v>
      </c>
      <c r="M921" s="206"/>
      <c r="N921" s="206"/>
      <c r="O921" s="206"/>
      <c r="P921" s="206" t="s">
        <v>31</v>
      </c>
      <c r="Q921" s="205" t="s">
        <v>32</v>
      </c>
      <c r="R921" s="418" t="s">
        <v>1008</v>
      </c>
      <c r="S921" s="206" t="s">
        <v>2157</v>
      </c>
      <c r="T921" s="380">
        <v>36770</v>
      </c>
      <c r="U921" s="206" t="s">
        <v>2159</v>
      </c>
      <c r="V921" s="208" t="s">
        <v>4174</v>
      </c>
      <c r="W921" s="209">
        <v>722246</v>
      </c>
    </row>
    <row r="922" spans="1:23" ht="12.75">
      <c r="A922" s="379">
        <v>46169.043749999997</v>
      </c>
      <c r="B922" s="206" t="s">
        <v>4459</v>
      </c>
      <c r="C922" s="206"/>
      <c r="D922" s="206" t="s">
        <v>45</v>
      </c>
      <c r="E922" s="380">
        <v>19290</v>
      </c>
      <c r="F922" s="206" t="s">
        <v>2053</v>
      </c>
      <c r="G922" s="206" t="s">
        <v>4176</v>
      </c>
      <c r="H922" s="206" t="s">
        <v>4460</v>
      </c>
      <c r="I922" s="252" t="s">
        <v>4219</v>
      </c>
      <c r="J922" s="206" t="s">
        <v>4178</v>
      </c>
      <c r="K922" s="206" t="s">
        <v>29</v>
      </c>
      <c r="L922" s="206" t="s">
        <v>162</v>
      </c>
      <c r="M922" s="473" t="s">
        <v>4461</v>
      </c>
      <c r="N922" s="474"/>
      <c r="O922" s="206"/>
      <c r="P922" s="206" t="s">
        <v>31</v>
      </c>
      <c r="Q922" s="225" t="s">
        <v>56</v>
      </c>
      <c r="R922" s="141"/>
      <c r="S922" s="206"/>
      <c r="T922" s="206"/>
      <c r="U922" s="206"/>
      <c r="V922" s="484" t="s">
        <v>3595</v>
      </c>
      <c r="W922" s="474"/>
    </row>
    <row r="923" spans="1:23" ht="12.75">
      <c r="A923" s="379">
        <v>46169.06417824074</v>
      </c>
      <c r="B923" s="206" t="s">
        <v>4180</v>
      </c>
      <c r="C923" s="206"/>
      <c r="D923" s="206" t="s">
        <v>24</v>
      </c>
      <c r="E923" s="380">
        <v>19758</v>
      </c>
      <c r="F923" s="206" t="s">
        <v>623</v>
      </c>
      <c r="G923" s="206" t="s">
        <v>4181</v>
      </c>
      <c r="H923" s="206" t="s">
        <v>4182</v>
      </c>
      <c r="I923" s="252" t="s">
        <v>4219</v>
      </c>
      <c r="J923" s="206" t="s">
        <v>4183</v>
      </c>
      <c r="K923" s="206" t="s">
        <v>39</v>
      </c>
      <c r="L923" s="206" t="s">
        <v>30</v>
      </c>
      <c r="M923" s="206"/>
      <c r="N923" s="206"/>
      <c r="O923" s="206"/>
      <c r="P923" s="206" t="s">
        <v>31</v>
      </c>
      <c r="Q923" s="225" t="s">
        <v>56</v>
      </c>
      <c r="R923" s="141"/>
      <c r="S923" s="206"/>
      <c r="T923" s="206"/>
      <c r="U923" s="206"/>
      <c r="V923" s="484" t="s">
        <v>3595</v>
      </c>
      <c r="W923" s="474"/>
    </row>
    <row r="924" spans="1:23" ht="12.75">
      <c r="A924" s="379">
        <v>46169.119201388887</v>
      </c>
      <c r="B924" s="206" t="s">
        <v>4184</v>
      </c>
      <c r="C924" s="206"/>
      <c r="D924" s="206" t="s">
        <v>45</v>
      </c>
      <c r="E924" s="380">
        <v>26014</v>
      </c>
      <c r="F924" s="206" t="s">
        <v>4130</v>
      </c>
      <c r="G924" s="206" t="s">
        <v>4185</v>
      </c>
      <c r="H924" s="206" t="s">
        <v>4186</v>
      </c>
      <c r="I924" s="252" t="s">
        <v>4237</v>
      </c>
      <c r="J924" s="206" t="s">
        <v>4187</v>
      </c>
      <c r="K924" s="206" t="s">
        <v>29</v>
      </c>
      <c r="L924" s="206" t="s">
        <v>621</v>
      </c>
      <c r="M924" s="206"/>
      <c r="N924" s="206"/>
      <c r="O924" s="206"/>
      <c r="P924" s="206" t="s">
        <v>31</v>
      </c>
      <c r="Q924" s="205" t="s">
        <v>32</v>
      </c>
      <c r="R924" s="141" t="s">
        <v>43</v>
      </c>
      <c r="S924" s="206" t="s">
        <v>4184</v>
      </c>
      <c r="T924" s="380">
        <v>26014</v>
      </c>
      <c r="U924" s="206" t="s">
        <v>4187</v>
      </c>
      <c r="V924" s="208" t="s">
        <v>4188</v>
      </c>
      <c r="W924" s="209">
        <v>725808</v>
      </c>
    </row>
    <row r="925" spans="1:23" ht="12.75">
      <c r="A925" s="379">
        <v>46169.326678240737</v>
      </c>
      <c r="B925" s="206" t="s">
        <v>4462</v>
      </c>
      <c r="C925" s="206"/>
      <c r="D925" s="206" t="s">
        <v>24</v>
      </c>
      <c r="E925" s="380">
        <v>40168</v>
      </c>
      <c r="F925" s="206" t="s">
        <v>3559</v>
      </c>
      <c r="G925" s="206" t="s">
        <v>4463</v>
      </c>
      <c r="H925" s="206" t="s">
        <v>66</v>
      </c>
      <c r="I925" s="252" t="s">
        <v>4219</v>
      </c>
      <c r="J925" s="206" t="s">
        <v>3562</v>
      </c>
      <c r="K925" s="206" t="s">
        <v>29</v>
      </c>
      <c r="L925" s="381">
        <v>46202</v>
      </c>
      <c r="M925" s="206"/>
      <c r="N925" s="206"/>
      <c r="O925" s="206"/>
      <c r="P925" s="206" t="s">
        <v>31</v>
      </c>
      <c r="Q925" s="225" t="s">
        <v>56</v>
      </c>
      <c r="R925" s="141"/>
      <c r="S925" s="206"/>
      <c r="T925" s="206"/>
      <c r="U925" s="206"/>
      <c r="V925" s="484" t="s">
        <v>3595</v>
      </c>
      <c r="W925" s="474"/>
    </row>
    <row r="926" spans="1:23" ht="12.75">
      <c r="A926" s="379">
        <v>46169.789293981485</v>
      </c>
      <c r="B926" s="206" t="s">
        <v>4191</v>
      </c>
      <c r="C926" s="206" t="s">
        <v>4192</v>
      </c>
      <c r="D926" s="206" t="s">
        <v>24</v>
      </c>
      <c r="E926" s="380">
        <v>35479</v>
      </c>
      <c r="F926" s="206" t="s">
        <v>1053</v>
      </c>
      <c r="G926" s="206" t="s">
        <v>4193</v>
      </c>
      <c r="H926" s="206" t="s">
        <v>66</v>
      </c>
      <c r="I926" s="252" t="s">
        <v>4237</v>
      </c>
      <c r="J926" s="206" t="s">
        <v>4194</v>
      </c>
      <c r="K926" s="206" t="s">
        <v>29</v>
      </c>
      <c r="L926" s="206" t="s">
        <v>30</v>
      </c>
      <c r="M926" s="206"/>
      <c r="N926" s="206"/>
      <c r="O926" s="206"/>
      <c r="P926" s="206" t="s">
        <v>31</v>
      </c>
      <c r="Q926" s="225" t="s">
        <v>56</v>
      </c>
      <c r="R926" s="141"/>
      <c r="S926" s="206"/>
      <c r="T926" s="206"/>
      <c r="U926" s="206"/>
      <c r="V926" s="484" t="s">
        <v>3595</v>
      </c>
      <c r="W926" s="474"/>
    </row>
    <row r="927" spans="1:23" ht="12.75">
      <c r="A927" s="379">
        <v>46169.811608796299</v>
      </c>
      <c r="B927" s="206" t="s">
        <v>4464</v>
      </c>
      <c r="C927" s="206"/>
      <c r="D927" s="206" t="s">
        <v>24</v>
      </c>
      <c r="E927" s="380">
        <v>33832</v>
      </c>
      <c r="F927" s="206" t="s">
        <v>332</v>
      </c>
      <c r="G927" s="206" t="s">
        <v>1665</v>
      </c>
      <c r="H927" s="206" t="s">
        <v>111</v>
      </c>
      <c r="I927" s="252" t="s">
        <v>4237</v>
      </c>
      <c r="J927" s="206" t="s">
        <v>4196</v>
      </c>
      <c r="K927" s="206" t="s">
        <v>29</v>
      </c>
      <c r="L927" s="206" t="s">
        <v>30</v>
      </c>
      <c r="M927" s="206" t="s">
        <v>4197</v>
      </c>
      <c r="N927" s="206"/>
      <c r="O927" s="206"/>
      <c r="P927" s="206" t="s">
        <v>31</v>
      </c>
      <c r="Q927" s="205" t="s">
        <v>32</v>
      </c>
      <c r="R927" s="141" t="s">
        <v>43</v>
      </c>
      <c r="S927" s="206" t="s">
        <v>4198</v>
      </c>
      <c r="T927" s="380">
        <v>33832</v>
      </c>
      <c r="U927" s="206" t="s">
        <v>4196</v>
      </c>
      <c r="V927" s="208" t="s">
        <v>4199</v>
      </c>
      <c r="W927" s="209">
        <v>723177</v>
      </c>
    </row>
    <row r="928" spans="1:23" ht="14.25">
      <c r="A928" s="379">
        <v>46170.185902777775</v>
      </c>
      <c r="B928" s="473" t="s">
        <v>4171</v>
      </c>
      <c r="C928" s="474"/>
      <c r="D928" s="206" t="s">
        <v>45</v>
      </c>
      <c r="E928" s="380">
        <v>36770</v>
      </c>
      <c r="F928" s="206" t="s">
        <v>198</v>
      </c>
      <c r="G928" s="206" t="s">
        <v>1859</v>
      </c>
      <c r="H928" s="206" t="s">
        <v>4173</v>
      </c>
      <c r="I928" s="252" t="s">
        <v>4219</v>
      </c>
      <c r="J928" s="206" t="s">
        <v>2159</v>
      </c>
      <c r="K928" s="206" t="s">
        <v>29</v>
      </c>
      <c r="L928" s="206" t="s">
        <v>162</v>
      </c>
      <c r="M928" s="206"/>
      <c r="N928" s="206"/>
      <c r="O928" s="206"/>
      <c r="P928" s="206" t="s">
        <v>31</v>
      </c>
      <c r="Q928" s="205" t="s">
        <v>32</v>
      </c>
      <c r="R928" s="418" t="s">
        <v>1008</v>
      </c>
      <c r="S928" s="206" t="s">
        <v>2157</v>
      </c>
      <c r="T928" s="380">
        <v>36770</v>
      </c>
      <c r="U928" s="206" t="s">
        <v>2159</v>
      </c>
      <c r="V928" s="208" t="s">
        <v>4174</v>
      </c>
      <c r="W928" s="209">
        <v>722246</v>
      </c>
    </row>
    <row r="929" spans="1:23" ht="14.25">
      <c r="A929" s="255">
        <v>46170.274340277778</v>
      </c>
      <c r="B929" s="141" t="s">
        <v>4200</v>
      </c>
      <c r="C929" s="141" t="s">
        <v>4201</v>
      </c>
      <c r="D929" s="141" t="s">
        <v>45</v>
      </c>
      <c r="E929" s="447">
        <v>31781</v>
      </c>
      <c r="F929" s="141" t="s">
        <v>4203</v>
      </c>
      <c r="G929" s="141" t="s">
        <v>4204</v>
      </c>
      <c r="H929" s="141" t="s">
        <v>4205</v>
      </c>
      <c r="I929" s="252" t="s">
        <v>4219</v>
      </c>
      <c r="J929" s="141" t="s">
        <v>4206</v>
      </c>
      <c r="K929" s="141" t="s">
        <v>29</v>
      </c>
      <c r="L929" s="141" t="s">
        <v>30</v>
      </c>
      <c r="M929" s="141"/>
      <c r="N929" s="141"/>
      <c r="O929" s="141"/>
      <c r="P929" s="141" t="s">
        <v>31</v>
      </c>
      <c r="Q929" s="205" t="s">
        <v>4207</v>
      </c>
      <c r="R929" s="418" t="s">
        <v>1008</v>
      </c>
      <c r="S929" s="141"/>
      <c r="T929" s="141"/>
      <c r="U929" s="141"/>
      <c r="V929" s="488" t="s">
        <v>3595</v>
      </c>
      <c r="W929" s="474"/>
    </row>
    <row r="930" spans="1:23" ht="12.75">
      <c r="A930" s="236" t="s">
        <v>4208</v>
      </c>
      <c r="B930" s="236"/>
      <c r="C930" s="236"/>
      <c r="D930" s="236"/>
      <c r="E930" s="236"/>
      <c r="F930" s="236"/>
      <c r="G930" s="236"/>
      <c r="H930" s="236"/>
      <c r="I930" s="448" t="e">
        <v>#N/A</v>
      </c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489" t="s">
        <v>3595</v>
      </c>
      <c r="W930" s="474"/>
    </row>
  </sheetData>
  <mergeCells count="666">
    <mergeCell ref="V601:W601"/>
    <mergeCell ref="V602:W602"/>
    <mergeCell ref="V603:W603"/>
    <mergeCell ref="V604:W604"/>
    <mergeCell ref="V592:W592"/>
    <mergeCell ref="V593:W593"/>
    <mergeCell ref="V594:W594"/>
    <mergeCell ref="V596:W596"/>
    <mergeCell ref="V597:W597"/>
    <mergeCell ref="V598:W598"/>
    <mergeCell ref="V600:W600"/>
    <mergeCell ref="V495:W495"/>
    <mergeCell ref="V496:W496"/>
    <mergeCell ref="V498:W498"/>
    <mergeCell ref="V499:W499"/>
    <mergeCell ref="V500:W500"/>
    <mergeCell ref="V502:W502"/>
    <mergeCell ref="V504:W504"/>
    <mergeCell ref="V541:W541"/>
    <mergeCell ref="V542:W542"/>
    <mergeCell ref="V522:W522"/>
    <mergeCell ref="V523:W523"/>
    <mergeCell ref="V524:W524"/>
    <mergeCell ref="V526:W526"/>
    <mergeCell ref="V529:W529"/>
    <mergeCell ref="V531:W531"/>
    <mergeCell ref="V533:W533"/>
    <mergeCell ref="V492:W492"/>
    <mergeCell ref="V493:W493"/>
    <mergeCell ref="B494:C494"/>
    <mergeCell ref="V494:W494"/>
    <mergeCell ref="V485:W485"/>
    <mergeCell ref="V486:W486"/>
    <mergeCell ref="V487:W487"/>
    <mergeCell ref="V488:W488"/>
    <mergeCell ref="V489:W489"/>
    <mergeCell ref="V490:W490"/>
    <mergeCell ref="V491:W491"/>
    <mergeCell ref="V471:W471"/>
    <mergeCell ref="V472:W472"/>
    <mergeCell ref="V473:W473"/>
    <mergeCell ref="V474:W474"/>
    <mergeCell ref="V482:W482"/>
    <mergeCell ref="V483:W483"/>
    <mergeCell ref="B484:C484"/>
    <mergeCell ref="V484:W484"/>
    <mergeCell ref="V475:W475"/>
    <mergeCell ref="V476:W476"/>
    <mergeCell ref="V477:W477"/>
    <mergeCell ref="V478:W478"/>
    <mergeCell ref="V479:W479"/>
    <mergeCell ref="V480:W480"/>
    <mergeCell ref="V481:W481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V469:W469"/>
    <mergeCell ref="V431:W431"/>
    <mergeCell ref="V450:W450"/>
    <mergeCell ref="V451:W451"/>
    <mergeCell ref="V453:W453"/>
    <mergeCell ref="V454:W454"/>
    <mergeCell ref="V455:W455"/>
    <mergeCell ref="V457:W457"/>
    <mergeCell ref="V458:W458"/>
    <mergeCell ref="V459:W459"/>
    <mergeCell ref="V434:W434"/>
    <mergeCell ref="V435:W435"/>
    <mergeCell ref="V436:W436"/>
    <mergeCell ref="V437:W437"/>
    <mergeCell ref="V438:W438"/>
    <mergeCell ref="V448:W448"/>
    <mergeCell ref="V452:W452"/>
    <mergeCell ref="V417:W417"/>
    <mergeCell ref="V418:W418"/>
    <mergeCell ref="V421:W421"/>
    <mergeCell ref="V422:W422"/>
    <mergeCell ref="V423:W423"/>
    <mergeCell ref="V424:W424"/>
    <mergeCell ref="V425:W425"/>
    <mergeCell ref="V426:W426"/>
    <mergeCell ref="V429:W429"/>
    <mergeCell ref="V405:W405"/>
    <mergeCell ref="V406:W406"/>
    <mergeCell ref="V407:W407"/>
    <mergeCell ref="V408:W408"/>
    <mergeCell ref="V410:W410"/>
    <mergeCell ref="V411:W411"/>
    <mergeCell ref="V413:W413"/>
    <mergeCell ref="V414:W414"/>
    <mergeCell ref="V415:W415"/>
    <mergeCell ref="B460:C460"/>
    <mergeCell ref="V460:W460"/>
    <mergeCell ref="V439:W439"/>
    <mergeCell ref="V441:W441"/>
    <mergeCell ref="V442:W442"/>
    <mergeCell ref="V443:W443"/>
    <mergeCell ref="V445:W445"/>
    <mergeCell ref="V447:W447"/>
    <mergeCell ref="B452:C452"/>
    <mergeCell ref="V365:W365"/>
    <mergeCell ref="V367:W367"/>
    <mergeCell ref="V369:W369"/>
    <mergeCell ref="V370:W370"/>
    <mergeCell ref="V371:W371"/>
    <mergeCell ref="V372:W372"/>
    <mergeCell ref="B374:C374"/>
    <mergeCell ref="V432:W432"/>
    <mergeCell ref="V433:W433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3:W383"/>
    <mergeCell ref="V384:W384"/>
    <mergeCell ref="V386:W386"/>
    <mergeCell ref="V388:W388"/>
    <mergeCell ref="V389:W389"/>
    <mergeCell ref="V391:W391"/>
    <mergeCell ref="V330:W330"/>
    <mergeCell ref="V340:W340"/>
    <mergeCell ref="V341:W341"/>
    <mergeCell ref="V343:W343"/>
    <mergeCell ref="V344:W344"/>
    <mergeCell ref="V345:W345"/>
    <mergeCell ref="V346:W346"/>
    <mergeCell ref="B348:C348"/>
    <mergeCell ref="V348:W348"/>
    <mergeCell ref="V331:W331"/>
    <mergeCell ref="V332:W332"/>
    <mergeCell ref="V333:W333"/>
    <mergeCell ref="V336:W336"/>
    <mergeCell ref="V337:W337"/>
    <mergeCell ref="V338:W338"/>
    <mergeCell ref="V339:W339"/>
    <mergeCell ref="V308:W308"/>
    <mergeCell ref="V309:W309"/>
    <mergeCell ref="V311:W311"/>
    <mergeCell ref="V321:W321"/>
    <mergeCell ref="V322:W322"/>
    <mergeCell ref="V324:W324"/>
    <mergeCell ref="V325:W325"/>
    <mergeCell ref="V327:W327"/>
    <mergeCell ref="V329:W329"/>
    <mergeCell ref="B390:C390"/>
    <mergeCell ref="V390:W390"/>
    <mergeCell ref="B398:C398"/>
    <mergeCell ref="V398:W398"/>
    <mergeCell ref="B401:C401"/>
    <mergeCell ref="B403:C403"/>
    <mergeCell ref="B404:C404"/>
    <mergeCell ref="V412:W412"/>
    <mergeCell ref="V419:W419"/>
    <mergeCell ref="V401:W401"/>
    <mergeCell ref="V404:W404"/>
    <mergeCell ref="M409:N409"/>
    <mergeCell ref="V409:W409"/>
    <mergeCell ref="B412:C412"/>
    <mergeCell ref="M412:N412"/>
    <mergeCell ref="B419:C419"/>
    <mergeCell ref="V392:W392"/>
    <mergeCell ref="V393:W393"/>
    <mergeCell ref="V394:W394"/>
    <mergeCell ref="V395:W395"/>
    <mergeCell ref="V396:W396"/>
    <mergeCell ref="V397:W397"/>
    <mergeCell ref="V400:W400"/>
    <mergeCell ref="V402:W402"/>
    <mergeCell ref="V262:W262"/>
    <mergeCell ref="V263:W263"/>
    <mergeCell ref="V264:W264"/>
    <mergeCell ref="V266:W266"/>
    <mergeCell ref="V267:W267"/>
    <mergeCell ref="V268:W268"/>
    <mergeCell ref="V269:W269"/>
    <mergeCell ref="V303:W303"/>
    <mergeCell ref="V304:W304"/>
    <mergeCell ref="V299:W299"/>
    <mergeCell ref="V300:W300"/>
    <mergeCell ref="V301:W301"/>
    <mergeCell ref="V302:W302"/>
    <mergeCell ref="V282:W282"/>
    <mergeCell ref="V289:W289"/>
    <mergeCell ref="V291:W291"/>
    <mergeCell ref="V293:W293"/>
    <mergeCell ref="V296:W296"/>
    <mergeCell ref="V297:W297"/>
    <mergeCell ref="V298:W298"/>
    <mergeCell ref="V283:W283"/>
    <mergeCell ref="V284:W284"/>
    <mergeCell ref="V285:W285"/>
    <mergeCell ref="V286:W286"/>
    <mergeCell ref="V257:W257"/>
    <mergeCell ref="B258:C258"/>
    <mergeCell ref="V258:W258"/>
    <mergeCell ref="V259:W259"/>
    <mergeCell ref="V239:W239"/>
    <mergeCell ref="V240:W240"/>
    <mergeCell ref="V241:W241"/>
    <mergeCell ref="V242:W242"/>
    <mergeCell ref="V243:W243"/>
    <mergeCell ref="V244:W244"/>
    <mergeCell ref="V247:W247"/>
    <mergeCell ref="V249:W249"/>
    <mergeCell ref="V250:W250"/>
    <mergeCell ref="V251:W251"/>
    <mergeCell ref="B252:C252"/>
    <mergeCell ref="V252:W252"/>
    <mergeCell ref="B253:C253"/>
    <mergeCell ref="V253:W253"/>
    <mergeCell ref="V254:W254"/>
    <mergeCell ref="V256:W256"/>
    <mergeCell ref="V925:W925"/>
    <mergeCell ref="V926:W926"/>
    <mergeCell ref="V929:W929"/>
    <mergeCell ref="V930:W930"/>
    <mergeCell ref="V889:W889"/>
    <mergeCell ref="V916:W916"/>
    <mergeCell ref="M920:N920"/>
    <mergeCell ref="V920:W920"/>
    <mergeCell ref="M922:N922"/>
    <mergeCell ref="V922:W922"/>
    <mergeCell ref="V923:W923"/>
    <mergeCell ref="B737:C737"/>
    <mergeCell ref="V737:W737"/>
    <mergeCell ref="V739:W739"/>
    <mergeCell ref="V740:W740"/>
    <mergeCell ref="V741:W741"/>
    <mergeCell ref="B742:C742"/>
    <mergeCell ref="V742:W742"/>
    <mergeCell ref="B757:C757"/>
    <mergeCell ref="B780:C780"/>
    <mergeCell ref="U752:V752"/>
    <mergeCell ref="U758:V758"/>
    <mergeCell ref="U759:V759"/>
    <mergeCell ref="U761:V761"/>
    <mergeCell ref="S776:T776"/>
    <mergeCell ref="U777:V777"/>
    <mergeCell ref="U778:V778"/>
    <mergeCell ref="V690:W690"/>
    <mergeCell ref="V691:W691"/>
    <mergeCell ref="V692:W692"/>
    <mergeCell ref="V693:W693"/>
    <mergeCell ref="V694:W694"/>
    <mergeCell ref="V695:W695"/>
    <mergeCell ref="V696:W696"/>
    <mergeCell ref="V731:W731"/>
    <mergeCell ref="V732:W732"/>
    <mergeCell ref="V721:W721"/>
    <mergeCell ref="V668:W668"/>
    <mergeCell ref="M681:O681"/>
    <mergeCell ref="V659:W659"/>
    <mergeCell ref="V660:W660"/>
    <mergeCell ref="V661:W661"/>
    <mergeCell ref="V662:W662"/>
    <mergeCell ref="V664:W664"/>
    <mergeCell ref="V665:W665"/>
    <mergeCell ref="V666:W666"/>
    <mergeCell ref="B921:C921"/>
    <mergeCell ref="B928:C928"/>
    <mergeCell ref="B856:C856"/>
    <mergeCell ref="B860:C860"/>
    <mergeCell ref="B886:C886"/>
    <mergeCell ref="B890:C890"/>
    <mergeCell ref="B891:C891"/>
    <mergeCell ref="B901:C901"/>
    <mergeCell ref="B907:C907"/>
    <mergeCell ref="V797:W797"/>
    <mergeCell ref="V722:W722"/>
    <mergeCell ref="V723:W723"/>
    <mergeCell ref="V724:W724"/>
    <mergeCell ref="V726:W726"/>
    <mergeCell ref="V728:W728"/>
    <mergeCell ref="V729:W729"/>
    <mergeCell ref="V730:W730"/>
    <mergeCell ref="V733:W733"/>
    <mergeCell ref="V734:W734"/>
    <mergeCell ref="V735:W735"/>
    <mergeCell ref="V736:W736"/>
    <mergeCell ref="V656:W656"/>
    <mergeCell ref="V657:W657"/>
    <mergeCell ref="V658:W658"/>
    <mergeCell ref="V714:W714"/>
    <mergeCell ref="V715:W715"/>
    <mergeCell ref="V716:W716"/>
    <mergeCell ref="V717:W717"/>
    <mergeCell ref="V718:W718"/>
    <mergeCell ref="V720:W720"/>
    <mergeCell ref="V697:W697"/>
    <mergeCell ref="V698:W698"/>
    <mergeCell ref="V701:W701"/>
    <mergeCell ref="V702:W702"/>
    <mergeCell ref="V703:W703"/>
    <mergeCell ref="V704:W704"/>
    <mergeCell ref="V705:W705"/>
    <mergeCell ref="V706:W706"/>
    <mergeCell ref="V707:W707"/>
    <mergeCell ref="V708:W708"/>
    <mergeCell ref="V709:W709"/>
    <mergeCell ref="V710:W710"/>
    <mergeCell ref="V711:W711"/>
    <mergeCell ref="V713:W713"/>
    <mergeCell ref="V667:W667"/>
    <mergeCell ref="V646:W646"/>
    <mergeCell ref="V647:W647"/>
    <mergeCell ref="V648:W648"/>
    <mergeCell ref="V649:W649"/>
    <mergeCell ref="V650:W650"/>
    <mergeCell ref="V651:W651"/>
    <mergeCell ref="V652:W652"/>
    <mergeCell ref="V653:W653"/>
    <mergeCell ref="V654:W654"/>
    <mergeCell ref="V637:W637"/>
    <mergeCell ref="V638:W638"/>
    <mergeCell ref="V639:W639"/>
    <mergeCell ref="V640:W640"/>
    <mergeCell ref="V641:W641"/>
    <mergeCell ref="V642:W642"/>
    <mergeCell ref="V643:W643"/>
    <mergeCell ref="V644:W644"/>
    <mergeCell ref="V645:W645"/>
    <mergeCell ref="V627:W627"/>
    <mergeCell ref="V628:W628"/>
    <mergeCell ref="V629:W629"/>
    <mergeCell ref="V630:W630"/>
    <mergeCell ref="V631:W631"/>
    <mergeCell ref="V632:W632"/>
    <mergeCell ref="V634:W634"/>
    <mergeCell ref="V635:W635"/>
    <mergeCell ref="V636:W636"/>
    <mergeCell ref="V615:W615"/>
    <mergeCell ref="V616:W616"/>
    <mergeCell ref="V617:W617"/>
    <mergeCell ref="V618:W618"/>
    <mergeCell ref="V619:W619"/>
    <mergeCell ref="V622:W622"/>
    <mergeCell ref="V623:W623"/>
    <mergeCell ref="V624:W624"/>
    <mergeCell ref="V626:W626"/>
    <mergeCell ref="V606:W606"/>
    <mergeCell ref="V607:W607"/>
    <mergeCell ref="M609:O609"/>
    <mergeCell ref="V609:W609"/>
    <mergeCell ref="V610:W610"/>
    <mergeCell ref="V611:W611"/>
    <mergeCell ref="V612:W612"/>
    <mergeCell ref="V613:W613"/>
    <mergeCell ref="V614:W614"/>
    <mergeCell ref="B605:C605"/>
    <mergeCell ref="V534:W534"/>
    <mergeCell ref="V535:W535"/>
    <mergeCell ref="V536:W536"/>
    <mergeCell ref="V537:W537"/>
    <mergeCell ref="V538:W538"/>
    <mergeCell ref="V539:W539"/>
    <mergeCell ref="V540:W540"/>
    <mergeCell ref="V605:W605"/>
    <mergeCell ref="V543:W543"/>
    <mergeCell ref="V544:W544"/>
    <mergeCell ref="V545:W545"/>
    <mergeCell ref="V546:W546"/>
    <mergeCell ref="V547:W547"/>
    <mergeCell ref="V548:W548"/>
    <mergeCell ref="V550:W550"/>
    <mergeCell ref="V551:W551"/>
    <mergeCell ref="V552:W552"/>
    <mergeCell ref="V565:W565"/>
    <mergeCell ref="V566:W566"/>
    <mergeCell ref="V567:W567"/>
    <mergeCell ref="V568:W568"/>
    <mergeCell ref="V569:W569"/>
    <mergeCell ref="V570:W570"/>
    <mergeCell ref="V556:W556"/>
    <mergeCell ref="B557:C557"/>
    <mergeCell ref="V557:W557"/>
    <mergeCell ref="V553:W553"/>
    <mergeCell ref="V554:W554"/>
    <mergeCell ref="V555:W555"/>
    <mergeCell ref="B572:C572"/>
    <mergeCell ref="V572:W572"/>
    <mergeCell ref="V579:W579"/>
    <mergeCell ref="B579:C579"/>
    <mergeCell ref="V558:W558"/>
    <mergeCell ref="V559:W559"/>
    <mergeCell ref="V560:W560"/>
    <mergeCell ref="B561:C561"/>
    <mergeCell ref="V561:W561"/>
    <mergeCell ref="V571:W571"/>
    <mergeCell ref="V573:W573"/>
    <mergeCell ref="V574:W574"/>
    <mergeCell ref="B586:C586"/>
    <mergeCell ref="M586:N586"/>
    <mergeCell ref="V586:W586"/>
    <mergeCell ref="V595:W595"/>
    <mergeCell ref="M599:O599"/>
    <mergeCell ref="V599:W599"/>
    <mergeCell ref="V575:W575"/>
    <mergeCell ref="V577:W577"/>
    <mergeCell ref="V578:W578"/>
    <mergeCell ref="V580:W580"/>
    <mergeCell ref="V582:W582"/>
    <mergeCell ref="V583:W583"/>
    <mergeCell ref="V585:W585"/>
    <mergeCell ref="V587:W587"/>
    <mergeCell ref="V588:W588"/>
    <mergeCell ref="V589:W589"/>
    <mergeCell ref="V590:W590"/>
    <mergeCell ref="V591:W591"/>
    <mergeCell ref="B595:C595"/>
    <mergeCell ref="V357:W357"/>
    <mergeCell ref="V358:W358"/>
    <mergeCell ref="V359:W359"/>
    <mergeCell ref="V360:W360"/>
    <mergeCell ref="V361:W361"/>
    <mergeCell ref="V363:W363"/>
    <mergeCell ref="V562:W562"/>
    <mergeCell ref="V563:W563"/>
    <mergeCell ref="B564:C564"/>
    <mergeCell ref="V564:W564"/>
    <mergeCell ref="V506:W506"/>
    <mergeCell ref="V508:W508"/>
    <mergeCell ref="V509:W509"/>
    <mergeCell ref="V510:W510"/>
    <mergeCell ref="V511:W511"/>
    <mergeCell ref="M512:N512"/>
    <mergeCell ref="V512:W512"/>
    <mergeCell ref="V513:W513"/>
    <mergeCell ref="V514:W514"/>
    <mergeCell ref="V515:W515"/>
    <mergeCell ref="V516:W516"/>
    <mergeCell ref="V519:W519"/>
    <mergeCell ref="V520:W520"/>
    <mergeCell ref="V521:W521"/>
    <mergeCell ref="B289:C289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B299:C299"/>
    <mergeCell ref="B302:C302"/>
    <mergeCell ref="B304:C304"/>
    <mergeCell ref="M305:N305"/>
    <mergeCell ref="B310:C310"/>
    <mergeCell ref="V314:W314"/>
    <mergeCell ref="V315:W315"/>
    <mergeCell ref="V316:W316"/>
    <mergeCell ref="V317:W317"/>
    <mergeCell ref="V319:W319"/>
    <mergeCell ref="B320:C320"/>
    <mergeCell ref="V320:W320"/>
    <mergeCell ref="V305:W305"/>
    <mergeCell ref="V306:W306"/>
    <mergeCell ref="V307:W307"/>
    <mergeCell ref="V287:W287"/>
    <mergeCell ref="V288:W288"/>
    <mergeCell ref="V272:W272"/>
    <mergeCell ref="V274:W274"/>
    <mergeCell ref="B276:C276"/>
    <mergeCell ref="V276:W276"/>
    <mergeCell ref="V277:W277"/>
    <mergeCell ref="V278:W278"/>
    <mergeCell ref="B280:C280"/>
    <mergeCell ref="V280:W280"/>
    <mergeCell ref="B281:C281"/>
    <mergeCell ref="V281:W281"/>
    <mergeCell ref="V215:W215"/>
    <mergeCell ref="V216:W216"/>
    <mergeCell ref="V217:W217"/>
    <mergeCell ref="V218:W218"/>
    <mergeCell ref="V219:W219"/>
    <mergeCell ref="V220:W220"/>
    <mergeCell ref="V221:W221"/>
    <mergeCell ref="V270:W270"/>
    <mergeCell ref="V271:W271"/>
    <mergeCell ref="V222:W222"/>
    <mergeCell ref="V223:W223"/>
    <mergeCell ref="V224:W224"/>
    <mergeCell ref="V226:W226"/>
    <mergeCell ref="V227:W227"/>
    <mergeCell ref="V228:W228"/>
    <mergeCell ref="V229:W229"/>
    <mergeCell ref="V230:W230"/>
    <mergeCell ref="V232:W232"/>
    <mergeCell ref="V233:W233"/>
    <mergeCell ref="V234:W234"/>
    <mergeCell ref="V236:W236"/>
    <mergeCell ref="V237:W237"/>
    <mergeCell ref="V238:W238"/>
    <mergeCell ref="V248:W248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M214:N214"/>
    <mergeCell ref="V214:W214"/>
    <mergeCell ref="V196:W196"/>
    <mergeCell ref="V197:W197"/>
    <mergeCell ref="V198:W198"/>
    <mergeCell ref="V200:W200"/>
    <mergeCell ref="V201:W201"/>
    <mergeCell ref="V202:W202"/>
    <mergeCell ref="V203:W203"/>
    <mergeCell ref="V204:W204"/>
    <mergeCell ref="V205:W205"/>
    <mergeCell ref="V185:W185"/>
    <mergeCell ref="V187:W187"/>
    <mergeCell ref="V189:W189"/>
    <mergeCell ref="V190:W190"/>
    <mergeCell ref="V191:W191"/>
    <mergeCell ref="V192:W192"/>
    <mergeCell ref="V193:W193"/>
    <mergeCell ref="V194:W194"/>
    <mergeCell ref="V195:W195"/>
    <mergeCell ref="B175:C175"/>
    <mergeCell ref="V179:W179"/>
    <mergeCell ref="V180:W180"/>
    <mergeCell ref="V181:W181"/>
    <mergeCell ref="B182:C182"/>
    <mergeCell ref="V182:W182"/>
    <mergeCell ref="V183:W183"/>
    <mergeCell ref="V184:W184"/>
    <mergeCell ref="V159:W159"/>
    <mergeCell ref="V160:W160"/>
    <mergeCell ref="V161:W161"/>
    <mergeCell ref="V162:W162"/>
    <mergeCell ref="V165:W165"/>
    <mergeCell ref="V166:W166"/>
    <mergeCell ref="V167:W167"/>
    <mergeCell ref="V168:W168"/>
    <mergeCell ref="V171:W171"/>
    <mergeCell ref="V172:W172"/>
    <mergeCell ref="V174:W174"/>
    <mergeCell ref="V175:W175"/>
    <mergeCell ref="V176:W176"/>
    <mergeCell ref="V178:W178"/>
    <mergeCell ref="V151:W151"/>
    <mergeCell ref="V153:W153"/>
    <mergeCell ref="V155:W155"/>
    <mergeCell ref="V156:W156"/>
    <mergeCell ref="V158:W158"/>
    <mergeCell ref="M166:N166"/>
    <mergeCell ref="B168:C168"/>
    <mergeCell ref="M168:N168"/>
    <mergeCell ref="B171:C171"/>
    <mergeCell ref="M171:N171"/>
    <mergeCell ref="V139:W139"/>
    <mergeCell ref="V140:W140"/>
    <mergeCell ref="V141:W141"/>
    <mergeCell ref="V142:W142"/>
    <mergeCell ref="V143:W143"/>
    <mergeCell ref="V144:W144"/>
    <mergeCell ref="V146:W146"/>
    <mergeCell ref="V147:W147"/>
    <mergeCell ref="V150:W150"/>
    <mergeCell ref="V113:W113"/>
    <mergeCell ref="V114:W114"/>
    <mergeCell ref="V115:W115"/>
    <mergeCell ref="B118:C118"/>
    <mergeCell ref="V118:W118"/>
    <mergeCell ref="B135:C135"/>
    <mergeCell ref="B136:C136"/>
    <mergeCell ref="V137:W137"/>
    <mergeCell ref="V138:W138"/>
    <mergeCell ref="V119:W119"/>
    <mergeCell ref="V121:W121"/>
    <mergeCell ref="V122:W122"/>
    <mergeCell ref="V123:W123"/>
    <mergeCell ref="V124:W124"/>
    <mergeCell ref="V126:W126"/>
    <mergeCell ref="V127:W127"/>
    <mergeCell ref="V128:W128"/>
    <mergeCell ref="V129:W129"/>
    <mergeCell ref="V131:W131"/>
    <mergeCell ref="V132:W132"/>
    <mergeCell ref="V133:W133"/>
    <mergeCell ref="V134:W134"/>
    <mergeCell ref="V135:W135"/>
    <mergeCell ref="V105:W105"/>
    <mergeCell ref="V106:W106"/>
    <mergeCell ref="V107:W107"/>
    <mergeCell ref="V108:W108"/>
    <mergeCell ref="B109:C109"/>
    <mergeCell ref="V109:W109"/>
    <mergeCell ref="V110:W110"/>
    <mergeCell ref="V111:W111"/>
    <mergeCell ref="V112:W112"/>
    <mergeCell ref="V101:W101"/>
    <mergeCell ref="B102:C102"/>
    <mergeCell ref="V102:W102"/>
    <mergeCell ref="V103:W103"/>
    <mergeCell ref="V81:W81"/>
    <mergeCell ref="V83:W83"/>
    <mergeCell ref="V84:W84"/>
    <mergeCell ref="V86:W86"/>
    <mergeCell ref="V88:W88"/>
    <mergeCell ref="V90:W90"/>
    <mergeCell ref="V91:W91"/>
    <mergeCell ref="V93:W93"/>
    <mergeCell ref="V94:W94"/>
    <mergeCell ref="V95:W95"/>
    <mergeCell ref="V96:W96"/>
    <mergeCell ref="V97:W97"/>
    <mergeCell ref="B98:C98"/>
    <mergeCell ref="V98:W98"/>
    <mergeCell ref="V99:W99"/>
    <mergeCell ref="V100:W100"/>
    <mergeCell ref="V64:W64"/>
    <mergeCell ref="V67:W67"/>
    <mergeCell ref="V68:W68"/>
    <mergeCell ref="V70:W70"/>
    <mergeCell ref="V72:W72"/>
    <mergeCell ref="V74:W74"/>
    <mergeCell ref="V75:W75"/>
    <mergeCell ref="V76:W76"/>
    <mergeCell ref="V92:W92"/>
    <mergeCell ref="V44:W44"/>
    <mergeCell ref="B50:C50"/>
    <mergeCell ref="B54:C54"/>
    <mergeCell ref="B65:C65"/>
    <mergeCell ref="V20:W20"/>
    <mergeCell ref="V25:W25"/>
    <mergeCell ref="V27:W27"/>
    <mergeCell ref="V35:W35"/>
    <mergeCell ref="V36:W36"/>
    <mergeCell ref="B41:C41"/>
    <mergeCell ref="B47:C47"/>
    <mergeCell ref="V39:W39"/>
    <mergeCell ref="V47:W47"/>
    <mergeCell ref="V51:W51"/>
    <mergeCell ref="V53:W53"/>
    <mergeCell ref="V54:W54"/>
    <mergeCell ref="V55:W55"/>
    <mergeCell ref="V57:W57"/>
    <mergeCell ref="V58:W58"/>
    <mergeCell ref="V59:W59"/>
    <mergeCell ref="V60:W60"/>
    <mergeCell ref="V61:W61"/>
    <mergeCell ref="V62:W62"/>
    <mergeCell ref="V63:W63"/>
    <mergeCell ref="V9:W9"/>
    <mergeCell ref="V10:W10"/>
    <mergeCell ref="V12:W12"/>
    <mergeCell ref="V13:W13"/>
    <mergeCell ref="V15:W15"/>
    <mergeCell ref="V16:W16"/>
    <mergeCell ref="V18:W18"/>
    <mergeCell ref="V41:W41"/>
    <mergeCell ref="V43:W43"/>
  </mergeCells>
  <phoneticPr fontId="4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World Bank Categories</vt:lpstr>
      <vt:lpstr>26.05.29 기준 전체 숙소 신청자 명단</vt:lpstr>
      <vt:lpstr>무료숙소확정전체명단</vt:lpstr>
      <vt:lpstr>가족단위명단</vt:lpstr>
      <vt:lpstr>개인 단위 명단</vt:lpstr>
      <vt:lpstr>노랑은 지난확정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Sunjeung Kim</cp:lastModifiedBy>
  <dcterms:modified xsi:type="dcterms:W3CDTF">2026-06-01T19:14:08Z</dcterms:modified>
</cp:coreProperties>
</file>
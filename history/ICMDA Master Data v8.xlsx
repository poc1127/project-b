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'참가자'!$A$1:$AN$714</definedName>
    <definedName name="_xlnm._FilterDatabase" localSheetId="2" hidden="1">'객실'!$A$1:$K$130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</fonts>
  <fills count="11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1F4E7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81"/>
  <sheetViews>
    <sheetView showGridLines="0" tabSelected="1" workbookViewId="0">
      <selection activeCell="D18" sqref="D18"/>
    </sheetView>
  </sheetViews>
  <sheetFormatPr baseColWidth="8" defaultRowHeight="15"/>
  <cols>
    <col width="2" customWidth="1" style="21" min="1" max="1"/>
    <col width="30" customWidth="1" style="21" min="2" max="2"/>
    <col width="16" customWidth="1" style="21" min="3" max="4"/>
    <col width="10" customWidth="1" style="21" min="5" max="5"/>
  </cols>
  <sheetData>
    <row r="1" ht="18.75" customHeight="1" s="21">
      <c r="B1" s="20" t="inlineStr">
        <is>
          <t>ICMDA 숙소배정 — 요약 (Overview)</t>
        </is>
      </c>
    </row>
    <row r="2">
      <c r="B2" s="22" t="inlineStr">
        <is>
          <t>데이터 v7 기준 · 모든 값은 수식으로 자동 갱신</t>
        </is>
      </c>
    </row>
    <row r="4">
      <c r="B4" s="8" t="inlineStr">
        <is>
          <t>■ 핵심 지표</t>
        </is>
      </c>
      <c r="C4" s="9" t="n"/>
    </row>
    <row r="5">
      <c r="B5" s="10" t="inlineStr">
        <is>
          <t>총 참가자 (행 수)</t>
        </is>
      </c>
      <c r="C5" s="11">
        <f>COUNTA(참가자!A2:A714)</f>
        <v/>
      </c>
    </row>
    <row r="6">
      <c r="B6" s="10" t="inlineStr">
        <is>
          <t>총 인원 (가족 포함)</t>
        </is>
      </c>
      <c r="C6" s="11">
        <f>SUMPRODUCT(VALUE("0"&amp;참가자!AG2:AG714))</f>
        <v/>
      </c>
    </row>
    <row r="7">
      <c r="B7" s="10" t="inlineStr">
        <is>
          <t>방 필요 인원 (배정필요≠No)</t>
        </is>
      </c>
      <c r="C7" s="11">
        <f>SUMPRODUCT((참가자!O2:O714&lt;&gt;"No")*VALUE("0"&amp;참가자!AG2:AG714))</f>
        <v/>
      </c>
    </row>
    <row r="8">
      <c r="B8" s="10" t="inlineStr">
        <is>
          <t>총 객실 수</t>
        </is>
      </c>
      <c r="C8" s="11">
        <f>COUNTA(객실!A2:A130)</f>
        <v/>
      </c>
    </row>
    <row r="9">
      <c r="B9" s="10" t="inlineStr">
        <is>
          <t>총 수용 인원 (정원 합)</t>
        </is>
      </c>
      <c r="C9" s="11">
        <f>SUM(객실!H2:H130)</f>
        <v/>
      </c>
    </row>
    <row r="10">
      <c r="B10" s="10" t="inlineStr">
        <is>
          <t>수용 여유 (정원 − 방필요인원)</t>
        </is>
      </c>
      <c r="C10" s="12">
        <f>C9-C7</f>
        <v/>
      </c>
    </row>
    <row r="12">
      <c r="B12" s="8" t="inlineStr">
        <is>
          <t>■ 참가자 — 카테고리별</t>
        </is>
      </c>
      <c r="C12" s="9" t="n"/>
    </row>
    <row r="13">
      <c r="B13" s="10" t="inlineStr">
        <is>
          <t>무료숙소신청 - 개인</t>
        </is>
      </c>
      <c r="C13" s="11">
        <f>COUNTIF(참가자!C2:C714,"무료숙소신청 - 개인")</f>
        <v/>
      </c>
    </row>
    <row r="14">
      <c r="B14" s="10" t="inlineStr">
        <is>
          <t>무료숙소신청 - 가족</t>
        </is>
      </c>
      <c r="C14" s="11">
        <f>COUNTIF(참가자!C2:C714,"무료숙소신청 - 가족")</f>
        <v/>
      </c>
    </row>
    <row r="15">
      <c r="B15" s="22" t="inlineStr">
        <is>
          <t xml:space="preserve">   └ 가족 인원 (가족 포함)</t>
        </is>
      </c>
      <c r="C15" s="11">
        <f>SUMPRODUCT((참가자!C2:C714="무료숙소신청 - 가족")*VALUE("0"&amp;참가자!AG2:AG714))</f>
        <v/>
      </c>
    </row>
    <row r="16">
      <c r="B16" s="10" t="inlineStr">
        <is>
          <t>NOC 위원</t>
        </is>
      </c>
      <c r="C16" s="11">
        <f>COUNTIF(참가자!C2:C714,"NOC 위원")</f>
        <v/>
      </c>
    </row>
    <row r="17">
      <c r="B17" s="10" t="inlineStr">
        <is>
          <t>AFF</t>
        </is>
      </c>
      <c r="C17" s="11">
        <f>COUNTIF(참가자!C2:C714,"AFF")</f>
        <v/>
      </c>
    </row>
    <row r="18">
      <c r="B18" s="10" t="inlineStr">
        <is>
          <t>중국</t>
        </is>
      </c>
      <c r="C18" s="11">
        <f>COUNTIF(참가자!C2:C714,"중국")</f>
        <v/>
      </c>
    </row>
    <row r="19">
      <c r="B19" s="10" t="inlineStr">
        <is>
          <t>자원봉사팀</t>
        </is>
      </c>
      <c r="C19" s="11">
        <f>COUNTIF(참가자!C2:C714,"자원봉사팀")</f>
        <v/>
      </c>
    </row>
    <row r="20">
      <c r="B20" s="10" t="inlineStr">
        <is>
          <t>찬양팀</t>
        </is>
      </c>
      <c r="C20" s="11">
        <f>COUNTIF(참가자!C2:C714,"찬양팀")</f>
        <v/>
      </c>
    </row>
    <row r="21">
      <c r="B21" s="10" t="inlineStr">
        <is>
          <t>미디어팀</t>
        </is>
      </c>
      <c r="C21" s="11">
        <f>COUNTIF(참가자!C2:C714,"미디어팀")</f>
        <v/>
      </c>
    </row>
    <row r="23">
      <c r="B23" s="8" t="inlineStr">
        <is>
          <t>■ 참가자 — 팀별 (팀 컬럼)</t>
        </is>
      </c>
      <c r="C23" s="9" t="n"/>
    </row>
    <row r="24">
      <c r="B24" s="10" t="inlineStr">
        <is>
          <t>자원봉사팀 (전체)</t>
        </is>
      </c>
      <c r="C24" s="11">
        <f>COUNTIF(참가자!AN2:AN714,"자원봉사팀")</f>
        <v/>
      </c>
    </row>
    <row r="25">
      <c r="B25" s="22" t="inlineStr">
        <is>
          <t xml:space="preserve">   └ 방 필요 (배정필요=Yes)</t>
        </is>
      </c>
      <c r="C25" s="11">
        <f>COUNTIFS(참가자!AN2:AN714,"자원봉사팀",참가자!O2:O714,"Yes")</f>
        <v/>
      </c>
    </row>
    <row r="26">
      <c r="B26" s="10" t="inlineStr">
        <is>
          <t>찬양팀</t>
        </is>
      </c>
      <c r="C26" s="11">
        <f>COUNTIF(참가자!AN2:AN714,"찬양팀")</f>
        <v/>
      </c>
    </row>
    <row r="27">
      <c r="B27" s="10" t="inlineStr">
        <is>
          <t>미디어팀</t>
        </is>
      </c>
      <c r="C27" s="11">
        <f>COUNTIF(참가자!AN2:AN714,"미디어팀")</f>
        <v/>
      </c>
    </row>
    <row r="29">
      <c r="B29" s="8" t="inlineStr">
        <is>
          <t>■ 참가자 — 성별</t>
        </is>
      </c>
      <c r="C29" s="9" t="n"/>
    </row>
    <row r="30">
      <c r="B30" s="10" t="inlineStr">
        <is>
          <t>남 (M)</t>
        </is>
      </c>
      <c r="C30" s="11">
        <f>COUNTIF(참가자!G2:G714,"M")</f>
        <v/>
      </c>
    </row>
    <row r="31">
      <c r="B31" s="10" t="inlineStr">
        <is>
          <t>여 (F)</t>
        </is>
      </c>
      <c r="C31" s="11">
        <f>COUNTIF(참가자!G2:G714,"F")</f>
        <v/>
      </c>
    </row>
    <row r="32">
      <c r="B32" s="10" t="inlineStr">
        <is>
          <t>미상 (?)</t>
        </is>
      </c>
      <c r="C32" s="11">
        <f>COUNTIF(참가자!G2:G714,"~?")</f>
        <v/>
      </c>
    </row>
    <row r="34">
      <c r="B34" s="8" t="inlineStr">
        <is>
          <t>■ 참가자 — 결제상태</t>
        </is>
      </c>
      <c r="C34" s="9" t="n"/>
    </row>
    <row r="35">
      <c r="B35" s="10" t="inlineStr">
        <is>
          <t>Paid</t>
        </is>
      </c>
      <c r="C35" s="11">
        <f>COUNTIF(참가자!N2:N714,"Paid")</f>
        <v/>
      </c>
    </row>
    <row r="36">
      <c r="B36" s="10" t="inlineStr">
        <is>
          <t>Bursary Holder</t>
        </is>
      </c>
      <c r="C36" s="11">
        <f>COUNTIF(참가자!N2:N714,"Bursary Holder")</f>
        <v/>
      </c>
    </row>
    <row r="37">
      <c r="B37" s="10" t="inlineStr">
        <is>
          <t>NA</t>
        </is>
      </c>
      <c r="C37" s="11">
        <f>COUNTIF(참가자!N2:N714,"NA")</f>
        <v/>
      </c>
    </row>
    <row r="39">
      <c r="B39" s="8" t="inlineStr">
        <is>
          <t>■ 참가자 — 숙박일수</t>
        </is>
      </c>
      <c r="C39" s="9" t="n"/>
    </row>
    <row r="40">
      <c r="B40" s="10" t="inlineStr">
        <is>
          <t>1박</t>
        </is>
      </c>
      <c r="C40" s="11">
        <f>COUNTIF(참가자!AB2:AB714,"1박")</f>
        <v/>
      </c>
    </row>
    <row r="41">
      <c r="B41" s="10" t="inlineStr">
        <is>
          <t>2박</t>
        </is>
      </c>
      <c r="C41" s="11">
        <f>COUNTIF(참가자!AB2:AB714,"2박")</f>
        <v/>
      </c>
    </row>
    <row r="42">
      <c r="B42" s="10" t="inlineStr">
        <is>
          <t>3박</t>
        </is>
      </c>
      <c r="C42" s="11">
        <f>COUNTIF(참가자!AB2:AB714,"3박")</f>
        <v/>
      </c>
    </row>
    <row r="43">
      <c r="B43" s="10" t="inlineStr">
        <is>
          <t>4박</t>
        </is>
      </c>
      <c r="C43" s="11">
        <f>COUNTIF(참가자!AB2:AB714,"4박")</f>
        <v/>
      </c>
    </row>
    <row r="44">
      <c r="B44" s="10" t="inlineStr">
        <is>
          <t>5박</t>
        </is>
      </c>
      <c r="C44" s="11">
        <f>COUNTIF(참가자!AB2:AB714,"5박")</f>
        <v/>
      </c>
    </row>
    <row r="45">
      <c r="B45" s="10" t="inlineStr">
        <is>
          <t>6박</t>
        </is>
      </c>
      <c r="C45" s="11">
        <f>COUNTIF(참가자!AB2:AB714,"6박")</f>
        <v/>
      </c>
    </row>
    <row r="46">
      <c r="B46" s="10" t="inlineStr">
        <is>
          <t>7박</t>
        </is>
      </c>
      <c r="C46" s="11">
        <f>COUNTIF(참가자!AB2:AB714,"7박")</f>
        <v/>
      </c>
    </row>
    <row r="47">
      <c r="B47" s="10" t="inlineStr">
        <is>
          <t>8박</t>
        </is>
      </c>
      <c r="C47" s="11">
        <f>COUNTIF(참가자!AB2:AB714,"8박")</f>
        <v/>
      </c>
    </row>
    <row r="48">
      <c r="B48" s="10" t="inlineStr">
        <is>
          <t>10박</t>
        </is>
      </c>
      <c r="C48" s="11">
        <f>COUNTIF(참가자!AB2:AB714,"10박")</f>
        <v/>
      </c>
    </row>
    <row r="49">
      <c r="B49" s="10" t="inlineStr">
        <is>
          <t>미지정 (0박)</t>
        </is>
      </c>
      <c r="C49" s="11">
        <f>COUNTBLANK(참가자!AB2:AB714)</f>
        <v/>
      </c>
    </row>
    <row r="51">
      <c r="B51" s="8" t="inlineStr">
        <is>
          <t>■ 참가자 — 검토/배정 현황</t>
        </is>
      </c>
      <c r="C51" s="9" t="n"/>
    </row>
    <row r="52">
      <c r="B52" s="10" t="inlineStr">
        <is>
          <t>검토 필요 (한글이름)</t>
        </is>
      </c>
      <c r="C52" s="11">
        <f>COUNTIF(참가자!AM2:AM714,"한글이름 확인")</f>
        <v/>
      </c>
    </row>
    <row r="53">
      <c r="B53" s="10" t="inlineStr">
        <is>
          <t>플레이스홀더 행</t>
        </is>
      </c>
      <c r="C53" s="11">
        <f>COUNTIF(참가자!AM2:AM714,"플레이스홀더")</f>
        <v/>
      </c>
    </row>
    <row r="54">
      <c r="B54" s="10" t="inlineStr">
        <is>
          <t>배정숙소 기지정</t>
        </is>
      </c>
      <c r="C54" s="11">
        <f>COUNTA(참가자!AI2:AI714)</f>
        <v/>
      </c>
    </row>
    <row r="56">
      <c r="B56" s="8" t="inlineStr">
        <is>
          <t>■ 객실 — 숙소별 (방 수 / 정원)</t>
        </is>
      </c>
      <c r="C56" s="9" t="n"/>
    </row>
    <row r="57">
      <c r="B57" s="10" t="inlineStr">
        <is>
          <t>부영청소년수련원 — 방 수</t>
        </is>
      </c>
      <c r="C57" s="11">
        <f>COUNTIF(객실!B2:B130,"부영청소년수련원")</f>
        <v/>
      </c>
    </row>
    <row r="58">
      <c r="B58" s="10" t="inlineStr">
        <is>
          <t>부영청소년수련원 — 정원</t>
        </is>
      </c>
      <c r="C58" s="11">
        <f>SUMIF(객실!B2:B130,"부영청소년수련원",객실!H2:H130)</f>
        <v/>
      </c>
    </row>
    <row r="59">
      <c r="B59" s="10" t="inlineStr">
        <is>
          <t>유어스호텔 — 방 수</t>
        </is>
      </c>
      <c r="C59" s="11">
        <f>COUNTIF(객실!B2:B130,"유어스호텔")</f>
        <v/>
      </c>
    </row>
    <row r="60">
      <c r="B60" s="10" t="inlineStr">
        <is>
          <t>유어스호텔 — 정원</t>
        </is>
      </c>
      <c r="C60" s="11">
        <f>SUMIF(객실!B2:B130,"유어스호텔",객실!H2:H130)</f>
        <v/>
      </c>
    </row>
    <row r="62">
      <c r="B62" s="8" t="inlineStr">
        <is>
          <t>■ 객실 — 성별구분</t>
        </is>
      </c>
      <c r="C62" s="9" t="n"/>
    </row>
    <row r="63">
      <c r="B63" s="10" t="inlineStr">
        <is>
          <t>Male</t>
        </is>
      </c>
      <c r="C63" s="11">
        <f>COUNTIF(객실!G2:G130,"Male")</f>
        <v/>
      </c>
    </row>
    <row r="64">
      <c r="B64" s="10" t="inlineStr">
        <is>
          <t>Female</t>
        </is>
      </c>
      <c r="C64" s="11">
        <f>COUNTIF(객실!G2:G130,"Female")</f>
        <v/>
      </c>
    </row>
    <row r="65">
      <c r="B65" s="10" t="inlineStr">
        <is>
          <t>Staff</t>
        </is>
      </c>
      <c r="C65" s="11">
        <f>COUNTIF(객실!G2:G130,"Staff")</f>
        <v/>
      </c>
    </row>
    <row r="66">
      <c r="B66" s="10" t="inlineStr">
        <is>
          <t>미지정 (유어스)</t>
        </is>
      </c>
      <c r="C66" s="11">
        <f>COUNTBLANK(객실!G2:G130)</f>
        <v/>
      </c>
    </row>
    <row r="68">
      <c r="B68" s="8" t="inlineStr">
        <is>
          <t>■ 객실 — 유형별 (호텔별)</t>
        </is>
      </c>
      <c r="C68" s="9" t="n"/>
      <c r="D68" s="9" t="n"/>
      <c r="E68" s="9" t="n"/>
      <c r="F68" s="9" t="n"/>
    </row>
    <row r="69">
      <c r="B69" s="13" t="inlineStr">
        <is>
          <t>유형</t>
        </is>
      </c>
      <c r="C69" s="14" t="inlineStr">
        <is>
          <t>부영청소년수련원</t>
        </is>
      </c>
      <c r="D69" s="14" t="inlineStr">
        <is>
          <t>유어스호텔</t>
        </is>
      </c>
      <c r="E69" s="14" t="inlineStr">
        <is>
          <t>합계</t>
        </is>
      </c>
    </row>
    <row r="70">
      <c r="B70" s="10" t="inlineStr">
        <is>
          <t>Korean Traditional</t>
        </is>
      </c>
      <c r="C70" s="15">
        <f>COUNTIFS(객실!F2:F130,"Korean Traditional",객실!B2:B130,"부영청소년수련원")</f>
        <v/>
      </c>
      <c r="D70" s="15">
        <f>COUNTIFS(객실!F2:F130,"Korean Traditional",객실!B2:B130,"유어스호텔")</f>
        <v/>
      </c>
      <c r="E70" s="11">
        <f>COUNTIF(객실!F2:F130,"Korean Traditional")</f>
        <v/>
      </c>
    </row>
    <row r="71">
      <c r="B71" s="10" t="inlineStr">
        <is>
          <t>Korean Room</t>
        </is>
      </c>
      <c r="C71" s="15">
        <f>COUNTIFS(객실!F2:F130,"Korean Room",객실!B2:B130,"부영청소년수련원")</f>
        <v/>
      </c>
      <c r="D71" s="15">
        <f>COUNTIFS(객실!F2:F130,"Korean Room",객실!B2:B130,"유어스호텔")</f>
        <v/>
      </c>
      <c r="E71" s="11">
        <f>COUNTIF(객실!F2:F130,"Korean Room")</f>
        <v/>
      </c>
    </row>
    <row r="72">
      <c r="B72" s="10" t="inlineStr">
        <is>
          <t>Bed</t>
        </is>
      </c>
      <c r="C72" s="15">
        <f>COUNTIFS(객실!F2:F130,"Bed",객실!B2:B130,"부영청소년수련원")</f>
        <v/>
      </c>
      <c r="D72" s="15">
        <f>COUNTIFS(객실!F2:F130,"Bed",객실!B2:B130,"유어스호텔")</f>
        <v/>
      </c>
      <c r="E72" s="11">
        <f>COUNTIF(객실!F2:F130,"Bed")</f>
        <v/>
      </c>
    </row>
    <row r="73">
      <c r="B73" s="10" t="inlineStr">
        <is>
          <t>Bed For 2</t>
        </is>
      </c>
      <c r="C73" s="15">
        <f>COUNTIFS(객실!F2:F130,"Bed For 2",객실!B2:B130,"부영청소년수련원")</f>
        <v/>
      </c>
      <c r="D73" s="15">
        <f>COUNTIFS(객실!F2:F130,"Bed For 2",객실!B2:B130,"유어스호텔")</f>
        <v/>
      </c>
      <c r="E73" s="11">
        <f>COUNTIF(객실!F2:F130,"Bed For 2")</f>
        <v/>
      </c>
    </row>
    <row r="74">
      <c r="B74" s="10" t="inlineStr">
        <is>
          <t>Deluxe Twin</t>
        </is>
      </c>
      <c r="C74" s="15">
        <f>COUNTIFS(객실!F2:F130,"Deluxe Twin",객실!B2:B130,"부영청소년수련원")</f>
        <v/>
      </c>
      <c r="D74" s="15">
        <f>COUNTIFS(객실!F2:F130,"Deluxe Twin",객실!B2:B130,"유어스호텔")</f>
        <v/>
      </c>
      <c r="E74" s="11">
        <f>COUNTIF(객실!F2:F130,"Deluxe Twin")</f>
        <v/>
      </c>
    </row>
    <row r="75">
      <c r="B75" s="10" t="inlineStr">
        <is>
          <t>Deluxe Family Twin</t>
        </is>
      </c>
      <c r="C75" s="15">
        <f>COUNTIFS(객실!F2:F130,"Deluxe Family Twin",객실!B2:B130,"부영청소년수련원")</f>
        <v/>
      </c>
      <c r="D75" s="15">
        <f>COUNTIFS(객실!F2:F130,"Deluxe Family Twin",객실!B2:B130,"유어스호텔")</f>
        <v/>
      </c>
      <c r="E75" s="11">
        <f>COUNTIF(객실!F2:F130,"Deluxe Family Twin")</f>
        <v/>
      </c>
    </row>
    <row r="76">
      <c r="B76" s="10" t="inlineStr">
        <is>
          <t>Triple Room</t>
        </is>
      </c>
      <c r="C76" s="15">
        <f>COUNTIFS(객실!F2:F130,"Triple Room",객실!B2:B130,"부영청소년수련원")</f>
        <v/>
      </c>
      <c r="D76" s="15">
        <f>COUNTIFS(객실!F2:F130,"Triple Room",객실!B2:B130,"유어스호텔")</f>
        <v/>
      </c>
      <c r="E76" s="11">
        <f>COUNTIF(객실!F2:F130,"Triple Room")</f>
        <v/>
      </c>
    </row>
    <row r="77">
      <c r="B77" s="10" t="inlineStr">
        <is>
          <t>Suite Corner</t>
        </is>
      </c>
      <c r="C77" s="15">
        <f>COUNTIFS(객실!F2:F130,"Suite Corner",객실!B2:B130,"부영청소년수련원")</f>
        <v/>
      </c>
      <c r="D77" s="15">
        <f>COUNTIFS(객실!F2:F130,"Suite Corner",객실!B2:B130,"유어스호텔")</f>
        <v/>
      </c>
      <c r="E77" s="11">
        <f>COUNTIF(객실!F2:F130,"Suite Corner")</f>
        <v/>
      </c>
    </row>
    <row r="78">
      <c r="B78" s="10" t="inlineStr">
        <is>
          <t>YOUUS Suite</t>
        </is>
      </c>
      <c r="C78" s="15">
        <f>COUNTIFS(객실!F2:F130,"YOUUS Suite",객실!B2:B130,"부영청소년수련원")</f>
        <v/>
      </c>
      <c r="D78" s="15">
        <f>COUNTIFS(객실!F2:F130,"YOUUS Suite",객실!B2:B130,"유어스호텔")</f>
        <v/>
      </c>
      <c r="E78" s="11">
        <f>COUNTIF(객실!F2:F130,"YOUUS Suite")</f>
        <v/>
      </c>
    </row>
    <row r="80">
      <c r="B80" s="8" t="inlineStr">
        <is>
          <t>■ 객실 — 필수온돌</t>
        </is>
      </c>
      <c r="C80" s="9" t="n"/>
    </row>
    <row r="81">
      <c r="B81" s="10" t="inlineStr">
        <is>
          <t>필수온돌 방 수</t>
        </is>
      </c>
      <c r="C81" s="11">
        <f>COUNTIF(객실!J2:J130,"Y")</f>
        <v/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1" min="1" max="1"/>
    <col width="10" customWidth="1" style="21" min="2" max="2"/>
    <col width="13" customWidth="1" style="21" min="3" max="3"/>
    <col width="6" customWidth="1" style="21" min="4" max="4"/>
    <col width="30" customWidth="1" style="21" min="5" max="5"/>
    <col width="19" customWidth="1" style="21" min="6" max="6"/>
    <col width="6" customWidth="1" style="21" min="7" max="7"/>
    <col width="12" customWidth="1" style="21" min="8" max="8"/>
    <col width="26" customWidth="1" style="21" min="9" max="9"/>
    <col width="30" customWidth="1" style="21" min="10" max="12"/>
    <col width="15" customWidth="1" style="21" min="13" max="13"/>
    <col width="16" customWidth="1" style="21" min="14" max="14"/>
    <col width="6" customWidth="1" style="21" min="15" max="15"/>
    <col width="7" customWidth="1" style="21" min="16" max="22"/>
    <col width="6" customWidth="1" style="21" min="23" max="33"/>
    <col width="30" customWidth="1" style="21" min="34" max="34"/>
    <col width="6" customWidth="1" style="21" min="35" max="37"/>
    <col width="7" customWidth="1" style="21" min="38" max="38"/>
    <col width="9" customWidth="1" style="21" min="39" max="39"/>
    <col width="12" customWidth="1" style="21" min="40" max="40"/>
  </cols>
  <sheetData>
    <row r="1" ht="25.5" customHeight="1" s="2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  <c r="AN1" s="16" t="inlineStr">
        <is>
          <t>팀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n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n"/>
      <c r="S2" s="2" t="n"/>
      <c r="T2" s="2" t="n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n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n"/>
      <c r="AJ2" s="2" t="n"/>
      <c r="AK2" s="2" t="n"/>
      <c r="AL2" s="2" t="inlineStr">
        <is>
          <t>FINAL</t>
        </is>
      </c>
      <c r="AM2" s="2" t="n"/>
      <c r="AN2" s="2" t="n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n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n"/>
      <c r="S3" s="2" t="n"/>
      <c r="T3" s="2" t="n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n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n"/>
      <c r="AJ3" s="2" t="n"/>
      <c r="AK3" s="2" t="n"/>
      <c r="AL3" s="2" t="inlineStr">
        <is>
          <t>FINAL</t>
        </is>
      </c>
      <c r="AM3" s="2" t="n"/>
      <c r="AN3" s="2" t="n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n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n"/>
      <c r="S4" s="2" t="n"/>
      <c r="T4" s="2" t="n"/>
      <c r="U4" s="2" t="n"/>
      <c r="V4" s="2" t="n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n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n"/>
      <c r="AJ4" s="2" t="n"/>
      <c r="AK4" s="2" t="n"/>
      <c r="AL4" s="2" t="inlineStr">
        <is>
          <t>FINAL</t>
        </is>
      </c>
      <c r="AM4" s="2" t="n"/>
      <c r="AN4" s="2" t="n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n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n"/>
      <c r="S5" s="2" t="n"/>
      <c r="T5" s="2" t="n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n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n"/>
      <c r="AJ5" s="2" t="n"/>
      <c r="AK5" s="2" t="n"/>
      <c r="AL5" s="2" t="inlineStr">
        <is>
          <t>FINAL</t>
        </is>
      </c>
      <c r="AM5" s="2" t="n"/>
      <c r="AN5" s="2" t="n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n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n"/>
      <c r="S6" s="2" t="n"/>
      <c r="T6" s="2" t="n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n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n"/>
      <c r="AJ6" s="2" t="n"/>
      <c r="AK6" s="2" t="n"/>
      <c r="AL6" s="2" t="inlineStr">
        <is>
          <t>FINAL</t>
        </is>
      </c>
      <c r="AM6" s="2" t="n"/>
      <c r="AN6" s="2" t="n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n"/>
      <c r="S7" s="2" t="n"/>
      <c r="T7" s="2" t="n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n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n"/>
      <c r="AJ7" s="2" t="n"/>
      <c r="AK7" s="2" t="n"/>
      <c r="AL7" s="2" t="inlineStr">
        <is>
          <t>FINAL</t>
        </is>
      </c>
      <c r="AM7" s="2" t="inlineStr">
        <is>
          <t>한글이름 확인</t>
        </is>
      </c>
      <c r="AN7" s="2" t="n"/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n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n"/>
      <c r="S8" s="2" t="n"/>
      <c r="T8" s="2" t="n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n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n"/>
      <c r="AJ8" s="2" t="n"/>
      <c r="AK8" s="2" t="n"/>
      <c r="AL8" s="2" t="inlineStr">
        <is>
          <t>FINAL</t>
        </is>
      </c>
      <c r="AM8" s="2" t="n"/>
      <c r="AN8" s="2" t="n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n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n"/>
      <c r="S9" s="2" t="n"/>
      <c r="T9" s="2" t="n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n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n"/>
      <c r="AJ9" s="2" t="n"/>
      <c r="AK9" s="2" t="n"/>
      <c r="AL9" s="2" t="inlineStr">
        <is>
          <t>FINAL</t>
        </is>
      </c>
      <c r="AM9" s="2" t="n"/>
      <c r="AN9" s="2" t="n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n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n"/>
      <c r="S10" s="2" t="n"/>
      <c r="T10" s="2" t="n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n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n"/>
      <c r="AJ10" s="2" t="n"/>
      <c r="AK10" s="2" t="n"/>
      <c r="AL10" s="2" t="inlineStr">
        <is>
          <t>FINAL</t>
        </is>
      </c>
      <c r="AM10" s="2" t="n"/>
      <c r="AN10" s="2" t="n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n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n"/>
      <c r="S11" s="2" t="n"/>
      <c r="T11" s="2" t="n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n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n"/>
      <c r="AJ11" s="2" t="n"/>
      <c r="AK11" s="2" t="n"/>
      <c r="AL11" s="2" t="inlineStr">
        <is>
          <t>FINAL</t>
        </is>
      </c>
      <c r="AM11" s="2" t="n"/>
      <c r="AN11" s="2" t="n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n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n"/>
      <c r="S12" s="2" t="n"/>
      <c r="T12" s="2" t="n"/>
      <c r="U12" s="2" t="n"/>
      <c r="V12" s="2" t="n"/>
      <c r="W12" s="2" t="n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n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n"/>
      <c r="AJ12" s="2" t="n"/>
      <c r="AK12" s="2" t="n"/>
      <c r="AL12" s="2" t="inlineStr">
        <is>
          <t>FINAL</t>
        </is>
      </c>
      <c r="AM12" s="2" t="n"/>
      <c r="AN12" s="2" t="n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n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n"/>
      <c r="S13" s="2" t="n"/>
      <c r="T13" s="2" t="n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n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n"/>
      <c r="AJ13" s="2" t="n"/>
      <c r="AK13" s="2" t="n"/>
      <c r="AL13" s="2" t="inlineStr">
        <is>
          <t>FINAL</t>
        </is>
      </c>
      <c r="AM13" s="2" t="n"/>
      <c r="AN13" s="2" t="n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n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n"/>
      <c r="S14" s="2" t="n"/>
      <c r="T14" s="2" t="n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n"/>
      <c r="Y14" s="2" t="n"/>
      <c r="Z14" s="2" t="n"/>
      <c r="AA14" s="2" t="n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n"/>
      <c r="AJ14" s="2" t="n"/>
      <c r="AK14" s="2" t="n"/>
      <c r="AL14" s="2" t="inlineStr">
        <is>
          <t>FINAL</t>
        </is>
      </c>
      <c r="AM14" s="2" t="n"/>
      <c r="AN14" s="2" t="n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n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n"/>
      <c r="S15" s="2" t="n"/>
      <c r="T15" s="2" t="n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n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n"/>
      <c r="AJ15" s="2" t="n"/>
      <c r="AK15" s="2" t="n"/>
      <c r="AL15" s="2" t="inlineStr">
        <is>
          <t>FINAL</t>
        </is>
      </c>
      <c r="AM15" s="2" t="n"/>
      <c r="AN15" s="2" t="n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n"/>
      <c r="S16" s="2" t="n"/>
      <c r="T16" s="2" t="n"/>
      <c r="U16" s="2" t="n"/>
      <c r="V16" s="2" t="n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n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n"/>
      <c r="AJ16" s="2" t="n"/>
      <c r="AK16" s="2" t="n"/>
      <c r="AL16" s="2" t="inlineStr">
        <is>
          <t>FINAL</t>
        </is>
      </c>
      <c r="AM16" s="2" t="inlineStr">
        <is>
          <t>한글이름 확인</t>
        </is>
      </c>
      <c r="AN16" s="2" t="n"/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n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n"/>
      <c r="S17" s="2" t="n"/>
      <c r="T17" s="2" t="n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n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n"/>
      <c r="AJ17" s="2" t="n"/>
      <c r="AK17" s="2" t="n"/>
      <c r="AL17" s="2" t="inlineStr">
        <is>
          <t>FINAL</t>
        </is>
      </c>
      <c r="AM17" s="2" t="n"/>
      <c r="AN17" s="2" t="n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n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n"/>
      <c r="S18" s="2" t="n"/>
      <c r="T18" s="2" t="n"/>
      <c r="U18" s="2" t="n"/>
      <c r="V18" s="2" t="n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n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n"/>
      <c r="AJ18" s="2" t="n"/>
      <c r="AK18" s="2" t="n"/>
      <c r="AL18" s="2" t="inlineStr">
        <is>
          <t>FINAL</t>
        </is>
      </c>
      <c r="AM18" s="2" t="n"/>
      <c r="AN18" s="2" t="n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n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n"/>
      <c r="S19" s="2" t="n"/>
      <c r="T19" s="2" t="n"/>
      <c r="U19" s="2" t="n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n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n"/>
      <c r="AJ19" s="2" t="n"/>
      <c r="AK19" s="2" t="n"/>
      <c r="AL19" s="2" t="inlineStr">
        <is>
          <t>FINAL</t>
        </is>
      </c>
      <c r="AM19" s="2" t="n"/>
      <c r="AN19" s="2" t="n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n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n"/>
      <c r="S20" s="2" t="n"/>
      <c r="T20" s="2" t="n"/>
      <c r="U20" s="2" t="n"/>
      <c r="V20" s="2" t="n"/>
      <c r="W20" s="2" t="n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n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n"/>
      <c r="AJ20" s="2" t="n"/>
      <c r="AK20" s="2" t="n"/>
      <c r="AL20" s="2" t="inlineStr">
        <is>
          <t>FINAL</t>
        </is>
      </c>
      <c r="AM20" s="2" t="n"/>
      <c r="AN20" s="2" t="n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n"/>
      <c r="S21" s="2" t="n"/>
      <c r="T21" s="2" t="n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n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n"/>
      <c r="AJ21" s="2" t="n"/>
      <c r="AK21" s="2" t="n"/>
      <c r="AL21" s="2" t="inlineStr">
        <is>
          <t>FINAL</t>
        </is>
      </c>
      <c r="AM21" s="2" t="inlineStr">
        <is>
          <t>한글이름 확인</t>
        </is>
      </c>
      <c r="AN21" s="2" t="n"/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n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n"/>
      <c r="S22" s="2" t="n"/>
      <c r="T22" s="2" t="n"/>
      <c r="U22" s="2" t="n"/>
      <c r="V22" s="2" t="n"/>
      <c r="W22" s="2" t="n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n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n"/>
      <c r="AJ22" s="2" t="n"/>
      <c r="AK22" s="2" t="n"/>
      <c r="AL22" s="2" t="inlineStr">
        <is>
          <t>FINAL</t>
        </is>
      </c>
      <c r="AM22" s="2" t="n"/>
      <c r="AN22" s="2" t="n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n"/>
      <c r="S23" s="2" t="n"/>
      <c r="T23" s="2" t="n"/>
      <c r="U23" s="2" t="n"/>
      <c r="V23" s="2" t="n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n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n"/>
      <c r="AJ23" s="2" t="n"/>
      <c r="AK23" s="2" t="n"/>
      <c r="AL23" s="2" t="inlineStr">
        <is>
          <t>FINAL</t>
        </is>
      </c>
      <c r="AM23" s="2" t="n"/>
      <c r="AN23" s="2" t="n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n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n"/>
      <c r="S24" s="2" t="n"/>
      <c r="T24" s="2" t="n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n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n"/>
      <c r="AJ24" s="2" t="n"/>
      <c r="AK24" s="2" t="n"/>
      <c r="AL24" s="2" t="inlineStr">
        <is>
          <t>FINAL</t>
        </is>
      </c>
      <c r="AM24" s="2" t="n"/>
      <c r="AN24" s="2" t="n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n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n"/>
      <c r="S25" s="2" t="n"/>
      <c r="T25" s="2" t="n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n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n"/>
      <c r="AJ25" s="2" t="n"/>
      <c r="AK25" s="2" t="n"/>
      <c r="AL25" s="2" t="inlineStr">
        <is>
          <t>FINAL</t>
        </is>
      </c>
      <c r="AM25" s="2" t="n"/>
      <c r="AN25" s="2" t="n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n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n"/>
      <c r="S26" s="2" t="n"/>
      <c r="T26" s="2" t="n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n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n"/>
      <c r="AJ26" s="2" t="n"/>
      <c r="AK26" s="2" t="n"/>
      <c r="AL26" s="2" t="inlineStr">
        <is>
          <t>FINAL</t>
        </is>
      </c>
      <c r="AM26" s="2" t="n"/>
      <c r="AN26" s="2" t="n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n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n"/>
      <c r="S27" s="2" t="n"/>
      <c r="T27" s="2" t="n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n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n"/>
      <c r="AJ27" s="2" t="n"/>
      <c r="AK27" s="2" t="n"/>
      <c r="AL27" s="2" t="inlineStr">
        <is>
          <t>FINAL</t>
        </is>
      </c>
      <c r="AM27" s="2" t="n"/>
      <c r="AN27" s="2" t="n"/>
    </row>
    <row r="28">
      <c r="A28" s="3" t="inlineStr">
        <is>
          <t>P0027</t>
        </is>
      </c>
      <c r="B28" s="3" t="n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n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n"/>
      <c r="S28" s="3" t="n"/>
      <c r="T28" s="3" t="n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n"/>
      <c r="AB28" s="3" t="inlineStr">
        <is>
          <t>6박</t>
        </is>
      </c>
      <c r="AC28" s="3" t="inlineStr">
        <is>
          <t>1</t>
        </is>
      </c>
      <c r="AD28" s="3" t="n"/>
      <c r="AE28" s="3" t="n"/>
      <c r="AF28" s="3" t="n"/>
      <c r="AG28" s="3" t="inlineStr">
        <is>
          <t>1</t>
        </is>
      </c>
      <c r="AH28" s="3" t="n"/>
      <c r="AI28" s="3" t="n"/>
      <c r="AJ28" s="3" t="n"/>
      <c r="AK28" s="3" t="n"/>
      <c r="AL28" s="3" t="inlineStr">
        <is>
          <t>FINAL</t>
        </is>
      </c>
      <c r="AM28" s="3" t="n"/>
      <c r="AN28" s="3" t="n"/>
    </row>
    <row r="29">
      <c r="A29" s="3" t="inlineStr">
        <is>
          <t>P0028</t>
        </is>
      </c>
      <c r="B29" s="3" t="n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n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n"/>
      <c r="S29" s="3" t="n"/>
      <c r="T29" s="3" t="n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n"/>
      <c r="AB29" s="3" t="inlineStr">
        <is>
          <t>6박</t>
        </is>
      </c>
      <c r="AC29" s="3" t="inlineStr">
        <is>
          <t>1</t>
        </is>
      </c>
      <c r="AD29" s="3" t="n"/>
      <c r="AE29" s="3" t="n"/>
      <c r="AF29" s="3" t="n"/>
      <c r="AG29" s="3" t="inlineStr">
        <is>
          <t>1</t>
        </is>
      </c>
      <c r="AH29" s="3" t="n"/>
      <c r="AI29" s="3" t="n"/>
      <c r="AJ29" s="3" t="n"/>
      <c r="AK29" s="3" t="n"/>
      <c r="AL29" s="3" t="inlineStr">
        <is>
          <t>FINAL</t>
        </is>
      </c>
      <c r="AM29" s="3" t="n"/>
      <c r="AN29" s="3" t="n"/>
    </row>
    <row r="30">
      <c r="A30" s="3" t="inlineStr">
        <is>
          <t>P0029</t>
        </is>
      </c>
      <c r="B30" s="3" t="n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n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n"/>
      <c r="S30" s="3" t="n"/>
      <c r="T30" s="3" t="n"/>
      <c r="U30" s="3" t="n"/>
      <c r="V30" s="3" t="n"/>
      <c r="W30" s="3" t="n"/>
      <c r="X30" s="3" t="n"/>
      <c r="Y30" s="3" t="n"/>
      <c r="Z30" s="3" t="inlineStr">
        <is>
          <t>✓</t>
        </is>
      </c>
      <c r="AA30" s="3" t="n"/>
      <c r="AB30" s="3" t="inlineStr">
        <is>
          <t>1박</t>
        </is>
      </c>
      <c r="AC30" s="3" t="inlineStr">
        <is>
          <t>1</t>
        </is>
      </c>
      <c r="AD30" s="3" t="n"/>
      <c r="AE30" s="3" t="n"/>
      <c r="AF30" s="3" t="n"/>
      <c r="AG30" s="3" t="inlineStr">
        <is>
          <t>1</t>
        </is>
      </c>
      <c r="AH30" s="3" t="n"/>
      <c r="AI30" s="3" t="n"/>
      <c r="AJ30" s="3" t="n"/>
      <c r="AK30" s="3" t="n"/>
      <c r="AL30" s="3" t="inlineStr">
        <is>
          <t>FINAL</t>
        </is>
      </c>
      <c r="AM30" s="3" t="n"/>
      <c r="AN30" s="3" t="n"/>
    </row>
    <row r="31">
      <c r="A31" s="3" t="inlineStr">
        <is>
          <t>P0030</t>
        </is>
      </c>
      <c r="B31" s="3" t="n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n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n"/>
      <c r="S31" s="3" t="n"/>
      <c r="T31" s="3" t="n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n"/>
      <c r="AB31" s="3" t="inlineStr">
        <is>
          <t>6박</t>
        </is>
      </c>
      <c r="AC31" s="3" t="inlineStr">
        <is>
          <t>1</t>
        </is>
      </c>
      <c r="AD31" s="3" t="n"/>
      <c r="AE31" s="3" t="n"/>
      <c r="AF31" s="3" t="n"/>
      <c r="AG31" s="3" t="inlineStr">
        <is>
          <t>1</t>
        </is>
      </c>
      <c r="AH31" s="3" t="n"/>
      <c r="AI31" s="3" t="n"/>
      <c r="AJ31" s="3" t="n"/>
      <c r="AK31" s="3" t="n"/>
      <c r="AL31" s="3" t="inlineStr">
        <is>
          <t>FINAL</t>
        </is>
      </c>
      <c r="AM31" s="3" t="n"/>
      <c r="AN31" s="3" t="n"/>
    </row>
    <row r="32">
      <c r="A32" s="3" t="inlineStr">
        <is>
          <t>P0031</t>
        </is>
      </c>
      <c r="B32" s="3" t="n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n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n"/>
      <c r="S32" s="3" t="n"/>
      <c r="T32" s="3" t="n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n"/>
      <c r="AB32" s="3" t="inlineStr">
        <is>
          <t>6박</t>
        </is>
      </c>
      <c r="AC32" s="3" t="inlineStr">
        <is>
          <t>1</t>
        </is>
      </c>
      <c r="AD32" s="3" t="n"/>
      <c r="AE32" s="3" t="n"/>
      <c r="AF32" s="3" t="n"/>
      <c r="AG32" s="3" t="inlineStr">
        <is>
          <t>1</t>
        </is>
      </c>
      <c r="AH32" s="3" t="n"/>
      <c r="AI32" s="3" t="n"/>
      <c r="AJ32" s="3" t="n"/>
      <c r="AK32" s="3" t="n"/>
      <c r="AL32" s="3" t="inlineStr">
        <is>
          <t>FINAL</t>
        </is>
      </c>
      <c r="AM32" s="3" t="n"/>
      <c r="AN32" s="3" t="n"/>
    </row>
    <row r="33">
      <c r="A33" s="3" t="inlineStr">
        <is>
          <t>P0032</t>
        </is>
      </c>
      <c r="B33" s="3" t="n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n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n"/>
      <c r="S33" s="3" t="n"/>
      <c r="T33" s="3" t="n"/>
      <c r="U33" s="3" t="n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n"/>
      <c r="AB33" s="3" t="inlineStr">
        <is>
          <t>5박</t>
        </is>
      </c>
      <c r="AC33" s="3" t="inlineStr">
        <is>
          <t>1</t>
        </is>
      </c>
      <c r="AD33" s="3" t="n"/>
      <c r="AE33" s="3" t="n"/>
      <c r="AF33" s="3" t="n"/>
      <c r="AG33" s="3" t="inlineStr">
        <is>
          <t>1</t>
        </is>
      </c>
      <c r="AH33" s="3" t="n"/>
      <c r="AI33" s="3" t="n"/>
      <c r="AJ33" s="3" t="n"/>
      <c r="AK33" s="3" t="n"/>
      <c r="AL33" s="3" t="inlineStr">
        <is>
          <t>FINAL</t>
        </is>
      </c>
      <c r="AM33" s="3" t="n"/>
      <c r="AN33" s="3" t="n"/>
    </row>
    <row r="34">
      <c r="A34" s="3" t="inlineStr">
        <is>
          <t>P0033</t>
        </is>
      </c>
      <c r="B34" s="3" t="n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n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n"/>
      <c r="S34" s="3" t="n"/>
      <c r="T34" s="3" t="n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n"/>
      <c r="AB34" s="3" t="inlineStr">
        <is>
          <t>6박</t>
        </is>
      </c>
      <c r="AC34" s="3" t="inlineStr">
        <is>
          <t>1</t>
        </is>
      </c>
      <c r="AD34" s="3" t="n"/>
      <c r="AE34" s="3" t="n"/>
      <c r="AF34" s="3" t="n"/>
      <c r="AG34" s="3" t="inlineStr">
        <is>
          <t>1</t>
        </is>
      </c>
      <c r="AH34" s="3" t="n"/>
      <c r="AI34" s="3" t="n"/>
      <c r="AJ34" s="3" t="n"/>
      <c r="AK34" s="3" t="n"/>
      <c r="AL34" s="3" t="inlineStr">
        <is>
          <t>FINAL</t>
        </is>
      </c>
      <c r="AM34" s="3" t="n"/>
      <c r="AN34" s="3" t="n"/>
    </row>
    <row r="35">
      <c r="A35" s="3" t="inlineStr">
        <is>
          <t>P0034</t>
        </is>
      </c>
      <c r="B35" s="3" t="n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n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n"/>
      <c r="S35" s="3" t="n"/>
      <c r="T35" s="3" t="n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n"/>
      <c r="AB35" s="3" t="inlineStr">
        <is>
          <t>6박</t>
        </is>
      </c>
      <c r="AC35" s="3" t="inlineStr">
        <is>
          <t>1</t>
        </is>
      </c>
      <c r="AD35" s="3" t="n"/>
      <c r="AE35" s="3" t="n"/>
      <c r="AF35" s="3" t="n"/>
      <c r="AG35" s="3" t="inlineStr">
        <is>
          <t>1</t>
        </is>
      </c>
      <c r="AH35" s="3" t="n"/>
      <c r="AI35" s="3" t="n"/>
      <c r="AJ35" s="3" t="n"/>
      <c r="AK35" s="3" t="n"/>
      <c r="AL35" s="3" t="inlineStr">
        <is>
          <t>FINAL</t>
        </is>
      </c>
      <c r="AM35" s="3" t="n"/>
      <c r="AN35" s="3" t="n"/>
    </row>
    <row r="36">
      <c r="A36" s="3" t="inlineStr">
        <is>
          <t>P0035</t>
        </is>
      </c>
      <c r="B36" s="3" t="n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n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n"/>
      <c r="S36" s="3" t="n"/>
      <c r="T36" s="3" t="n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n"/>
      <c r="AB36" s="3" t="inlineStr">
        <is>
          <t>6박</t>
        </is>
      </c>
      <c r="AC36" s="3" t="inlineStr">
        <is>
          <t>1</t>
        </is>
      </c>
      <c r="AD36" s="3" t="n"/>
      <c r="AE36" s="3" t="n"/>
      <c r="AF36" s="3" t="n"/>
      <c r="AG36" s="3" t="inlineStr">
        <is>
          <t>1</t>
        </is>
      </c>
      <c r="AH36" s="3" t="n"/>
      <c r="AI36" s="3" t="n"/>
      <c r="AJ36" s="3" t="n"/>
      <c r="AK36" s="3" t="n"/>
      <c r="AL36" s="3" t="inlineStr">
        <is>
          <t>FINAL</t>
        </is>
      </c>
      <c r="AM36" s="3" t="n"/>
      <c r="AN36" s="3" t="n"/>
    </row>
    <row r="37">
      <c r="A37" s="3" t="inlineStr">
        <is>
          <t>P0036</t>
        </is>
      </c>
      <c r="B37" s="3" t="n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n"/>
      <c r="S37" s="3" t="n"/>
      <c r="T37" s="3" t="n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n"/>
      <c r="AB37" s="3" t="inlineStr">
        <is>
          <t>6박</t>
        </is>
      </c>
      <c r="AC37" s="3" t="inlineStr">
        <is>
          <t>1</t>
        </is>
      </c>
      <c r="AD37" s="3" t="n"/>
      <c r="AE37" s="3" t="n"/>
      <c r="AF37" s="3" t="n"/>
      <c r="AG37" s="3" t="inlineStr">
        <is>
          <t>1</t>
        </is>
      </c>
      <c r="AH37" s="3" t="n"/>
      <c r="AI37" s="3" t="n"/>
      <c r="AJ37" s="3" t="n"/>
      <c r="AK37" s="3" t="n"/>
      <c r="AL37" s="3" t="inlineStr">
        <is>
          <t>FINAL</t>
        </is>
      </c>
      <c r="AM37" s="3" t="inlineStr">
        <is>
          <t>한글이름 확인</t>
        </is>
      </c>
      <c r="AN37" s="3" t="n"/>
    </row>
    <row r="38">
      <c r="A38" s="3" t="inlineStr">
        <is>
          <t>P0037</t>
        </is>
      </c>
      <c r="B38" s="3" t="n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n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n"/>
      <c r="S38" s="3" t="n"/>
      <c r="T38" s="3" t="n"/>
      <c r="U38" s="3" t="n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n"/>
      <c r="AB38" s="3" t="inlineStr">
        <is>
          <t>5박</t>
        </is>
      </c>
      <c r="AC38" s="3" t="inlineStr">
        <is>
          <t>1</t>
        </is>
      </c>
      <c r="AD38" s="3" t="n"/>
      <c r="AE38" s="3" t="n"/>
      <c r="AF38" s="3" t="n"/>
      <c r="AG38" s="3" t="inlineStr">
        <is>
          <t>1</t>
        </is>
      </c>
      <c r="AH38" s="3" t="n"/>
      <c r="AI38" s="3" t="n"/>
      <c r="AJ38" s="3" t="n"/>
      <c r="AK38" s="3" t="n"/>
      <c r="AL38" s="3" t="inlineStr">
        <is>
          <t>FINAL</t>
        </is>
      </c>
      <c r="AM38" s="3" t="n"/>
      <c r="AN38" s="3" t="n"/>
    </row>
    <row r="39">
      <c r="A39" s="3" t="inlineStr">
        <is>
          <t>P0038</t>
        </is>
      </c>
      <c r="B39" s="3" t="n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n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n"/>
      <c r="S39" s="3" t="n"/>
      <c r="T39" s="3" t="n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n"/>
      <c r="AB39" s="3" t="inlineStr">
        <is>
          <t>6박</t>
        </is>
      </c>
      <c r="AC39" s="3" t="inlineStr">
        <is>
          <t>1</t>
        </is>
      </c>
      <c r="AD39" s="3" t="n"/>
      <c r="AE39" s="3" t="n"/>
      <c r="AF39" s="3" t="n"/>
      <c r="AG39" s="3" t="inlineStr">
        <is>
          <t>1</t>
        </is>
      </c>
      <c r="AH39" s="3" t="n"/>
      <c r="AI39" s="3" t="n"/>
      <c r="AJ39" s="3" t="n"/>
      <c r="AK39" s="3" t="n"/>
      <c r="AL39" s="3" t="inlineStr">
        <is>
          <t>FINAL</t>
        </is>
      </c>
      <c r="AM39" s="3" t="n"/>
      <c r="AN39" s="3" t="n"/>
    </row>
    <row r="40">
      <c r="A40" s="3" t="inlineStr">
        <is>
          <t>P0039</t>
        </is>
      </c>
      <c r="B40" s="3" t="n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n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n"/>
      <c r="S40" s="3" t="n"/>
      <c r="T40" s="3" t="n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n"/>
      <c r="AA40" s="3" t="n"/>
      <c r="AB40" s="3" t="inlineStr">
        <is>
          <t>5박</t>
        </is>
      </c>
      <c r="AC40" s="3" t="inlineStr">
        <is>
          <t>1</t>
        </is>
      </c>
      <c r="AD40" s="3" t="n"/>
      <c r="AE40" s="3" t="n"/>
      <c r="AF40" s="3" t="n"/>
      <c r="AG40" s="3" t="inlineStr">
        <is>
          <t>1</t>
        </is>
      </c>
      <c r="AH40" s="3" t="n"/>
      <c r="AI40" s="3" t="n"/>
      <c r="AJ40" s="3" t="n"/>
      <c r="AK40" s="3" t="n"/>
      <c r="AL40" s="3" t="inlineStr">
        <is>
          <t>FINAL</t>
        </is>
      </c>
      <c r="AM40" s="3" t="n"/>
      <c r="AN40" s="3" t="n"/>
    </row>
    <row r="41">
      <c r="A41" s="3" t="inlineStr">
        <is>
          <t>P0040</t>
        </is>
      </c>
      <c r="B41" s="3" t="n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n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n"/>
      <c r="S41" s="3" t="n"/>
      <c r="T41" s="3" t="n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n"/>
      <c r="AB41" s="3" t="inlineStr">
        <is>
          <t>6박</t>
        </is>
      </c>
      <c r="AC41" s="3" t="inlineStr">
        <is>
          <t>1</t>
        </is>
      </c>
      <c r="AD41" s="3" t="n"/>
      <c r="AE41" s="3" t="n"/>
      <c r="AF41" s="3" t="n"/>
      <c r="AG41" s="3" t="inlineStr">
        <is>
          <t>1</t>
        </is>
      </c>
      <c r="AH41" s="3" t="n"/>
      <c r="AI41" s="3" t="n"/>
      <c r="AJ41" s="3" t="n"/>
      <c r="AK41" s="3" t="n"/>
      <c r="AL41" s="3" t="inlineStr">
        <is>
          <t>FINAL</t>
        </is>
      </c>
      <c r="AM41" s="3" t="n"/>
      <c r="AN41" s="3" t="n"/>
    </row>
    <row r="42">
      <c r="A42" s="3" t="inlineStr">
        <is>
          <t>P0041</t>
        </is>
      </c>
      <c r="B42" s="3" t="n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n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n"/>
      <c r="S42" s="3" t="n"/>
      <c r="T42" s="3" t="n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n"/>
      <c r="AB42" s="3" t="inlineStr">
        <is>
          <t>6박</t>
        </is>
      </c>
      <c r="AC42" s="3" t="inlineStr">
        <is>
          <t>1</t>
        </is>
      </c>
      <c r="AD42" s="3" t="n"/>
      <c r="AE42" s="3" t="n"/>
      <c r="AF42" s="3" t="n"/>
      <c r="AG42" s="3" t="inlineStr">
        <is>
          <t>1</t>
        </is>
      </c>
      <c r="AH42" s="3" t="n"/>
      <c r="AI42" s="3" t="n"/>
      <c r="AJ42" s="3" t="n"/>
      <c r="AK42" s="3" t="n"/>
      <c r="AL42" s="3" t="inlineStr">
        <is>
          <t>FINAL</t>
        </is>
      </c>
      <c r="AM42" s="3" t="n"/>
      <c r="AN42" s="3" t="n"/>
    </row>
    <row r="43">
      <c r="A43" s="3" t="inlineStr">
        <is>
          <t>P0042</t>
        </is>
      </c>
      <c r="B43" s="3" t="n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n"/>
      <c r="S43" s="3" t="n"/>
      <c r="T43" s="3" t="n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n"/>
      <c r="AB43" s="3" t="inlineStr">
        <is>
          <t>6박</t>
        </is>
      </c>
      <c r="AC43" s="3" t="inlineStr">
        <is>
          <t>1</t>
        </is>
      </c>
      <c r="AD43" s="3" t="n"/>
      <c r="AE43" s="3" t="n"/>
      <c r="AF43" s="3" t="n"/>
      <c r="AG43" s="3" t="inlineStr">
        <is>
          <t>1</t>
        </is>
      </c>
      <c r="AH43" s="3" t="n"/>
      <c r="AI43" s="3" t="n"/>
      <c r="AJ43" s="3" t="n"/>
      <c r="AK43" s="3" t="n"/>
      <c r="AL43" s="3" t="inlineStr">
        <is>
          <t>FINAL</t>
        </is>
      </c>
      <c r="AM43" s="3" t="inlineStr">
        <is>
          <t>한글이름 확인</t>
        </is>
      </c>
      <c r="AN43" s="3" t="n"/>
    </row>
    <row r="44">
      <c r="A44" s="3" t="inlineStr">
        <is>
          <t>P0043</t>
        </is>
      </c>
      <c r="B44" s="3" t="n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n"/>
      <c r="S44" s="3" t="n"/>
      <c r="T44" s="3" t="n"/>
      <c r="U44" s="3" t="n"/>
      <c r="V44" s="3" t="n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n"/>
      <c r="AB44" s="3" t="inlineStr">
        <is>
          <t>4박</t>
        </is>
      </c>
      <c r="AC44" s="3" t="inlineStr">
        <is>
          <t>1</t>
        </is>
      </c>
      <c r="AD44" s="3" t="n"/>
      <c r="AE44" s="3" t="n"/>
      <c r="AF44" s="3" t="n"/>
      <c r="AG44" s="3" t="inlineStr">
        <is>
          <t>1</t>
        </is>
      </c>
      <c r="AH44" s="3" t="n"/>
      <c r="AI44" s="3" t="n"/>
      <c r="AJ44" s="3" t="n"/>
      <c r="AK44" s="3" t="n"/>
      <c r="AL44" s="3" t="inlineStr">
        <is>
          <t>FINAL</t>
        </is>
      </c>
      <c r="AM44" s="3" t="n"/>
      <c r="AN44" s="3" t="n"/>
    </row>
    <row r="45">
      <c r="A45" s="3" t="inlineStr">
        <is>
          <t>P0044</t>
        </is>
      </c>
      <c r="B45" s="3" t="n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n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n"/>
      <c r="S45" s="3" t="n"/>
      <c r="T45" s="3" t="n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n"/>
      <c r="AB45" s="3" t="inlineStr">
        <is>
          <t>6박</t>
        </is>
      </c>
      <c r="AC45" s="3" t="inlineStr">
        <is>
          <t>1</t>
        </is>
      </c>
      <c r="AD45" s="3" t="n"/>
      <c r="AE45" s="3" t="n"/>
      <c r="AF45" s="3" t="n"/>
      <c r="AG45" s="3" t="inlineStr">
        <is>
          <t>1</t>
        </is>
      </c>
      <c r="AH45" s="3" t="n"/>
      <c r="AI45" s="3" t="n"/>
      <c r="AJ45" s="3" t="n"/>
      <c r="AK45" s="3" t="n"/>
      <c r="AL45" s="3" t="inlineStr">
        <is>
          <t>FINAL</t>
        </is>
      </c>
      <c r="AM45" s="3" t="n"/>
      <c r="AN45" s="3" t="n"/>
    </row>
    <row r="46">
      <c r="A46" s="3" t="inlineStr">
        <is>
          <t>P0045</t>
        </is>
      </c>
      <c r="B46" s="3" t="n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n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n"/>
      <c r="S46" s="3" t="n"/>
      <c r="T46" s="3" t="n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n"/>
      <c r="AB46" s="3" t="inlineStr">
        <is>
          <t>6박</t>
        </is>
      </c>
      <c r="AC46" s="3" t="inlineStr">
        <is>
          <t>1</t>
        </is>
      </c>
      <c r="AD46" s="3" t="n"/>
      <c r="AE46" s="3" t="n"/>
      <c r="AF46" s="3" t="n"/>
      <c r="AG46" s="3" t="inlineStr">
        <is>
          <t>1</t>
        </is>
      </c>
      <c r="AH46" s="3" t="n"/>
      <c r="AI46" s="3" t="n"/>
      <c r="AJ46" s="3" t="n"/>
      <c r="AK46" s="3" t="n"/>
      <c r="AL46" s="3" t="inlineStr">
        <is>
          <t>FINAL</t>
        </is>
      </c>
      <c r="AM46" s="3" t="n"/>
      <c r="AN46" s="3" t="n"/>
    </row>
    <row r="47">
      <c r="A47" s="3" t="inlineStr">
        <is>
          <t>P0046</t>
        </is>
      </c>
      <c r="B47" s="3" t="n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n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n"/>
      <c r="S47" s="3" t="n"/>
      <c r="T47" s="3" t="n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n"/>
      <c r="AB47" s="3" t="inlineStr">
        <is>
          <t>6박</t>
        </is>
      </c>
      <c r="AC47" s="3" t="inlineStr">
        <is>
          <t>1</t>
        </is>
      </c>
      <c r="AD47" s="3" t="n"/>
      <c r="AE47" s="3" t="n"/>
      <c r="AF47" s="3" t="n"/>
      <c r="AG47" s="3" t="inlineStr">
        <is>
          <t>1</t>
        </is>
      </c>
      <c r="AH47" s="3" t="n"/>
      <c r="AI47" s="3" t="n"/>
      <c r="AJ47" s="3" t="n"/>
      <c r="AK47" s="3" t="n"/>
      <c r="AL47" s="3" t="inlineStr">
        <is>
          <t>FINAL</t>
        </is>
      </c>
      <c r="AM47" s="3" t="n"/>
      <c r="AN47" s="3" t="n"/>
    </row>
    <row r="48">
      <c r="A48" s="3" t="inlineStr">
        <is>
          <t>P0047</t>
        </is>
      </c>
      <c r="B48" s="3" t="n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n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n"/>
      <c r="S48" s="3" t="n"/>
      <c r="T48" s="3" t="n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n"/>
      <c r="AB48" s="3" t="inlineStr">
        <is>
          <t>6박</t>
        </is>
      </c>
      <c r="AC48" s="3" t="inlineStr">
        <is>
          <t>1</t>
        </is>
      </c>
      <c r="AD48" s="3" t="n"/>
      <c r="AE48" s="3" t="n"/>
      <c r="AF48" s="3" t="n"/>
      <c r="AG48" s="3" t="inlineStr">
        <is>
          <t>1</t>
        </is>
      </c>
      <c r="AH48" s="3" t="n"/>
      <c r="AI48" s="3" t="n"/>
      <c r="AJ48" s="3" t="n"/>
      <c r="AK48" s="3" t="n"/>
      <c r="AL48" s="3" t="inlineStr">
        <is>
          <t>FINAL</t>
        </is>
      </c>
      <c r="AM48" s="3" t="n"/>
      <c r="AN48" s="3" t="n"/>
    </row>
    <row r="49">
      <c r="A49" s="3" t="inlineStr">
        <is>
          <t>P0048</t>
        </is>
      </c>
      <c r="B49" s="3" t="n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n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n"/>
      <c r="S49" s="3" t="n"/>
      <c r="T49" s="3" t="n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n"/>
      <c r="AB49" s="3" t="inlineStr">
        <is>
          <t>6박</t>
        </is>
      </c>
      <c r="AC49" s="3" t="inlineStr">
        <is>
          <t>1</t>
        </is>
      </c>
      <c r="AD49" s="3" t="n"/>
      <c r="AE49" s="3" t="n"/>
      <c r="AF49" s="3" t="n"/>
      <c r="AG49" s="3" t="inlineStr">
        <is>
          <t>1</t>
        </is>
      </c>
      <c r="AH49" s="3" t="n"/>
      <c r="AI49" s="3" t="n"/>
      <c r="AJ49" s="3" t="n"/>
      <c r="AK49" s="3" t="n"/>
      <c r="AL49" s="3" t="inlineStr">
        <is>
          <t>FINAL</t>
        </is>
      </c>
      <c r="AM49" s="3" t="n"/>
      <c r="AN49" s="3" t="n"/>
    </row>
    <row r="50">
      <c r="A50" s="3" t="inlineStr">
        <is>
          <t>P0049</t>
        </is>
      </c>
      <c r="B50" s="3" t="n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n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n"/>
      <c r="S50" s="3" t="n"/>
      <c r="T50" s="3" t="n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n"/>
      <c r="AB50" s="3" t="inlineStr">
        <is>
          <t>6박</t>
        </is>
      </c>
      <c r="AC50" s="3" t="inlineStr">
        <is>
          <t>1</t>
        </is>
      </c>
      <c r="AD50" s="3" t="n"/>
      <c r="AE50" s="3" t="n"/>
      <c r="AF50" s="3" t="n"/>
      <c r="AG50" s="3" t="inlineStr">
        <is>
          <t>1</t>
        </is>
      </c>
      <c r="AH50" s="3" t="n"/>
      <c r="AI50" s="3" t="n"/>
      <c r="AJ50" s="3" t="n"/>
      <c r="AK50" s="3" t="n"/>
      <c r="AL50" s="3" t="inlineStr">
        <is>
          <t>FINAL</t>
        </is>
      </c>
      <c r="AM50" s="3" t="n"/>
      <c r="AN50" s="3" t="n"/>
    </row>
    <row r="51">
      <c r="A51" s="3" t="inlineStr">
        <is>
          <t>P0050</t>
        </is>
      </c>
      <c r="B51" s="3" t="n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n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n"/>
      <c r="S51" s="3" t="n"/>
      <c r="T51" s="3" t="n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n"/>
      <c r="AB51" s="3" t="inlineStr">
        <is>
          <t>6박</t>
        </is>
      </c>
      <c r="AC51" s="3" t="inlineStr">
        <is>
          <t>1</t>
        </is>
      </c>
      <c r="AD51" s="3" t="n"/>
      <c r="AE51" s="3" t="n"/>
      <c r="AF51" s="3" t="n"/>
      <c r="AG51" s="3" t="inlineStr">
        <is>
          <t>1</t>
        </is>
      </c>
      <c r="AH51" s="3" t="n"/>
      <c r="AI51" s="3" t="n"/>
      <c r="AJ51" s="3" t="n"/>
      <c r="AK51" s="3" t="n"/>
      <c r="AL51" s="3" t="inlineStr">
        <is>
          <t>FINAL</t>
        </is>
      </c>
      <c r="AM51" s="3" t="n"/>
      <c r="AN51" s="3" t="n"/>
    </row>
    <row r="52">
      <c r="A52" s="3" t="inlineStr">
        <is>
          <t>P0051</t>
        </is>
      </c>
      <c r="B52" s="3" t="n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n"/>
      <c r="S52" s="3" t="n"/>
      <c r="T52" s="3" t="n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n"/>
      <c r="AB52" s="3" t="inlineStr">
        <is>
          <t>6박</t>
        </is>
      </c>
      <c r="AC52" s="3" t="inlineStr">
        <is>
          <t>1</t>
        </is>
      </c>
      <c r="AD52" s="3" t="n"/>
      <c r="AE52" s="3" t="n"/>
      <c r="AF52" s="3" t="n"/>
      <c r="AG52" s="3" t="inlineStr">
        <is>
          <t>1</t>
        </is>
      </c>
      <c r="AH52" s="3" t="n"/>
      <c r="AI52" s="3" t="n"/>
      <c r="AJ52" s="3" t="n"/>
      <c r="AK52" s="3" t="n"/>
      <c r="AL52" s="3" t="inlineStr">
        <is>
          <t>FINAL</t>
        </is>
      </c>
      <c r="AM52" s="3" t="n"/>
      <c r="AN52" s="3" t="n"/>
    </row>
    <row r="53">
      <c r="A53" s="3" t="inlineStr">
        <is>
          <t>P0052</t>
        </is>
      </c>
      <c r="B53" s="3" t="n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n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n"/>
      <c r="S53" s="3" t="n"/>
      <c r="T53" s="3" t="n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n"/>
      <c r="AB53" s="3" t="inlineStr">
        <is>
          <t>6박</t>
        </is>
      </c>
      <c r="AC53" s="3" t="inlineStr">
        <is>
          <t>1</t>
        </is>
      </c>
      <c r="AD53" s="3" t="n"/>
      <c r="AE53" s="3" t="n"/>
      <c r="AF53" s="3" t="n"/>
      <c r="AG53" s="3" t="inlineStr">
        <is>
          <t>1</t>
        </is>
      </c>
      <c r="AH53" s="3" t="n"/>
      <c r="AI53" s="3" t="n"/>
      <c r="AJ53" s="3" t="n"/>
      <c r="AK53" s="3" t="n"/>
      <c r="AL53" s="3" t="inlineStr">
        <is>
          <t>FINAL</t>
        </is>
      </c>
      <c r="AM53" s="3" t="n"/>
      <c r="AN53" s="3" t="n"/>
    </row>
    <row r="54">
      <c r="A54" s="3" t="inlineStr">
        <is>
          <t>P0053</t>
        </is>
      </c>
      <c r="B54" s="3" t="n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n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n"/>
      <c r="S54" s="3" t="n"/>
      <c r="T54" s="3" t="n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n"/>
      <c r="AB54" s="3" t="inlineStr">
        <is>
          <t>6박</t>
        </is>
      </c>
      <c r="AC54" s="3" t="inlineStr">
        <is>
          <t>1</t>
        </is>
      </c>
      <c r="AD54" s="3" t="n"/>
      <c r="AE54" s="3" t="n"/>
      <c r="AF54" s="3" t="n"/>
      <c r="AG54" s="3" t="inlineStr">
        <is>
          <t>1</t>
        </is>
      </c>
      <c r="AH54" s="3" t="n"/>
      <c r="AI54" s="3" t="n"/>
      <c r="AJ54" s="3" t="n"/>
      <c r="AK54" s="3" t="n"/>
      <c r="AL54" s="3" t="inlineStr">
        <is>
          <t>FINAL</t>
        </is>
      </c>
      <c r="AM54" s="3" t="n"/>
      <c r="AN54" s="3" t="n"/>
    </row>
    <row r="55">
      <c r="A55" s="3" t="inlineStr">
        <is>
          <t>P0054</t>
        </is>
      </c>
      <c r="B55" s="3" t="n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n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n"/>
      <c r="S55" s="3" t="n"/>
      <c r="T55" s="3" t="n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n"/>
      <c r="AB55" s="3" t="inlineStr">
        <is>
          <t>6박</t>
        </is>
      </c>
      <c r="AC55" s="3" t="inlineStr">
        <is>
          <t>1</t>
        </is>
      </c>
      <c r="AD55" s="3" t="n"/>
      <c r="AE55" s="3" t="n"/>
      <c r="AF55" s="3" t="n"/>
      <c r="AG55" s="3" t="inlineStr">
        <is>
          <t>1</t>
        </is>
      </c>
      <c r="AH55" s="3" t="n"/>
      <c r="AI55" s="3" t="n"/>
      <c r="AJ55" s="3" t="n"/>
      <c r="AK55" s="3" t="n"/>
      <c r="AL55" s="3" t="inlineStr">
        <is>
          <t>FINAL</t>
        </is>
      </c>
      <c r="AM55" s="3" t="n"/>
      <c r="AN55" s="3" t="n"/>
    </row>
    <row r="56">
      <c r="A56" s="3" t="inlineStr">
        <is>
          <t>P0055</t>
        </is>
      </c>
      <c r="B56" s="3" t="n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n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n"/>
      <c r="S56" s="3" t="n"/>
      <c r="T56" s="3" t="n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n"/>
      <c r="AB56" s="3" t="inlineStr">
        <is>
          <t>6박</t>
        </is>
      </c>
      <c r="AC56" s="3" t="inlineStr">
        <is>
          <t>1</t>
        </is>
      </c>
      <c r="AD56" s="3" t="n"/>
      <c r="AE56" s="3" t="n"/>
      <c r="AF56" s="3" t="n"/>
      <c r="AG56" s="3" t="inlineStr">
        <is>
          <t>1</t>
        </is>
      </c>
      <c r="AH56" s="3" t="n"/>
      <c r="AI56" s="3" t="n"/>
      <c r="AJ56" s="3" t="n"/>
      <c r="AK56" s="3" t="n"/>
      <c r="AL56" s="3" t="inlineStr">
        <is>
          <t>FINAL</t>
        </is>
      </c>
      <c r="AM56" s="3" t="n"/>
      <c r="AN56" s="3" t="n"/>
    </row>
    <row r="57">
      <c r="A57" s="3" t="inlineStr">
        <is>
          <t>P0056</t>
        </is>
      </c>
      <c r="B57" s="3" t="n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n"/>
      <c r="S57" s="3" t="n"/>
      <c r="T57" s="3" t="n"/>
      <c r="U57" s="3" t="n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n"/>
      <c r="AB57" s="3" t="inlineStr">
        <is>
          <t>5박</t>
        </is>
      </c>
      <c r="AC57" s="3" t="inlineStr">
        <is>
          <t>1</t>
        </is>
      </c>
      <c r="AD57" s="3" t="n"/>
      <c r="AE57" s="3" t="n"/>
      <c r="AF57" s="3" t="n"/>
      <c r="AG57" s="3" t="inlineStr">
        <is>
          <t>1</t>
        </is>
      </c>
      <c r="AH57" s="3" t="n"/>
      <c r="AI57" s="3" t="n"/>
      <c r="AJ57" s="3" t="n"/>
      <c r="AK57" s="3" t="n"/>
      <c r="AL57" s="3" t="inlineStr">
        <is>
          <t>FINAL</t>
        </is>
      </c>
      <c r="AM57" s="3" t="inlineStr">
        <is>
          <t>한글이름 확인</t>
        </is>
      </c>
      <c r="AN57" s="3" t="n"/>
    </row>
    <row r="58">
      <c r="A58" s="3" t="inlineStr">
        <is>
          <t>P0057</t>
        </is>
      </c>
      <c r="B58" s="3" t="n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n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n"/>
      <c r="S58" s="3" t="n"/>
      <c r="T58" s="3" t="n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n"/>
      <c r="AB58" s="3" t="inlineStr">
        <is>
          <t>6박</t>
        </is>
      </c>
      <c r="AC58" s="3" t="inlineStr">
        <is>
          <t>1</t>
        </is>
      </c>
      <c r="AD58" s="3" t="n"/>
      <c r="AE58" s="3" t="n"/>
      <c r="AF58" s="3" t="n"/>
      <c r="AG58" s="3" t="inlineStr">
        <is>
          <t>1</t>
        </is>
      </c>
      <c r="AH58" s="3" t="n"/>
      <c r="AI58" s="3" t="n"/>
      <c r="AJ58" s="3" t="n"/>
      <c r="AK58" s="3" t="n"/>
      <c r="AL58" s="3" t="inlineStr">
        <is>
          <t>FINAL</t>
        </is>
      </c>
      <c r="AM58" s="3" t="n"/>
      <c r="AN58" s="3" t="n"/>
    </row>
    <row r="59">
      <c r="A59" s="3" t="inlineStr">
        <is>
          <t>P0058</t>
        </is>
      </c>
      <c r="B59" s="3" t="n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n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n"/>
      <c r="S59" s="3" t="n"/>
      <c r="T59" s="3" t="n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n"/>
      <c r="AB59" s="3" t="inlineStr">
        <is>
          <t>6박</t>
        </is>
      </c>
      <c r="AC59" s="3" t="inlineStr">
        <is>
          <t>1</t>
        </is>
      </c>
      <c r="AD59" s="3" t="n"/>
      <c r="AE59" s="3" t="n"/>
      <c r="AF59" s="3" t="n"/>
      <c r="AG59" s="3" t="inlineStr">
        <is>
          <t>1</t>
        </is>
      </c>
      <c r="AH59" s="3" t="n"/>
      <c r="AI59" s="3" t="n"/>
      <c r="AJ59" s="3" t="n"/>
      <c r="AK59" s="3" t="n"/>
      <c r="AL59" s="3" t="inlineStr">
        <is>
          <t>FINAL</t>
        </is>
      </c>
      <c r="AM59" s="3" t="n"/>
      <c r="AN59" s="3" t="n"/>
    </row>
    <row r="60">
      <c r="A60" s="3" t="inlineStr">
        <is>
          <t>P0059</t>
        </is>
      </c>
      <c r="B60" s="3" t="n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n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n"/>
      <c r="S60" s="3" t="n"/>
      <c r="T60" s="3" t="n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n"/>
      <c r="AB60" s="3" t="inlineStr">
        <is>
          <t>6박</t>
        </is>
      </c>
      <c r="AC60" s="3" t="inlineStr">
        <is>
          <t>1</t>
        </is>
      </c>
      <c r="AD60" s="3" t="n"/>
      <c r="AE60" s="3" t="n"/>
      <c r="AF60" s="3" t="n"/>
      <c r="AG60" s="3" t="inlineStr">
        <is>
          <t>1</t>
        </is>
      </c>
      <c r="AH60" s="3" t="n"/>
      <c r="AI60" s="3" t="n"/>
      <c r="AJ60" s="3" t="n"/>
      <c r="AK60" s="3" t="n"/>
      <c r="AL60" s="3" t="inlineStr">
        <is>
          <t>FINAL</t>
        </is>
      </c>
      <c r="AM60" s="3" t="n"/>
      <c r="AN60" s="3" t="n"/>
    </row>
    <row r="61">
      <c r="A61" s="3" t="inlineStr">
        <is>
          <t>P0060</t>
        </is>
      </c>
      <c r="B61" s="3" t="n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n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n"/>
      <c r="S61" s="3" t="n"/>
      <c r="T61" s="3" t="n"/>
      <c r="U61" s="3" t="n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n"/>
      <c r="AB61" s="3" t="inlineStr">
        <is>
          <t>5박</t>
        </is>
      </c>
      <c r="AC61" s="3" t="inlineStr">
        <is>
          <t>1</t>
        </is>
      </c>
      <c r="AD61" s="3" t="n"/>
      <c r="AE61" s="3" t="n"/>
      <c r="AF61" s="3" t="n"/>
      <c r="AG61" s="3" t="inlineStr">
        <is>
          <t>1</t>
        </is>
      </c>
      <c r="AH61" s="3" t="n"/>
      <c r="AI61" s="3" t="n"/>
      <c r="AJ61" s="3" t="n"/>
      <c r="AK61" s="3" t="n"/>
      <c r="AL61" s="3" t="inlineStr">
        <is>
          <t>FINAL</t>
        </is>
      </c>
      <c r="AM61" s="3" t="n"/>
      <c r="AN61" s="3" t="n"/>
    </row>
    <row r="62">
      <c r="A62" s="3" t="inlineStr">
        <is>
          <t>P0061</t>
        </is>
      </c>
      <c r="B62" s="3" t="n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n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n"/>
      <c r="S62" s="3" t="n"/>
      <c r="T62" s="3" t="n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n"/>
      <c r="AB62" s="3" t="inlineStr">
        <is>
          <t>6박</t>
        </is>
      </c>
      <c r="AC62" s="3" t="inlineStr">
        <is>
          <t>1</t>
        </is>
      </c>
      <c r="AD62" s="3" t="n"/>
      <c r="AE62" s="3" t="n"/>
      <c r="AF62" s="3" t="n"/>
      <c r="AG62" s="3" t="inlineStr">
        <is>
          <t>1</t>
        </is>
      </c>
      <c r="AH62" s="3" t="n"/>
      <c r="AI62" s="3" t="n"/>
      <c r="AJ62" s="3" t="n"/>
      <c r="AK62" s="3" t="n"/>
      <c r="AL62" s="3" t="inlineStr">
        <is>
          <t>FINAL</t>
        </is>
      </c>
      <c r="AM62" s="3" t="n"/>
      <c r="AN62" s="3" t="n"/>
    </row>
    <row r="63">
      <c r="A63" s="3" t="inlineStr">
        <is>
          <t>P0062</t>
        </is>
      </c>
      <c r="B63" s="3" t="n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n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n"/>
      <c r="S63" s="3" t="n"/>
      <c r="T63" s="3" t="n"/>
      <c r="U63" s="3" t="n"/>
      <c r="V63" s="3" t="n"/>
      <c r="W63" s="3" t="n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n"/>
      <c r="AB63" s="3" t="inlineStr">
        <is>
          <t>3박</t>
        </is>
      </c>
      <c r="AC63" s="3" t="inlineStr">
        <is>
          <t>1</t>
        </is>
      </c>
      <c r="AD63" s="3" t="n"/>
      <c r="AE63" s="3" t="n"/>
      <c r="AF63" s="3" t="n"/>
      <c r="AG63" s="3" t="inlineStr">
        <is>
          <t>1</t>
        </is>
      </c>
      <c r="AH63" s="3" t="n"/>
      <c r="AI63" s="3" t="n"/>
      <c r="AJ63" s="3" t="n"/>
      <c r="AK63" s="3" t="n"/>
      <c r="AL63" s="3" t="inlineStr">
        <is>
          <t>FINAL</t>
        </is>
      </c>
      <c r="AM63" s="3" t="n"/>
      <c r="AN63" s="3" t="n"/>
    </row>
    <row r="64">
      <c r="A64" s="3" t="inlineStr">
        <is>
          <t>P0063</t>
        </is>
      </c>
      <c r="B64" s="3" t="n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n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n"/>
      <c r="S64" s="3" t="n"/>
      <c r="T64" s="3" t="n"/>
      <c r="U64" s="3" t="n"/>
      <c r="V64" s="3" t="n"/>
      <c r="W64" s="3" t="n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n"/>
      <c r="AB64" s="3" t="inlineStr">
        <is>
          <t>3박</t>
        </is>
      </c>
      <c r="AC64" s="3" t="inlineStr">
        <is>
          <t>1</t>
        </is>
      </c>
      <c r="AD64" s="3" t="n"/>
      <c r="AE64" s="3" t="n"/>
      <c r="AF64" s="3" t="n"/>
      <c r="AG64" s="3" t="inlineStr">
        <is>
          <t>1</t>
        </is>
      </c>
      <c r="AH64" s="3" t="n"/>
      <c r="AI64" s="3" t="n"/>
      <c r="AJ64" s="3" t="n"/>
      <c r="AK64" s="3" t="n"/>
      <c r="AL64" s="3" t="inlineStr">
        <is>
          <t>FINAL</t>
        </is>
      </c>
      <c r="AM64" s="3" t="n"/>
      <c r="AN64" s="3" t="n"/>
    </row>
    <row r="65">
      <c r="A65" s="3" t="inlineStr">
        <is>
          <t>P0064</t>
        </is>
      </c>
      <c r="B65" s="3" t="n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n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n"/>
      <c r="S65" s="3" t="n"/>
      <c r="T65" s="3" t="n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n"/>
      <c r="AB65" s="3" t="inlineStr">
        <is>
          <t>6박</t>
        </is>
      </c>
      <c r="AC65" s="3" t="inlineStr">
        <is>
          <t>1</t>
        </is>
      </c>
      <c r="AD65" s="3" t="n"/>
      <c r="AE65" s="3" t="n"/>
      <c r="AF65" s="3" t="n"/>
      <c r="AG65" s="3" t="inlineStr">
        <is>
          <t>1</t>
        </is>
      </c>
      <c r="AH65" s="3" t="n"/>
      <c r="AI65" s="3" t="n"/>
      <c r="AJ65" s="3" t="n"/>
      <c r="AK65" s="3" t="n"/>
      <c r="AL65" s="3" t="inlineStr">
        <is>
          <t>FINAL</t>
        </is>
      </c>
      <c r="AM65" s="3" t="n"/>
      <c r="AN65" s="3" t="n"/>
    </row>
    <row r="66">
      <c r="A66" s="3" t="inlineStr">
        <is>
          <t>P0065</t>
        </is>
      </c>
      <c r="B66" s="3" t="n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n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n"/>
      <c r="S66" s="3" t="n"/>
      <c r="T66" s="3" t="n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n"/>
      <c r="AB66" s="3" t="inlineStr">
        <is>
          <t>6박</t>
        </is>
      </c>
      <c r="AC66" s="3" t="inlineStr">
        <is>
          <t>1</t>
        </is>
      </c>
      <c r="AD66" s="3" t="n"/>
      <c r="AE66" s="3" t="n"/>
      <c r="AF66" s="3" t="n"/>
      <c r="AG66" s="3" t="inlineStr">
        <is>
          <t>1</t>
        </is>
      </c>
      <c r="AH66" s="3" t="n"/>
      <c r="AI66" s="3" t="n"/>
      <c r="AJ66" s="3" t="n"/>
      <c r="AK66" s="3" t="n"/>
      <c r="AL66" s="3" t="inlineStr">
        <is>
          <t>FINAL</t>
        </is>
      </c>
      <c r="AM66" s="3" t="n"/>
      <c r="AN66" s="3" t="n"/>
    </row>
    <row r="67">
      <c r="A67" s="3" t="inlineStr">
        <is>
          <t>P0066</t>
        </is>
      </c>
      <c r="B67" s="3" t="n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n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n"/>
      <c r="S67" s="3" t="n"/>
      <c r="T67" s="3" t="n"/>
      <c r="U67" s="3" t="n"/>
      <c r="V67" s="3" t="inlineStr">
        <is>
          <t>✓</t>
        </is>
      </c>
      <c r="W67" s="3" t="n"/>
      <c r="X67" s="3" t="n"/>
      <c r="Y67" s="3" t="n"/>
      <c r="Z67" s="3" t="n"/>
      <c r="AA67" s="3" t="n"/>
      <c r="AB67" s="3" t="inlineStr">
        <is>
          <t>1박</t>
        </is>
      </c>
      <c r="AC67" s="3" t="inlineStr">
        <is>
          <t>1</t>
        </is>
      </c>
      <c r="AD67" s="3" t="n"/>
      <c r="AE67" s="3" t="n"/>
      <c r="AF67" s="3" t="n"/>
      <c r="AG67" s="3" t="inlineStr">
        <is>
          <t>1</t>
        </is>
      </c>
      <c r="AH67" s="3" t="n"/>
      <c r="AI67" s="3" t="n"/>
      <c r="AJ67" s="3" t="n"/>
      <c r="AK67" s="3" t="n"/>
      <c r="AL67" s="3" t="inlineStr">
        <is>
          <t>FINAL</t>
        </is>
      </c>
      <c r="AM67" s="3" t="n"/>
      <c r="AN67" s="3" t="n"/>
    </row>
    <row r="68">
      <c r="A68" s="3" t="inlineStr">
        <is>
          <t>P0067</t>
        </is>
      </c>
      <c r="B68" s="3" t="n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n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n"/>
      <c r="S68" s="3" t="n"/>
      <c r="T68" s="3" t="n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n"/>
      <c r="AB68" s="3" t="inlineStr">
        <is>
          <t>6박</t>
        </is>
      </c>
      <c r="AC68" s="3" t="inlineStr">
        <is>
          <t>1</t>
        </is>
      </c>
      <c r="AD68" s="3" t="n"/>
      <c r="AE68" s="3" t="n"/>
      <c r="AF68" s="3" t="n"/>
      <c r="AG68" s="3" t="inlineStr">
        <is>
          <t>1</t>
        </is>
      </c>
      <c r="AH68" s="3" t="n"/>
      <c r="AI68" s="3" t="n"/>
      <c r="AJ68" s="3" t="n"/>
      <c r="AK68" s="3" t="n"/>
      <c r="AL68" s="3" t="inlineStr">
        <is>
          <t>FINAL</t>
        </is>
      </c>
      <c r="AM68" s="3" t="n"/>
      <c r="AN68" s="3" t="n"/>
    </row>
    <row r="69">
      <c r="A69" s="3" t="inlineStr">
        <is>
          <t>P0068</t>
        </is>
      </c>
      <c r="B69" s="3" t="n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n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n"/>
      <c r="S69" s="3" t="n"/>
      <c r="T69" s="3" t="n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n"/>
      <c r="AB69" s="3" t="inlineStr">
        <is>
          <t>6박</t>
        </is>
      </c>
      <c r="AC69" s="3" t="inlineStr">
        <is>
          <t>1</t>
        </is>
      </c>
      <c r="AD69" s="3" t="n"/>
      <c r="AE69" s="3" t="n"/>
      <c r="AF69" s="3" t="n"/>
      <c r="AG69" s="3" t="inlineStr">
        <is>
          <t>1</t>
        </is>
      </c>
      <c r="AH69" s="3" t="n"/>
      <c r="AI69" s="3" t="n"/>
      <c r="AJ69" s="3" t="n"/>
      <c r="AK69" s="3" t="n"/>
      <c r="AL69" s="3" t="inlineStr">
        <is>
          <t>FINAL</t>
        </is>
      </c>
      <c r="AM69" s="3" t="n"/>
      <c r="AN69" s="3" t="n"/>
    </row>
    <row r="70">
      <c r="A70" s="3" t="inlineStr">
        <is>
          <t>P0069</t>
        </is>
      </c>
      <c r="B70" s="3" t="n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n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n"/>
      <c r="S70" s="3" t="n"/>
      <c r="T70" s="3" t="n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n"/>
      <c r="AB70" s="3" t="inlineStr">
        <is>
          <t>6박</t>
        </is>
      </c>
      <c r="AC70" s="3" t="inlineStr">
        <is>
          <t>1</t>
        </is>
      </c>
      <c r="AD70" s="3" t="n"/>
      <c r="AE70" s="3" t="n"/>
      <c r="AF70" s="3" t="n"/>
      <c r="AG70" s="3" t="inlineStr">
        <is>
          <t>1</t>
        </is>
      </c>
      <c r="AH70" s="3" t="n"/>
      <c r="AI70" s="3" t="n"/>
      <c r="AJ70" s="3" t="n"/>
      <c r="AK70" s="3" t="n"/>
      <c r="AL70" s="3" t="inlineStr">
        <is>
          <t>FINAL</t>
        </is>
      </c>
      <c r="AM70" s="3" t="n"/>
      <c r="AN70" s="3" t="n"/>
    </row>
    <row r="71">
      <c r="A71" s="3" t="inlineStr">
        <is>
          <t>P0070</t>
        </is>
      </c>
      <c r="B71" s="3" t="n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n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n"/>
      <c r="S71" s="3" t="n"/>
      <c r="T71" s="3" t="n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n"/>
      <c r="AB71" s="3" t="inlineStr">
        <is>
          <t>6박</t>
        </is>
      </c>
      <c r="AC71" s="3" t="inlineStr">
        <is>
          <t>1</t>
        </is>
      </c>
      <c r="AD71" s="3" t="n"/>
      <c r="AE71" s="3" t="n"/>
      <c r="AF71" s="3" t="n"/>
      <c r="AG71" s="3" t="inlineStr">
        <is>
          <t>1</t>
        </is>
      </c>
      <c r="AH71" s="3" t="n"/>
      <c r="AI71" s="3" t="n"/>
      <c r="AJ71" s="3" t="n"/>
      <c r="AK71" s="3" t="n"/>
      <c r="AL71" s="3" t="inlineStr">
        <is>
          <t>FINAL</t>
        </is>
      </c>
      <c r="AM71" s="3" t="n"/>
      <c r="AN71" s="3" t="n"/>
    </row>
    <row r="72">
      <c r="A72" s="3" t="inlineStr">
        <is>
          <t>P0071</t>
        </is>
      </c>
      <c r="B72" s="3" t="n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n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n"/>
      <c r="S72" s="3" t="n"/>
      <c r="T72" s="3" t="n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n"/>
      <c r="AB72" s="3" t="inlineStr">
        <is>
          <t>6박</t>
        </is>
      </c>
      <c r="AC72" s="3" t="inlineStr">
        <is>
          <t>1</t>
        </is>
      </c>
      <c r="AD72" s="3" t="n"/>
      <c r="AE72" s="3" t="n"/>
      <c r="AF72" s="3" t="n"/>
      <c r="AG72" s="3" t="inlineStr">
        <is>
          <t>1</t>
        </is>
      </c>
      <c r="AH72" s="3" t="n"/>
      <c r="AI72" s="3" t="n"/>
      <c r="AJ72" s="3" t="n"/>
      <c r="AK72" s="3" t="n"/>
      <c r="AL72" s="3" t="inlineStr">
        <is>
          <t>FINAL</t>
        </is>
      </c>
      <c r="AM72" s="3" t="n"/>
      <c r="AN72" s="3" t="n"/>
    </row>
    <row r="73">
      <c r="A73" s="3" t="inlineStr">
        <is>
          <t>P0072</t>
        </is>
      </c>
      <c r="B73" s="3" t="n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n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n"/>
      <c r="S73" s="3" t="n"/>
      <c r="T73" s="3" t="n"/>
      <c r="U73" s="3" t="n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n"/>
      <c r="AB73" s="3" t="inlineStr">
        <is>
          <t>5박</t>
        </is>
      </c>
      <c r="AC73" s="3" t="inlineStr">
        <is>
          <t>1</t>
        </is>
      </c>
      <c r="AD73" s="3" t="n"/>
      <c r="AE73" s="3" t="n"/>
      <c r="AF73" s="3" t="n"/>
      <c r="AG73" s="3" t="inlineStr">
        <is>
          <t>1</t>
        </is>
      </c>
      <c r="AH73" s="3" t="n"/>
      <c r="AI73" s="3" t="n"/>
      <c r="AJ73" s="3" t="n"/>
      <c r="AK73" s="3" t="n"/>
      <c r="AL73" s="3" t="inlineStr">
        <is>
          <t>FINAL</t>
        </is>
      </c>
      <c r="AM73" s="3" t="n"/>
      <c r="AN73" s="3" t="n"/>
    </row>
    <row r="74">
      <c r="A74" s="3" t="inlineStr">
        <is>
          <t>P0073</t>
        </is>
      </c>
      <c r="B74" s="3" t="n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n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n"/>
      <c r="S74" s="3" t="n"/>
      <c r="T74" s="3" t="n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n"/>
      <c r="AB74" s="3" t="inlineStr">
        <is>
          <t>6박</t>
        </is>
      </c>
      <c r="AC74" s="3" t="inlineStr">
        <is>
          <t>1</t>
        </is>
      </c>
      <c r="AD74" s="3" t="n"/>
      <c r="AE74" s="3" t="n"/>
      <c r="AF74" s="3" t="n"/>
      <c r="AG74" s="3" t="inlineStr">
        <is>
          <t>1</t>
        </is>
      </c>
      <c r="AH74" s="3" t="n"/>
      <c r="AI74" s="3" t="n"/>
      <c r="AJ74" s="3" t="n"/>
      <c r="AK74" s="3" t="n"/>
      <c r="AL74" s="3" t="inlineStr">
        <is>
          <t>FINAL</t>
        </is>
      </c>
      <c r="AM74" s="3" t="n"/>
      <c r="AN74" s="3" t="n"/>
    </row>
    <row r="75">
      <c r="A75" s="3" t="inlineStr">
        <is>
          <t>P0074</t>
        </is>
      </c>
      <c r="B75" s="3" t="n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n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n"/>
      <c r="S75" s="3" t="n"/>
      <c r="T75" s="3" t="n"/>
      <c r="U75" s="3" t="inlineStr">
        <is>
          <t>✓</t>
        </is>
      </c>
      <c r="V75" s="3" t="n"/>
      <c r="W75" s="3" t="n"/>
      <c r="X75" s="3" t="n"/>
      <c r="Y75" s="3" t="n"/>
      <c r="Z75" s="3" t="n"/>
      <c r="AA75" s="3" t="n"/>
      <c r="AB75" s="3" t="inlineStr">
        <is>
          <t>1박</t>
        </is>
      </c>
      <c r="AC75" s="3" t="inlineStr">
        <is>
          <t>1</t>
        </is>
      </c>
      <c r="AD75" s="3" t="n"/>
      <c r="AE75" s="3" t="n"/>
      <c r="AF75" s="3" t="n"/>
      <c r="AG75" s="3" t="inlineStr">
        <is>
          <t>1</t>
        </is>
      </c>
      <c r="AH75" s="3" t="n"/>
      <c r="AI75" s="3" t="n"/>
      <c r="AJ75" s="3" t="n"/>
      <c r="AK75" s="3" t="n"/>
      <c r="AL75" s="3" t="inlineStr">
        <is>
          <t>FINAL</t>
        </is>
      </c>
      <c r="AM75" s="3" t="n"/>
      <c r="AN75" s="3" t="n"/>
    </row>
    <row r="76">
      <c r="A76" s="3" t="inlineStr">
        <is>
          <t>P0075</t>
        </is>
      </c>
      <c r="B76" s="3" t="n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n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n"/>
      <c r="S76" s="3" t="n"/>
      <c r="T76" s="3" t="n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n"/>
      <c r="AB76" s="3" t="inlineStr">
        <is>
          <t>6박</t>
        </is>
      </c>
      <c r="AC76" s="3" t="inlineStr">
        <is>
          <t>1</t>
        </is>
      </c>
      <c r="AD76" s="3" t="n"/>
      <c r="AE76" s="3" t="n"/>
      <c r="AF76" s="3" t="n"/>
      <c r="AG76" s="3" t="inlineStr">
        <is>
          <t>1</t>
        </is>
      </c>
      <c r="AH76" s="3" t="n"/>
      <c r="AI76" s="3" t="n"/>
      <c r="AJ76" s="3" t="n"/>
      <c r="AK76" s="3" t="n"/>
      <c r="AL76" s="3" t="inlineStr">
        <is>
          <t>FINAL</t>
        </is>
      </c>
      <c r="AM76" s="3" t="n"/>
      <c r="AN76" s="3" t="n"/>
    </row>
    <row r="77">
      <c r="A77" s="3" t="inlineStr">
        <is>
          <t>P0076</t>
        </is>
      </c>
      <c r="B77" s="3" t="n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n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n"/>
      <c r="S77" s="3" t="n"/>
      <c r="T77" s="3" t="n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n"/>
      <c r="AB77" s="3" t="inlineStr">
        <is>
          <t>6박</t>
        </is>
      </c>
      <c r="AC77" s="3" t="inlineStr">
        <is>
          <t>1</t>
        </is>
      </c>
      <c r="AD77" s="3" t="n"/>
      <c r="AE77" s="3" t="n"/>
      <c r="AF77" s="3" t="n"/>
      <c r="AG77" s="3" t="inlineStr">
        <is>
          <t>1</t>
        </is>
      </c>
      <c r="AH77" s="3" t="n"/>
      <c r="AI77" s="3" t="n"/>
      <c r="AJ77" s="3" t="n"/>
      <c r="AK77" s="3" t="n"/>
      <c r="AL77" s="3" t="inlineStr">
        <is>
          <t>FINAL</t>
        </is>
      </c>
      <c r="AM77" s="3" t="n"/>
      <c r="AN77" s="3" t="n"/>
    </row>
    <row r="78">
      <c r="A78" s="3" t="inlineStr">
        <is>
          <t>P0077</t>
        </is>
      </c>
      <c r="B78" s="3" t="n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n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n"/>
      <c r="S78" s="3" t="n"/>
      <c r="T78" s="3" t="n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n"/>
      <c r="AB78" s="3" t="inlineStr">
        <is>
          <t>6박</t>
        </is>
      </c>
      <c r="AC78" s="3" t="inlineStr">
        <is>
          <t>1</t>
        </is>
      </c>
      <c r="AD78" s="3" t="n"/>
      <c r="AE78" s="3" t="n"/>
      <c r="AF78" s="3" t="n"/>
      <c r="AG78" s="3" t="inlineStr">
        <is>
          <t>1</t>
        </is>
      </c>
      <c r="AH78" s="3" t="n"/>
      <c r="AI78" s="3" t="n"/>
      <c r="AJ78" s="3" t="n"/>
      <c r="AK78" s="3" t="n"/>
      <c r="AL78" s="3" t="inlineStr">
        <is>
          <t>FINAL</t>
        </is>
      </c>
      <c r="AM78" s="3" t="n"/>
      <c r="AN78" s="3" t="n"/>
    </row>
    <row r="79">
      <c r="A79" s="3" t="inlineStr">
        <is>
          <t>P0078</t>
        </is>
      </c>
      <c r="B79" s="3" t="n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n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n"/>
      <c r="S79" s="3" t="n"/>
      <c r="T79" s="3" t="n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n"/>
      <c r="AB79" s="3" t="inlineStr">
        <is>
          <t>6박</t>
        </is>
      </c>
      <c r="AC79" s="3" t="inlineStr">
        <is>
          <t>1</t>
        </is>
      </c>
      <c r="AD79" s="3" t="n"/>
      <c r="AE79" s="3" t="n"/>
      <c r="AF79" s="3" t="n"/>
      <c r="AG79" s="3" t="inlineStr">
        <is>
          <t>1</t>
        </is>
      </c>
      <c r="AH79" s="3" t="n"/>
      <c r="AI79" s="3" t="n"/>
      <c r="AJ79" s="3" t="n"/>
      <c r="AK79" s="3" t="n"/>
      <c r="AL79" s="3" t="inlineStr">
        <is>
          <t>FINAL</t>
        </is>
      </c>
      <c r="AM79" s="3" t="n"/>
      <c r="AN79" s="3" t="n"/>
    </row>
    <row r="80">
      <c r="A80" s="3" t="inlineStr">
        <is>
          <t>P0079</t>
        </is>
      </c>
      <c r="B80" s="3" t="n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n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n"/>
      <c r="S80" s="3" t="n"/>
      <c r="T80" s="3" t="n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n"/>
      <c r="AB80" s="3" t="inlineStr">
        <is>
          <t>6박</t>
        </is>
      </c>
      <c r="AC80" s="3" t="inlineStr">
        <is>
          <t>1</t>
        </is>
      </c>
      <c r="AD80" s="3" t="n"/>
      <c r="AE80" s="3" t="n"/>
      <c r="AF80" s="3" t="n"/>
      <c r="AG80" s="3" t="inlineStr">
        <is>
          <t>1</t>
        </is>
      </c>
      <c r="AH80" s="3" t="n"/>
      <c r="AI80" s="3" t="n"/>
      <c r="AJ80" s="3" t="n"/>
      <c r="AK80" s="3" t="n"/>
      <c r="AL80" s="3" t="inlineStr">
        <is>
          <t>FINAL</t>
        </is>
      </c>
      <c r="AM80" s="3" t="n"/>
      <c r="AN80" s="3" t="n"/>
    </row>
    <row r="81">
      <c r="A81" s="3" t="inlineStr">
        <is>
          <t>P0080</t>
        </is>
      </c>
      <c r="B81" s="3" t="n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n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n"/>
      <c r="S81" s="3" t="n"/>
      <c r="T81" s="3" t="n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n"/>
      <c r="AB81" s="3" t="inlineStr">
        <is>
          <t>6박</t>
        </is>
      </c>
      <c r="AC81" s="3" t="inlineStr">
        <is>
          <t>1</t>
        </is>
      </c>
      <c r="AD81" s="3" t="n"/>
      <c r="AE81" s="3" t="n"/>
      <c r="AF81" s="3" t="n"/>
      <c r="AG81" s="3" t="inlineStr">
        <is>
          <t>1</t>
        </is>
      </c>
      <c r="AH81" s="3" t="n"/>
      <c r="AI81" s="3" t="n"/>
      <c r="AJ81" s="3" t="n"/>
      <c r="AK81" s="3" t="n"/>
      <c r="AL81" s="3" t="inlineStr">
        <is>
          <t>FINAL</t>
        </is>
      </c>
      <c r="AM81" s="3" t="n"/>
      <c r="AN81" s="3" t="n"/>
    </row>
    <row r="82">
      <c r="A82" s="3" t="inlineStr">
        <is>
          <t>P0081</t>
        </is>
      </c>
      <c r="B82" s="3" t="n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n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n"/>
      <c r="S82" s="3" t="n"/>
      <c r="T82" s="3" t="n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n"/>
      <c r="AB82" s="3" t="inlineStr">
        <is>
          <t>6박</t>
        </is>
      </c>
      <c r="AC82" s="3" t="inlineStr">
        <is>
          <t>1</t>
        </is>
      </c>
      <c r="AD82" s="3" t="n"/>
      <c r="AE82" s="3" t="n"/>
      <c r="AF82" s="3" t="n"/>
      <c r="AG82" s="3" t="inlineStr">
        <is>
          <t>1</t>
        </is>
      </c>
      <c r="AH82" s="3" t="n"/>
      <c r="AI82" s="3" t="n"/>
      <c r="AJ82" s="3" t="n"/>
      <c r="AK82" s="3" t="n"/>
      <c r="AL82" s="3" t="inlineStr">
        <is>
          <t>FINAL</t>
        </is>
      </c>
      <c r="AM82" s="3" t="n"/>
      <c r="AN82" s="3" t="n"/>
    </row>
    <row r="83">
      <c r="A83" s="3" t="inlineStr">
        <is>
          <t>P0082</t>
        </is>
      </c>
      <c r="B83" s="3" t="n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n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n"/>
      <c r="S83" s="3" t="n"/>
      <c r="T83" s="3" t="n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n"/>
      <c r="AB83" s="3" t="inlineStr">
        <is>
          <t>6박</t>
        </is>
      </c>
      <c r="AC83" s="3" t="inlineStr">
        <is>
          <t>1</t>
        </is>
      </c>
      <c r="AD83" s="3" t="n"/>
      <c r="AE83" s="3" t="n"/>
      <c r="AF83" s="3" t="n"/>
      <c r="AG83" s="3" t="inlineStr">
        <is>
          <t>1</t>
        </is>
      </c>
      <c r="AH83" s="3" t="n"/>
      <c r="AI83" s="3" t="n"/>
      <c r="AJ83" s="3" t="n"/>
      <c r="AK83" s="3" t="n"/>
      <c r="AL83" s="3" t="inlineStr">
        <is>
          <t>FINAL</t>
        </is>
      </c>
      <c r="AM83" s="3" t="n"/>
      <c r="AN83" s="3" t="n"/>
    </row>
    <row r="84">
      <c r="A84" s="3" t="inlineStr">
        <is>
          <t>P0083</t>
        </is>
      </c>
      <c r="B84" s="3" t="n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n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n"/>
      <c r="S84" s="3" t="n"/>
      <c r="T84" s="3" t="n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n"/>
      <c r="AB84" s="3" t="inlineStr">
        <is>
          <t>6박</t>
        </is>
      </c>
      <c r="AC84" s="3" t="inlineStr">
        <is>
          <t>1</t>
        </is>
      </c>
      <c r="AD84" s="3" t="n"/>
      <c r="AE84" s="3" t="n"/>
      <c r="AF84" s="3" t="n"/>
      <c r="AG84" s="3" t="inlineStr">
        <is>
          <t>1</t>
        </is>
      </c>
      <c r="AH84" s="3" t="n"/>
      <c r="AI84" s="3" t="n"/>
      <c r="AJ84" s="3" t="n"/>
      <c r="AK84" s="3" t="n"/>
      <c r="AL84" s="3" t="inlineStr">
        <is>
          <t>FINAL</t>
        </is>
      </c>
      <c r="AM84" s="3" t="n"/>
      <c r="AN84" s="3" t="n"/>
    </row>
    <row r="85">
      <c r="A85" s="3" t="inlineStr">
        <is>
          <t>P0084</t>
        </is>
      </c>
      <c r="B85" s="3" t="n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n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n"/>
      <c r="S85" s="3" t="n"/>
      <c r="T85" s="3" t="n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n"/>
      <c r="AB85" s="3" t="inlineStr">
        <is>
          <t>6박</t>
        </is>
      </c>
      <c r="AC85" s="3" t="inlineStr">
        <is>
          <t>1</t>
        </is>
      </c>
      <c r="AD85" s="3" t="n"/>
      <c r="AE85" s="3" t="n"/>
      <c r="AF85" s="3" t="n"/>
      <c r="AG85" s="3" t="inlineStr">
        <is>
          <t>1</t>
        </is>
      </c>
      <c r="AH85" s="3" t="n"/>
      <c r="AI85" s="3" t="n"/>
      <c r="AJ85" s="3" t="n"/>
      <c r="AK85" s="3" t="n"/>
      <c r="AL85" s="3" t="inlineStr">
        <is>
          <t>FINAL</t>
        </is>
      </c>
      <c r="AM85" s="3" t="n"/>
      <c r="AN85" s="3" t="n"/>
    </row>
    <row r="86">
      <c r="A86" s="3" t="inlineStr">
        <is>
          <t>P0085</t>
        </is>
      </c>
      <c r="B86" s="3" t="n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n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n"/>
      <c r="S86" s="3" t="n"/>
      <c r="T86" s="3" t="n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n"/>
      <c r="AB86" s="3" t="inlineStr">
        <is>
          <t>6박</t>
        </is>
      </c>
      <c r="AC86" s="3" t="inlineStr">
        <is>
          <t>1</t>
        </is>
      </c>
      <c r="AD86" s="3" t="n"/>
      <c r="AE86" s="3" t="n"/>
      <c r="AF86" s="3" t="n"/>
      <c r="AG86" s="3" t="inlineStr">
        <is>
          <t>1</t>
        </is>
      </c>
      <c r="AH86" s="3" t="n"/>
      <c r="AI86" s="3" t="n"/>
      <c r="AJ86" s="3" t="n"/>
      <c r="AK86" s="3" t="n"/>
      <c r="AL86" s="3" t="inlineStr">
        <is>
          <t>FINAL</t>
        </is>
      </c>
      <c r="AM86" s="3" t="n"/>
      <c r="AN86" s="3" t="n"/>
    </row>
    <row r="87">
      <c r="A87" s="3" t="inlineStr">
        <is>
          <t>P0086</t>
        </is>
      </c>
      <c r="B87" s="3" t="n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n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n"/>
      <c r="S87" s="3" t="n"/>
      <c r="T87" s="3" t="n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n"/>
      <c r="AB87" s="3" t="inlineStr">
        <is>
          <t>6박</t>
        </is>
      </c>
      <c r="AC87" s="3" t="inlineStr">
        <is>
          <t>1</t>
        </is>
      </c>
      <c r="AD87" s="3" t="n"/>
      <c r="AE87" s="3" t="n"/>
      <c r="AF87" s="3" t="n"/>
      <c r="AG87" s="3" t="inlineStr">
        <is>
          <t>1</t>
        </is>
      </c>
      <c r="AH87" s="3" t="n"/>
      <c r="AI87" s="3" t="n"/>
      <c r="AJ87" s="3" t="n"/>
      <c r="AK87" s="3" t="n"/>
      <c r="AL87" s="3" t="inlineStr">
        <is>
          <t>FINAL</t>
        </is>
      </c>
      <c r="AM87" s="3" t="n"/>
      <c r="AN87" s="3" t="n"/>
    </row>
    <row r="88">
      <c r="A88" s="3" t="inlineStr">
        <is>
          <t>P0087</t>
        </is>
      </c>
      <c r="B88" s="3" t="n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n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n"/>
      <c r="S88" s="3" t="n"/>
      <c r="T88" s="3" t="n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n"/>
      <c r="AB88" s="3" t="inlineStr">
        <is>
          <t>6박</t>
        </is>
      </c>
      <c r="AC88" s="3" t="inlineStr">
        <is>
          <t>1</t>
        </is>
      </c>
      <c r="AD88" s="3" t="n"/>
      <c r="AE88" s="3" t="n"/>
      <c r="AF88" s="3" t="n"/>
      <c r="AG88" s="3" t="inlineStr">
        <is>
          <t>1</t>
        </is>
      </c>
      <c r="AH88" s="3" t="n"/>
      <c r="AI88" s="3" t="n"/>
      <c r="AJ88" s="3" t="n"/>
      <c r="AK88" s="3" t="n"/>
      <c r="AL88" s="3" t="inlineStr">
        <is>
          <t>FINAL</t>
        </is>
      </c>
      <c r="AM88" s="3" t="n"/>
      <c r="AN88" s="3" t="n"/>
    </row>
    <row r="89">
      <c r="A89" s="3" t="inlineStr">
        <is>
          <t>P0088</t>
        </is>
      </c>
      <c r="B89" s="3" t="n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n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n"/>
      <c r="S89" s="3" t="n"/>
      <c r="T89" s="3" t="n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n"/>
      <c r="AB89" s="3" t="inlineStr">
        <is>
          <t>6박</t>
        </is>
      </c>
      <c r="AC89" s="3" t="inlineStr">
        <is>
          <t>1</t>
        </is>
      </c>
      <c r="AD89" s="3" t="n"/>
      <c r="AE89" s="3" t="n"/>
      <c r="AF89" s="3" t="n"/>
      <c r="AG89" s="3" t="inlineStr">
        <is>
          <t>1</t>
        </is>
      </c>
      <c r="AH89" s="3" t="n"/>
      <c r="AI89" s="3" t="n"/>
      <c r="AJ89" s="3" t="n"/>
      <c r="AK89" s="3" t="n"/>
      <c r="AL89" s="3" t="inlineStr">
        <is>
          <t>FINAL</t>
        </is>
      </c>
      <c r="AM89" s="3" t="n"/>
      <c r="AN89" s="3" t="n"/>
    </row>
    <row r="90">
      <c r="A90" s="3" t="inlineStr">
        <is>
          <t>P0089</t>
        </is>
      </c>
      <c r="B90" s="3" t="n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n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n"/>
      <c r="S90" s="3" t="n"/>
      <c r="T90" s="3" t="n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n"/>
      <c r="AB90" s="3" t="inlineStr">
        <is>
          <t>6박</t>
        </is>
      </c>
      <c r="AC90" s="3" t="inlineStr">
        <is>
          <t>1</t>
        </is>
      </c>
      <c r="AD90" s="3" t="n"/>
      <c r="AE90" s="3" t="n"/>
      <c r="AF90" s="3" t="n"/>
      <c r="AG90" s="3" t="inlineStr">
        <is>
          <t>1</t>
        </is>
      </c>
      <c r="AH90" s="3" t="n"/>
      <c r="AI90" s="3" t="n"/>
      <c r="AJ90" s="3" t="n"/>
      <c r="AK90" s="3" t="n"/>
      <c r="AL90" s="3" t="inlineStr">
        <is>
          <t>FINAL</t>
        </is>
      </c>
      <c r="AM90" s="3" t="n"/>
      <c r="AN90" s="3" t="n"/>
    </row>
    <row r="91">
      <c r="A91" s="3" t="inlineStr">
        <is>
          <t>P0090</t>
        </is>
      </c>
      <c r="B91" s="3" t="n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n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n"/>
      <c r="S91" s="3" t="n"/>
      <c r="T91" s="3" t="n"/>
      <c r="U91" s="3" t="n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n"/>
      <c r="AB91" s="3" t="inlineStr">
        <is>
          <t>5박</t>
        </is>
      </c>
      <c r="AC91" s="3" t="inlineStr">
        <is>
          <t>1</t>
        </is>
      </c>
      <c r="AD91" s="3" t="n"/>
      <c r="AE91" s="3" t="n"/>
      <c r="AF91" s="3" t="n"/>
      <c r="AG91" s="3" t="inlineStr">
        <is>
          <t>1</t>
        </is>
      </c>
      <c r="AH91" s="3" t="n"/>
      <c r="AI91" s="3" t="n"/>
      <c r="AJ91" s="3" t="n"/>
      <c r="AK91" s="3" t="n"/>
      <c r="AL91" s="3" t="inlineStr">
        <is>
          <t>FINAL</t>
        </is>
      </c>
      <c r="AM91" s="3" t="n"/>
      <c r="AN91" s="3" t="n"/>
    </row>
    <row r="92">
      <c r="A92" s="3" t="inlineStr">
        <is>
          <t>P0091</t>
        </is>
      </c>
      <c r="B92" s="3" t="n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n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n"/>
      <c r="S92" s="3" t="n"/>
      <c r="T92" s="3" t="n"/>
      <c r="U92" s="3" t="inlineStr">
        <is>
          <t>✓</t>
        </is>
      </c>
      <c r="V92" s="3" t="n"/>
      <c r="W92" s="3" t="n"/>
      <c r="X92" s="3" t="n"/>
      <c r="Y92" s="3" t="n"/>
      <c r="Z92" s="3" t="n"/>
      <c r="AA92" s="3" t="n"/>
      <c r="AB92" s="3" t="inlineStr">
        <is>
          <t>1박</t>
        </is>
      </c>
      <c r="AC92" s="3" t="inlineStr">
        <is>
          <t>1</t>
        </is>
      </c>
      <c r="AD92" s="3" t="n"/>
      <c r="AE92" s="3" t="n"/>
      <c r="AF92" s="3" t="n"/>
      <c r="AG92" s="3" t="inlineStr">
        <is>
          <t>1</t>
        </is>
      </c>
      <c r="AH92" s="3" t="n"/>
      <c r="AI92" s="3" t="n"/>
      <c r="AJ92" s="3" t="n"/>
      <c r="AK92" s="3" t="n"/>
      <c r="AL92" s="3" t="inlineStr">
        <is>
          <t>FINAL</t>
        </is>
      </c>
      <c r="AM92" s="3" t="n"/>
      <c r="AN92" s="3" t="n"/>
    </row>
    <row r="93">
      <c r="A93" s="3" t="inlineStr">
        <is>
          <t>P0092</t>
        </is>
      </c>
      <c r="B93" s="3" t="n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n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n"/>
      <c r="S93" s="3" t="n"/>
      <c r="T93" s="3" t="n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n"/>
      <c r="AB93" s="3" t="inlineStr">
        <is>
          <t>6박</t>
        </is>
      </c>
      <c r="AC93" s="3" t="inlineStr">
        <is>
          <t>1</t>
        </is>
      </c>
      <c r="AD93" s="3" t="n"/>
      <c r="AE93" s="3" t="n"/>
      <c r="AF93" s="3" t="n"/>
      <c r="AG93" s="3" t="inlineStr">
        <is>
          <t>1</t>
        </is>
      </c>
      <c r="AH93" s="3" t="n"/>
      <c r="AI93" s="3" t="n"/>
      <c r="AJ93" s="3" t="n"/>
      <c r="AK93" s="3" t="n"/>
      <c r="AL93" s="3" t="inlineStr">
        <is>
          <t>FINAL</t>
        </is>
      </c>
      <c r="AM93" s="3" t="n"/>
      <c r="AN93" s="3" t="n"/>
    </row>
    <row r="94">
      <c r="A94" s="3" t="inlineStr">
        <is>
          <t>P0093</t>
        </is>
      </c>
      <c r="B94" s="3" t="n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n"/>
      <c r="S94" s="3" t="n"/>
      <c r="T94" s="3" t="n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n"/>
      <c r="AB94" s="3" t="inlineStr">
        <is>
          <t>6박</t>
        </is>
      </c>
      <c r="AC94" s="3" t="inlineStr">
        <is>
          <t>1</t>
        </is>
      </c>
      <c r="AD94" s="3" t="n"/>
      <c r="AE94" s="3" t="n"/>
      <c r="AF94" s="3" t="n"/>
      <c r="AG94" s="3" t="inlineStr">
        <is>
          <t>1</t>
        </is>
      </c>
      <c r="AH94" s="3" t="n"/>
      <c r="AI94" s="3" t="n"/>
      <c r="AJ94" s="3" t="n"/>
      <c r="AK94" s="3" t="n"/>
      <c r="AL94" s="3" t="inlineStr">
        <is>
          <t>FINAL</t>
        </is>
      </c>
      <c r="AM94" s="3" t="inlineStr">
        <is>
          <t>한글이름 확인</t>
        </is>
      </c>
      <c r="AN94" s="3" t="n"/>
    </row>
    <row r="95">
      <c r="A95" s="3" t="inlineStr">
        <is>
          <t>P0094</t>
        </is>
      </c>
      <c r="B95" s="3" t="n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n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n"/>
      <c r="S95" s="3" t="n"/>
      <c r="T95" s="3" t="n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n"/>
      <c r="AB95" s="3" t="inlineStr">
        <is>
          <t>6박</t>
        </is>
      </c>
      <c r="AC95" s="3" t="inlineStr">
        <is>
          <t>1</t>
        </is>
      </c>
      <c r="AD95" s="3" t="n"/>
      <c r="AE95" s="3" t="n"/>
      <c r="AF95" s="3" t="n"/>
      <c r="AG95" s="3" t="inlineStr">
        <is>
          <t>1</t>
        </is>
      </c>
      <c r="AH95" s="3" t="n"/>
      <c r="AI95" s="3" t="n"/>
      <c r="AJ95" s="3" t="n"/>
      <c r="AK95" s="3" t="n"/>
      <c r="AL95" s="3" t="inlineStr">
        <is>
          <t>FINAL</t>
        </is>
      </c>
      <c r="AM95" s="3" t="n"/>
      <c r="AN95" s="3" t="n"/>
    </row>
    <row r="96">
      <c r="A96" s="3" t="inlineStr">
        <is>
          <t>P0095</t>
        </is>
      </c>
      <c r="B96" s="3" t="n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n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n"/>
      <c r="S96" s="3" t="n"/>
      <c r="T96" s="3" t="n"/>
      <c r="U96" s="3" t="n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n"/>
      <c r="AB96" s="3" t="inlineStr">
        <is>
          <t>5박</t>
        </is>
      </c>
      <c r="AC96" s="3" t="inlineStr">
        <is>
          <t>1</t>
        </is>
      </c>
      <c r="AD96" s="3" t="n"/>
      <c r="AE96" s="3" t="n"/>
      <c r="AF96" s="3" t="n"/>
      <c r="AG96" s="3" t="inlineStr">
        <is>
          <t>1</t>
        </is>
      </c>
      <c r="AH96" s="3" t="n"/>
      <c r="AI96" s="3" t="n"/>
      <c r="AJ96" s="3" t="n"/>
      <c r="AK96" s="3" t="n"/>
      <c r="AL96" s="3" t="inlineStr">
        <is>
          <t>FINAL</t>
        </is>
      </c>
      <c r="AM96" s="3" t="n"/>
      <c r="AN96" s="3" t="n"/>
    </row>
    <row r="97">
      <c r="A97" s="3" t="inlineStr">
        <is>
          <t>P0096</t>
        </is>
      </c>
      <c r="B97" s="3" t="n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n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n"/>
      <c r="S97" s="3" t="n"/>
      <c r="T97" s="3" t="n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n"/>
      <c r="AB97" s="3" t="inlineStr">
        <is>
          <t>6박</t>
        </is>
      </c>
      <c r="AC97" s="3" t="inlineStr">
        <is>
          <t>1</t>
        </is>
      </c>
      <c r="AD97" s="3" t="n"/>
      <c r="AE97" s="3" t="n"/>
      <c r="AF97" s="3" t="n"/>
      <c r="AG97" s="3" t="inlineStr">
        <is>
          <t>1</t>
        </is>
      </c>
      <c r="AH97" s="3" t="n"/>
      <c r="AI97" s="3" t="n"/>
      <c r="AJ97" s="3" t="n"/>
      <c r="AK97" s="3" t="n"/>
      <c r="AL97" s="3" t="inlineStr">
        <is>
          <t>FINAL</t>
        </is>
      </c>
      <c r="AM97" s="3" t="n"/>
      <c r="AN97" s="3" t="n"/>
    </row>
    <row r="98">
      <c r="A98" s="3" t="inlineStr">
        <is>
          <t>P0097</t>
        </is>
      </c>
      <c r="B98" s="3" t="n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n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n"/>
      <c r="S98" s="3" t="n"/>
      <c r="T98" s="3" t="n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n"/>
      <c r="AB98" s="3" t="inlineStr">
        <is>
          <t>6박</t>
        </is>
      </c>
      <c r="AC98" s="3" t="inlineStr">
        <is>
          <t>1</t>
        </is>
      </c>
      <c r="AD98" s="3" t="n"/>
      <c r="AE98" s="3" t="n"/>
      <c r="AF98" s="3" t="n"/>
      <c r="AG98" s="3" t="inlineStr">
        <is>
          <t>1</t>
        </is>
      </c>
      <c r="AH98" s="3" t="n"/>
      <c r="AI98" s="3" t="n"/>
      <c r="AJ98" s="3" t="n"/>
      <c r="AK98" s="3" t="n"/>
      <c r="AL98" s="3" t="inlineStr">
        <is>
          <t>FINAL</t>
        </is>
      </c>
      <c r="AM98" s="3" t="n"/>
      <c r="AN98" s="3" t="n"/>
    </row>
    <row r="99">
      <c r="A99" s="3" t="inlineStr">
        <is>
          <t>P0098</t>
        </is>
      </c>
      <c r="B99" s="3" t="n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n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n"/>
      <c r="S99" s="3" t="n"/>
      <c r="T99" s="3" t="n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n"/>
      <c r="AB99" s="3" t="inlineStr">
        <is>
          <t>6박</t>
        </is>
      </c>
      <c r="AC99" s="3" t="inlineStr">
        <is>
          <t>1</t>
        </is>
      </c>
      <c r="AD99" s="3" t="n"/>
      <c r="AE99" s="3" t="n"/>
      <c r="AF99" s="3" t="n"/>
      <c r="AG99" s="3" t="inlineStr">
        <is>
          <t>1</t>
        </is>
      </c>
      <c r="AH99" s="3" t="n"/>
      <c r="AI99" s="3" t="n"/>
      <c r="AJ99" s="3" t="n"/>
      <c r="AK99" s="3" t="n"/>
      <c r="AL99" s="3" t="inlineStr">
        <is>
          <t>FINAL</t>
        </is>
      </c>
      <c r="AM99" s="3" t="n"/>
      <c r="AN99" s="3" t="n"/>
    </row>
    <row r="100">
      <c r="A100" s="3" t="inlineStr">
        <is>
          <t>P0099</t>
        </is>
      </c>
      <c r="B100" s="3" t="n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n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n"/>
      <c r="S100" s="3" t="n"/>
      <c r="T100" s="3" t="n"/>
      <c r="U100" s="3" t="n"/>
      <c r="V100" s="3" t="n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n"/>
      <c r="AB100" s="3" t="inlineStr">
        <is>
          <t>4박</t>
        </is>
      </c>
      <c r="AC100" s="3" t="inlineStr">
        <is>
          <t>1</t>
        </is>
      </c>
      <c r="AD100" s="3" t="n"/>
      <c r="AE100" s="3" t="n"/>
      <c r="AF100" s="3" t="n"/>
      <c r="AG100" s="3" t="inlineStr">
        <is>
          <t>1</t>
        </is>
      </c>
      <c r="AH100" s="3" t="n"/>
      <c r="AI100" s="3" t="n"/>
      <c r="AJ100" s="3" t="n"/>
      <c r="AK100" s="3" t="n"/>
      <c r="AL100" s="3" t="inlineStr">
        <is>
          <t>FINAL</t>
        </is>
      </c>
      <c r="AM100" s="3" t="n"/>
      <c r="AN100" s="3" t="n"/>
    </row>
    <row r="101">
      <c r="A101" s="3" t="inlineStr">
        <is>
          <t>P0100</t>
        </is>
      </c>
      <c r="B101" s="3" t="n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n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n"/>
      <c r="S101" s="3" t="n"/>
      <c r="T101" s="3" t="n"/>
      <c r="U101" s="3" t="n"/>
      <c r="V101" s="3" t="n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n"/>
      <c r="AB101" s="3" t="inlineStr">
        <is>
          <t>4박</t>
        </is>
      </c>
      <c r="AC101" s="3" t="inlineStr">
        <is>
          <t>1</t>
        </is>
      </c>
      <c r="AD101" s="3" t="n"/>
      <c r="AE101" s="3" t="n"/>
      <c r="AF101" s="3" t="n"/>
      <c r="AG101" s="3" t="inlineStr">
        <is>
          <t>1</t>
        </is>
      </c>
      <c r="AH101" s="3" t="n"/>
      <c r="AI101" s="3" t="n"/>
      <c r="AJ101" s="3" t="n"/>
      <c r="AK101" s="3" t="n"/>
      <c r="AL101" s="3" t="inlineStr">
        <is>
          <t>FINAL</t>
        </is>
      </c>
      <c r="AM101" s="3" t="n"/>
      <c r="AN101" s="3" t="n"/>
    </row>
    <row r="102">
      <c r="A102" s="3" t="inlineStr">
        <is>
          <t>P0101</t>
        </is>
      </c>
      <c r="B102" s="3" t="n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n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n"/>
      <c r="S102" s="3" t="n"/>
      <c r="T102" s="3" t="n"/>
      <c r="U102" s="3" t="n"/>
      <c r="V102" s="3" t="n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n"/>
      <c r="AB102" s="3" t="inlineStr">
        <is>
          <t>4박</t>
        </is>
      </c>
      <c r="AC102" s="3" t="inlineStr">
        <is>
          <t>1</t>
        </is>
      </c>
      <c r="AD102" s="3" t="n"/>
      <c r="AE102" s="3" t="n"/>
      <c r="AF102" s="3" t="n"/>
      <c r="AG102" s="3" t="inlineStr">
        <is>
          <t>1</t>
        </is>
      </c>
      <c r="AH102" s="3" t="n"/>
      <c r="AI102" s="3" t="n"/>
      <c r="AJ102" s="3" t="n"/>
      <c r="AK102" s="3" t="n"/>
      <c r="AL102" s="3" t="inlineStr">
        <is>
          <t>FINAL</t>
        </is>
      </c>
      <c r="AM102" s="3" t="n"/>
      <c r="AN102" s="3" t="n"/>
    </row>
    <row r="103">
      <c r="A103" s="3" t="inlineStr">
        <is>
          <t>P0102</t>
        </is>
      </c>
      <c r="B103" s="3" t="n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n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n"/>
      <c r="S103" s="3" t="n"/>
      <c r="T103" s="3" t="n"/>
      <c r="U103" s="3" t="n"/>
      <c r="V103" s="3" t="n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n"/>
      <c r="AB103" s="3" t="inlineStr">
        <is>
          <t>4박</t>
        </is>
      </c>
      <c r="AC103" s="3" t="inlineStr">
        <is>
          <t>1</t>
        </is>
      </c>
      <c r="AD103" s="3" t="n"/>
      <c r="AE103" s="3" t="n"/>
      <c r="AF103" s="3" t="n"/>
      <c r="AG103" s="3" t="inlineStr">
        <is>
          <t>1</t>
        </is>
      </c>
      <c r="AH103" s="3" t="n"/>
      <c r="AI103" s="3" t="n"/>
      <c r="AJ103" s="3" t="n"/>
      <c r="AK103" s="3" t="n"/>
      <c r="AL103" s="3" t="inlineStr">
        <is>
          <t>FINAL</t>
        </is>
      </c>
      <c r="AM103" s="3" t="n"/>
      <c r="AN103" s="3" t="n"/>
    </row>
    <row r="104">
      <c r="A104" s="3" t="inlineStr">
        <is>
          <t>P0103</t>
        </is>
      </c>
      <c r="B104" s="3" t="n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n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n"/>
      <c r="S104" s="3" t="n"/>
      <c r="T104" s="3" t="n"/>
      <c r="U104" s="3" t="n"/>
      <c r="V104" s="3" t="n"/>
      <c r="W104" s="3" t="n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n"/>
      <c r="AB104" s="3" t="inlineStr">
        <is>
          <t>3박</t>
        </is>
      </c>
      <c r="AC104" s="3" t="inlineStr">
        <is>
          <t>1</t>
        </is>
      </c>
      <c r="AD104" s="3" t="n"/>
      <c r="AE104" s="3" t="n"/>
      <c r="AF104" s="3" t="n"/>
      <c r="AG104" s="3" t="inlineStr">
        <is>
          <t>1</t>
        </is>
      </c>
      <c r="AH104" s="3" t="n"/>
      <c r="AI104" s="3" t="n"/>
      <c r="AJ104" s="3" t="n"/>
      <c r="AK104" s="3" t="n"/>
      <c r="AL104" s="3" t="inlineStr">
        <is>
          <t>FINAL</t>
        </is>
      </c>
      <c r="AM104" s="3" t="n"/>
      <c r="AN104" s="3" t="n"/>
    </row>
    <row r="105">
      <c r="A105" s="3" t="inlineStr">
        <is>
          <t>P0104</t>
        </is>
      </c>
      <c r="B105" s="3" t="n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n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n"/>
      <c r="S105" s="3" t="n"/>
      <c r="T105" s="3" t="n"/>
      <c r="U105" s="3" t="n"/>
      <c r="V105" s="3" t="n"/>
      <c r="W105" s="3" t="n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n"/>
      <c r="AB105" s="3" t="inlineStr">
        <is>
          <t>3박</t>
        </is>
      </c>
      <c r="AC105" s="3" t="inlineStr">
        <is>
          <t>1</t>
        </is>
      </c>
      <c r="AD105" s="3" t="n"/>
      <c r="AE105" s="3" t="n"/>
      <c r="AF105" s="3" t="n"/>
      <c r="AG105" s="3" t="inlineStr">
        <is>
          <t>1</t>
        </is>
      </c>
      <c r="AH105" s="3" t="n"/>
      <c r="AI105" s="3" t="n"/>
      <c r="AJ105" s="3" t="n"/>
      <c r="AK105" s="3" t="n"/>
      <c r="AL105" s="3" t="inlineStr">
        <is>
          <t>FINAL</t>
        </is>
      </c>
      <c r="AM105" s="3" t="n"/>
      <c r="AN105" s="3" t="n"/>
    </row>
    <row r="106">
      <c r="A106" s="3" t="inlineStr">
        <is>
          <t>P0105</t>
        </is>
      </c>
      <c r="B106" s="3" t="n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n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n"/>
      <c r="S106" s="3" t="n"/>
      <c r="T106" s="3" t="n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n"/>
      <c r="AB106" s="3" t="inlineStr">
        <is>
          <t>6박</t>
        </is>
      </c>
      <c r="AC106" s="3" t="inlineStr">
        <is>
          <t>1</t>
        </is>
      </c>
      <c r="AD106" s="3" t="n"/>
      <c r="AE106" s="3" t="n"/>
      <c r="AF106" s="3" t="n"/>
      <c r="AG106" s="3" t="inlineStr">
        <is>
          <t>1</t>
        </is>
      </c>
      <c r="AH106" s="3" t="n"/>
      <c r="AI106" s="3" t="n"/>
      <c r="AJ106" s="3" t="n"/>
      <c r="AK106" s="3" t="n"/>
      <c r="AL106" s="3" t="inlineStr">
        <is>
          <t>FINAL</t>
        </is>
      </c>
      <c r="AM106" s="3" t="n"/>
      <c r="AN106" s="3" t="n"/>
    </row>
    <row r="107">
      <c r="A107" s="3" t="inlineStr">
        <is>
          <t>P0106</t>
        </is>
      </c>
      <c r="B107" s="3" t="n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n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n"/>
      <c r="S107" s="3" t="n"/>
      <c r="T107" s="3" t="n"/>
      <c r="U107" s="3" t="n"/>
      <c r="V107" s="3" t="n"/>
      <c r="W107" s="3" t="n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n"/>
      <c r="AB107" s="3" t="inlineStr">
        <is>
          <t>3박</t>
        </is>
      </c>
      <c r="AC107" s="3" t="inlineStr">
        <is>
          <t>1</t>
        </is>
      </c>
      <c r="AD107" s="3" t="n"/>
      <c r="AE107" s="3" t="n"/>
      <c r="AF107" s="3" t="n"/>
      <c r="AG107" s="3" t="inlineStr">
        <is>
          <t>1</t>
        </is>
      </c>
      <c r="AH107" s="3" t="n"/>
      <c r="AI107" s="3" t="n"/>
      <c r="AJ107" s="3" t="n"/>
      <c r="AK107" s="3" t="n"/>
      <c r="AL107" s="3" t="inlineStr">
        <is>
          <t>FINAL</t>
        </is>
      </c>
      <c r="AM107" s="3" t="n"/>
      <c r="AN107" s="3" t="n"/>
    </row>
    <row r="108">
      <c r="A108" s="3" t="inlineStr">
        <is>
          <t>P0107</t>
        </is>
      </c>
      <c r="B108" s="3" t="n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n"/>
      <c r="S108" s="3" t="n"/>
      <c r="T108" s="3" t="n"/>
      <c r="U108" s="3" t="n"/>
      <c r="V108" s="3" t="n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n"/>
      <c r="AB108" s="3" t="inlineStr">
        <is>
          <t>4박</t>
        </is>
      </c>
      <c r="AC108" s="3" t="inlineStr">
        <is>
          <t>1</t>
        </is>
      </c>
      <c r="AD108" s="3" t="n"/>
      <c r="AE108" s="3" t="n"/>
      <c r="AF108" s="3" t="n"/>
      <c r="AG108" s="3" t="inlineStr">
        <is>
          <t>1</t>
        </is>
      </c>
      <c r="AH108" s="3" t="n"/>
      <c r="AI108" s="3" t="n"/>
      <c r="AJ108" s="3" t="n"/>
      <c r="AK108" s="3" t="n"/>
      <c r="AL108" s="3" t="inlineStr">
        <is>
          <t>FINAL</t>
        </is>
      </c>
      <c r="AM108" s="3" t="n"/>
      <c r="AN108" s="3" t="n"/>
    </row>
    <row r="109">
      <c r="A109" s="3" t="inlineStr">
        <is>
          <t>P0108</t>
        </is>
      </c>
      <c r="B109" s="3" t="n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n"/>
      <c r="S109" s="3" t="n"/>
      <c r="T109" s="3" t="n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n"/>
      <c r="AB109" s="3" t="inlineStr">
        <is>
          <t>6박</t>
        </is>
      </c>
      <c r="AC109" s="3" t="inlineStr">
        <is>
          <t>1</t>
        </is>
      </c>
      <c r="AD109" s="3" t="n"/>
      <c r="AE109" s="3" t="n"/>
      <c r="AF109" s="3" t="n"/>
      <c r="AG109" s="3" t="inlineStr">
        <is>
          <t>1</t>
        </is>
      </c>
      <c r="AH109" s="3" t="n"/>
      <c r="AI109" s="3" t="n"/>
      <c r="AJ109" s="3" t="n"/>
      <c r="AK109" s="3" t="n"/>
      <c r="AL109" s="3" t="inlineStr">
        <is>
          <t>FINAL</t>
        </is>
      </c>
      <c r="AM109" s="3" t="n"/>
      <c r="AN109" s="3" t="n"/>
    </row>
    <row r="110">
      <c r="A110" s="3" t="inlineStr">
        <is>
          <t>P0109</t>
        </is>
      </c>
      <c r="B110" s="3" t="n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n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n"/>
      <c r="S110" s="3" t="n"/>
      <c r="T110" s="3" t="n"/>
      <c r="U110" s="3" t="n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n"/>
      <c r="AB110" s="3" t="inlineStr">
        <is>
          <t>5박</t>
        </is>
      </c>
      <c r="AC110" s="3" t="inlineStr">
        <is>
          <t>1</t>
        </is>
      </c>
      <c r="AD110" s="3" t="n"/>
      <c r="AE110" s="3" t="n"/>
      <c r="AF110" s="3" t="n"/>
      <c r="AG110" s="3" t="inlineStr">
        <is>
          <t>1</t>
        </is>
      </c>
      <c r="AH110" s="3" t="n"/>
      <c r="AI110" s="3" t="n"/>
      <c r="AJ110" s="3" t="n"/>
      <c r="AK110" s="3" t="n"/>
      <c r="AL110" s="3" t="inlineStr">
        <is>
          <t>FINAL</t>
        </is>
      </c>
      <c r="AM110" s="3" t="n"/>
      <c r="AN110" s="3" t="n"/>
    </row>
    <row r="111">
      <c r="A111" s="3" t="inlineStr">
        <is>
          <t>P0110</t>
        </is>
      </c>
      <c r="B111" s="3" t="n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n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n"/>
      <c r="S111" s="3" t="n"/>
      <c r="T111" s="3" t="n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n"/>
      <c r="AB111" s="3" t="inlineStr">
        <is>
          <t>6박</t>
        </is>
      </c>
      <c r="AC111" s="3" t="inlineStr">
        <is>
          <t>1</t>
        </is>
      </c>
      <c r="AD111" s="3" t="n"/>
      <c r="AE111" s="3" t="n"/>
      <c r="AF111" s="3" t="n"/>
      <c r="AG111" s="3" t="inlineStr">
        <is>
          <t>1</t>
        </is>
      </c>
      <c r="AH111" s="3" t="n"/>
      <c r="AI111" s="3" t="n"/>
      <c r="AJ111" s="3" t="n"/>
      <c r="AK111" s="3" t="n"/>
      <c r="AL111" s="3" t="inlineStr">
        <is>
          <t>FINAL</t>
        </is>
      </c>
      <c r="AM111" s="3" t="n"/>
      <c r="AN111" s="3" t="n"/>
    </row>
    <row r="112">
      <c r="A112" s="3" t="inlineStr">
        <is>
          <t>P0111</t>
        </is>
      </c>
      <c r="B112" s="3" t="n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n"/>
      <c r="S112" s="3" t="n"/>
      <c r="T112" s="3" t="n"/>
      <c r="U112" s="3" t="n"/>
      <c r="V112" s="3" t="n"/>
      <c r="W112" s="3" t="n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n"/>
      <c r="AB112" s="3" t="inlineStr">
        <is>
          <t>3박</t>
        </is>
      </c>
      <c r="AC112" s="3" t="inlineStr">
        <is>
          <t>1</t>
        </is>
      </c>
      <c r="AD112" s="3" t="n"/>
      <c r="AE112" s="3" t="n"/>
      <c r="AF112" s="3" t="n"/>
      <c r="AG112" s="3" t="inlineStr">
        <is>
          <t>1</t>
        </is>
      </c>
      <c r="AH112" s="3" t="n"/>
      <c r="AI112" s="3" t="n"/>
      <c r="AJ112" s="3" t="n"/>
      <c r="AK112" s="3" t="n"/>
      <c r="AL112" s="3" t="inlineStr">
        <is>
          <t>FINAL</t>
        </is>
      </c>
      <c r="AM112" s="3" t="n"/>
      <c r="AN112" s="3" t="n"/>
    </row>
    <row r="113">
      <c r="A113" s="3" t="inlineStr">
        <is>
          <t>P0112</t>
        </is>
      </c>
      <c r="B113" s="3" t="n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n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n"/>
      <c r="S113" s="3" t="n"/>
      <c r="T113" s="3" t="n"/>
      <c r="U113" s="3" t="n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n"/>
      <c r="AB113" s="3" t="inlineStr">
        <is>
          <t>5박</t>
        </is>
      </c>
      <c r="AC113" s="3" t="inlineStr">
        <is>
          <t>1</t>
        </is>
      </c>
      <c r="AD113" s="3" t="n"/>
      <c r="AE113" s="3" t="n"/>
      <c r="AF113" s="3" t="n"/>
      <c r="AG113" s="3" t="inlineStr">
        <is>
          <t>1</t>
        </is>
      </c>
      <c r="AH113" s="3" t="n"/>
      <c r="AI113" s="3" t="n"/>
      <c r="AJ113" s="3" t="n"/>
      <c r="AK113" s="3" t="n"/>
      <c r="AL113" s="3" t="inlineStr">
        <is>
          <t>FINAL</t>
        </is>
      </c>
      <c r="AM113" s="3" t="n"/>
      <c r="AN113" s="3" t="n"/>
    </row>
    <row r="114">
      <c r="A114" s="3" t="inlineStr">
        <is>
          <t>P0113</t>
        </is>
      </c>
      <c r="B114" s="3" t="n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n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n"/>
      <c r="S114" s="3" t="n"/>
      <c r="T114" s="3" t="n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n"/>
      <c r="AB114" s="3" t="inlineStr">
        <is>
          <t>6박</t>
        </is>
      </c>
      <c r="AC114" s="3" t="inlineStr">
        <is>
          <t>1</t>
        </is>
      </c>
      <c r="AD114" s="3" t="n"/>
      <c r="AE114" s="3" t="n"/>
      <c r="AF114" s="3" t="n"/>
      <c r="AG114" s="3" t="inlineStr">
        <is>
          <t>1</t>
        </is>
      </c>
      <c r="AH114" s="3" t="n"/>
      <c r="AI114" s="3" t="n"/>
      <c r="AJ114" s="3" t="n"/>
      <c r="AK114" s="3" t="n"/>
      <c r="AL114" s="3" t="inlineStr">
        <is>
          <t>FINAL</t>
        </is>
      </c>
      <c r="AM114" s="3" t="n"/>
      <c r="AN114" s="3" t="n"/>
    </row>
    <row r="115">
      <c r="A115" s="3" t="inlineStr">
        <is>
          <t>P0114</t>
        </is>
      </c>
      <c r="B115" s="3" t="n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n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n"/>
      <c r="S115" s="3" t="n"/>
      <c r="T115" s="3" t="n"/>
      <c r="U115" s="3" t="n"/>
      <c r="V115" s="3" t="n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n"/>
      <c r="AB115" s="3" t="inlineStr">
        <is>
          <t>4박</t>
        </is>
      </c>
      <c r="AC115" s="3" t="inlineStr">
        <is>
          <t>1</t>
        </is>
      </c>
      <c r="AD115" s="3" t="n"/>
      <c r="AE115" s="3" t="n"/>
      <c r="AF115" s="3" t="n"/>
      <c r="AG115" s="3" t="inlineStr">
        <is>
          <t>1</t>
        </is>
      </c>
      <c r="AH115" s="3" t="n"/>
      <c r="AI115" s="3" t="n"/>
      <c r="AJ115" s="3" t="n"/>
      <c r="AK115" s="3" t="n"/>
      <c r="AL115" s="3" t="inlineStr">
        <is>
          <t>FINAL</t>
        </is>
      </c>
      <c r="AM115" s="3" t="n"/>
      <c r="AN115" s="3" t="n"/>
    </row>
    <row r="116">
      <c r="A116" s="3" t="inlineStr">
        <is>
          <t>P0115</t>
        </is>
      </c>
      <c r="B116" s="3" t="n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n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n"/>
      <c r="S116" s="3" t="n"/>
      <c r="T116" s="3" t="n"/>
      <c r="U116" s="3" t="n"/>
      <c r="V116" s="3" t="n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n"/>
      <c r="AB116" s="3" t="inlineStr">
        <is>
          <t>4박</t>
        </is>
      </c>
      <c r="AC116" s="3" t="inlineStr">
        <is>
          <t>1</t>
        </is>
      </c>
      <c r="AD116" s="3" t="n"/>
      <c r="AE116" s="3" t="n"/>
      <c r="AF116" s="3" t="n"/>
      <c r="AG116" s="3" t="inlineStr">
        <is>
          <t>1</t>
        </is>
      </c>
      <c r="AH116" s="3" t="n"/>
      <c r="AI116" s="3" t="n"/>
      <c r="AJ116" s="3" t="n"/>
      <c r="AK116" s="3" t="n"/>
      <c r="AL116" s="3" t="inlineStr">
        <is>
          <t>FINAL</t>
        </is>
      </c>
      <c r="AM116" s="3" t="n"/>
      <c r="AN116" s="3" t="n"/>
    </row>
    <row r="117">
      <c r="A117" s="3" t="inlineStr">
        <is>
          <t>P0116</t>
        </is>
      </c>
      <c r="B117" s="3" t="n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n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n"/>
      <c r="S117" s="3" t="n"/>
      <c r="T117" s="3" t="n"/>
      <c r="U117" s="3" t="n"/>
      <c r="V117" s="3" t="n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n"/>
      <c r="AB117" s="3" t="inlineStr">
        <is>
          <t>4박</t>
        </is>
      </c>
      <c r="AC117" s="3" t="inlineStr">
        <is>
          <t>1</t>
        </is>
      </c>
      <c r="AD117" s="3" t="n"/>
      <c r="AE117" s="3" t="n"/>
      <c r="AF117" s="3" t="n"/>
      <c r="AG117" s="3" t="inlineStr">
        <is>
          <t>1</t>
        </is>
      </c>
      <c r="AH117" s="3" t="n"/>
      <c r="AI117" s="3" t="n"/>
      <c r="AJ117" s="3" t="n"/>
      <c r="AK117" s="3" t="n"/>
      <c r="AL117" s="3" t="inlineStr">
        <is>
          <t>FINAL</t>
        </is>
      </c>
      <c r="AM117" s="3" t="n"/>
      <c r="AN117" s="3" t="n"/>
    </row>
    <row r="118">
      <c r="A118" s="3" t="inlineStr">
        <is>
          <t>P0117</t>
        </is>
      </c>
      <c r="B118" s="3" t="n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n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n"/>
      <c r="S118" s="3" t="n"/>
      <c r="T118" s="3" t="n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n"/>
      <c r="AB118" s="3" t="inlineStr">
        <is>
          <t>6박</t>
        </is>
      </c>
      <c r="AC118" s="3" t="inlineStr">
        <is>
          <t>1</t>
        </is>
      </c>
      <c r="AD118" s="3" t="n"/>
      <c r="AE118" s="3" t="n"/>
      <c r="AF118" s="3" t="n"/>
      <c r="AG118" s="3" t="inlineStr">
        <is>
          <t>1</t>
        </is>
      </c>
      <c r="AH118" s="3" t="n"/>
      <c r="AI118" s="3" t="n"/>
      <c r="AJ118" s="3" t="n"/>
      <c r="AK118" s="3" t="n"/>
      <c r="AL118" s="3" t="inlineStr">
        <is>
          <t>FINAL</t>
        </is>
      </c>
      <c r="AM118" s="3" t="n"/>
      <c r="AN118" s="3" t="n"/>
    </row>
    <row r="119">
      <c r="A119" s="3" t="inlineStr">
        <is>
          <t>P0118</t>
        </is>
      </c>
      <c r="B119" s="3" t="n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n"/>
      <c r="S119" s="3" t="n"/>
      <c r="T119" s="3" t="n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n"/>
      <c r="AB119" s="3" t="inlineStr">
        <is>
          <t>6박</t>
        </is>
      </c>
      <c r="AC119" s="3" t="inlineStr">
        <is>
          <t>1</t>
        </is>
      </c>
      <c r="AD119" s="3" t="n"/>
      <c r="AE119" s="3" t="n"/>
      <c r="AF119" s="3" t="n"/>
      <c r="AG119" s="3" t="inlineStr">
        <is>
          <t>1</t>
        </is>
      </c>
      <c r="AH119" s="3" t="n"/>
      <c r="AI119" s="3" t="n"/>
      <c r="AJ119" s="3" t="n"/>
      <c r="AK119" s="3" t="n"/>
      <c r="AL119" s="3" t="inlineStr">
        <is>
          <t>FINAL</t>
        </is>
      </c>
      <c r="AM119" s="3" t="n"/>
      <c r="AN119" s="3" t="n"/>
    </row>
    <row r="120">
      <c r="A120" s="3" t="inlineStr">
        <is>
          <t>P0119</t>
        </is>
      </c>
      <c r="B120" s="3" t="n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n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n"/>
      <c r="S120" s="3" t="n"/>
      <c r="T120" s="3" t="n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n"/>
      <c r="AB120" s="3" t="inlineStr">
        <is>
          <t>6박</t>
        </is>
      </c>
      <c r="AC120" s="3" t="inlineStr">
        <is>
          <t>1</t>
        </is>
      </c>
      <c r="AD120" s="3" t="n"/>
      <c r="AE120" s="3" t="n"/>
      <c r="AF120" s="3" t="n"/>
      <c r="AG120" s="3" t="inlineStr">
        <is>
          <t>1</t>
        </is>
      </c>
      <c r="AH120" s="3" t="n"/>
      <c r="AI120" s="3" t="n"/>
      <c r="AJ120" s="3" t="n"/>
      <c r="AK120" s="3" t="n"/>
      <c r="AL120" s="3" t="inlineStr">
        <is>
          <t>FINAL</t>
        </is>
      </c>
      <c r="AM120" s="3" t="n"/>
      <c r="AN120" s="3" t="n"/>
    </row>
    <row r="121">
      <c r="A121" s="3" t="inlineStr">
        <is>
          <t>P0120</t>
        </is>
      </c>
      <c r="B121" s="3" t="n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n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n"/>
      <c r="S121" s="3" t="n"/>
      <c r="T121" s="3" t="n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n"/>
      <c r="AB121" s="3" t="inlineStr">
        <is>
          <t>6박</t>
        </is>
      </c>
      <c r="AC121" s="3" t="inlineStr">
        <is>
          <t>1</t>
        </is>
      </c>
      <c r="AD121" s="3" t="n"/>
      <c r="AE121" s="3" t="n"/>
      <c r="AF121" s="3" t="n"/>
      <c r="AG121" s="3" t="inlineStr">
        <is>
          <t>1</t>
        </is>
      </c>
      <c r="AH121" s="3" t="n"/>
      <c r="AI121" s="3" t="n"/>
      <c r="AJ121" s="3" t="n"/>
      <c r="AK121" s="3" t="n"/>
      <c r="AL121" s="3" t="inlineStr">
        <is>
          <t>FINAL</t>
        </is>
      </c>
      <c r="AM121" s="3" t="n"/>
      <c r="AN121" s="3" t="n"/>
    </row>
    <row r="122">
      <c r="A122" s="3" t="inlineStr">
        <is>
          <t>P0121</t>
        </is>
      </c>
      <c r="B122" s="3" t="n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n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n"/>
      <c r="S122" s="3" t="n"/>
      <c r="T122" s="3" t="n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n"/>
      <c r="AB122" s="3" t="inlineStr">
        <is>
          <t>6박</t>
        </is>
      </c>
      <c r="AC122" s="3" t="inlineStr">
        <is>
          <t>1</t>
        </is>
      </c>
      <c r="AD122" s="3" t="n"/>
      <c r="AE122" s="3" t="n"/>
      <c r="AF122" s="3" t="n"/>
      <c r="AG122" s="3" t="inlineStr">
        <is>
          <t>1</t>
        </is>
      </c>
      <c r="AH122" s="3" t="n"/>
      <c r="AI122" s="3" t="n"/>
      <c r="AJ122" s="3" t="n"/>
      <c r="AK122" s="3" t="n"/>
      <c r="AL122" s="3" t="inlineStr">
        <is>
          <t>FINAL</t>
        </is>
      </c>
      <c r="AM122" s="3" t="n"/>
      <c r="AN122" s="3" t="n"/>
    </row>
    <row r="123">
      <c r="A123" s="3" t="inlineStr">
        <is>
          <t>P0122</t>
        </is>
      </c>
      <c r="B123" s="3" t="n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n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n"/>
      <c r="S123" s="3" t="n"/>
      <c r="T123" s="3" t="n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n"/>
      <c r="AB123" s="3" t="inlineStr">
        <is>
          <t>6박</t>
        </is>
      </c>
      <c r="AC123" s="3" t="inlineStr">
        <is>
          <t>1</t>
        </is>
      </c>
      <c r="AD123" s="3" t="n"/>
      <c r="AE123" s="3" t="n"/>
      <c r="AF123" s="3" t="n"/>
      <c r="AG123" s="3" t="inlineStr">
        <is>
          <t>1</t>
        </is>
      </c>
      <c r="AH123" s="3" t="n"/>
      <c r="AI123" s="3" t="n"/>
      <c r="AJ123" s="3" t="n"/>
      <c r="AK123" s="3" t="n"/>
      <c r="AL123" s="3" t="inlineStr">
        <is>
          <t>FINAL</t>
        </is>
      </c>
      <c r="AM123" s="3" t="n"/>
      <c r="AN123" s="3" t="n"/>
    </row>
    <row r="124">
      <c r="A124" s="3" t="inlineStr">
        <is>
          <t>P0123</t>
        </is>
      </c>
      <c r="B124" s="3" t="n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n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n"/>
      <c r="S124" s="3" t="n"/>
      <c r="T124" s="3" t="n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n"/>
      <c r="AB124" s="3" t="inlineStr">
        <is>
          <t>6박</t>
        </is>
      </c>
      <c r="AC124" s="3" t="inlineStr">
        <is>
          <t>1</t>
        </is>
      </c>
      <c r="AD124" s="3" t="n"/>
      <c r="AE124" s="3" t="n"/>
      <c r="AF124" s="3" t="n"/>
      <c r="AG124" s="3" t="inlineStr">
        <is>
          <t>1</t>
        </is>
      </c>
      <c r="AH124" s="3" t="n"/>
      <c r="AI124" s="3" t="n"/>
      <c r="AJ124" s="3" t="n"/>
      <c r="AK124" s="3" t="n"/>
      <c r="AL124" s="3" t="inlineStr">
        <is>
          <t>FINAL</t>
        </is>
      </c>
      <c r="AM124" s="3" t="n"/>
      <c r="AN124" s="3" t="n"/>
    </row>
    <row r="125">
      <c r="A125" s="3" t="inlineStr">
        <is>
          <t>P0124</t>
        </is>
      </c>
      <c r="B125" s="3" t="n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n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n"/>
      <c r="S125" s="3" t="n"/>
      <c r="T125" s="3" t="n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n"/>
      <c r="AB125" s="3" t="inlineStr">
        <is>
          <t>6박</t>
        </is>
      </c>
      <c r="AC125" s="3" t="inlineStr">
        <is>
          <t>1</t>
        </is>
      </c>
      <c r="AD125" s="3" t="n"/>
      <c r="AE125" s="3" t="n"/>
      <c r="AF125" s="3" t="n"/>
      <c r="AG125" s="3" t="inlineStr">
        <is>
          <t>1</t>
        </is>
      </c>
      <c r="AH125" s="3" t="n"/>
      <c r="AI125" s="3" t="n"/>
      <c r="AJ125" s="3" t="n"/>
      <c r="AK125" s="3" t="n"/>
      <c r="AL125" s="3" t="inlineStr">
        <is>
          <t>FINAL</t>
        </is>
      </c>
      <c r="AM125" s="3" t="n"/>
      <c r="AN125" s="3" t="n"/>
    </row>
    <row r="126">
      <c r="A126" s="3" t="inlineStr">
        <is>
          <t>P0125</t>
        </is>
      </c>
      <c r="B126" s="3" t="n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n"/>
      <c r="S126" s="3" t="n"/>
      <c r="T126" s="3" t="n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n"/>
      <c r="AB126" s="3" t="inlineStr">
        <is>
          <t>6박</t>
        </is>
      </c>
      <c r="AC126" s="3" t="inlineStr">
        <is>
          <t>1</t>
        </is>
      </c>
      <c r="AD126" s="3" t="n"/>
      <c r="AE126" s="3" t="n"/>
      <c r="AF126" s="3" t="n"/>
      <c r="AG126" s="3" t="inlineStr">
        <is>
          <t>1</t>
        </is>
      </c>
      <c r="AH126" s="3" t="n"/>
      <c r="AI126" s="3" t="n"/>
      <c r="AJ126" s="3" t="n"/>
      <c r="AK126" s="3" t="n"/>
      <c r="AL126" s="3" t="inlineStr">
        <is>
          <t>FINAL</t>
        </is>
      </c>
      <c r="AM126" s="3" t="inlineStr">
        <is>
          <t>한글이름 확인</t>
        </is>
      </c>
      <c r="AN126" s="3" t="n"/>
    </row>
    <row r="127">
      <c r="A127" s="3" t="inlineStr">
        <is>
          <t>P0126</t>
        </is>
      </c>
      <c r="B127" s="3" t="n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n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n"/>
      <c r="S127" s="3" t="n"/>
      <c r="T127" s="3" t="n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n"/>
      <c r="AB127" s="3" t="inlineStr">
        <is>
          <t>6박</t>
        </is>
      </c>
      <c r="AC127" s="3" t="inlineStr">
        <is>
          <t>1</t>
        </is>
      </c>
      <c r="AD127" s="3" t="n"/>
      <c r="AE127" s="3" t="n"/>
      <c r="AF127" s="3" t="n"/>
      <c r="AG127" s="3" t="inlineStr">
        <is>
          <t>1</t>
        </is>
      </c>
      <c r="AH127" s="3" t="n"/>
      <c r="AI127" s="3" t="n"/>
      <c r="AJ127" s="3" t="n"/>
      <c r="AK127" s="3" t="n"/>
      <c r="AL127" s="3" t="inlineStr">
        <is>
          <t>FINAL</t>
        </is>
      </c>
      <c r="AM127" s="3" t="n"/>
      <c r="AN127" s="3" t="n"/>
    </row>
    <row r="128">
      <c r="A128" s="3" t="inlineStr">
        <is>
          <t>P0127</t>
        </is>
      </c>
      <c r="B128" s="3" t="n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n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n"/>
      <c r="S128" s="3" t="n"/>
      <c r="T128" s="3" t="n"/>
      <c r="U128" s="3" t="n"/>
      <c r="V128" s="3" t="n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n"/>
      <c r="AB128" s="3" t="inlineStr">
        <is>
          <t>4박</t>
        </is>
      </c>
      <c r="AC128" s="3" t="inlineStr">
        <is>
          <t>1</t>
        </is>
      </c>
      <c r="AD128" s="3" t="n"/>
      <c r="AE128" s="3" t="n"/>
      <c r="AF128" s="3" t="n"/>
      <c r="AG128" s="3" t="inlineStr">
        <is>
          <t>1</t>
        </is>
      </c>
      <c r="AH128" s="3" t="n"/>
      <c r="AI128" s="3" t="n"/>
      <c r="AJ128" s="3" t="n"/>
      <c r="AK128" s="3" t="n"/>
      <c r="AL128" s="3" t="inlineStr">
        <is>
          <t>FINAL</t>
        </is>
      </c>
      <c r="AM128" s="3" t="n"/>
      <c r="AN128" s="3" t="n"/>
    </row>
    <row r="129">
      <c r="A129" s="3" t="inlineStr">
        <is>
          <t>P0128</t>
        </is>
      </c>
      <c r="B129" s="3" t="n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n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n"/>
      <c r="S129" s="3" t="n"/>
      <c r="T129" s="3" t="n"/>
      <c r="U129" s="3" t="n"/>
      <c r="V129" s="3" t="n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n"/>
      <c r="AB129" s="3" t="inlineStr">
        <is>
          <t>4박</t>
        </is>
      </c>
      <c r="AC129" s="3" t="inlineStr">
        <is>
          <t>1</t>
        </is>
      </c>
      <c r="AD129" s="3" t="n"/>
      <c r="AE129" s="3" t="n"/>
      <c r="AF129" s="3" t="n"/>
      <c r="AG129" s="3" t="inlineStr">
        <is>
          <t>1</t>
        </is>
      </c>
      <c r="AH129" s="3" t="n"/>
      <c r="AI129" s="3" t="n"/>
      <c r="AJ129" s="3" t="n"/>
      <c r="AK129" s="3" t="n"/>
      <c r="AL129" s="3" t="inlineStr">
        <is>
          <t>FINAL</t>
        </is>
      </c>
      <c r="AM129" s="3" t="n"/>
      <c r="AN129" s="3" t="n"/>
    </row>
    <row r="130">
      <c r="A130" s="3" t="inlineStr">
        <is>
          <t>P0129</t>
        </is>
      </c>
      <c r="B130" s="3" t="n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n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n"/>
      <c r="S130" s="3" t="n"/>
      <c r="T130" s="3" t="n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n"/>
      <c r="AB130" s="3" t="inlineStr">
        <is>
          <t>6박</t>
        </is>
      </c>
      <c r="AC130" s="3" t="inlineStr">
        <is>
          <t>1</t>
        </is>
      </c>
      <c r="AD130" s="3" t="n"/>
      <c r="AE130" s="3" t="n"/>
      <c r="AF130" s="3" t="n"/>
      <c r="AG130" s="3" t="inlineStr">
        <is>
          <t>1</t>
        </is>
      </c>
      <c r="AH130" s="3" t="n"/>
      <c r="AI130" s="3" t="n"/>
      <c r="AJ130" s="3" t="n"/>
      <c r="AK130" s="3" t="n"/>
      <c r="AL130" s="3" t="inlineStr">
        <is>
          <t>FINAL</t>
        </is>
      </c>
      <c r="AM130" s="3" t="n"/>
      <c r="AN130" s="3" t="n"/>
    </row>
    <row r="131">
      <c r="A131" s="3" t="inlineStr">
        <is>
          <t>P0130</t>
        </is>
      </c>
      <c r="B131" s="3" t="n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n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n"/>
      <c r="S131" s="3" t="n"/>
      <c r="T131" s="3" t="n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n"/>
      <c r="AB131" s="3" t="inlineStr">
        <is>
          <t>6박</t>
        </is>
      </c>
      <c r="AC131" s="3" t="inlineStr">
        <is>
          <t>1</t>
        </is>
      </c>
      <c r="AD131" s="3" t="n"/>
      <c r="AE131" s="3" t="n"/>
      <c r="AF131" s="3" t="n"/>
      <c r="AG131" s="3" t="inlineStr">
        <is>
          <t>1</t>
        </is>
      </c>
      <c r="AH131" s="3" t="n"/>
      <c r="AI131" s="3" t="n"/>
      <c r="AJ131" s="3" t="n"/>
      <c r="AK131" s="3" t="n"/>
      <c r="AL131" s="3" t="inlineStr">
        <is>
          <t>FINAL</t>
        </is>
      </c>
      <c r="AM131" s="3" t="n"/>
      <c r="AN131" s="3" t="n"/>
    </row>
    <row r="132">
      <c r="A132" s="3" t="inlineStr">
        <is>
          <t>P0131</t>
        </is>
      </c>
      <c r="B132" s="3" t="n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n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n"/>
      <c r="S132" s="3" t="n"/>
      <c r="T132" s="3" t="n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n"/>
      <c r="AB132" s="3" t="inlineStr">
        <is>
          <t>6박</t>
        </is>
      </c>
      <c r="AC132" s="3" t="inlineStr">
        <is>
          <t>1</t>
        </is>
      </c>
      <c r="AD132" s="3" t="n"/>
      <c r="AE132" s="3" t="n"/>
      <c r="AF132" s="3" t="n"/>
      <c r="AG132" s="3" t="inlineStr">
        <is>
          <t>1</t>
        </is>
      </c>
      <c r="AH132" s="3" t="n"/>
      <c r="AI132" s="3" t="n"/>
      <c r="AJ132" s="3" t="n"/>
      <c r="AK132" s="3" t="n"/>
      <c r="AL132" s="3" t="inlineStr">
        <is>
          <t>FINAL</t>
        </is>
      </c>
      <c r="AM132" s="3" t="n"/>
      <c r="AN132" s="3" t="n"/>
    </row>
    <row r="133">
      <c r="A133" s="3" t="inlineStr">
        <is>
          <t>P0132</t>
        </is>
      </c>
      <c r="B133" s="3" t="n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n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n"/>
      <c r="S133" s="3" t="n"/>
      <c r="T133" s="3" t="n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n"/>
      <c r="AB133" s="3" t="inlineStr">
        <is>
          <t>6박</t>
        </is>
      </c>
      <c r="AC133" s="3" t="inlineStr">
        <is>
          <t>1</t>
        </is>
      </c>
      <c r="AD133" s="3" t="n"/>
      <c r="AE133" s="3" t="n"/>
      <c r="AF133" s="3" t="n"/>
      <c r="AG133" s="3" t="inlineStr">
        <is>
          <t>1</t>
        </is>
      </c>
      <c r="AH133" s="3" t="n"/>
      <c r="AI133" s="3" t="n"/>
      <c r="AJ133" s="3" t="n"/>
      <c r="AK133" s="3" t="n"/>
      <c r="AL133" s="3" t="inlineStr">
        <is>
          <t>FINAL</t>
        </is>
      </c>
      <c r="AM133" s="3" t="n"/>
      <c r="AN133" s="3" t="n"/>
    </row>
    <row r="134">
      <c r="A134" s="3" t="inlineStr">
        <is>
          <t>P0133</t>
        </is>
      </c>
      <c r="B134" s="3" t="n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n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n"/>
      <c r="S134" s="3" t="n"/>
      <c r="T134" s="3" t="n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n"/>
      <c r="AB134" s="3" t="inlineStr">
        <is>
          <t>6박</t>
        </is>
      </c>
      <c r="AC134" s="3" t="inlineStr">
        <is>
          <t>1</t>
        </is>
      </c>
      <c r="AD134" s="3" t="n"/>
      <c r="AE134" s="3" t="n"/>
      <c r="AF134" s="3" t="n"/>
      <c r="AG134" s="3" t="inlineStr">
        <is>
          <t>1</t>
        </is>
      </c>
      <c r="AH134" s="3" t="n"/>
      <c r="AI134" s="3" t="n"/>
      <c r="AJ134" s="3" t="n"/>
      <c r="AK134" s="3" t="n"/>
      <c r="AL134" s="3" t="inlineStr">
        <is>
          <t>FINAL</t>
        </is>
      </c>
      <c r="AM134" s="3" t="n"/>
      <c r="AN134" s="3" t="n"/>
    </row>
    <row r="135">
      <c r="A135" s="3" t="inlineStr">
        <is>
          <t>P0134</t>
        </is>
      </c>
      <c r="B135" s="3" t="n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n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n"/>
      <c r="S135" s="3" t="n"/>
      <c r="T135" s="3" t="n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n"/>
      <c r="AB135" s="3" t="inlineStr">
        <is>
          <t>6박</t>
        </is>
      </c>
      <c r="AC135" s="3" t="inlineStr">
        <is>
          <t>1</t>
        </is>
      </c>
      <c r="AD135" s="3" t="n"/>
      <c r="AE135" s="3" t="n"/>
      <c r="AF135" s="3" t="n"/>
      <c r="AG135" s="3" t="inlineStr">
        <is>
          <t>1</t>
        </is>
      </c>
      <c r="AH135" s="3" t="n"/>
      <c r="AI135" s="3" t="n"/>
      <c r="AJ135" s="3" t="n"/>
      <c r="AK135" s="3" t="n"/>
      <c r="AL135" s="3" t="inlineStr">
        <is>
          <t>FINAL</t>
        </is>
      </c>
      <c r="AM135" s="3" t="n"/>
      <c r="AN135" s="3" t="n"/>
    </row>
    <row r="136">
      <c r="A136" s="3" t="inlineStr">
        <is>
          <t>P0135</t>
        </is>
      </c>
      <c r="B136" s="3" t="n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n"/>
      <c r="S136" s="3" t="n"/>
      <c r="T136" s="3" t="n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n"/>
      <c r="AB136" s="3" t="inlineStr">
        <is>
          <t>6박</t>
        </is>
      </c>
      <c r="AC136" s="3" t="inlineStr">
        <is>
          <t>1</t>
        </is>
      </c>
      <c r="AD136" s="3" t="n"/>
      <c r="AE136" s="3" t="n"/>
      <c r="AF136" s="3" t="n"/>
      <c r="AG136" s="3" t="inlineStr">
        <is>
          <t>1</t>
        </is>
      </c>
      <c r="AH136" s="3" t="n"/>
      <c r="AI136" s="3" t="n"/>
      <c r="AJ136" s="3" t="n"/>
      <c r="AK136" s="3" t="n"/>
      <c r="AL136" s="3" t="inlineStr">
        <is>
          <t>FINAL</t>
        </is>
      </c>
      <c r="AM136" s="3" t="inlineStr">
        <is>
          <t>한글이름 확인</t>
        </is>
      </c>
      <c r="AN136" s="3" t="n"/>
    </row>
    <row r="137">
      <c r="A137" s="3" t="inlineStr">
        <is>
          <t>P0136</t>
        </is>
      </c>
      <c r="B137" s="3" t="n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n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n"/>
      <c r="S137" s="3" t="n"/>
      <c r="T137" s="3" t="n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n"/>
      <c r="AB137" s="3" t="inlineStr">
        <is>
          <t>6박</t>
        </is>
      </c>
      <c r="AC137" s="3" t="inlineStr">
        <is>
          <t>1</t>
        </is>
      </c>
      <c r="AD137" s="3" t="n"/>
      <c r="AE137" s="3" t="n"/>
      <c r="AF137" s="3" t="n"/>
      <c r="AG137" s="3" t="inlineStr">
        <is>
          <t>1</t>
        </is>
      </c>
      <c r="AH137" s="3" t="n"/>
      <c r="AI137" s="3" t="n"/>
      <c r="AJ137" s="3" t="n"/>
      <c r="AK137" s="3" t="n"/>
      <c r="AL137" s="3" t="inlineStr">
        <is>
          <t>FINAL</t>
        </is>
      </c>
      <c r="AM137" s="3" t="n"/>
      <c r="AN137" s="3" t="n"/>
    </row>
    <row r="138">
      <c r="A138" s="3" t="inlineStr">
        <is>
          <t>P0137</t>
        </is>
      </c>
      <c r="B138" s="3" t="n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n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n"/>
      <c r="S138" s="3" t="n"/>
      <c r="T138" s="3" t="n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n"/>
      <c r="AB138" s="3" t="inlineStr">
        <is>
          <t>6박</t>
        </is>
      </c>
      <c r="AC138" s="3" t="inlineStr">
        <is>
          <t>1</t>
        </is>
      </c>
      <c r="AD138" s="3" t="n"/>
      <c r="AE138" s="3" t="n"/>
      <c r="AF138" s="3" t="n"/>
      <c r="AG138" s="3" t="inlineStr">
        <is>
          <t>1</t>
        </is>
      </c>
      <c r="AH138" s="3" t="n"/>
      <c r="AI138" s="3" t="n"/>
      <c r="AJ138" s="3" t="n"/>
      <c r="AK138" s="3" t="n"/>
      <c r="AL138" s="3" t="inlineStr">
        <is>
          <t>FINAL</t>
        </is>
      </c>
      <c r="AM138" s="3" t="n"/>
      <c r="AN138" s="3" t="n"/>
    </row>
    <row r="139">
      <c r="A139" s="3" t="inlineStr">
        <is>
          <t>P0138</t>
        </is>
      </c>
      <c r="B139" s="3" t="n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n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n"/>
      <c r="S139" s="3" t="n"/>
      <c r="T139" s="3" t="n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n"/>
      <c r="AB139" s="3" t="inlineStr">
        <is>
          <t>6박</t>
        </is>
      </c>
      <c r="AC139" s="3" t="inlineStr">
        <is>
          <t>1</t>
        </is>
      </c>
      <c r="AD139" s="3" t="n"/>
      <c r="AE139" s="3" t="n"/>
      <c r="AF139" s="3" t="n"/>
      <c r="AG139" s="3" t="inlineStr">
        <is>
          <t>1</t>
        </is>
      </c>
      <c r="AH139" s="3" t="n"/>
      <c r="AI139" s="3" t="n"/>
      <c r="AJ139" s="3" t="n"/>
      <c r="AK139" s="3" t="n"/>
      <c r="AL139" s="3" t="inlineStr">
        <is>
          <t>FINAL</t>
        </is>
      </c>
      <c r="AM139" s="3" t="n"/>
      <c r="AN139" s="3" t="n"/>
    </row>
    <row r="140">
      <c r="A140" s="3" t="inlineStr">
        <is>
          <t>P0139</t>
        </is>
      </c>
      <c r="B140" s="3" t="n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n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n"/>
      <c r="S140" s="3" t="n"/>
      <c r="T140" s="3" t="n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n"/>
      <c r="AB140" s="3" t="inlineStr">
        <is>
          <t>6박</t>
        </is>
      </c>
      <c r="AC140" s="3" t="inlineStr">
        <is>
          <t>1</t>
        </is>
      </c>
      <c r="AD140" s="3" t="n"/>
      <c r="AE140" s="3" t="n"/>
      <c r="AF140" s="3" t="n"/>
      <c r="AG140" s="3" t="inlineStr">
        <is>
          <t>1</t>
        </is>
      </c>
      <c r="AH140" s="3" t="n"/>
      <c r="AI140" s="3" t="n"/>
      <c r="AJ140" s="3" t="n"/>
      <c r="AK140" s="3" t="n"/>
      <c r="AL140" s="3" t="inlineStr">
        <is>
          <t>FINAL</t>
        </is>
      </c>
      <c r="AM140" s="3" t="n"/>
      <c r="AN140" s="3" t="n"/>
    </row>
    <row r="141">
      <c r="A141" s="3" t="inlineStr">
        <is>
          <t>P0140</t>
        </is>
      </c>
      <c r="B141" s="3" t="n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n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n"/>
      <c r="S141" s="3" t="n"/>
      <c r="T141" s="3" t="n"/>
      <c r="U141" s="3" t="inlineStr">
        <is>
          <t>✓</t>
        </is>
      </c>
      <c r="V141" s="3" t="n"/>
      <c r="W141" s="3" t="n"/>
      <c r="X141" s="3" t="n"/>
      <c r="Y141" s="3" t="n"/>
      <c r="Z141" s="3" t="n"/>
      <c r="AA141" s="3" t="n"/>
      <c r="AB141" s="3" t="inlineStr">
        <is>
          <t>1박</t>
        </is>
      </c>
      <c r="AC141" s="3" t="inlineStr">
        <is>
          <t>1</t>
        </is>
      </c>
      <c r="AD141" s="3" t="n"/>
      <c r="AE141" s="3" t="n"/>
      <c r="AF141" s="3" t="n"/>
      <c r="AG141" s="3" t="inlineStr">
        <is>
          <t>1</t>
        </is>
      </c>
      <c r="AH141" s="3" t="n"/>
      <c r="AI141" s="3" t="n"/>
      <c r="AJ141" s="3" t="n"/>
      <c r="AK141" s="3" t="n"/>
      <c r="AL141" s="3" t="inlineStr">
        <is>
          <t>FINAL</t>
        </is>
      </c>
      <c r="AM141" s="3" t="n"/>
      <c r="AN141" s="3" t="n"/>
    </row>
    <row r="142">
      <c r="A142" s="3" t="inlineStr">
        <is>
          <t>P0141</t>
        </is>
      </c>
      <c r="B142" s="3" t="n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n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n"/>
      <c r="S142" s="3" t="n"/>
      <c r="T142" s="3" t="n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n"/>
      <c r="AB142" s="3" t="inlineStr">
        <is>
          <t>6박</t>
        </is>
      </c>
      <c r="AC142" s="3" t="inlineStr">
        <is>
          <t>1</t>
        </is>
      </c>
      <c r="AD142" s="3" t="n"/>
      <c r="AE142" s="3" t="n"/>
      <c r="AF142" s="3" t="n"/>
      <c r="AG142" s="3" t="inlineStr">
        <is>
          <t>1</t>
        </is>
      </c>
      <c r="AH142" s="3" t="n"/>
      <c r="AI142" s="3" t="n"/>
      <c r="AJ142" s="3" t="n"/>
      <c r="AK142" s="3" t="n"/>
      <c r="AL142" s="3" t="inlineStr">
        <is>
          <t>FINAL</t>
        </is>
      </c>
      <c r="AM142" s="3" t="n"/>
      <c r="AN142" s="3" t="n"/>
    </row>
    <row r="143">
      <c r="A143" s="3" t="inlineStr">
        <is>
          <t>P0142</t>
        </is>
      </c>
      <c r="B143" s="3" t="n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n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n"/>
      <c r="S143" s="3" t="n"/>
      <c r="T143" s="3" t="n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n"/>
      <c r="AB143" s="3" t="inlineStr">
        <is>
          <t>6박</t>
        </is>
      </c>
      <c r="AC143" s="3" t="inlineStr">
        <is>
          <t>1</t>
        </is>
      </c>
      <c r="AD143" s="3" t="n"/>
      <c r="AE143" s="3" t="n"/>
      <c r="AF143" s="3" t="n"/>
      <c r="AG143" s="3" t="inlineStr">
        <is>
          <t>1</t>
        </is>
      </c>
      <c r="AH143" s="3" t="n"/>
      <c r="AI143" s="3" t="n"/>
      <c r="AJ143" s="3" t="n"/>
      <c r="AK143" s="3" t="n"/>
      <c r="AL143" s="3" t="inlineStr">
        <is>
          <t>FINAL</t>
        </is>
      </c>
      <c r="AM143" s="3" t="n"/>
      <c r="AN143" s="3" t="n"/>
    </row>
    <row r="144">
      <c r="A144" s="3" t="inlineStr">
        <is>
          <t>P0143</t>
        </is>
      </c>
      <c r="B144" s="3" t="n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n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n"/>
      <c r="S144" s="3" t="n"/>
      <c r="T144" s="3" t="n"/>
      <c r="U144" s="3" t="n"/>
      <c r="V144" s="3" t="n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n"/>
      <c r="AB144" s="3" t="inlineStr">
        <is>
          <t>4박</t>
        </is>
      </c>
      <c r="AC144" s="3" t="inlineStr">
        <is>
          <t>1</t>
        </is>
      </c>
      <c r="AD144" s="3" t="n"/>
      <c r="AE144" s="3" t="n"/>
      <c r="AF144" s="3" t="n"/>
      <c r="AG144" s="3" t="inlineStr">
        <is>
          <t>1</t>
        </is>
      </c>
      <c r="AH144" s="3" t="n"/>
      <c r="AI144" s="3" t="n"/>
      <c r="AJ144" s="3" t="n"/>
      <c r="AK144" s="3" t="n"/>
      <c r="AL144" s="3" t="inlineStr">
        <is>
          <t>FINAL</t>
        </is>
      </c>
      <c r="AM144" s="3" t="n"/>
      <c r="AN144" s="3" t="n"/>
    </row>
    <row r="145">
      <c r="A145" s="3" t="inlineStr">
        <is>
          <t>P0144</t>
        </is>
      </c>
      <c r="B145" s="3" t="n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n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n"/>
      <c r="S145" s="3" t="n"/>
      <c r="T145" s="3" t="n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n"/>
      <c r="AB145" s="3" t="inlineStr">
        <is>
          <t>6박</t>
        </is>
      </c>
      <c r="AC145" s="3" t="inlineStr">
        <is>
          <t>1</t>
        </is>
      </c>
      <c r="AD145" s="3" t="n"/>
      <c r="AE145" s="3" t="n"/>
      <c r="AF145" s="3" t="n"/>
      <c r="AG145" s="3" t="inlineStr">
        <is>
          <t>1</t>
        </is>
      </c>
      <c r="AH145" s="3" t="n"/>
      <c r="AI145" s="3" t="n"/>
      <c r="AJ145" s="3" t="n"/>
      <c r="AK145" s="3" t="n"/>
      <c r="AL145" s="3" t="inlineStr">
        <is>
          <t>FINAL</t>
        </is>
      </c>
      <c r="AM145" s="3" t="n"/>
      <c r="AN145" s="3" t="n"/>
    </row>
    <row r="146">
      <c r="A146" s="3" t="inlineStr">
        <is>
          <t>P0145</t>
        </is>
      </c>
      <c r="B146" s="3" t="n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n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n"/>
      <c r="S146" s="3" t="n"/>
      <c r="T146" s="3" t="n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n"/>
      <c r="AB146" s="3" t="inlineStr">
        <is>
          <t>6박</t>
        </is>
      </c>
      <c r="AC146" s="3" t="inlineStr">
        <is>
          <t>1</t>
        </is>
      </c>
      <c r="AD146" s="3" t="n"/>
      <c r="AE146" s="3" t="n"/>
      <c r="AF146" s="3" t="n"/>
      <c r="AG146" s="3" t="inlineStr">
        <is>
          <t>1</t>
        </is>
      </c>
      <c r="AH146" s="3" t="n"/>
      <c r="AI146" s="3" t="n"/>
      <c r="AJ146" s="3" t="n"/>
      <c r="AK146" s="3" t="n"/>
      <c r="AL146" s="3" t="inlineStr">
        <is>
          <t>FINAL</t>
        </is>
      </c>
      <c r="AM146" s="3" t="n"/>
      <c r="AN146" s="3" t="n"/>
    </row>
    <row r="147">
      <c r="A147" s="3" t="inlineStr">
        <is>
          <t>P0146</t>
        </is>
      </c>
      <c r="B147" s="3" t="n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n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n"/>
      <c r="S147" s="3" t="n"/>
      <c r="T147" s="3" t="n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n"/>
      <c r="AB147" s="3" t="inlineStr">
        <is>
          <t>6박</t>
        </is>
      </c>
      <c r="AC147" s="3" t="inlineStr">
        <is>
          <t>1</t>
        </is>
      </c>
      <c r="AD147" s="3" t="n"/>
      <c r="AE147" s="3" t="n"/>
      <c r="AF147" s="3" t="n"/>
      <c r="AG147" s="3" t="inlineStr">
        <is>
          <t>1</t>
        </is>
      </c>
      <c r="AH147" s="3" t="n"/>
      <c r="AI147" s="3" t="n"/>
      <c r="AJ147" s="3" t="n"/>
      <c r="AK147" s="3" t="n"/>
      <c r="AL147" s="3" t="inlineStr">
        <is>
          <t>FINAL</t>
        </is>
      </c>
      <c r="AM147" s="3" t="n"/>
      <c r="AN147" s="3" t="n"/>
    </row>
    <row r="148">
      <c r="A148" s="3" t="inlineStr">
        <is>
          <t>P0147</t>
        </is>
      </c>
      <c r="B148" s="3" t="n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n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n"/>
      <c r="S148" s="3" t="n"/>
      <c r="T148" s="3" t="n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n"/>
      <c r="AB148" s="3" t="inlineStr">
        <is>
          <t>6박</t>
        </is>
      </c>
      <c r="AC148" s="3" t="inlineStr">
        <is>
          <t>1</t>
        </is>
      </c>
      <c r="AD148" s="3" t="n"/>
      <c r="AE148" s="3" t="n"/>
      <c r="AF148" s="3" t="n"/>
      <c r="AG148" s="3" t="inlineStr">
        <is>
          <t>1</t>
        </is>
      </c>
      <c r="AH148" s="3" t="n"/>
      <c r="AI148" s="3" t="n"/>
      <c r="AJ148" s="3" t="n"/>
      <c r="AK148" s="3" t="n"/>
      <c r="AL148" s="3" t="inlineStr">
        <is>
          <t>FINAL</t>
        </is>
      </c>
      <c r="AM148" s="3" t="n"/>
      <c r="AN148" s="3" t="n"/>
    </row>
    <row r="149">
      <c r="A149" s="3" t="inlineStr">
        <is>
          <t>P0148</t>
        </is>
      </c>
      <c r="B149" s="3" t="n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n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n"/>
      <c r="S149" s="3" t="n"/>
      <c r="T149" s="3" t="n"/>
      <c r="U149" s="3" t="inlineStr">
        <is>
          <t>✓</t>
        </is>
      </c>
      <c r="V149" s="3" t="n"/>
      <c r="W149" s="3" t="n"/>
      <c r="X149" s="3" t="n"/>
      <c r="Y149" s="3" t="n"/>
      <c r="Z149" s="3" t="n"/>
      <c r="AA149" s="3" t="n"/>
      <c r="AB149" s="3" t="inlineStr">
        <is>
          <t>1박</t>
        </is>
      </c>
      <c r="AC149" s="3" t="inlineStr">
        <is>
          <t>1</t>
        </is>
      </c>
      <c r="AD149" s="3" t="n"/>
      <c r="AE149" s="3" t="n"/>
      <c r="AF149" s="3" t="n"/>
      <c r="AG149" s="3" t="inlineStr">
        <is>
          <t>1</t>
        </is>
      </c>
      <c r="AH149" s="3" t="n"/>
      <c r="AI149" s="3" t="n"/>
      <c r="AJ149" s="3" t="n"/>
      <c r="AK149" s="3" t="n"/>
      <c r="AL149" s="3" t="inlineStr">
        <is>
          <t>FINAL</t>
        </is>
      </c>
      <c r="AM149" s="3" t="n"/>
      <c r="AN149" s="3" t="n"/>
    </row>
    <row r="150">
      <c r="A150" s="3" t="inlineStr">
        <is>
          <t>P0149</t>
        </is>
      </c>
      <c r="B150" s="3" t="n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n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n"/>
      <c r="S150" s="3" t="n"/>
      <c r="T150" s="3" t="n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n"/>
      <c r="AB150" s="3" t="inlineStr">
        <is>
          <t>6박</t>
        </is>
      </c>
      <c r="AC150" s="3" t="inlineStr">
        <is>
          <t>1</t>
        </is>
      </c>
      <c r="AD150" s="3" t="n"/>
      <c r="AE150" s="3" t="n"/>
      <c r="AF150" s="3" t="n"/>
      <c r="AG150" s="3" t="inlineStr">
        <is>
          <t>1</t>
        </is>
      </c>
      <c r="AH150" s="3" t="n"/>
      <c r="AI150" s="3" t="n"/>
      <c r="AJ150" s="3" t="n"/>
      <c r="AK150" s="3" t="n"/>
      <c r="AL150" s="3" t="inlineStr">
        <is>
          <t>FINAL</t>
        </is>
      </c>
      <c r="AM150" s="3" t="n"/>
      <c r="AN150" s="3" t="n"/>
    </row>
    <row r="151">
      <c r="A151" s="3" t="inlineStr">
        <is>
          <t>P0150</t>
        </is>
      </c>
      <c r="B151" s="3" t="n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n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n"/>
      <c r="S151" s="3" t="n"/>
      <c r="T151" s="3" t="n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n"/>
      <c r="AB151" s="3" t="inlineStr">
        <is>
          <t>6박</t>
        </is>
      </c>
      <c r="AC151" s="3" t="inlineStr">
        <is>
          <t>1</t>
        </is>
      </c>
      <c r="AD151" s="3" t="n"/>
      <c r="AE151" s="3" t="n"/>
      <c r="AF151" s="3" t="n"/>
      <c r="AG151" s="3" t="inlineStr">
        <is>
          <t>1</t>
        </is>
      </c>
      <c r="AH151" s="3" t="n"/>
      <c r="AI151" s="3" t="n"/>
      <c r="AJ151" s="3" t="n"/>
      <c r="AK151" s="3" t="n"/>
      <c r="AL151" s="3" t="inlineStr">
        <is>
          <t>FINAL</t>
        </is>
      </c>
      <c r="AM151" s="3" t="n"/>
      <c r="AN151" s="3" t="n"/>
    </row>
    <row r="152">
      <c r="A152" s="3" t="inlineStr">
        <is>
          <t>P0151</t>
        </is>
      </c>
      <c r="B152" s="3" t="n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n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n"/>
      <c r="S152" s="3" t="n"/>
      <c r="T152" s="3" t="n"/>
      <c r="U152" s="3" t="n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n"/>
      <c r="AB152" s="3" t="inlineStr">
        <is>
          <t>5박</t>
        </is>
      </c>
      <c r="AC152" s="3" t="inlineStr">
        <is>
          <t>1</t>
        </is>
      </c>
      <c r="AD152" s="3" t="n"/>
      <c r="AE152" s="3" t="n"/>
      <c r="AF152" s="3" t="n"/>
      <c r="AG152" s="3" t="inlineStr">
        <is>
          <t>1</t>
        </is>
      </c>
      <c r="AH152" s="3" t="n"/>
      <c r="AI152" s="3" t="n"/>
      <c r="AJ152" s="3" t="n"/>
      <c r="AK152" s="3" t="n"/>
      <c r="AL152" s="3" t="inlineStr">
        <is>
          <t>FINAL</t>
        </is>
      </c>
      <c r="AM152" s="3" t="n"/>
      <c r="AN152" s="3" t="n"/>
    </row>
    <row r="153">
      <c r="A153" s="3" t="inlineStr">
        <is>
          <t>P0152</t>
        </is>
      </c>
      <c r="B153" s="3" t="n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n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n"/>
      <c r="S153" s="3" t="n"/>
      <c r="T153" s="3" t="n"/>
      <c r="U153" s="3" t="inlineStr">
        <is>
          <t>✓</t>
        </is>
      </c>
      <c r="V153" s="3" t="n"/>
      <c r="W153" s="3" t="n"/>
      <c r="X153" s="3" t="n"/>
      <c r="Y153" s="3" t="n"/>
      <c r="Z153" s="3" t="n"/>
      <c r="AA153" s="3" t="n"/>
      <c r="AB153" s="3" t="inlineStr">
        <is>
          <t>1박</t>
        </is>
      </c>
      <c r="AC153" s="3" t="inlineStr">
        <is>
          <t>1</t>
        </is>
      </c>
      <c r="AD153" s="3" t="n"/>
      <c r="AE153" s="3" t="n"/>
      <c r="AF153" s="3" t="n"/>
      <c r="AG153" s="3" t="inlineStr">
        <is>
          <t>1</t>
        </is>
      </c>
      <c r="AH153" s="3" t="n"/>
      <c r="AI153" s="3" t="n"/>
      <c r="AJ153" s="3" t="n"/>
      <c r="AK153" s="3" t="n"/>
      <c r="AL153" s="3" t="inlineStr">
        <is>
          <t>FINAL</t>
        </is>
      </c>
      <c r="AM153" s="3" t="n"/>
      <c r="AN153" s="3" t="n"/>
    </row>
    <row r="154">
      <c r="A154" s="3" t="inlineStr">
        <is>
          <t>P0153</t>
        </is>
      </c>
      <c r="B154" s="3" t="n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n"/>
      <c r="S154" s="3" t="n"/>
      <c r="T154" s="3" t="n"/>
      <c r="U154" s="3" t="n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n"/>
      <c r="AB154" s="3" t="inlineStr">
        <is>
          <t>5박</t>
        </is>
      </c>
      <c r="AC154" s="3" t="inlineStr">
        <is>
          <t>1</t>
        </is>
      </c>
      <c r="AD154" s="3" t="n"/>
      <c r="AE154" s="3" t="n"/>
      <c r="AF154" s="3" t="n"/>
      <c r="AG154" s="3" t="inlineStr">
        <is>
          <t>1</t>
        </is>
      </c>
      <c r="AH154" s="3" t="n"/>
      <c r="AI154" s="3" t="n"/>
      <c r="AJ154" s="3" t="n"/>
      <c r="AK154" s="3" t="n"/>
      <c r="AL154" s="3" t="inlineStr">
        <is>
          <t>FINAL</t>
        </is>
      </c>
      <c r="AM154" s="3" t="n"/>
      <c r="AN154" s="3" t="n"/>
    </row>
    <row r="155">
      <c r="A155" s="3" t="inlineStr">
        <is>
          <t>P0154</t>
        </is>
      </c>
      <c r="B155" s="3" t="n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n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n"/>
      <c r="S155" s="3" t="n"/>
      <c r="T155" s="3" t="n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n"/>
      <c r="AB155" s="3" t="inlineStr">
        <is>
          <t>6박</t>
        </is>
      </c>
      <c r="AC155" s="3" t="inlineStr">
        <is>
          <t>1</t>
        </is>
      </c>
      <c r="AD155" s="3" t="n"/>
      <c r="AE155" s="3" t="n"/>
      <c r="AF155" s="3" t="n"/>
      <c r="AG155" s="3" t="inlineStr">
        <is>
          <t>1</t>
        </is>
      </c>
      <c r="AH155" s="3" t="n"/>
      <c r="AI155" s="3" t="n"/>
      <c r="AJ155" s="3" t="n"/>
      <c r="AK155" s="3" t="n"/>
      <c r="AL155" s="3" t="inlineStr">
        <is>
          <t>FINAL</t>
        </is>
      </c>
      <c r="AM155" s="3" t="n"/>
      <c r="AN155" s="3" t="n"/>
    </row>
    <row r="156">
      <c r="A156" s="3" t="inlineStr">
        <is>
          <t>P0155</t>
        </is>
      </c>
      <c r="B156" s="3" t="n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n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n"/>
      <c r="S156" s="3" t="n"/>
      <c r="T156" s="3" t="n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n"/>
      <c r="AB156" s="3" t="inlineStr">
        <is>
          <t>6박</t>
        </is>
      </c>
      <c r="AC156" s="3" t="inlineStr">
        <is>
          <t>1</t>
        </is>
      </c>
      <c r="AD156" s="3" t="n"/>
      <c r="AE156" s="3" t="n"/>
      <c r="AF156" s="3" t="n"/>
      <c r="AG156" s="3" t="inlineStr">
        <is>
          <t>1</t>
        </is>
      </c>
      <c r="AH156" s="3" t="n"/>
      <c r="AI156" s="3" t="n"/>
      <c r="AJ156" s="3" t="n"/>
      <c r="AK156" s="3" t="n"/>
      <c r="AL156" s="3" t="inlineStr">
        <is>
          <t>FINAL</t>
        </is>
      </c>
      <c r="AM156" s="3" t="n"/>
      <c r="AN156" s="3" t="n"/>
    </row>
    <row r="157">
      <c r="A157" s="3" t="inlineStr">
        <is>
          <t>P0156</t>
        </is>
      </c>
      <c r="B157" s="3" t="n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n"/>
      <c r="S157" s="3" t="n"/>
      <c r="T157" s="3" t="n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n"/>
      <c r="AB157" s="3" t="inlineStr">
        <is>
          <t>6박</t>
        </is>
      </c>
      <c r="AC157" s="3" t="inlineStr">
        <is>
          <t>1</t>
        </is>
      </c>
      <c r="AD157" s="3" t="n"/>
      <c r="AE157" s="3" t="n"/>
      <c r="AF157" s="3" t="n"/>
      <c r="AG157" s="3" t="inlineStr">
        <is>
          <t>1</t>
        </is>
      </c>
      <c r="AH157" s="3" t="n"/>
      <c r="AI157" s="3" t="n"/>
      <c r="AJ157" s="3" t="n"/>
      <c r="AK157" s="3" t="n"/>
      <c r="AL157" s="3" t="inlineStr">
        <is>
          <t>FINAL</t>
        </is>
      </c>
      <c r="AM157" s="3" t="inlineStr">
        <is>
          <t>한글이름 확인</t>
        </is>
      </c>
      <c r="AN157" s="3" t="n"/>
    </row>
    <row r="158">
      <c r="A158" s="3" t="inlineStr">
        <is>
          <t>P0157</t>
        </is>
      </c>
      <c r="B158" s="3" t="n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n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n"/>
      <c r="S158" s="3" t="n"/>
      <c r="T158" s="3" t="n"/>
      <c r="U158" s="3" t="n"/>
      <c r="V158" s="3" t="n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n"/>
      <c r="AB158" s="3" t="inlineStr">
        <is>
          <t>4박</t>
        </is>
      </c>
      <c r="AC158" s="3" t="inlineStr">
        <is>
          <t>1</t>
        </is>
      </c>
      <c r="AD158" s="3" t="n"/>
      <c r="AE158" s="3" t="n"/>
      <c r="AF158" s="3" t="n"/>
      <c r="AG158" s="3" t="inlineStr">
        <is>
          <t>1</t>
        </is>
      </c>
      <c r="AH158" s="3" t="n"/>
      <c r="AI158" s="3" t="n"/>
      <c r="AJ158" s="3" t="n"/>
      <c r="AK158" s="3" t="n"/>
      <c r="AL158" s="3" t="inlineStr">
        <is>
          <t>FINAL</t>
        </is>
      </c>
      <c r="AM158" s="3" t="n"/>
      <c r="AN158" s="3" t="n"/>
    </row>
    <row r="159">
      <c r="A159" s="3" t="inlineStr">
        <is>
          <t>P0158</t>
        </is>
      </c>
      <c r="B159" s="3" t="n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n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n"/>
      <c r="S159" s="3" t="n"/>
      <c r="T159" s="3" t="n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n"/>
      <c r="AB159" s="3" t="inlineStr">
        <is>
          <t>6박</t>
        </is>
      </c>
      <c r="AC159" s="3" t="inlineStr">
        <is>
          <t>1</t>
        </is>
      </c>
      <c r="AD159" s="3" t="n"/>
      <c r="AE159" s="3" t="n"/>
      <c r="AF159" s="3" t="n"/>
      <c r="AG159" s="3" t="inlineStr">
        <is>
          <t>1</t>
        </is>
      </c>
      <c r="AH159" s="3" t="n"/>
      <c r="AI159" s="3" t="n"/>
      <c r="AJ159" s="3" t="n"/>
      <c r="AK159" s="3" t="n"/>
      <c r="AL159" s="3" t="inlineStr">
        <is>
          <t>FINAL</t>
        </is>
      </c>
      <c r="AM159" s="3" t="n"/>
      <c r="AN159" s="3" t="n"/>
    </row>
    <row r="160">
      <c r="A160" s="3" t="inlineStr">
        <is>
          <t>P0159</t>
        </is>
      </c>
      <c r="B160" s="3" t="n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n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n"/>
      <c r="S160" s="3" t="n"/>
      <c r="T160" s="3" t="n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n"/>
      <c r="AB160" s="3" t="inlineStr">
        <is>
          <t>6박</t>
        </is>
      </c>
      <c r="AC160" s="3" t="inlineStr">
        <is>
          <t>1</t>
        </is>
      </c>
      <c r="AD160" s="3" t="n"/>
      <c r="AE160" s="3" t="n"/>
      <c r="AF160" s="3" t="n"/>
      <c r="AG160" s="3" t="inlineStr">
        <is>
          <t>1</t>
        </is>
      </c>
      <c r="AH160" s="3" t="n"/>
      <c r="AI160" s="3" t="n"/>
      <c r="AJ160" s="3" t="n"/>
      <c r="AK160" s="3" t="n"/>
      <c r="AL160" s="3" t="inlineStr">
        <is>
          <t>FINAL</t>
        </is>
      </c>
      <c r="AM160" s="3" t="n"/>
      <c r="AN160" s="3" t="n"/>
    </row>
    <row r="161">
      <c r="A161" s="3" t="inlineStr">
        <is>
          <t>P0160</t>
        </is>
      </c>
      <c r="B161" s="3" t="n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n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n"/>
      <c r="S161" s="3" t="n"/>
      <c r="T161" s="3" t="n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n"/>
      <c r="AB161" s="3" t="inlineStr">
        <is>
          <t>6박</t>
        </is>
      </c>
      <c r="AC161" s="3" t="inlineStr">
        <is>
          <t>1</t>
        </is>
      </c>
      <c r="AD161" s="3" t="n"/>
      <c r="AE161" s="3" t="n"/>
      <c r="AF161" s="3" t="n"/>
      <c r="AG161" s="3" t="inlineStr">
        <is>
          <t>1</t>
        </is>
      </c>
      <c r="AH161" s="3" t="n"/>
      <c r="AI161" s="3" t="n"/>
      <c r="AJ161" s="3" t="n"/>
      <c r="AK161" s="3" t="n"/>
      <c r="AL161" s="3" t="inlineStr">
        <is>
          <t>FINAL</t>
        </is>
      </c>
      <c r="AM161" s="3" t="n"/>
      <c r="AN161" s="3" t="n"/>
    </row>
    <row r="162">
      <c r="A162" s="3" t="inlineStr">
        <is>
          <t>P0161</t>
        </is>
      </c>
      <c r="B162" s="3" t="n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n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n"/>
      <c r="S162" s="3" t="n"/>
      <c r="T162" s="3" t="n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n"/>
      <c r="AB162" s="3" t="inlineStr">
        <is>
          <t>6박</t>
        </is>
      </c>
      <c r="AC162" s="3" t="inlineStr">
        <is>
          <t>1</t>
        </is>
      </c>
      <c r="AD162" s="3" t="n"/>
      <c r="AE162" s="3" t="n"/>
      <c r="AF162" s="3" t="n"/>
      <c r="AG162" s="3" t="inlineStr">
        <is>
          <t>1</t>
        </is>
      </c>
      <c r="AH162" s="3" t="n"/>
      <c r="AI162" s="3" t="n"/>
      <c r="AJ162" s="3" t="n"/>
      <c r="AK162" s="3" t="n"/>
      <c r="AL162" s="3" t="inlineStr">
        <is>
          <t>FINAL</t>
        </is>
      </c>
      <c r="AM162" s="3" t="n"/>
      <c r="AN162" s="3" t="n"/>
    </row>
    <row r="163">
      <c r="A163" s="3" t="inlineStr">
        <is>
          <t>P0162</t>
        </is>
      </c>
      <c r="B163" s="3" t="n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n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n"/>
      <c r="S163" s="3" t="n"/>
      <c r="T163" s="3" t="n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n"/>
      <c r="AB163" s="3" t="inlineStr">
        <is>
          <t>6박</t>
        </is>
      </c>
      <c r="AC163" s="3" t="inlineStr">
        <is>
          <t>1</t>
        </is>
      </c>
      <c r="AD163" s="3" t="n"/>
      <c r="AE163" s="3" t="n"/>
      <c r="AF163" s="3" t="n"/>
      <c r="AG163" s="3" t="inlineStr">
        <is>
          <t>1</t>
        </is>
      </c>
      <c r="AH163" s="3" t="n"/>
      <c r="AI163" s="3" t="n"/>
      <c r="AJ163" s="3" t="n"/>
      <c r="AK163" s="3" t="n"/>
      <c r="AL163" s="3" t="inlineStr">
        <is>
          <t>FINAL</t>
        </is>
      </c>
      <c r="AM163" s="3" t="n"/>
      <c r="AN163" s="3" t="n"/>
    </row>
    <row r="164">
      <c r="A164" s="3" t="inlineStr">
        <is>
          <t>P0163</t>
        </is>
      </c>
      <c r="B164" s="3" t="n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n"/>
      <c r="S164" s="3" t="n"/>
      <c r="T164" s="3" t="n"/>
      <c r="U164" s="3" t="n"/>
      <c r="V164" s="3" t="n"/>
      <c r="W164" s="3" t="n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n"/>
      <c r="AB164" s="3" t="inlineStr">
        <is>
          <t>3박</t>
        </is>
      </c>
      <c r="AC164" s="3" t="inlineStr">
        <is>
          <t>1</t>
        </is>
      </c>
      <c r="AD164" s="3" t="n"/>
      <c r="AE164" s="3" t="n"/>
      <c r="AF164" s="3" t="n"/>
      <c r="AG164" s="3" t="inlineStr">
        <is>
          <t>1</t>
        </is>
      </c>
      <c r="AH164" s="3" t="n"/>
      <c r="AI164" s="3" t="n"/>
      <c r="AJ164" s="3" t="n"/>
      <c r="AK164" s="3" t="n"/>
      <c r="AL164" s="3" t="inlineStr">
        <is>
          <t>FINAL</t>
        </is>
      </c>
      <c r="AM164" s="3" t="inlineStr">
        <is>
          <t>한글이름 확인</t>
        </is>
      </c>
      <c r="AN164" s="3" t="n"/>
    </row>
    <row r="165">
      <c r="A165" s="3" t="inlineStr">
        <is>
          <t>P0164</t>
        </is>
      </c>
      <c r="B165" s="3" t="n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n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n"/>
      <c r="S165" s="3" t="n"/>
      <c r="T165" s="3" t="n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n"/>
      <c r="AB165" s="3" t="inlineStr">
        <is>
          <t>6박</t>
        </is>
      </c>
      <c r="AC165" s="3" t="inlineStr">
        <is>
          <t>1</t>
        </is>
      </c>
      <c r="AD165" s="3" t="n"/>
      <c r="AE165" s="3" t="n"/>
      <c r="AF165" s="3" t="n"/>
      <c r="AG165" s="3" t="inlineStr">
        <is>
          <t>1</t>
        </is>
      </c>
      <c r="AH165" s="3" t="n"/>
      <c r="AI165" s="3" t="n"/>
      <c r="AJ165" s="3" t="n"/>
      <c r="AK165" s="3" t="n"/>
      <c r="AL165" s="3" t="inlineStr">
        <is>
          <t>FINAL</t>
        </is>
      </c>
      <c r="AM165" s="3" t="n"/>
      <c r="AN165" s="3" t="n"/>
    </row>
    <row r="166">
      <c r="A166" s="3" t="inlineStr">
        <is>
          <t>P0165</t>
        </is>
      </c>
      <c r="B166" s="3" t="n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n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n"/>
      <c r="S166" s="3" t="n"/>
      <c r="T166" s="3" t="n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n"/>
      <c r="AB166" s="3" t="inlineStr">
        <is>
          <t>6박</t>
        </is>
      </c>
      <c r="AC166" s="3" t="inlineStr">
        <is>
          <t>1</t>
        </is>
      </c>
      <c r="AD166" s="3" t="n"/>
      <c r="AE166" s="3" t="n"/>
      <c r="AF166" s="3" t="n"/>
      <c r="AG166" s="3" t="inlineStr">
        <is>
          <t>1</t>
        </is>
      </c>
      <c r="AH166" s="3" t="n"/>
      <c r="AI166" s="3" t="n"/>
      <c r="AJ166" s="3" t="n"/>
      <c r="AK166" s="3" t="n"/>
      <c r="AL166" s="3" t="inlineStr">
        <is>
          <t>FINAL</t>
        </is>
      </c>
      <c r="AM166" s="3" t="n"/>
      <c r="AN166" s="3" t="n"/>
    </row>
    <row r="167">
      <c r="A167" s="3" t="inlineStr">
        <is>
          <t>P0166</t>
        </is>
      </c>
      <c r="B167" s="3" t="n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n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n"/>
      <c r="S167" s="3" t="n"/>
      <c r="T167" s="3" t="n"/>
      <c r="U167" s="3" t="n"/>
      <c r="V167" s="3" t="n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n"/>
      <c r="AB167" s="3" t="inlineStr">
        <is>
          <t>4박</t>
        </is>
      </c>
      <c r="AC167" s="3" t="inlineStr">
        <is>
          <t>1</t>
        </is>
      </c>
      <c r="AD167" s="3" t="n"/>
      <c r="AE167" s="3" t="n"/>
      <c r="AF167" s="3" t="n"/>
      <c r="AG167" s="3" t="inlineStr">
        <is>
          <t>1</t>
        </is>
      </c>
      <c r="AH167" s="3" t="n"/>
      <c r="AI167" s="3" t="n"/>
      <c r="AJ167" s="3" t="n"/>
      <c r="AK167" s="3" t="n"/>
      <c r="AL167" s="3" t="inlineStr">
        <is>
          <t>FINAL</t>
        </is>
      </c>
      <c r="AM167" s="3" t="n"/>
      <c r="AN167" s="3" t="n"/>
    </row>
    <row r="168">
      <c r="A168" s="3" t="inlineStr">
        <is>
          <t>P0167</t>
        </is>
      </c>
      <c r="B168" s="3" t="n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n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n"/>
      <c r="S168" s="3" t="n"/>
      <c r="T168" s="3" t="n"/>
      <c r="U168" s="3" t="n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n"/>
      <c r="AB168" s="3" t="inlineStr">
        <is>
          <t>5박</t>
        </is>
      </c>
      <c r="AC168" s="3" t="inlineStr">
        <is>
          <t>1</t>
        </is>
      </c>
      <c r="AD168" s="3" t="n"/>
      <c r="AE168" s="3" t="n"/>
      <c r="AF168" s="3" t="n"/>
      <c r="AG168" s="3" t="inlineStr">
        <is>
          <t>1</t>
        </is>
      </c>
      <c r="AH168" s="3" t="n"/>
      <c r="AI168" s="3" t="n"/>
      <c r="AJ168" s="3" t="n"/>
      <c r="AK168" s="3" t="n"/>
      <c r="AL168" s="3" t="inlineStr">
        <is>
          <t>FINAL</t>
        </is>
      </c>
      <c r="AM168" s="3" t="n"/>
      <c r="AN168" s="3" t="n"/>
    </row>
    <row r="169">
      <c r="A169" s="3" t="inlineStr">
        <is>
          <t>P0168</t>
        </is>
      </c>
      <c r="B169" s="3" t="n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n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n"/>
      <c r="S169" s="3" t="n"/>
      <c r="T169" s="3" t="n"/>
      <c r="U169" s="3" t="n"/>
      <c r="V169" s="3" t="n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n"/>
      <c r="AB169" s="3" t="inlineStr">
        <is>
          <t>4박</t>
        </is>
      </c>
      <c r="AC169" s="3" t="inlineStr">
        <is>
          <t>1</t>
        </is>
      </c>
      <c r="AD169" s="3" t="n"/>
      <c r="AE169" s="3" t="n"/>
      <c r="AF169" s="3" t="n"/>
      <c r="AG169" s="3" t="inlineStr">
        <is>
          <t>1</t>
        </is>
      </c>
      <c r="AH169" s="3" t="n"/>
      <c r="AI169" s="3" t="n"/>
      <c r="AJ169" s="3" t="n"/>
      <c r="AK169" s="3" t="n"/>
      <c r="AL169" s="3" t="inlineStr">
        <is>
          <t>FINAL</t>
        </is>
      </c>
      <c r="AM169" s="3" t="n"/>
      <c r="AN169" s="3" t="n"/>
    </row>
    <row r="170">
      <c r="A170" s="3" t="inlineStr">
        <is>
          <t>P0169</t>
        </is>
      </c>
      <c r="B170" s="3" t="n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n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n"/>
      <c r="S170" s="3" t="n"/>
      <c r="T170" s="3" t="n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n"/>
      <c r="AB170" s="3" t="inlineStr">
        <is>
          <t>6박</t>
        </is>
      </c>
      <c r="AC170" s="3" t="inlineStr">
        <is>
          <t>1</t>
        </is>
      </c>
      <c r="AD170" s="3" t="n"/>
      <c r="AE170" s="3" t="n"/>
      <c r="AF170" s="3" t="n"/>
      <c r="AG170" s="3" t="inlineStr">
        <is>
          <t>1</t>
        </is>
      </c>
      <c r="AH170" s="3" t="n"/>
      <c r="AI170" s="3" t="n"/>
      <c r="AJ170" s="3" t="n"/>
      <c r="AK170" s="3" t="n"/>
      <c r="AL170" s="3" t="inlineStr">
        <is>
          <t>FINAL</t>
        </is>
      </c>
      <c r="AM170" s="3" t="n"/>
      <c r="AN170" s="3" t="n"/>
    </row>
    <row r="171">
      <c r="A171" s="3" t="inlineStr">
        <is>
          <t>P0170</t>
        </is>
      </c>
      <c r="B171" s="3" t="n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n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n"/>
      <c r="S171" s="3" t="n"/>
      <c r="T171" s="3" t="n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n"/>
      <c r="AB171" s="3" t="inlineStr">
        <is>
          <t>6박</t>
        </is>
      </c>
      <c r="AC171" s="3" t="inlineStr">
        <is>
          <t>1</t>
        </is>
      </c>
      <c r="AD171" s="3" t="n"/>
      <c r="AE171" s="3" t="n"/>
      <c r="AF171" s="3" t="n"/>
      <c r="AG171" s="3" t="inlineStr">
        <is>
          <t>1</t>
        </is>
      </c>
      <c r="AH171" s="3" t="n"/>
      <c r="AI171" s="3" t="n"/>
      <c r="AJ171" s="3" t="n"/>
      <c r="AK171" s="3" t="n"/>
      <c r="AL171" s="3" t="inlineStr">
        <is>
          <t>FINAL</t>
        </is>
      </c>
      <c r="AM171" s="3" t="n"/>
      <c r="AN171" s="3" t="n"/>
    </row>
    <row r="172">
      <c r="A172" s="3" t="inlineStr">
        <is>
          <t>P0171</t>
        </is>
      </c>
      <c r="B172" s="3" t="n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n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n"/>
      <c r="S172" s="3" t="n"/>
      <c r="T172" s="3" t="n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n"/>
      <c r="AB172" s="3" t="inlineStr">
        <is>
          <t>6박</t>
        </is>
      </c>
      <c r="AC172" s="3" t="inlineStr">
        <is>
          <t>1</t>
        </is>
      </c>
      <c r="AD172" s="3" t="n"/>
      <c r="AE172" s="3" t="n"/>
      <c r="AF172" s="3" t="n"/>
      <c r="AG172" s="3" t="inlineStr">
        <is>
          <t>1</t>
        </is>
      </c>
      <c r="AH172" s="3" t="n"/>
      <c r="AI172" s="3" t="n"/>
      <c r="AJ172" s="3" t="n"/>
      <c r="AK172" s="3" t="n"/>
      <c r="AL172" s="3" t="inlineStr">
        <is>
          <t>FINAL</t>
        </is>
      </c>
      <c r="AM172" s="3" t="n"/>
      <c r="AN172" s="3" t="n"/>
    </row>
    <row r="173">
      <c r="A173" s="3" t="inlineStr">
        <is>
          <t>P0172</t>
        </is>
      </c>
      <c r="B173" s="3" t="n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n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n"/>
      <c r="S173" s="3" t="n"/>
      <c r="T173" s="3" t="n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n"/>
      <c r="AB173" s="3" t="inlineStr">
        <is>
          <t>6박</t>
        </is>
      </c>
      <c r="AC173" s="3" t="inlineStr">
        <is>
          <t>1</t>
        </is>
      </c>
      <c r="AD173" s="3" t="n"/>
      <c r="AE173" s="3" t="n"/>
      <c r="AF173" s="3" t="n"/>
      <c r="AG173" s="3" t="inlineStr">
        <is>
          <t>1</t>
        </is>
      </c>
      <c r="AH173" s="3" t="n"/>
      <c r="AI173" s="3" t="n"/>
      <c r="AJ173" s="3" t="n"/>
      <c r="AK173" s="3" t="n"/>
      <c r="AL173" s="3" t="inlineStr">
        <is>
          <t>FINAL</t>
        </is>
      </c>
      <c r="AM173" s="3" t="n"/>
      <c r="AN173" s="3" t="n"/>
    </row>
    <row r="174">
      <c r="A174" s="3" t="inlineStr">
        <is>
          <t>P0173</t>
        </is>
      </c>
      <c r="B174" s="3" t="n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n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n"/>
      <c r="S174" s="3" t="n"/>
      <c r="T174" s="3" t="n"/>
      <c r="U174" s="3" t="n"/>
      <c r="V174" s="3" t="n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n"/>
      <c r="AB174" s="3" t="inlineStr">
        <is>
          <t>4박</t>
        </is>
      </c>
      <c r="AC174" s="3" t="inlineStr">
        <is>
          <t>1</t>
        </is>
      </c>
      <c r="AD174" s="3" t="n"/>
      <c r="AE174" s="3" t="n"/>
      <c r="AF174" s="3" t="n"/>
      <c r="AG174" s="3" t="inlineStr">
        <is>
          <t>1</t>
        </is>
      </c>
      <c r="AH174" s="3" t="n"/>
      <c r="AI174" s="3" t="n"/>
      <c r="AJ174" s="3" t="n"/>
      <c r="AK174" s="3" t="n"/>
      <c r="AL174" s="3" t="inlineStr">
        <is>
          <t>FINAL</t>
        </is>
      </c>
      <c r="AM174" s="3" t="n"/>
      <c r="AN174" s="3" t="n"/>
    </row>
    <row r="175">
      <c r="A175" s="3" t="inlineStr">
        <is>
          <t>P0174</t>
        </is>
      </c>
      <c r="B175" s="3" t="n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n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n"/>
      <c r="S175" s="3" t="n"/>
      <c r="T175" s="3" t="n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n"/>
      <c r="AB175" s="3" t="inlineStr">
        <is>
          <t>6박</t>
        </is>
      </c>
      <c r="AC175" s="3" t="inlineStr">
        <is>
          <t>1</t>
        </is>
      </c>
      <c r="AD175" s="3" t="n"/>
      <c r="AE175" s="3" t="n"/>
      <c r="AF175" s="3" t="n"/>
      <c r="AG175" s="3" t="inlineStr">
        <is>
          <t>1</t>
        </is>
      </c>
      <c r="AH175" s="3" t="n"/>
      <c r="AI175" s="3" t="n"/>
      <c r="AJ175" s="3" t="n"/>
      <c r="AK175" s="3" t="n"/>
      <c r="AL175" s="3" t="inlineStr">
        <is>
          <t>FINAL</t>
        </is>
      </c>
      <c r="AM175" s="3" t="n"/>
      <c r="AN175" s="3" t="n"/>
    </row>
    <row r="176">
      <c r="A176" s="3" t="inlineStr">
        <is>
          <t>P0175</t>
        </is>
      </c>
      <c r="B176" s="3" t="n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n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n"/>
      <c r="S176" s="3" t="n"/>
      <c r="T176" s="3" t="n"/>
      <c r="U176" s="3" t="n"/>
      <c r="V176" s="3" t="n"/>
      <c r="W176" s="3" t="n"/>
      <c r="X176" s="3" t="inlineStr">
        <is>
          <t>✓</t>
        </is>
      </c>
      <c r="Y176" s="3" t="n"/>
      <c r="Z176" s="3" t="n"/>
      <c r="AA176" s="3" t="n"/>
      <c r="AB176" s="3" t="inlineStr">
        <is>
          <t>1박</t>
        </is>
      </c>
      <c r="AC176" s="3" t="inlineStr">
        <is>
          <t>1</t>
        </is>
      </c>
      <c r="AD176" s="3" t="n"/>
      <c r="AE176" s="3" t="n"/>
      <c r="AF176" s="3" t="n"/>
      <c r="AG176" s="3" t="inlineStr">
        <is>
          <t>1</t>
        </is>
      </c>
      <c r="AH176" s="3" t="n"/>
      <c r="AI176" s="3" t="n"/>
      <c r="AJ176" s="3" t="n"/>
      <c r="AK176" s="3" t="n"/>
      <c r="AL176" s="3" t="inlineStr">
        <is>
          <t>FINAL</t>
        </is>
      </c>
      <c r="AM176" s="3" t="n"/>
      <c r="AN176" s="3" t="n"/>
    </row>
    <row r="177">
      <c r="A177" s="3" t="inlineStr">
        <is>
          <t>P0176</t>
        </is>
      </c>
      <c r="B177" s="3" t="n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n"/>
      <c r="S177" s="3" t="n"/>
      <c r="T177" s="3" t="n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n"/>
      <c r="AB177" s="3" t="inlineStr">
        <is>
          <t>6박</t>
        </is>
      </c>
      <c r="AC177" s="3" t="inlineStr">
        <is>
          <t>1</t>
        </is>
      </c>
      <c r="AD177" s="3" t="n"/>
      <c r="AE177" s="3" t="n"/>
      <c r="AF177" s="3" t="n"/>
      <c r="AG177" s="3" t="inlineStr">
        <is>
          <t>1</t>
        </is>
      </c>
      <c r="AH177" s="3" t="n"/>
      <c r="AI177" s="3" t="n"/>
      <c r="AJ177" s="3" t="n"/>
      <c r="AK177" s="3" t="n"/>
      <c r="AL177" s="3" t="inlineStr">
        <is>
          <t>FINAL</t>
        </is>
      </c>
      <c r="AM177" s="3" t="inlineStr">
        <is>
          <t>한글이름 확인</t>
        </is>
      </c>
      <c r="AN177" s="3" t="n"/>
    </row>
    <row r="178">
      <c r="A178" s="3" t="inlineStr">
        <is>
          <t>P0177</t>
        </is>
      </c>
      <c r="B178" s="3" t="n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n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n"/>
      <c r="S178" s="3" t="n"/>
      <c r="T178" s="3" t="n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n"/>
      <c r="AB178" s="3" t="inlineStr">
        <is>
          <t>6박</t>
        </is>
      </c>
      <c r="AC178" s="3" t="inlineStr">
        <is>
          <t>1</t>
        </is>
      </c>
      <c r="AD178" s="3" t="n"/>
      <c r="AE178" s="3" t="n"/>
      <c r="AF178" s="3" t="n"/>
      <c r="AG178" s="3" t="inlineStr">
        <is>
          <t>1</t>
        </is>
      </c>
      <c r="AH178" s="3" t="n"/>
      <c r="AI178" s="3" t="n"/>
      <c r="AJ178" s="3" t="n"/>
      <c r="AK178" s="3" t="n"/>
      <c r="AL178" s="3" t="inlineStr">
        <is>
          <t>FINAL</t>
        </is>
      </c>
      <c r="AM178" s="3" t="n"/>
      <c r="AN178" s="3" t="n"/>
    </row>
    <row r="179">
      <c r="A179" s="3" t="inlineStr">
        <is>
          <t>P0178</t>
        </is>
      </c>
      <c r="B179" s="3" t="n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n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n"/>
      <c r="S179" s="3" t="n"/>
      <c r="T179" s="3" t="n"/>
      <c r="U179" s="3" t="n"/>
      <c r="V179" s="3" t="n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n"/>
      <c r="AB179" s="3" t="inlineStr">
        <is>
          <t>4박</t>
        </is>
      </c>
      <c r="AC179" s="3" t="inlineStr">
        <is>
          <t>1</t>
        </is>
      </c>
      <c r="AD179" s="3" t="n"/>
      <c r="AE179" s="3" t="n"/>
      <c r="AF179" s="3" t="n"/>
      <c r="AG179" s="3" t="inlineStr">
        <is>
          <t>1</t>
        </is>
      </c>
      <c r="AH179" s="3" t="n"/>
      <c r="AI179" s="3" t="n"/>
      <c r="AJ179" s="3" t="n"/>
      <c r="AK179" s="3" t="n"/>
      <c r="AL179" s="3" t="inlineStr">
        <is>
          <t>FINAL</t>
        </is>
      </c>
      <c r="AM179" s="3" t="n"/>
      <c r="AN179" s="3" t="n"/>
    </row>
    <row r="180">
      <c r="A180" s="3" t="inlineStr">
        <is>
          <t>P0179</t>
        </is>
      </c>
      <c r="B180" s="3" t="n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n"/>
      <c r="S180" s="3" t="n"/>
      <c r="T180" s="3" t="n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n"/>
      <c r="AB180" s="3" t="inlineStr">
        <is>
          <t>6박</t>
        </is>
      </c>
      <c r="AC180" s="3" t="inlineStr">
        <is>
          <t>1</t>
        </is>
      </c>
      <c r="AD180" s="3" t="n"/>
      <c r="AE180" s="3" t="n"/>
      <c r="AF180" s="3" t="n"/>
      <c r="AG180" s="3" t="inlineStr">
        <is>
          <t>1</t>
        </is>
      </c>
      <c r="AH180" s="3" t="n"/>
      <c r="AI180" s="3" t="n"/>
      <c r="AJ180" s="3" t="n"/>
      <c r="AK180" s="3" t="n"/>
      <c r="AL180" s="3" t="inlineStr">
        <is>
          <t>FINAL</t>
        </is>
      </c>
      <c r="AM180" s="3" t="inlineStr">
        <is>
          <t>한글이름 확인</t>
        </is>
      </c>
      <c r="AN180" s="3" t="n"/>
    </row>
    <row r="181">
      <c r="A181" s="3" t="inlineStr">
        <is>
          <t>P0180</t>
        </is>
      </c>
      <c r="B181" s="3" t="n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n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n"/>
      <c r="S181" s="3" t="n"/>
      <c r="T181" s="3" t="n"/>
      <c r="U181" s="3" t="n"/>
      <c r="V181" s="3" t="n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n"/>
      <c r="AB181" s="3" t="inlineStr">
        <is>
          <t>4박</t>
        </is>
      </c>
      <c r="AC181" s="3" t="inlineStr">
        <is>
          <t>1</t>
        </is>
      </c>
      <c r="AD181" s="3" t="n"/>
      <c r="AE181" s="3" t="n"/>
      <c r="AF181" s="3" t="n"/>
      <c r="AG181" s="3" t="inlineStr">
        <is>
          <t>1</t>
        </is>
      </c>
      <c r="AH181" s="3" t="n"/>
      <c r="AI181" s="3" t="n"/>
      <c r="AJ181" s="3" t="n"/>
      <c r="AK181" s="3" t="n"/>
      <c r="AL181" s="3" t="inlineStr">
        <is>
          <t>FINAL</t>
        </is>
      </c>
      <c r="AM181" s="3" t="n"/>
      <c r="AN181" s="3" t="n"/>
    </row>
    <row r="182">
      <c r="A182" s="3" t="inlineStr">
        <is>
          <t>P0181</t>
        </is>
      </c>
      <c r="B182" s="3" t="n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n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n"/>
      <c r="S182" s="3" t="n"/>
      <c r="T182" s="3" t="n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n"/>
      <c r="AB182" s="3" t="inlineStr">
        <is>
          <t>6박</t>
        </is>
      </c>
      <c r="AC182" s="3" t="inlineStr">
        <is>
          <t>1</t>
        </is>
      </c>
      <c r="AD182" s="3" t="n"/>
      <c r="AE182" s="3" t="n"/>
      <c r="AF182" s="3" t="n"/>
      <c r="AG182" s="3" t="inlineStr">
        <is>
          <t>1</t>
        </is>
      </c>
      <c r="AH182" s="3" t="n"/>
      <c r="AI182" s="3" t="n"/>
      <c r="AJ182" s="3" t="n"/>
      <c r="AK182" s="3" t="n"/>
      <c r="AL182" s="3" t="inlineStr">
        <is>
          <t>FINAL</t>
        </is>
      </c>
      <c r="AM182" s="3" t="n"/>
      <c r="AN182" s="3" t="n"/>
    </row>
    <row r="183">
      <c r="A183" s="3" t="inlineStr">
        <is>
          <t>P0182</t>
        </is>
      </c>
      <c r="B183" s="3" t="n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n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n"/>
      <c r="S183" s="3" t="n"/>
      <c r="T183" s="3" t="n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n"/>
      <c r="AB183" s="3" t="inlineStr">
        <is>
          <t>6박</t>
        </is>
      </c>
      <c r="AC183" s="3" t="inlineStr">
        <is>
          <t>1</t>
        </is>
      </c>
      <c r="AD183" s="3" t="n"/>
      <c r="AE183" s="3" t="n"/>
      <c r="AF183" s="3" t="n"/>
      <c r="AG183" s="3" t="inlineStr">
        <is>
          <t>1</t>
        </is>
      </c>
      <c r="AH183" s="3" t="n"/>
      <c r="AI183" s="3" t="n"/>
      <c r="AJ183" s="3" t="n"/>
      <c r="AK183" s="3" t="n"/>
      <c r="AL183" s="3" t="inlineStr">
        <is>
          <t>FINAL</t>
        </is>
      </c>
      <c r="AM183" s="3" t="n"/>
      <c r="AN183" s="3" t="n"/>
    </row>
    <row r="184">
      <c r="A184" s="3" t="inlineStr">
        <is>
          <t>P0183</t>
        </is>
      </c>
      <c r="B184" s="3" t="n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n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n"/>
      <c r="S184" s="3" t="n"/>
      <c r="T184" s="3" t="n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n"/>
      <c r="AB184" s="3" t="inlineStr">
        <is>
          <t>6박</t>
        </is>
      </c>
      <c r="AC184" s="3" t="inlineStr">
        <is>
          <t>1</t>
        </is>
      </c>
      <c r="AD184" s="3" t="n"/>
      <c r="AE184" s="3" t="n"/>
      <c r="AF184" s="3" t="n"/>
      <c r="AG184" s="3" t="inlineStr">
        <is>
          <t>1</t>
        </is>
      </c>
      <c r="AH184" s="3" t="n"/>
      <c r="AI184" s="3" t="n"/>
      <c r="AJ184" s="3" t="n"/>
      <c r="AK184" s="3" t="n"/>
      <c r="AL184" s="3" t="inlineStr">
        <is>
          <t>FINAL</t>
        </is>
      </c>
      <c r="AM184" s="3" t="n"/>
      <c r="AN184" s="3" t="n"/>
    </row>
    <row r="185">
      <c r="A185" s="3" t="inlineStr">
        <is>
          <t>P0184</t>
        </is>
      </c>
      <c r="B185" s="3" t="n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n"/>
      <c r="S185" s="3" t="n"/>
      <c r="T185" s="3" t="n"/>
      <c r="U185" s="3" t="n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n"/>
      <c r="AB185" s="3" t="inlineStr">
        <is>
          <t>5박</t>
        </is>
      </c>
      <c r="AC185" s="3" t="inlineStr">
        <is>
          <t>1</t>
        </is>
      </c>
      <c r="AD185" s="3" t="n"/>
      <c r="AE185" s="3" t="n"/>
      <c r="AF185" s="3" t="n"/>
      <c r="AG185" s="3" t="inlineStr">
        <is>
          <t>1</t>
        </is>
      </c>
      <c r="AH185" s="3" t="n"/>
      <c r="AI185" s="3" t="n"/>
      <c r="AJ185" s="3" t="n"/>
      <c r="AK185" s="3" t="n"/>
      <c r="AL185" s="3" t="inlineStr">
        <is>
          <t>FINAL</t>
        </is>
      </c>
      <c r="AM185" s="3" t="inlineStr">
        <is>
          <t>한글이름 확인</t>
        </is>
      </c>
      <c r="AN185" s="3" t="n"/>
    </row>
    <row r="186">
      <c r="A186" s="3" t="inlineStr">
        <is>
          <t>P0185</t>
        </is>
      </c>
      <c r="B186" s="3" t="n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n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n"/>
      <c r="S186" s="3" t="n"/>
      <c r="T186" s="3" t="n"/>
      <c r="U186" s="3" t="n"/>
      <c r="V186" s="3" t="n"/>
      <c r="W186" s="3" t="n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n"/>
      <c r="AB186" s="3" t="inlineStr">
        <is>
          <t>3박</t>
        </is>
      </c>
      <c r="AC186" s="3" t="inlineStr">
        <is>
          <t>1</t>
        </is>
      </c>
      <c r="AD186" s="3" t="n"/>
      <c r="AE186" s="3" t="n"/>
      <c r="AF186" s="3" t="n"/>
      <c r="AG186" s="3" t="inlineStr">
        <is>
          <t>1</t>
        </is>
      </c>
      <c r="AH186" s="3" t="n"/>
      <c r="AI186" s="3" t="n"/>
      <c r="AJ186" s="3" t="n"/>
      <c r="AK186" s="3" t="n"/>
      <c r="AL186" s="3" t="inlineStr">
        <is>
          <t>FINAL</t>
        </is>
      </c>
      <c r="AM186" s="3" t="n"/>
      <c r="AN186" s="3" t="n"/>
    </row>
    <row r="187">
      <c r="A187" s="3" t="inlineStr">
        <is>
          <t>P0186</t>
        </is>
      </c>
      <c r="B187" s="3" t="n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n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n"/>
      <c r="S187" s="3" t="n"/>
      <c r="T187" s="3" t="n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n"/>
      <c r="AB187" s="3" t="inlineStr">
        <is>
          <t>6박</t>
        </is>
      </c>
      <c r="AC187" s="3" t="inlineStr">
        <is>
          <t>1</t>
        </is>
      </c>
      <c r="AD187" s="3" t="n"/>
      <c r="AE187" s="3" t="n"/>
      <c r="AF187" s="3" t="n"/>
      <c r="AG187" s="3" t="inlineStr">
        <is>
          <t>1</t>
        </is>
      </c>
      <c r="AH187" s="3" t="n"/>
      <c r="AI187" s="3" t="n"/>
      <c r="AJ187" s="3" t="n"/>
      <c r="AK187" s="3" t="n"/>
      <c r="AL187" s="3" t="inlineStr">
        <is>
          <t>FINAL</t>
        </is>
      </c>
      <c r="AM187" s="3" t="n"/>
      <c r="AN187" s="3" t="n"/>
    </row>
    <row r="188">
      <c r="A188" s="3" t="inlineStr">
        <is>
          <t>P0187</t>
        </is>
      </c>
      <c r="B188" s="3" t="n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n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n"/>
      <c r="S188" s="3" t="n"/>
      <c r="T188" s="3" t="n"/>
      <c r="U188" s="3" t="inlineStr">
        <is>
          <t>✓</t>
        </is>
      </c>
      <c r="V188" s="3" t="n"/>
      <c r="W188" s="3" t="n"/>
      <c r="X188" s="3" t="n"/>
      <c r="Y188" s="3" t="n"/>
      <c r="Z188" s="3" t="n"/>
      <c r="AA188" s="3" t="n"/>
      <c r="AB188" s="3" t="inlineStr">
        <is>
          <t>1박</t>
        </is>
      </c>
      <c r="AC188" s="3" t="inlineStr">
        <is>
          <t>1</t>
        </is>
      </c>
      <c r="AD188" s="3" t="n"/>
      <c r="AE188" s="3" t="n"/>
      <c r="AF188" s="3" t="n"/>
      <c r="AG188" s="3" t="inlineStr">
        <is>
          <t>1</t>
        </is>
      </c>
      <c r="AH188" s="3" t="n"/>
      <c r="AI188" s="3" t="n"/>
      <c r="AJ188" s="3" t="n"/>
      <c r="AK188" s="3" t="n"/>
      <c r="AL188" s="3" t="inlineStr">
        <is>
          <t>FINAL</t>
        </is>
      </c>
      <c r="AM188" s="3" t="n"/>
      <c r="AN188" s="3" t="n"/>
    </row>
    <row r="189">
      <c r="A189" s="3" t="inlineStr">
        <is>
          <t>P0188</t>
        </is>
      </c>
      <c r="B189" s="3" t="n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n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n"/>
      <c r="S189" s="3" t="n"/>
      <c r="T189" s="3" t="n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n"/>
      <c r="AB189" s="3" t="inlineStr">
        <is>
          <t>6박</t>
        </is>
      </c>
      <c r="AC189" s="3" t="inlineStr">
        <is>
          <t>1</t>
        </is>
      </c>
      <c r="AD189" s="3" t="n"/>
      <c r="AE189" s="3" t="n"/>
      <c r="AF189" s="3" t="n"/>
      <c r="AG189" s="3" t="inlineStr">
        <is>
          <t>1</t>
        </is>
      </c>
      <c r="AH189" s="3" t="n"/>
      <c r="AI189" s="3" t="n"/>
      <c r="AJ189" s="3" t="n"/>
      <c r="AK189" s="3" t="n"/>
      <c r="AL189" s="3" t="inlineStr">
        <is>
          <t>FINAL</t>
        </is>
      </c>
      <c r="AM189" s="3" t="n"/>
      <c r="AN189" s="3" t="n"/>
    </row>
    <row r="190">
      <c r="A190" s="3" t="inlineStr">
        <is>
          <t>P0189</t>
        </is>
      </c>
      <c r="B190" s="3" t="n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n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n"/>
      <c r="S190" s="3" t="n"/>
      <c r="T190" s="3" t="n"/>
      <c r="U190" s="3" t="inlineStr">
        <is>
          <t>✓</t>
        </is>
      </c>
      <c r="V190" s="3" t="n"/>
      <c r="W190" s="3" t="n"/>
      <c r="X190" s="3" t="n"/>
      <c r="Y190" s="3" t="n"/>
      <c r="Z190" s="3" t="inlineStr">
        <is>
          <t>✓</t>
        </is>
      </c>
      <c r="AA190" s="3" t="n"/>
      <c r="AB190" s="3" t="inlineStr">
        <is>
          <t>2박</t>
        </is>
      </c>
      <c r="AC190" s="3" t="inlineStr">
        <is>
          <t>1</t>
        </is>
      </c>
      <c r="AD190" s="3" t="n"/>
      <c r="AE190" s="3" t="n"/>
      <c r="AF190" s="3" t="n"/>
      <c r="AG190" s="3" t="inlineStr">
        <is>
          <t>1</t>
        </is>
      </c>
      <c r="AH190" s="3" t="n"/>
      <c r="AI190" s="3" t="n"/>
      <c r="AJ190" s="3" t="n"/>
      <c r="AK190" s="3" t="n"/>
      <c r="AL190" s="3" t="inlineStr">
        <is>
          <t>FINAL</t>
        </is>
      </c>
      <c r="AM190" s="3" t="n"/>
      <c r="AN190" s="3" t="n"/>
    </row>
    <row r="191">
      <c r="A191" s="3" t="inlineStr">
        <is>
          <t>P0190</t>
        </is>
      </c>
      <c r="B191" s="3" t="n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n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n"/>
      <c r="S191" s="3" t="n"/>
      <c r="T191" s="3" t="n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n"/>
      <c r="AB191" s="3" t="inlineStr">
        <is>
          <t>6박</t>
        </is>
      </c>
      <c r="AC191" s="3" t="inlineStr">
        <is>
          <t>1</t>
        </is>
      </c>
      <c r="AD191" s="3" t="n"/>
      <c r="AE191" s="3" t="n"/>
      <c r="AF191" s="3" t="n"/>
      <c r="AG191" s="3" t="inlineStr">
        <is>
          <t>1</t>
        </is>
      </c>
      <c r="AH191" s="3" t="n"/>
      <c r="AI191" s="3" t="n"/>
      <c r="AJ191" s="3" t="n"/>
      <c r="AK191" s="3" t="n"/>
      <c r="AL191" s="3" t="inlineStr">
        <is>
          <t>FINAL</t>
        </is>
      </c>
      <c r="AM191" s="3" t="n"/>
      <c r="AN191" s="3" t="n"/>
    </row>
    <row r="192">
      <c r="A192" s="3" t="inlineStr">
        <is>
          <t>P0191</t>
        </is>
      </c>
      <c r="B192" s="3" t="n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n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n"/>
      <c r="S192" s="3" t="n"/>
      <c r="T192" s="3" t="n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n"/>
      <c r="AB192" s="3" t="inlineStr">
        <is>
          <t>6박</t>
        </is>
      </c>
      <c r="AC192" s="3" t="inlineStr">
        <is>
          <t>1</t>
        </is>
      </c>
      <c r="AD192" s="3" t="n"/>
      <c r="AE192" s="3" t="n"/>
      <c r="AF192" s="3" t="n"/>
      <c r="AG192" s="3" t="inlineStr">
        <is>
          <t>1</t>
        </is>
      </c>
      <c r="AH192" s="3" t="n"/>
      <c r="AI192" s="3" t="n"/>
      <c r="AJ192" s="3" t="n"/>
      <c r="AK192" s="3" t="n"/>
      <c r="AL192" s="3" t="inlineStr">
        <is>
          <t>FINAL</t>
        </is>
      </c>
      <c r="AM192" s="3" t="n"/>
      <c r="AN192" s="3" t="n"/>
    </row>
    <row r="193">
      <c r="A193" s="3" t="inlineStr">
        <is>
          <t>P0192</t>
        </is>
      </c>
      <c r="B193" s="3" t="n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n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n"/>
      <c r="S193" s="3" t="n"/>
      <c r="T193" s="3" t="n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n"/>
      <c r="AB193" s="3" t="inlineStr">
        <is>
          <t>6박</t>
        </is>
      </c>
      <c r="AC193" s="3" t="inlineStr">
        <is>
          <t>1</t>
        </is>
      </c>
      <c r="AD193" s="3" t="n"/>
      <c r="AE193" s="3" t="n"/>
      <c r="AF193" s="3" t="n"/>
      <c r="AG193" s="3" t="inlineStr">
        <is>
          <t>1</t>
        </is>
      </c>
      <c r="AH193" s="3" t="n"/>
      <c r="AI193" s="3" t="n"/>
      <c r="AJ193" s="3" t="n"/>
      <c r="AK193" s="3" t="n"/>
      <c r="AL193" s="3" t="inlineStr">
        <is>
          <t>FINAL</t>
        </is>
      </c>
      <c r="AM193" s="3" t="n"/>
      <c r="AN193" s="3" t="n"/>
    </row>
    <row r="194">
      <c r="A194" s="3" t="inlineStr">
        <is>
          <t>P0193</t>
        </is>
      </c>
      <c r="B194" s="3" t="n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n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n"/>
      <c r="S194" s="3" t="n"/>
      <c r="T194" s="3" t="n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n"/>
      <c r="AB194" s="3" t="inlineStr">
        <is>
          <t>6박</t>
        </is>
      </c>
      <c r="AC194" s="3" t="inlineStr">
        <is>
          <t>1</t>
        </is>
      </c>
      <c r="AD194" s="3" t="n"/>
      <c r="AE194" s="3" t="n"/>
      <c r="AF194" s="3" t="n"/>
      <c r="AG194" s="3" t="inlineStr">
        <is>
          <t>1</t>
        </is>
      </c>
      <c r="AH194" s="3" t="n"/>
      <c r="AI194" s="3" t="n"/>
      <c r="AJ194" s="3" t="n"/>
      <c r="AK194" s="3" t="n"/>
      <c r="AL194" s="3" t="inlineStr">
        <is>
          <t>FINAL</t>
        </is>
      </c>
      <c r="AM194" s="3" t="n"/>
      <c r="AN194" s="3" t="n"/>
    </row>
    <row r="195">
      <c r="A195" s="3" t="inlineStr">
        <is>
          <t>P0194</t>
        </is>
      </c>
      <c r="B195" s="3" t="n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n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n"/>
      <c r="S195" s="3" t="n"/>
      <c r="T195" s="3" t="n"/>
      <c r="U195" s="3" t="n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n"/>
      <c r="AB195" s="3" t="inlineStr">
        <is>
          <t>5박</t>
        </is>
      </c>
      <c r="AC195" s="3" t="inlineStr">
        <is>
          <t>1</t>
        </is>
      </c>
      <c r="AD195" s="3" t="n"/>
      <c r="AE195" s="3" t="n"/>
      <c r="AF195" s="3" t="n"/>
      <c r="AG195" s="3" t="inlineStr">
        <is>
          <t>1</t>
        </is>
      </c>
      <c r="AH195" s="3" t="n"/>
      <c r="AI195" s="3" t="n"/>
      <c r="AJ195" s="3" t="n"/>
      <c r="AK195" s="3" t="n"/>
      <c r="AL195" s="3" t="inlineStr">
        <is>
          <t>FINAL</t>
        </is>
      </c>
      <c r="AM195" s="3" t="n"/>
      <c r="AN195" s="3" t="n"/>
    </row>
    <row r="196">
      <c r="A196" s="3" t="inlineStr">
        <is>
          <t>P0195</t>
        </is>
      </c>
      <c r="B196" s="3" t="n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n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n"/>
      <c r="S196" s="3" t="n"/>
      <c r="T196" s="3" t="n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n"/>
      <c r="AB196" s="3" t="inlineStr">
        <is>
          <t>6박</t>
        </is>
      </c>
      <c r="AC196" s="3" t="inlineStr">
        <is>
          <t>1</t>
        </is>
      </c>
      <c r="AD196" s="3" t="n"/>
      <c r="AE196" s="3" t="n"/>
      <c r="AF196" s="3" t="n"/>
      <c r="AG196" s="3" t="inlineStr">
        <is>
          <t>1</t>
        </is>
      </c>
      <c r="AH196" s="3" t="n"/>
      <c r="AI196" s="3" t="n"/>
      <c r="AJ196" s="3" t="n"/>
      <c r="AK196" s="3" t="n"/>
      <c r="AL196" s="3" t="inlineStr">
        <is>
          <t>FINAL</t>
        </is>
      </c>
      <c r="AM196" s="3" t="n"/>
      <c r="AN196" s="3" t="n"/>
    </row>
    <row r="197">
      <c r="A197" s="3" t="inlineStr">
        <is>
          <t>P0196</t>
        </is>
      </c>
      <c r="B197" s="3" t="n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n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n"/>
      <c r="S197" s="3" t="n"/>
      <c r="T197" s="3" t="n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n"/>
      <c r="AB197" s="3" t="inlineStr">
        <is>
          <t>6박</t>
        </is>
      </c>
      <c r="AC197" s="3" t="inlineStr">
        <is>
          <t>1</t>
        </is>
      </c>
      <c r="AD197" s="3" t="n"/>
      <c r="AE197" s="3" t="n"/>
      <c r="AF197" s="3" t="n"/>
      <c r="AG197" s="3" t="inlineStr">
        <is>
          <t>1</t>
        </is>
      </c>
      <c r="AH197" s="3" t="n"/>
      <c r="AI197" s="3" t="n"/>
      <c r="AJ197" s="3" t="n"/>
      <c r="AK197" s="3" t="n"/>
      <c r="AL197" s="3" t="inlineStr">
        <is>
          <t>FINAL</t>
        </is>
      </c>
      <c r="AM197" s="3" t="n"/>
      <c r="AN197" s="3" t="n"/>
    </row>
    <row r="198">
      <c r="A198" s="3" t="inlineStr">
        <is>
          <t>P0197</t>
        </is>
      </c>
      <c r="B198" s="3" t="n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n"/>
      <c r="S198" s="3" t="n"/>
      <c r="T198" s="3" t="n"/>
      <c r="U198" s="3" t="n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n"/>
      <c r="AB198" s="3" t="inlineStr">
        <is>
          <t>5박</t>
        </is>
      </c>
      <c r="AC198" s="3" t="inlineStr">
        <is>
          <t>1</t>
        </is>
      </c>
      <c r="AD198" s="3" t="n"/>
      <c r="AE198" s="3" t="n"/>
      <c r="AF198" s="3" t="n"/>
      <c r="AG198" s="3" t="inlineStr">
        <is>
          <t>1</t>
        </is>
      </c>
      <c r="AH198" s="3" t="n"/>
      <c r="AI198" s="3" t="n"/>
      <c r="AJ198" s="3" t="n"/>
      <c r="AK198" s="3" t="n"/>
      <c r="AL198" s="3" t="inlineStr">
        <is>
          <t>FINAL</t>
        </is>
      </c>
      <c r="AM198" s="3" t="inlineStr">
        <is>
          <t>한글이름 확인</t>
        </is>
      </c>
      <c r="AN198" s="3" t="n"/>
    </row>
    <row r="199">
      <c r="A199" s="3" t="inlineStr">
        <is>
          <t>P0198</t>
        </is>
      </c>
      <c r="B199" s="3" t="n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n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n"/>
      <c r="S199" s="3" t="n"/>
      <c r="T199" s="3" t="n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n"/>
      <c r="AB199" s="3" t="inlineStr">
        <is>
          <t>6박</t>
        </is>
      </c>
      <c r="AC199" s="3" t="inlineStr">
        <is>
          <t>1</t>
        </is>
      </c>
      <c r="AD199" s="3" t="n"/>
      <c r="AE199" s="3" t="n"/>
      <c r="AF199" s="3" t="n"/>
      <c r="AG199" s="3" t="inlineStr">
        <is>
          <t>1</t>
        </is>
      </c>
      <c r="AH199" s="3" t="n"/>
      <c r="AI199" s="3" t="n"/>
      <c r="AJ199" s="3" t="n"/>
      <c r="AK199" s="3" t="n"/>
      <c r="AL199" s="3" t="inlineStr">
        <is>
          <t>FINAL</t>
        </is>
      </c>
      <c r="AM199" s="3" t="n"/>
      <c r="AN199" s="3" t="n"/>
    </row>
    <row r="200">
      <c r="A200" s="3" t="inlineStr">
        <is>
          <t>P0199</t>
        </is>
      </c>
      <c r="B200" s="3" t="n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n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n"/>
      <c r="S200" s="3" t="n"/>
      <c r="T200" s="3" t="n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n"/>
      <c r="AB200" s="3" t="inlineStr">
        <is>
          <t>6박</t>
        </is>
      </c>
      <c r="AC200" s="3" t="inlineStr">
        <is>
          <t>1</t>
        </is>
      </c>
      <c r="AD200" s="3" t="n"/>
      <c r="AE200" s="3" t="n"/>
      <c r="AF200" s="3" t="n"/>
      <c r="AG200" s="3" t="inlineStr">
        <is>
          <t>1</t>
        </is>
      </c>
      <c r="AH200" s="3" t="n"/>
      <c r="AI200" s="3" t="n"/>
      <c r="AJ200" s="3" t="n"/>
      <c r="AK200" s="3" t="n"/>
      <c r="AL200" s="3" t="inlineStr">
        <is>
          <t>FINAL</t>
        </is>
      </c>
      <c r="AM200" s="3" t="n"/>
      <c r="AN200" s="3" t="n"/>
    </row>
    <row r="201">
      <c r="A201" s="3" t="inlineStr">
        <is>
          <t>P0200</t>
        </is>
      </c>
      <c r="B201" s="3" t="n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n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n"/>
      <c r="S201" s="3" t="n"/>
      <c r="T201" s="3" t="n"/>
      <c r="U201" s="3" t="n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n"/>
      <c r="AB201" s="3" t="inlineStr">
        <is>
          <t>5박</t>
        </is>
      </c>
      <c r="AC201" s="3" t="inlineStr">
        <is>
          <t>1</t>
        </is>
      </c>
      <c r="AD201" s="3" t="n"/>
      <c r="AE201" s="3" t="n"/>
      <c r="AF201" s="3" t="n"/>
      <c r="AG201" s="3" t="inlineStr">
        <is>
          <t>1</t>
        </is>
      </c>
      <c r="AH201" s="3" t="n"/>
      <c r="AI201" s="3" t="n"/>
      <c r="AJ201" s="3" t="n"/>
      <c r="AK201" s="3" t="n"/>
      <c r="AL201" s="3" t="inlineStr">
        <is>
          <t>FINAL</t>
        </is>
      </c>
      <c r="AM201" s="3" t="n"/>
      <c r="AN201" s="3" t="n"/>
    </row>
    <row r="202">
      <c r="A202" s="3" t="inlineStr">
        <is>
          <t>P0201</t>
        </is>
      </c>
      <c r="B202" s="3" t="n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n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n"/>
      <c r="S202" s="3" t="n"/>
      <c r="T202" s="3" t="n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n"/>
      <c r="AB202" s="3" t="inlineStr">
        <is>
          <t>6박</t>
        </is>
      </c>
      <c r="AC202" s="3" t="inlineStr">
        <is>
          <t>1</t>
        </is>
      </c>
      <c r="AD202" s="3" t="n"/>
      <c r="AE202" s="3" t="n"/>
      <c r="AF202" s="3" t="n"/>
      <c r="AG202" s="3" t="inlineStr">
        <is>
          <t>1</t>
        </is>
      </c>
      <c r="AH202" s="3" t="n"/>
      <c r="AI202" s="3" t="n"/>
      <c r="AJ202" s="3" t="n"/>
      <c r="AK202" s="3" t="n"/>
      <c r="AL202" s="3" t="inlineStr">
        <is>
          <t>FINAL</t>
        </is>
      </c>
      <c r="AM202" s="3" t="n"/>
      <c r="AN202" s="3" t="n"/>
    </row>
    <row r="203">
      <c r="A203" s="3" t="inlineStr">
        <is>
          <t>P0202</t>
        </is>
      </c>
      <c r="B203" s="3" t="n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n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n"/>
      <c r="S203" s="3" t="n"/>
      <c r="T203" s="3" t="n"/>
      <c r="U203" s="3" t="n"/>
      <c r="V203" s="3" t="n"/>
      <c r="W203" s="3" t="n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n"/>
      <c r="AB203" s="3" t="inlineStr">
        <is>
          <t>3박</t>
        </is>
      </c>
      <c r="AC203" s="3" t="inlineStr">
        <is>
          <t>1</t>
        </is>
      </c>
      <c r="AD203" s="3" t="n"/>
      <c r="AE203" s="3" t="n"/>
      <c r="AF203" s="3" t="n"/>
      <c r="AG203" s="3" t="inlineStr">
        <is>
          <t>1</t>
        </is>
      </c>
      <c r="AH203" s="3" t="n"/>
      <c r="AI203" s="3" t="n"/>
      <c r="AJ203" s="3" t="n"/>
      <c r="AK203" s="3" t="n"/>
      <c r="AL203" s="3" t="inlineStr">
        <is>
          <t>FINAL</t>
        </is>
      </c>
      <c r="AM203" s="3" t="n"/>
      <c r="AN203" s="3" t="n"/>
    </row>
    <row r="204">
      <c r="A204" s="3" t="inlineStr">
        <is>
          <t>P0203</t>
        </is>
      </c>
      <c r="B204" s="3" t="n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n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n"/>
      <c r="S204" s="3" t="n"/>
      <c r="T204" s="3" t="n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n"/>
      <c r="AB204" s="3" t="inlineStr">
        <is>
          <t>6박</t>
        </is>
      </c>
      <c r="AC204" s="3" t="inlineStr">
        <is>
          <t>1</t>
        </is>
      </c>
      <c r="AD204" s="3" t="n"/>
      <c r="AE204" s="3" t="n"/>
      <c r="AF204" s="3" t="n"/>
      <c r="AG204" s="3" t="inlineStr">
        <is>
          <t>1</t>
        </is>
      </c>
      <c r="AH204" s="3" t="n"/>
      <c r="AI204" s="3" t="n"/>
      <c r="AJ204" s="3" t="n"/>
      <c r="AK204" s="3" t="n"/>
      <c r="AL204" s="3" t="inlineStr">
        <is>
          <t>FINAL</t>
        </is>
      </c>
      <c r="AM204" s="3" t="n"/>
      <c r="AN204" s="3" t="n"/>
    </row>
    <row r="205">
      <c r="A205" s="3" t="inlineStr">
        <is>
          <t>P0204</t>
        </is>
      </c>
      <c r="B205" s="3" t="n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n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n"/>
      <c r="S205" s="3" t="n"/>
      <c r="T205" s="3" t="n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n"/>
      <c r="AB205" s="3" t="inlineStr">
        <is>
          <t>6박</t>
        </is>
      </c>
      <c r="AC205" s="3" t="inlineStr">
        <is>
          <t>1</t>
        </is>
      </c>
      <c r="AD205" s="3" t="n"/>
      <c r="AE205" s="3" t="n"/>
      <c r="AF205" s="3" t="n"/>
      <c r="AG205" s="3" t="inlineStr">
        <is>
          <t>1</t>
        </is>
      </c>
      <c r="AH205" s="3" t="n"/>
      <c r="AI205" s="3" t="n"/>
      <c r="AJ205" s="3" t="n"/>
      <c r="AK205" s="3" t="n"/>
      <c r="AL205" s="3" t="inlineStr">
        <is>
          <t>FINAL</t>
        </is>
      </c>
      <c r="AM205" s="3" t="n"/>
      <c r="AN205" s="3" t="n"/>
    </row>
    <row r="206">
      <c r="A206" s="3" t="inlineStr">
        <is>
          <t>P0205</t>
        </is>
      </c>
      <c r="B206" s="3" t="n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n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n"/>
      <c r="S206" s="3" t="n"/>
      <c r="T206" s="3" t="n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n"/>
      <c r="AB206" s="3" t="inlineStr">
        <is>
          <t>6박</t>
        </is>
      </c>
      <c r="AC206" s="3" t="inlineStr">
        <is>
          <t>1</t>
        </is>
      </c>
      <c r="AD206" s="3" t="n"/>
      <c r="AE206" s="3" t="n"/>
      <c r="AF206" s="3" t="n"/>
      <c r="AG206" s="3" t="inlineStr">
        <is>
          <t>1</t>
        </is>
      </c>
      <c r="AH206" s="3" t="n"/>
      <c r="AI206" s="3" t="n"/>
      <c r="AJ206" s="3" t="n"/>
      <c r="AK206" s="3" t="n"/>
      <c r="AL206" s="3" t="inlineStr">
        <is>
          <t>FINAL</t>
        </is>
      </c>
      <c r="AM206" s="3" t="n"/>
      <c r="AN206" s="3" t="n"/>
    </row>
    <row r="207">
      <c r="A207" s="3" t="inlineStr">
        <is>
          <t>P0206</t>
        </is>
      </c>
      <c r="B207" s="3" t="n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n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n"/>
      <c r="S207" s="3" t="n"/>
      <c r="T207" s="3" t="n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n"/>
      <c r="AB207" s="3" t="inlineStr">
        <is>
          <t>6박</t>
        </is>
      </c>
      <c r="AC207" s="3" t="inlineStr">
        <is>
          <t>1</t>
        </is>
      </c>
      <c r="AD207" s="3" t="n"/>
      <c r="AE207" s="3" t="n"/>
      <c r="AF207" s="3" t="n"/>
      <c r="AG207" s="3" t="inlineStr">
        <is>
          <t>1</t>
        </is>
      </c>
      <c r="AH207" s="3" t="n"/>
      <c r="AI207" s="3" t="n"/>
      <c r="AJ207" s="3" t="n"/>
      <c r="AK207" s="3" t="n"/>
      <c r="AL207" s="3" t="inlineStr">
        <is>
          <t>FINAL</t>
        </is>
      </c>
      <c r="AM207" s="3" t="n"/>
      <c r="AN207" s="3" t="n"/>
    </row>
    <row r="208">
      <c r="A208" s="3" t="inlineStr">
        <is>
          <t>P0207</t>
        </is>
      </c>
      <c r="B208" s="3" t="n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n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n"/>
      <c r="S208" s="3" t="n"/>
      <c r="T208" s="3" t="n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n"/>
      <c r="AB208" s="3" t="inlineStr">
        <is>
          <t>6박</t>
        </is>
      </c>
      <c r="AC208" s="3" t="inlineStr">
        <is>
          <t>1</t>
        </is>
      </c>
      <c r="AD208" s="3" t="n"/>
      <c r="AE208" s="3" t="n"/>
      <c r="AF208" s="3" t="n"/>
      <c r="AG208" s="3" t="inlineStr">
        <is>
          <t>1</t>
        </is>
      </c>
      <c r="AH208" s="3" t="n"/>
      <c r="AI208" s="3" t="n"/>
      <c r="AJ208" s="3" t="n"/>
      <c r="AK208" s="3" t="n"/>
      <c r="AL208" s="3" t="inlineStr">
        <is>
          <t>FINAL</t>
        </is>
      </c>
      <c r="AM208" s="3" t="n"/>
      <c r="AN208" s="3" t="n"/>
    </row>
    <row r="209">
      <c r="A209" s="3" t="inlineStr">
        <is>
          <t>P0208</t>
        </is>
      </c>
      <c r="B209" s="3" t="n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n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n"/>
      <c r="S209" s="3" t="n"/>
      <c r="T209" s="3" t="n"/>
      <c r="U209" s="3" t="inlineStr">
        <is>
          <t>✓</t>
        </is>
      </c>
      <c r="V209" s="3" t="n"/>
      <c r="W209" s="3" t="n"/>
      <c r="X209" s="3" t="n"/>
      <c r="Y209" s="3" t="n"/>
      <c r="Z209" s="3" t="n"/>
      <c r="AA209" s="3" t="n"/>
      <c r="AB209" s="3" t="inlineStr">
        <is>
          <t>1박</t>
        </is>
      </c>
      <c r="AC209" s="3" t="inlineStr">
        <is>
          <t>1</t>
        </is>
      </c>
      <c r="AD209" s="3" t="n"/>
      <c r="AE209" s="3" t="n"/>
      <c r="AF209" s="3" t="n"/>
      <c r="AG209" s="3" t="inlineStr">
        <is>
          <t>1</t>
        </is>
      </c>
      <c r="AH209" s="3" t="n"/>
      <c r="AI209" s="3" t="n"/>
      <c r="AJ209" s="3" t="n"/>
      <c r="AK209" s="3" t="n"/>
      <c r="AL209" s="3" t="inlineStr">
        <is>
          <t>FINAL</t>
        </is>
      </c>
      <c r="AM209" s="3" t="n"/>
      <c r="AN209" s="3" t="n"/>
    </row>
    <row r="210">
      <c r="A210" s="3" t="inlineStr">
        <is>
          <t>P0209</t>
        </is>
      </c>
      <c r="B210" s="3" t="n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n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n"/>
      <c r="S210" s="3" t="n"/>
      <c r="T210" s="3" t="n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n"/>
      <c r="AB210" s="3" t="inlineStr">
        <is>
          <t>6박</t>
        </is>
      </c>
      <c r="AC210" s="3" t="inlineStr">
        <is>
          <t>1</t>
        </is>
      </c>
      <c r="AD210" s="3" t="n"/>
      <c r="AE210" s="3" t="n"/>
      <c r="AF210" s="3" t="n"/>
      <c r="AG210" s="3" t="inlineStr">
        <is>
          <t>1</t>
        </is>
      </c>
      <c r="AH210" s="3" t="n"/>
      <c r="AI210" s="3" t="n"/>
      <c r="AJ210" s="3" t="n"/>
      <c r="AK210" s="3" t="n"/>
      <c r="AL210" s="3" t="inlineStr">
        <is>
          <t>FINAL</t>
        </is>
      </c>
      <c r="AM210" s="3" t="n"/>
      <c r="AN210" s="3" t="n"/>
    </row>
    <row r="211">
      <c r="A211" s="3" t="inlineStr">
        <is>
          <t>P0210</t>
        </is>
      </c>
      <c r="B211" s="3" t="n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n"/>
      <c r="S211" s="3" t="n"/>
      <c r="T211" s="3" t="n"/>
      <c r="U211" s="3" t="n"/>
      <c r="V211" s="3" t="n"/>
      <c r="W211" s="3" t="n"/>
      <c r="X211" s="3" t="n"/>
      <c r="Y211" s="3" t="inlineStr">
        <is>
          <t>✓</t>
        </is>
      </c>
      <c r="Z211" s="3" t="inlineStr">
        <is>
          <t>✓</t>
        </is>
      </c>
      <c r="AA211" s="3" t="n"/>
      <c r="AB211" s="3" t="inlineStr">
        <is>
          <t>2박</t>
        </is>
      </c>
      <c r="AC211" s="3" t="inlineStr">
        <is>
          <t>1</t>
        </is>
      </c>
      <c r="AD211" s="3" t="n"/>
      <c r="AE211" s="3" t="n"/>
      <c r="AF211" s="3" t="n"/>
      <c r="AG211" s="3" t="inlineStr">
        <is>
          <t>1</t>
        </is>
      </c>
      <c r="AH211" s="3" t="n"/>
      <c r="AI211" s="3" t="n"/>
      <c r="AJ211" s="3" t="n"/>
      <c r="AK211" s="3" t="n"/>
      <c r="AL211" s="3" t="inlineStr">
        <is>
          <t>FINAL</t>
        </is>
      </c>
      <c r="AM211" s="3" t="n"/>
      <c r="AN211" s="3" t="n"/>
    </row>
    <row r="212">
      <c r="A212" s="3" t="inlineStr">
        <is>
          <t>P0211</t>
        </is>
      </c>
      <c r="B212" s="3" t="n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n"/>
      <c r="S212" s="3" t="n"/>
      <c r="T212" s="3" t="n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n"/>
      <c r="AB212" s="3" t="inlineStr">
        <is>
          <t>6박</t>
        </is>
      </c>
      <c r="AC212" s="3" t="inlineStr">
        <is>
          <t>1</t>
        </is>
      </c>
      <c r="AD212" s="3" t="n"/>
      <c r="AE212" s="3" t="n"/>
      <c r="AF212" s="3" t="n"/>
      <c r="AG212" s="3" t="inlineStr">
        <is>
          <t>1</t>
        </is>
      </c>
      <c r="AH212" s="3" t="n"/>
      <c r="AI212" s="3" t="n"/>
      <c r="AJ212" s="3" t="n"/>
      <c r="AK212" s="3" t="n"/>
      <c r="AL212" s="3" t="inlineStr">
        <is>
          <t>FINAL</t>
        </is>
      </c>
      <c r="AM212" s="3" t="n"/>
      <c r="AN212" s="3" t="n"/>
    </row>
    <row r="213">
      <c r="A213" s="3" t="inlineStr">
        <is>
          <t>P0212</t>
        </is>
      </c>
      <c r="B213" s="3" t="inlineStr">
        <is>
          <t>자원봉사팀</t>
        </is>
      </c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n"/>
      <c r="S213" s="3" t="n"/>
      <c r="T213" s="3" t="n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n"/>
      <c r="AB213" s="3" t="inlineStr">
        <is>
          <t>6박</t>
        </is>
      </c>
      <c r="AC213" s="3" t="inlineStr">
        <is>
          <t>1</t>
        </is>
      </c>
      <c r="AD213" s="3" t="n"/>
      <c r="AE213" s="3" t="n"/>
      <c r="AF213" s="3" t="n"/>
      <c r="AG213" s="3" t="inlineStr">
        <is>
          <t>1</t>
        </is>
      </c>
      <c r="AH213" s="3" t="n"/>
      <c r="AI213" s="3" t="inlineStr">
        <is>
          <t>부영청소년수련원</t>
        </is>
      </c>
      <c r="AJ213" s="3" t="n"/>
      <c r="AK213" s="3" t="inlineStr">
        <is>
          <t>자원봉사·비제주</t>
        </is>
      </c>
      <c r="AL213" s="3" t="inlineStr">
        <is>
          <t>FINAL</t>
        </is>
      </c>
      <c r="AM213" s="3" t="n"/>
      <c r="AN213" s="3" t="inlineStr">
        <is>
          <t>자원봉사팀</t>
        </is>
      </c>
    </row>
    <row r="214">
      <c r="A214" s="3" t="inlineStr">
        <is>
          <t>P0213</t>
        </is>
      </c>
      <c r="B214" s="3" t="n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n"/>
      <c r="S214" s="3" t="n"/>
      <c r="T214" s="3" t="n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n"/>
      <c r="AB214" s="3" t="inlineStr">
        <is>
          <t>6박</t>
        </is>
      </c>
      <c r="AC214" s="3" t="inlineStr">
        <is>
          <t>1</t>
        </is>
      </c>
      <c r="AD214" s="3" t="n"/>
      <c r="AE214" s="3" t="n"/>
      <c r="AF214" s="3" t="n"/>
      <c r="AG214" s="3" t="inlineStr">
        <is>
          <t>1</t>
        </is>
      </c>
      <c r="AH214" s="3" t="n"/>
      <c r="AI214" s="3" t="n"/>
      <c r="AJ214" s="3" t="n"/>
      <c r="AK214" s="3" t="n"/>
      <c r="AL214" s="3" t="inlineStr">
        <is>
          <t>FINAL</t>
        </is>
      </c>
      <c r="AM214" s="3" t="n"/>
      <c r="AN214" s="3" t="n"/>
    </row>
    <row r="215">
      <c r="A215" s="3" t="inlineStr">
        <is>
          <t>P0214</t>
        </is>
      </c>
      <c r="B215" s="3" t="n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n"/>
      <c r="S215" s="3" t="n"/>
      <c r="T215" s="3" t="n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n"/>
      <c r="AB215" s="3" t="inlineStr">
        <is>
          <t>6박</t>
        </is>
      </c>
      <c r="AC215" s="3" t="inlineStr">
        <is>
          <t>1</t>
        </is>
      </c>
      <c r="AD215" s="3" t="n"/>
      <c r="AE215" s="3" t="n"/>
      <c r="AF215" s="3" t="n"/>
      <c r="AG215" s="3" t="inlineStr">
        <is>
          <t>1</t>
        </is>
      </c>
      <c r="AH215" s="3" t="n"/>
      <c r="AI215" s="3" t="n"/>
      <c r="AJ215" s="3" t="n"/>
      <c r="AK215" s="3" t="n"/>
      <c r="AL215" s="3" t="inlineStr">
        <is>
          <t>FINAL</t>
        </is>
      </c>
      <c r="AM215" s="3" t="n"/>
      <c r="AN215" s="3" t="n"/>
    </row>
    <row r="216">
      <c r="A216" s="3" t="inlineStr">
        <is>
          <t>P0215</t>
        </is>
      </c>
      <c r="B216" s="3" t="n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n"/>
      <c r="S216" s="3" t="n"/>
      <c r="T216" s="3" t="n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n"/>
      <c r="AB216" s="3" t="inlineStr">
        <is>
          <t>6박</t>
        </is>
      </c>
      <c r="AC216" s="3" t="inlineStr">
        <is>
          <t>1</t>
        </is>
      </c>
      <c r="AD216" s="3" t="n"/>
      <c r="AE216" s="3" t="n"/>
      <c r="AF216" s="3" t="n"/>
      <c r="AG216" s="3" t="inlineStr">
        <is>
          <t>1</t>
        </is>
      </c>
      <c r="AH216" s="3" t="n"/>
      <c r="AI216" s="3" t="n"/>
      <c r="AJ216" s="3" t="n"/>
      <c r="AK216" s="3" t="n"/>
      <c r="AL216" s="3" t="inlineStr">
        <is>
          <t>FINAL</t>
        </is>
      </c>
      <c r="AM216" s="3" t="n"/>
      <c r="AN216" s="3" t="n"/>
    </row>
    <row r="217">
      <c r="A217" s="3" t="inlineStr">
        <is>
          <t>P0216</t>
        </is>
      </c>
      <c r="B217" s="3" t="n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n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n"/>
      <c r="S217" s="3" t="n"/>
      <c r="T217" s="3" t="n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n"/>
      <c r="AB217" s="3" t="inlineStr">
        <is>
          <t>6박</t>
        </is>
      </c>
      <c r="AC217" s="3" t="inlineStr">
        <is>
          <t>1</t>
        </is>
      </c>
      <c r="AD217" s="3" t="n"/>
      <c r="AE217" s="3" t="n"/>
      <c r="AF217" s="3" t="n"/>
      <c r="AG217" s="3" t="inlineStr">
        <is>
          <t>1</t>
        </is>
      </c>
      <c r="AH217" s="3" t="n"/>
      <c r="AI217" s="3" t="n"/>
      <c r="AJ217" s="3" t="n"/>
      <c r="AK217" s="3" t="n"/>
      <c r="AL217" s="3" t="inlineStr">
        <is>
          <t>FINAL</t>
        </is>
      </c>
      <c r="AM217" s="3" t="n"/>
      <c r="AN217" s="3" t="n"/>
    </row>
    <row r="218">
      <c r="A218" s="3" t="inlineStr">
        <is>
          <t>P0217</t>
        </is>
      </c>
      <c r="B218" s="3" t="n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n"/>
      <c r="S218" s="3" t="n"/>
      <c r="T218" s="3" t="n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n"/>
      <c r="AB218" s="3" t="inlineStr">
        <is>
          <t>6박</t>
        </is>
      </c>
      <c r="AC218" s="3" t="inlineStr">
        <is>
          <t>1</t>
        </is>
      </c>
      <c r="AD218" s="3" t="n"/>
      <c r="AE218" s="3" t="n"/>
      <c r="AF218" s="3" t="n"/>
      <c r="AG218" s="3" t="inlineStr">
        <is>
          <t>1</t>
        </is>
      </c>
      <c r="AH218" s="3" t="n"/>
      <c r="AI218" s="3" t="n"/>
      <c r="AJ218" s="3" t="n"/>
      <c r="AK218" s="3" t="n"/>
      <c r="AL218" s="3" t="inlineStr">
        <is>
          <t>FINAL</t>
        </is>
      </c>
      <c r="AM218" s="3" t="n"/>
      <c r="AN218" s="3" t="inlineStr">
        <is>
          <t>자원봉사팀</t>
        </is>
      </c>
    </row>
    <row r="219">
      <c r="A219" s="3" t="inlineStr">
        <is>
          <t>P0218</t>
        </is>
      </c>
      <c r="B219" s="3" t="n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n"/>
      <c r="S219" s="3" t="n"/>
      <c r="T219" s="3" t="n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n"/>
      <c r="AB219" s="3" t="inlineStr">
        <is>
          <t>6박</t>
        </is>
      </c>
      <c r="AC219" s="3" t="inlineStr">
        <is>
          <t>1</t>
        </is>
      </c>
      <c r="AD219" s="3" t="n"/>
      <c r="AE219" s="3" t="n"/>
      <c r="AF219" s="3" t="n"/>
      <c r="AG219" s="3" t="inlineStr">
        <is>
          <t>1</t>
        </is>
      </c>
      <c r="AH219" s="3" t="n"/>
      <c r="AI219" s="3" t="n"/>
      <c r="AJ219" s="3" t="n"/>
      <c r="AK219" s="3" t="n"/>
      <c r="AL219" s="3" t="inlineStr">
        <is>
          <t>FINAL</t>
        </is>
      </c>
      <c r="AM219" s="3" t="n"/>
      <c r="AN219" s="3" t="n"/>
    </row>
    <row r="220">
      <c r="A220" s="3" t="inlineStr">
        <is>
          <t>P0219</t>
        </is>
      </c>
      <c r="B220" s="3" t="n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n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n"/>
      <c r="S220" s="3" t="n"/>
      <c r="T220" s="3" t="n"/>
      <c r="U220" s="3" t="n"/>
      <c r="V220" s="3" t="n"/>
      <c r="W220" s="3" t="n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n"/>
      <c r="AB220" s="3" t="inlineStr">
        <is>
          <t>3박</t>
        </is>
      </c>
      <c r="AC220" s="3" t="inlineStr">
        <is>
          <t>1</t>
        </is>
      </c>
      <c r="AD220" s="3" t="n"/>
      <c r="AE220" s="3" t="n"/>
      <c r="AF220" s="3" t="n"/>
      <c r="AG220" s="3" t="inlineStr">
        <is>
          <t>1</t>
        </is>
      </c>
      <c r="AH220" s="3" t="n"/>
      <c r="AI220" s="3" t="n"/>
      <c r="AJ220" s="3" t="n"/>
      <c r="AK220" s="3" t="n"/>
      <c r="AL220" s="3" t="inlineStr">
        <is>
          <t>FINAL</t>
        </is>
      </c>
      <c r="AM220" s="3" t="n"/>
      <c r="AN220" s="3" t="n"/>
    </row>
    <row r="221">
      <c r="A221" s="3" t="inlineStr">
        <is>
          <t>P0220</t>
        </is>
      </c>
      <c r="B221" s="3" t="n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n"/>
      <c r="S221" s="3" t="n"/>
      <c r="T221" s="3" t="n"/>
      <c r="U221" s="3" t="n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n"/>
      <c r="AB221" s="3" t="inlineStr">
        <is>
          <t>5박</t>
        </is>
      </c>
      <c r="AC221" s="3" t="inlineStr">
        <is>
          <t>1</t>
        </is>
      </c>
      <c r="AD221" s="3" t="n"/>
      <c r="AE221" s="3" t="n"/>
      <c r="AF221" s="3" t="n"/>
      <c r="AG221" s="3" t="inlineStr">
        <is>
          <t>1</t>
        </is>
      </c>
      <c r="AH221" s="3" t="n"/>
      <c r="AI221" s="3" t="n"/>
      <c r="AJ221" s="3" t="n"/>
      <c r="AK221" s="3" t="n"/>
      <c r="AL221" s="3" t="inlineStr">
        <is>
          <t>FINAL</t>
        </is>
      </c>
      <c r="AM221" s="3" t="n"/>
      <c r="AN221" s="3" t="n"/>
    </row>
    <row r="222">
      <c r="A222" s="3" t="inlineStr">
        <is>
          <t>P0221</t>
        </is>
      </c>
      <c r="B222" s="3" t="n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n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n"/>
      <c r="S222" s="3" t="n"/>
      <c r="T222" s="3" t="n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n"/>
      <c r="AB222" s="3" t="inlineStr">
        <is>
          <t>6박</t>
        </is>
      </c>
      <c r="AC222" s="3" t="inlineStr">
        <is>
          <t>1</t>
        </is>
      </c>
      <c r="AD222" s="3" t="n"/>
      <c r="AE222" s="3" t="n"/>
      <c r="AF222" s="3" t="n"/>
      <c r="AG222" s="3" t="inlineStr">
        <is>
          <t>1</t>
        </is>
      </c>
      <c r="AH222" s="3" t="n"/>
      <c r="AI222" s="3" t="n"/>
      <c r="AJ222" s="3" t="n"/>
      <c r="AK222" s="3" t="n"/>
      <c r="AL222" s="3" t="inlineStr">
        <is>
          <t>FINAL</t>
        </is>
      </c>
      <c r="AM222" s="3" t="n"/>
      <c r="AN222" s="3" t="n"/>
    </row>
    <row r="223">
      <c r="A223" s="3" t="inlineStr">
        <is>
          <t>P0222</t>
        </is>
      </c>
      <c r="B223" s="3" t="n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n"/>
      <c r="S223" s="3" t="n"/>
      <c r="T223" s="3" t="n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n"/>
      <c r="AB223" s="3" t="inlineStr">
        <is>
          <t>6박</t>
        </is>
      </c>
      <c r="AC223" s="3" t="inlineStr">
        <is>
          <t>1</t>
        </is>
      </c>
      <c r="AD223" s="3" t="n"/>
      <c r="AE223" s="3" t="n"/>
      <c r="AF223" s="3" t="n"/>
      <c r="AG223" s="3" t="inlineStr">
        <is>
          <t>1</t>
        </is>
      </c>
      <c r="AH223" s="3" t="n"/>
      <c r="AI223" s="3" t="n"/>
      <c r="AJ223" s="3" t="n"/>
      <c r="AK223" s="3" t="n"/>
      <c r="AL223" s="3" t="inlineStr">
        <is>
          <t>FINAL</t>
        </is>
      </c>
      <c r="AM223" s="3" t="n"/>
      <c r="AN223" s="3" t="n"/>
    </row>
    <row r="224">
      <c r="A224" s="3" t="inlineStr">
        <is>
          <t>P0223</t>
        </is>
      </c>
      <c r="B224" s="3" t="n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n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n"/>
      <c r="S224" s="3" t="n"/>
      <c r="T224" s="3" t="n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n"/>
      <c r="AB224" s="3" t="inlineStr">
        <is>
          <t>6박</t>
        </is>
      </c>
      <c r="AC224" s="3" t="inlineStr">
        <is>
          <t>1</t>
        </is>
      </c>
      <c r="AD224" s="3" t="n"/>
      <c r="AE224" s="3" t="n"/>
      <c r="AF224" s="3" t="n"/>
      <c r="AG224" s="3" t="inlineStr">
        <is>
          <t>1</t>
        </is>
      </c>
      <c r="AH224" s="3" t="n"/>
      <c r="AI224" s="3" t="n"/>
      <c r="AJ224" s="3" t="n"/>
      <c r="AK224" s="3" t="n"/>
      <c r="AL224" s="3" t="inlineStr">
        <is>
          <t>FINAL</t>
        </is>
      </c>
      <c r="AM224" s="3" t="n"/>
      <c r="AN224" s="3" t="n"/>
    </row>
    <row r="225">
      <c r="A225" s="3" t="inlineStr">
        <is>
          <t>P0224</t>
        </is>
      </c>
      <c r="B225" s="3" t="n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n"/>
      <c r="S225" s="3" t="n"/>
      <c r="T225" s="3" t="n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n"/>
      <c r="AB225" s="3" t="inlineStr">
        <is>
          <t>6박</t>
        </is>
      </c>
      <c r="AC225" s="3" t="inlineStr">
        <is>
          <t>1</t>
        </is>
      </c>
      <c r="AD225" s="3" t="n"/>
      <c r="AE225" s="3" t="n"/>
      <c r="AF225" s="3" t="n"/>
      <c r="AG225" s="3" t="inlineStr">
        <is>
          <t>1</t>
        </is>
      </c>
      <c r="AH225" s="3" t="n"/>
      <c r="AI225" s="3" t="n"/>
      <c r="AJ225" s="3" t="n"/>
      <c r="AK225" s="3" t="n"/>
      <c r="AL225" s="3" t="inlineStr">
        <is>
          <t>FINAL</t>
        </is>
      </c>
      <c r="AM225" s="3" t="n"/>
      <c r="AN225" s="3" t="n"/>
    </row>
    <row r="226">
      <c r="A226" s="3" t="inlineStr">
        <is>
          <t>P0225</t>
        </is>
      </c>
      <c r="B226" s="3" t="n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n"/>
      <c r="S226" s="3" t="n"/>
      <c r="T226" s="3" t="n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n"/>
      <c r="AB226" s="3" t="inlineStr">
        <is>
          <t>6박</t>
        </is>
      </c>
      <c r="AC226" s="3" t="inlineStr">
        <is>
          <t>1</t>
        </is>
      </c>
      <c r="AD226" s="3" t="n"/>
      <c r="AE226" s="3" t="n"/>
      <c r="AF226" s="3" t="n"/>
      <c r="AG226" s="3" t="inlineStr">
        <is>
          <t>1</t>
        </is>
      </c>
      <c r="AH226" s="3" t="n"/>
      <c r="AI226" s="3" t="n"/>
      <c r="AJ226" s="3" t="n"/>
      <c r="AK226" s="3" t="n"/>
      <c r="AL226" s="3" t="inlineStr">
        <is>
          <t>FINAL</t>
        </is>
      </c>
      <c r="AM226" s="3" t="n"/>
      <c r="AN226" s="3" t="n"/>
    </row>
    <row r="227">
      <c r="A227" s="3" t="inlineStr">
        <is>
          <t>P0226</t>
        </is>
      </c>
      <c r="B227" s="3" t="n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n"/>
      <c r="S227" s="3" t="n"/>
      <c r="T227" s="3" t="n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n"/>
      <c r="AB227" s="3" t="inlineStr">
        <is>
          <t>6박</t>
        </is>
      </c>
      <c r="AC227" s="3" t="inlineStr">
        <is>
          <t>1</t>
        </is>
      </c>
      <c r="AD227" s="3" t="n"/>
      <c r="AE227" s="3" t="n"/>
      <c r="AF227" s="3" t="n"/>
      <c r="AG227" s="3" t="inlineStr">
        <is>
          <t>1</t>
        </is>
      </c>
      <c r="AH227" s="3" t="n"/>
      <c r="AI227" s="3" t="n"/>
      <c r="AJ227" s="3" t="n"/>
      <c r="AK227" s="3" t="n"/>
      <c r="AL227" s="3" t="inlineStr">
        <is>
          <t>FINAL</t>
        </is>
      </c>
      <c r="AM227" s="3" t="n"/>
      <c r="AN227" s="3" t="n"/>
    </row>
    <row r="228">
      <c r="A228" s="3" t="inlineStr">
        <is>
          <t>P0227</t>
        </is>
      </c>
      <c r="B228" s="3" t="n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n"/>
      <c r="S228" s="3" t="n"/>
      <c r="T228" s="3" t="n"/>
      <c r="U228" s="3" t="n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n"/>
      <c r="AB228" s="3" t="inlineStr">
        <is>
          <t>5박</t>
        </is>
      </c>
      <c r="AC228" s="3" t="inlineStr">
        <is>
          <t>1</t>
        </is>
      </c>
      <c r="AD228" s="3" t="n"/>
      <c r="AE228" s="3" t="n"/>
      <c r="AF228" s="3" t="n"/>
      <c r="AG228" s="3" t="inlineStr">
        <is>
          <t>1</t>
        </is>
      </c>
      <c r="AH228" s="3" t="n"/>
      <c r="AI228" s="3" t="n"/>
      <c r="AJ228" s="3" t="n"/>
      <c r="AK228" s="3" t="n"/>
      <c r="AL228" s="3" t="inlineStr">
        <is>
          <t>FINAL</t>
        </is>
      </c>
      <c r="AM228" s="3" t="n"/>
      <c r="AN228" s="3" t="n"/>
    </row>
    <row r="229">
      <c r="A229" s="3" t="inlineStr">
        <is>
          <t>P0228</t>
        </is>
      </c>
      <c r="B229" s="3" t="n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n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n"/>
      <c r="S229" s="3" t="n"/>
      <c r="T229" s="3" t="n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n"/>
      <c r="AB229" s="3" t="inlineStr">
        <is>
          <t>6박</t>
        </is>
      </c>
      <c r="AC229" s="3" t="inlineStr">
        <is>
          <t>1</t>
        </is>
      </c>
      <c r="AD229" s="3" t="n"/>
      <c r="AE229" s="3" t="n"/>
      <c r="AF229" s="3" t="n"/>
      <c r="AG229" s="3" t="inlineStr">
        <is>
          <t>1</t>
        </is>
      </c>
      <c r="AH229" s="3" t="n"/>
      <c r="AI229" s="3" t="n"/>
      <c r="AJ229" s="3" t="n"/>
      <c r="AK229" s="3" t="n"/>
      <c r="AL229" s="3" t="inlineStr">
        <is>
          <t>FINAL</t>
        </is>
      </c>
      <c r="AM229" s="3" t="n"/>
      <c r="AN229" s="3" t="n"/>
    </row>
    <row r="230">
      <c r="A230" s="3" t="inlineStr">
        <is>
          <t>P0229</t>
        </is>
      </c>
      <c r="B230" s="3" t="n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n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n"/>
      <c r="S230" s="3" t="n"/>
      <c r="T230" s="3" t="n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n"/>
      <c r="AB230" s="3" t="inlineStr">
        <is>
          <t>6박</t>
        </is>
      </c>
      <c r="AC230" s="3" t="inlineStr">
        <is>
          <t>1</t>
        </is>
      </c>
      <c r="AD230" s="3" t="n"/>
      <c r="AE230" s="3" t="n"/>
      <c r="AF230" s="3" t="n"/>
      <c r="AG230" s="3" t="inlineStr">
        <is>
          <t>1</t>
        </is>
      </c>
      <c r="AH230" s="3" t="n"/>
      <c r="AI230" s="3" t="n"/>
      <c r="AJ230" s="3" t="n"/>
      <c r="AK230" s="3" t="n"/>
      <c r="AL230" s="3" t="inlineStr">
        <is>
          <t>FINAL</t>
        </is>
      </c>
      <c r="AM230" s="3" t="n"/>
      <c r="AN230" s="3" t="n"/>
    </row>
    <row r="231">
      <c r="A231" s="3" t="inlineStr">
        <is>
          <t>P0230</t>
        </is>
      </c>
      <c r="B231" s="3" t="n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n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n"/>
      <c r="S231" s="3" t="n"/>
      <c r="T231" s="3" t="n"/>
      <c r="U231" s="3" t="n"/>
      <c r="V231" s="3" t="n"/>
      <c r="W231" s="3" t="n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n"/>
      <c r="AB231" s="3" t="inlineStr">
        <is>
          <t>3박</t>
        </is>
      </c>
      <c r="AC231" s="3" t="inlineStr">
        <is>
          <t>1</t>
        </is>
      </c>
      <c r="AD231" s="3" t="n"/>
      <c r="AE231" s="3" t="n"/>
      <c r="AF231" s="3" t="n"/>
      <c r="AG231" s="3" t="inlineStr">
        <is>
          <t>1</t>
        </is>
      </c>
      <c r="AH231" s="3" t="n"/>
      <c r="AI231" s="3" t="n"/>
      <c r="AJ231" s="3" t="n"/>
      <c r="AK231" s="3" t="n"/>
      <c r="AL231" s="3" t="inlineStr">
        <is>
          <t>FINAL</t>
        </is>
      </c>
      <c r="AM231" s="3" t="n"/>
      <c r="AN231" s="3" t="n"/>
    </row>
    <row r="232">
      <c r="A232" s="3" t="inlineStr">
        <is>
          <t>P0231</t>
        </is>
      </c>
      <c r="B232" s="3" t="n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n"/>
      <c r="S232" s="3" t="n"/>
      <c r="T232" s="3" t="n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n"/>
      <c r="AB232" s="3" t="inlineStr">
        <is>
          <t>6박</t>
        </is>
      </c>
      <c r="AC232" s="3" t="inlineStr">
        <is>
          <t>1</t>
        </is>
      </c>
      <c r="AD232" s="3" t="n"/>
      <c r="AE232" s="3" t="n"/>
      <c r="AF232" s="3" t="n"/>
      <c r="AG232" s="3" t="inlineStr">
        <is>
          <t>1</t>
        </is>
      </c>
      <c r="AH232" s="3" t="n"/>
      <c r="AI232" s="3" t="n"/>
      <c r="AJ232" s="3" t="n"/>
      <c r="AK232" s="3" t="n"/>
      <c r="AL232" s="3" t="inlineStr">
        <is>
          <t>FINAL</t>
        </is>
      </c>
      <c r="AM232" s="3" t="n"/>
      <c r="AN232" s="3" t="n"/>
    </row>
    <row r="233">
      <c r="A233" s="3" t="inlineStr">
        <is>
          <t>P0232</t>
        </is>
      </c>
      <c r="B233" s="3" t="n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n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n"/>
      <c r="S233" s="3" t="n"/>
      <c r="T233" s="3" t="n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n"/>
      <c r="Z233" s="3" t="n"/>
      <c r="AA233" s="3" t="n"/>
      <c r="AB233" s="3" t="inlineStr">
        <is>
          <t>4박</t>
        </is>
      </c>
      <c r="AC233" s="3" t="inlineStr">
        <is>
          <t>1</t>
        </is>
      </c>
      <c r="AD233" s="3" t="n"/>
      <c r="AE233" s="3" t="n"/>
      <c r="AF233" s="3" t="n"/>
      <c r="AG233" s="3" t="inlineStr">
        <is>
          <t>1</t>
        </is>
      </c>
      <c r="AH233" s="3" t="n"/>
      <c r="AI233" s="3" t="n"/>
      <c r="AJ233" s="3" t="n"/>
      <c r="AK233" s="3" t="n"/>
      <c r="AL233" s="3" t="inlineStr">
        <is>
          <t>FINAL</t>
        </is>
      </c>
      <c r="AM233" s="3" t="n"/>
      <c r="AN233" s="3" t="n"/>
    </row>
    <row r="234">
      <c r="A234" s="3" t="inlineStr">
        <is>
          <t>P0233</t>
        </is>
      </c>
      <c r="B234" s="3" t="inlineStr">
        <is>
          <t>자원봉사팀</t>
        </is>
      </c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n"/>
      <c r="S234" s="3" t="n"/>
      <c r="T234" s="3" t="n"/>
      <c r="U234" s="3" t="n"/>
      <c r="V234" s="3" t="n"/>
      <c r="W234" s="3" t="n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n"/>
      <c r="AB234" s="3" t="inlineStr">
        <is>
          <t>3박</t>
        </is>
      </c>
      <c r="AC234" s="3" t="inlineStr">
        <is>
          <t>1</t>
        </is>
      </c>
      <c r="AD234" s="3" t="n"/>
      <c r="AE234" s="3" t="n"/>
      <c r="AF234" s="3" t="n"/>
      <c r="AG234" s="3" t="inlineStr">
        <is>
          <t>1</t>
        </is>
      </c>
      <c r="AH234" s="3" t="n"/>
      <c r="AI234" s="3" t="inlineStr">
        <is>
          <t>부영청소년수련원</t>
        </is>
      </c>
      <c r="AJ234" s="3" t="n"/>
      <c r="AK234" s="3" t="inlineStr">
        <is>
          <t>자원봉사·비제주</t>
        </is>
      </c>
      <c r="AL234" s="3" t="inlineStr">
        <is>
          <t>FINAL</t>
        </is>
      </c>
      <c r="AM234" s="3" t="n"/>
      <c r="AN234" s="3" t="inlineStr">
        <is>
          <t>자원봉사팀</t>
        </is>
      </c>
    </row>
    <row r="235">
      <c r="A235" s="3" t="inlineStr">
        <is>
          <t>P0234</t>
        </is>
      </c>
      <c r="B235" s="3" t="n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n"/>
      <c r="S235" s="3" t="n"/>
      <c r="T235" s="3" t="n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n"/>
      <c r="AB235" s="3" t="inlineStr">
        <is>
          <t>6박</t>
        </is>
      </c>
      <c r="AC235" s="3" t="inlineStr">
        <is>
          <t>1</t>
        </is>
      </c>
      <c r="AD235" s="3" t="n"/>
      <c r="AE235" s="3" t="n"/>
      <c r="AF235" s="3" t="n"/>
      <c r="AG235" s="3" t="inlineStr">
        <is>
          <t>1</t>
        </is>
      </c>
      <c r="AH235" s="3" t="n"/>
      <c r="AI235" s="3" t="n"/>
      <c r="AJ235" s="3" t="n"/>
      <c r="AK235" s="3" t="n"/>
      <c r="AL235" s="3" t="inlineStr">
        <is>
          <t>FINAL</t>
        </is>
      </c>
      <c r="AM235" s="3" t="n"/>
      <c r="AN235" s="3" t="n"/>
    </row>
    <row r="236">
      <c r="A236" s="3" t="inlineStr">
        <is>
          <t>P0235</t>
        </is>
      </c>
      <c r="B236" s="3" t="n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n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n"/>
      <c r="S236" s="3" t="n"/>
      <c r="T236" s="3" t="n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n"/>
      <c r="AB236" s="3" t="inlineStr">
        <is>
          <t>6박</t>
        </is>
      </c>
      <c r="AC236" s="3" t="inlineStr">
        <is>
          <t>1</t>
        </is>
      </c>
      <c r="AD236" s="3" t="n"/>
      <c r="AE236" s="3" t="n"/>
      <c r="AF236" s="3" t="n"/>
      <c r="AG236" s="3" t="inlineStr">
        <is>
          <t>1</t>
        </is>
      </c>
      <c r="AH236" s="3" t="n"/>
      <c r="AI236" s="3" t="n"/>
      <c r="AJ236" s="3" t="n"/>
      <c r="AK236" s="3" t="n"/>
      <c r="AL236" s="3" t="inlineStr">
        <is>
          <t>FINAL</t>
        </is>
      </c>
      <c r="AM236" s="3" t="n"/>
      <c r="AN236" s="3" t="n"/>
    </row>
    <row r="237">
      <c r="A237" s="3" t="inlineStr">
        <is>
          <t>P0236</t>
        </is>
      </c>
      <c r="B237" s="3" t="n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n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n"/>
      <c r="S237" s="3" t="n"/>
      <c r="T237" s="3" t="n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n"/>
      <c r="AB237" s="3" t="inlineStr">
        <is>
          <t>6박</t>
        </is>
      </c>
      <c r="AC237" s="3" t="inlineStr">
        <is>
          <t>1</t>
        </is>
      </c>
      <c r="AD237" s="3" t="n"/>
      <c r="AE237" s="3" t="n"/>
      <c r="AF237" s="3" t="n"/>
      <c r="AG237" s="3" t="inlineStr">
        <is>
          <t>1</t>
        </is>
      </c>
      <c r="AH237" s="3" t="n"/>
      <c r="AI237" s="3" t="n"/>
      <c r="AJ237" s="3" t="n"/>
      <c r="AK237" s="3" t="n"/>
      <c r="AL237" s="3" t="inlineStr">
        <is>
          <t>FINAL</t>
        </is>
      </c>
      <c r="AM237" s="3" t="n"/>
      <c r="AN237" s="3" t="n"/>
    </row>
    <row r="238">
      <c r="A238" s="3" t="inlineStr">
        <is>
          <t>P0237</t>
        </is>
      </c>
      <c r="B238" s="3" t="n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n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n"/>
      <c r="S238" s="3" t="n"/>
      <c r="T238" s="3" t="n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n"/>
      <c r="AB238" s="3" t="inlineStr">
        <is>
          <t>6박</t>
        </is>
      </c>
      <c r="AC238" s="3" t="inlineStr">
        <is>
          <t>1</t>
        </is>
      </c>
      <c r="AD238" s="3" t="n"/>
      <c r="AE238" s="3" t="n"/>
      <c r="AF238" s="3" t="n"/>
      <c r="AG238" s="3" t="inlineStr">
        <is>
          <t>1</t>
        </is>
      </c>
      <c r="AH238" s="3" t="n"/>
      <c r="AI238" s="3" t="n"/>
      <c r="AJ238" s="3" t="n"/>
      <c r="AK238" s="3" t="n"/>
      <c r="AL238" s="3" t="inlineStr">
        <is>
          <t>FINAL</t>
        </is>
      </c>
      <c r="AM238" s="3" t="n"/>
      <c r="AN238" s="3" t="n"/>
    </row>
    <row r="239">
      <c r="A239" s="3" t="inlineStr">
        <is>
          <t>P0238</t>
        </is>
      </c>
      <c r="B239" s="3" t="n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n"/>
      <c r="S239" s="3" t="n"/>
      <c r="T239" s="3" t="n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n"/>
      <c r="AB239" s="3" t="inlineStr">
        <is>
          <t>6박</t>
        </is>
      </c>
      <c r="AC239" s="3" t="inlineStr">
        <is>
          <t>1</t>
        </is>
      </c>
      <c r="AD239" s="3" t="n"/>
      <c r="AE239" s="3" t="n"/>
      <c r="AF239" s="3" t="n"/>
      <c r="AG239" s="3" t="inlineStr">
        <is>
          <t>1</t>
        </is>
      </c>
      <c r="AH239" s="3" t="n"/>
      <c r="AI239" s="3" t="n"/>
      <c r="AJ239" s="3" t="n"/>
      <c r="AK239" s="3" t="n"/>
      <c r="AL239" s="3" t="inlineStr">
        <is>
          <t>FINAL</t>
        </is>
      </c>
      <c r="AM239" s="3" t="n"/>
      <c r="AN239" s="3" t="n"/>
    </row>
    <row r="240">
      <c r="A240" s="3" t="inlineStr">
        <is>
          <t>P0239</t>
        </is>
      </c>
      <c r="B240" s="3" t="n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n"/>
      <c r="S240" s="3" t="n"/>
      <c r="T240" s="3" t="n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n"/>
      <c r="AB240" s="3" t="inlineStr">
        <is>
          <t>6박</t>
        </is>
      </c>
      <c r="AC240" s="3" t="inlineStr">
        <is>
          <t>1</t>
        </is>
      </c>
      <c r="AD240" s="3" t="n"/>
      <c r="AE240" s="3" t="n"/>
      <c r="AF240" s="3" t="n"/>
      <c r="AG240" s="3" t="inlineStr">
        <is>
          <t>1</t>
        </is>
      </c>
      <c r="AH240" s="3" t="n"/>
      <c r="AI240" s="3" t="n"/>
      <c r="AJ240" s="3" t="n"/>
      <c r="AK240" s="3" t="n"/>
      <c r="AL240" s="3" t="inlineStr">
        <is>
          <t>FINAL</t>
        </is>
      </c>
      <c r="AM240" s="3" t="n"/>
      <c r="AN240" s="3" t="n"/>
    </row>
    <row r="241">
      <c r="A241" s="3" t="inlineStr">
        <is>
          <t>P0240</t>
        </is>
      </c>
      <c r="B241" s="3" t="n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n"/>
      <c r="S241" s="3" t="n"/>
      <c r="T241" s="3" t="n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n"/>
      <c r="AB241" s="3" t="inlineStr">
        <is>
          <t>6박</t>
        </is>
      </c>
      <c r="AC241" s="3" t="inlineStr">
        <is>
          <t>1</t>
        </is>
      </c>
      <c r="AD241" s="3" t="n"/>
      <c r="AE241" s="3" t="n"/>
      <c r="AF241" s="3" t="n"/>
      <c r="AG241" s="3" t="inlineStr">
        <is>
          <t>1</t>
        </is>
      </c>
      <c r="AH241" s="3" t="n"/>
      <c r="AI241" s="3" t="n"/>
      <c r="AJ241" s="3" t="n"/>
      <c r="AK241" s="3" t="n"/>
      <c r="AL241" s="3" t="inlineStr">
        <is>
          <t>FINAL</t>
        </is>
      </c>
      <c r="AM241" s="3" t="n"/>
      <c r="AN241" s="3" t="n"/>
    </row>
    <row r="242">
      <c r="A242" s="3" t="inlineStr">
        <is>
          <t>P0241</t>
        </is>
      </c>
      <c r="B242" s="3" t="n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n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n"/>
      <c r="S242" s="3" t="n"/>
      <c r="T242" s="3" t="n"/>
      <c r="U242" s="3" t="n"/>
      <c r="V242" s="3" t="n"/>
      <c r="W242" s="3" t="n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n"/>
      <c r="AB242" s="3" t="inlineStr">
        <is>
          <t>3박</t>
        </is>
      </c>
      <c r="AC242" s="3" t="inlineStr">
        <is>
          <t>1</t>
        </is>
      </c>
      <c r="AD242" s="3" t="n"/>
      <c r="AE242" s="3" t="n"/>
      <c r="AF242" s="3" t="n"/>
      <c r="AG242" s="3" t="inlineStr">
        <is>
          <t>1</t>
        </is>
      </c>
      <c r="AH242" s="3" t="n"/>
      <c r="AI242" s="3" t="n"/>
      <c r="AJ242" s="3" t="n"/>
      <c r="AK242" s="3" t="n"/>
      <c r="AL242" s="3" t="inlineStr">
        <is>
          <t>FINAL</t>
        </is>
      </c>
      <c r="AM242" s="3" t="n"/>
      <c r="AN242" s="3" t="n"/>
    </row>
    <row r="243">
      <c r="A243" s="3" t="inlineStr">
        <is>
          <t>P0242</t>
        </is>
      </c>
      <c r="B243" s="3" t="n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n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n"/>
      <c r="S243" s="3" t="n"/>
      <c r="T243" s="3" t="n"/>
      <c r="U243" s="3" t="n"/>
      <c r="V243" s="3" t="n"/>
      <c r="W243" s="3" t="n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n"/>
      <c r="AB243" s="3" t="inlineStr">
        <is>
          <t>3박</t>
        </is>
      </c>
      <c r="AC243" s="3" t="inlineStr">
        <is>
          <t>1</t>
        </is>
      </c>
      <c r="AD243" s="3" t="n"/>
      <c r="AE243" s="3" t="n"/>
      <c r="AF243" s="3" t="n"/>
      <c r="AG243" s="3" t="inlineStr">
        <is>
          <t>1</t>
        </is>
      </c>
      <c r="AH243" s="3" t="n"/>
      <c r="AI243" s="3" t="n"/>
      <c r="AJ243" s="3" t="n"/>
      <c r="AK243" s="3" t="n"/>
      <c r="AL243" s="3" t="inlineStr">
        <is>
          <t>FINAL</t>
        </is>
      </c>
      <c r="AM243" s="3" t="n"/>
      <c r="AN243" s="3" t="n"/>
    </row>
    <row r="244">
      <c r="A244" s="3" t="inlineStr">
        <is>
          <t>P0243</t>
        </is>
      </c>
      <c r="B244" s="3" t="n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n"/>
      <c r="S244" s="3" t="n"/>
      <c r="T244" s="3" t="n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n"/>
      <c r="AB244" s="3" t="inlineStr">
        <is>
          <t>6박</t>
        </is>
      </c>
      <c r="AC244" s="3" t="inlineStr">
        <is>
          <t>1</t>
        </is>
      </c>
      <c r="AD244" s="3" t="n"/>
      <c r="AE244" s="3" t="n"/>
      <c r="AF244" s="3" t="n"/>
      <c r="AG244" s="3" t="inlineStr">
        <is>
          <t>1</t>
        </is>
      </c>
      <c r="AH244" s="3" t="n"/>
      <c r="AI244" s="3" t="n"/>
      <c r="AJ244" s="3" t="n"/>
      <c r="AK244" s="3" t="n"/>
      <c r="AL244" s="3" t="inlineStr">
        <is>
          <t>FINAL</t>
        </is>
      </c>
      <c r="AM244" s="3" t="n"/>
      <c r="AN244" s="3" t="n"/>
    </row>
    <row r="245">
      <c r="A245" s="3" t="inlineStr">
        <is>
          <t>P0244</t>
        </is>
      </c>
      <c r="B245" s="3" t="n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n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n"/>
      <c r="S245" s="3" t="n"/>
      <c r="T245" s="3" t="n"/>
      <c r="U245" s="3" t="n"/>
      <c r="V245" s="3" t="n"/>
      <c r="W245" s="3" t="n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n"/>
      <c r="AB245" s="3" t="inlineStr">
        <is>
          <t>3박</t>
        </is>
      </c>
      <c r="AC245" s="3" t="inlineStr">
        <is>
          <t>1</t>
        </is>
      </c>
      <c r="AD245" s="3" t="n"/>
      <c r="AE245" s="3" t="n"/>
      <c r="AF245" s="3" t="n"/>
      <c r="AG245" s="3" t="inlineStr">
        <is>
          <t>1</t>
        </is>
      </c>
      <c r="AH245" s="3" t="n"/>
      <c r="AI245" s="3" t="n"/>
      <c r="AJ245" s="3" t="n"/>
      <c r="AK245" s="3" t="n"/>
      <c r="AL245" s="3" t="inlineStr">
        <is>
          <t>FINAL</t>
        </is>
      </c>
      <c r="AM245" s="3" t="n"/>
      <c r="AN245" s="3" t="n"/>
    </row>
    <row r="246">
      <c r="A246" s="3" t="inlineStr">
        <is>
          <t>P0245</t>
        </is>
      </c>
      <c r="B246" s="3" t="n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n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n"/>
      <c r="S246" s="3" t="n"/>
      <c r="T246" s="3" t="n"/>
      <c r="U246" s="3" t="n"/>
      <c r="V246" s="3" t="n"/>
      <c r="W246" s="3" t="n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n"/>
      <c r="AB246" s="3" t="inlineStr">
        <is>
          <t>3박</t>
        </is>
      </c>
      <c r="AC246" s="3" t="inlineStr">
        <is>
          <t>1</t>
        </is>
      </c>
      <c r="AD246" s="3" t="n"/>
      <c r="AE246" s="3" t="n"/>
      <c r="AF246" s="3" t="n"/>
      <c r="AG246" s="3" t="inlineStr">
        <is>
          <t>1</t>
        </is>
      </c>
      <c r="AH246" s="3" t="n"/>
      <c r="AI246" s="3" t="n"/>
      <c r="AJ246" s="3" t="n"/>
      <c r="AK246" s="3" t="n"/>
      <c r="AL246" s="3" t="inlineStr">
        <is>
          <t>FINAL</t>
        </is>
      </c>
      <c r="AM246" s="3" t="n"/>
      <c r="AN246" s="3" t="n"/>
    </row>
    <row r="247">
      <c r="A247" s="3" t="inlineStr">
        <is>
          <t>P0246</t>
        </is>
      </c>
      <c r="B247" s="3" t="n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n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n"/>
      <c r="S247" s="3" t="n"/>
      <c r="T247" s="3" t="n"/>
      <c r="U247" s="3" t="n"/>
      <c r="V247" s="3" t="n"/>
      <c r="W247" s="3" t="inlineStr">
        <is>
          <t>✓</t>
        </is>
      </c>
      <c r="X247" s="3" t="n"/>
      <c r="Y247" s="3" t="n"/>
      <c r="Z247" s="3" t="n"/>
      <c r="AA247" s="3" t="n"/>
      <c r="AB247" s="3" t="inlineStr">
        <is>
          <t>1박</t>
        </is>
      </c>
      <c r="AC247" s="3" t="inlineStr">
        <is>
          <t>1</t>
        </is>
      </c>
      <c r="AD247" s="3" t="n"/>
      <c r="AE247" s="3" t="n"/>
      <c r="AF247" s="3" t="n"/>
      <c r="AG247" s="3" t="inlineStr">
        <is>
          <t>1</t>
        </is>
      </c>
      <c r="AH247" s="3" t="n"/>
      <c r="AI247" s="3" t="n"/>
      <c r="AJ247" s="3" t="n"/>
      <c r="AK247" s="3" t="n"/>
      <c r="AL247" s="3" t="inlineStr">
        <is>
          <t>FINAL</t>
        </is>
      </c>
      <c r="AM247" s="3" t="n"/>
      <c r="AN247" s="3" t="n"/>
    </row>
    <row r="248">
      <c r="A248" s="3" t="inlineStr">
        <is>
          <t>P0247</t>
        </is>
      </c>
      <c r="B248" s="3" t="n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n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n"/>
      <c r="S248" s="3" t="n"/>
      <c r="T248" s="3" t="n"/>
      <c r="U248" s="3" t="n"/>
      <c r="V248" s="3" t="n"/>
      <c r="W248" s="3" t="inlineStr">
        <is>
          <t>✓</t>
        </is>
      </c>
      <c r="X248" s="3" t="n"/>
      <c r="Y248" s="3" t="n"/>
      <c r="Z248" s="3" t="inlineStr">
        <is>
          <t>✓</t>
        </is>
      </c>
      <c r="AA248" s="3" t="n"/>
      <c r="AB248" s="3" t="inlineStr">
        <is>
          <t>2박</t>
        </is>
      </c>
      <c r="AC248" s="3" t="inlineStr">
        <is>
          <t>1</t>
        </is>
      </c>
      <c r="AD248" s="3" t="n"/>
      <c r="AE248" s="3" t="n"/>
      <c r="AF248" s="3" t="n"/>
      <c r="AG248" s="3" t="inlineStr">
        <is>
          <t>1</t>
        </is>
      </c>
      <c r="AH248" s="3" t="n"/>
      <c r="AI248" s="3" t="n"/>
      <c r="AJ248" s="3" t="n"/>
      <c r="AK248" s="3" t="n"/>
      <c r="AL248" s="3" t="inlineStr">
        <is>
          <t>FINAL</t>
        </is>
      </c>
      <c r="AM248" s="3" t="n"/>
      <c r="AN248" s="3" t="n"/>
    </row>
    <row r="249">
      <c r="A249" s="3" t="inlineStr">
        <is>
          <t>P0248</t>
        </is>
      </c>
      <c r="B249" s="3" t="n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n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n"/>
      <c r="S249" s="3" t="n"/>
      <c r="T249" s="3" t="n"/>
      <c r="U249" s="3" t="n"/>
      <c r="V249" s="3" t="n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n"/>
      <c r="AB249" s="3" t="inlineStr">
        <is>
          <t>4박</t>
        </is>
      </c>
      <c r="AC249" s="3" t="inlineStr">
        <is>
          <t>1</t>
        </is>
      </c>
      <c r="AD249" s="3" t="n"/>
      <c r="AE249" s="3" t="n"/>
      <c r="AF249" s="3" t="n"/>
      <c r="AG249" s="3" t="inlineStr">
        <is>
          <t>1</t>
        </is>
      </c>
      <c r="AH249" s="3" t="n"/>
      <c r="AI249" s="3" t="n"/>
      <c r="AJ249" s="3" t="n"/>
      <c r="AK249" s="3" t="n"/>
      <c r="AL249" s="3" t="inlineStr">
        <is>
          <t>FINAL</t>
        </is>
      </c>
      <c r="AM249" s="3" t="n"/>
      <c r="AN249" s="3" t="n"/>
    </row>
    <row r="250">
      <c r="A250" s="3" t="inlineStr">
        <is>
          <t>P0249</t>
        </is>
      </c>
      <c r="B250" s="3" t="n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n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n"/>
      <c r="S250" s="3" t="n"/>
      <c r="T250" s="3" t="n"/>
      <c r="U250" s="3" t="n"/>
      <c r="V250" s="3" t="n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n"/>
      <c r="AB250" s="3" t="inlineStr">
        <is>
          <t>4박</t>
        </is>
      </c>
      <c r="AC250" s="3" t="inlineStr">
        <is>
          <t>1</t>
        </is>
      </c>
      <c r="AD250" s="3" t="n"/>
      <c r="AE250" s="3" t="n"/>
      <c r="AF250" s="3" t="n"/>
      <c r="AG250" s="3" t="inlineStr">
        <is>
          <t>1</t>
        </is>
      </c>
      <c r="AH250" s="3" t="n"/>
      <c r="AI250" s="3" t="n"/>
      <c r="AJ250" s="3" t="n"/>
      <c r="AK250" s="3" t="n"/>
      <c r="AL250" s="3" t="inlineStr">
        <is>
          <t>FINAL</t>
        </is>
      </c>
      <c r="AM250" s="3" t="n"/>
      <c r="AN250" s="3" t="n"/>
    </row>
    <row r="251">
      <c r="A251" s="3" t="inlineStr">
        <is>
          <t>P0250</t>
        </is>
      </c>
      <c r="B251" s="3" t="n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n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n"/>
      <c r="S251" s="3" t="n"/>
      <c r="T251" s="3" t="n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n"/>
      <c r="AB251" s="3" t="inlineStr">
        <is>
          <t>6박</t>
        </is>
      </c>
      <c r="AC251" s="3" t="inlineStr">
        <is>
          <t>1</t>
        </is>
      </c>
      <c r="AD251" s="3" t="n"/>
      <c r="AE251" s="3" t="n"/>
      <c r="AF251" s="3" t="n"/>
      <c r="AG251" s="3" t="inlineStr">
        <is>
          <t>1</t>
        </is>
      </c>
      <c r="AH251" s="3" t="n"/>
      <c r="AI251" s="3" t="n"/>
      <c r="AJ251" s="3" t="n"/>
      <c r="AK251" s="3" t="n"/>
      <c r="AL251" s="3" t="inlineStr">
        <is>
          <t>FINAL</t>
        </is>
      </c>
      <c r="AM251" s="3" t="n"/>
      <c r="AN251" s="3" t="n"/>
    </row>
    <row r="252">
      <c r="A252" s="3" t="inlineStr">
        <is>
          <t>P0251</t>
        </is>
      </c>
      <c r="B252" s="3" t="n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n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n"/>
      <c r="S252" s="3" t="n"/>
      <c r="T252" s="3" t="n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n"/>
      <c r="AB252" s="3" t="inlineStr">
        <is>
          <t>6박</t>
        </is>
      </c>
      <c r="AC252" s="3" t="inlineStr">
        <is>
          <t>1</t>
        </is>
      </c>
      <c r="AD252" s="3" t="n"/>
      <c r="AE252" s="3" t="n"/>
      <c r="AF252" s="3" t="n"/>
      <c r="AG252" s="3" t="inlineStr">
        <is>
          <t>1</t>
        </is>
      </c>
      <c r="AH252" s="3" t="n"/>
      <c r="AI252" s="3" t="n"/>
      <c r="AJ252" s="3" t="n"/>
      <c r="AK252" s="3" t="n"/>
      <c r="AL252" s="3" t="inlineStr">
        <is>
          <t>FINAL</t>
        </is>
      </c>
      <c r="AM252" s="3" t="n"/>
      <c r="AN252" s="3" t="n"/>
    </row>
    <row r="253">
      <c r="A253" s="3" t="inlineStr">
        <is>
          <t>P0252</t>
        </is>
      </c>
      <c r="B253" s="3" t="n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n"/>
      <c r="S253" s="3" t="n"/>
      <c r="T253" s="3" t="n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n"/>
      <c r="AB253" s="3" t="inlineStr">
        <is>
          <t>6박</t>
        </is>
      </c>
      <c r="AC253" s="3" t="inlineStr">
        <is>
          <t>1</t>
        </is>
      </c>
      <c r="AD253" s="3" t="n"/>
      <c r="AE253" s="3" t="n"/>
      <c r="AF253" s="3" t="n"/>
      <c r="AG253" s="3" t="inlineStr">
        <is>
          <t>1</t>
        </is>
      </c>
      <c r="AH253" s="3" t="n"/>
      <c r="AI253" s="3" t="n"/>
      <c r="AJ253" s="3" t="n"/>
      <c r="AK253" s="3" t="n"/>
      <c r="AL253" s="3" t="inlineStr">
        <is>
          <t>FINAL</t>
        </is>
      </c>
      <c r="AM253" s="3" t="inlineStr">
        <is>
          <t>한글이름 확인</t>
        </is>
      </c>
      <c r="AN253" s="3" t="n"/>
    </row>
    <row r="254">
      <c r="A254" s="3" t="inlineStr">
        <is>
          <t>P0253</t>
        </is>
      </c>
      <c r="B254" s="3" t="n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n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n"/>
      <c r="S254" s="3" t="n"/>
      <c r="T254" s="3" t="n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n"/>
      <c r="AB254" s="3" t="inlineStr">
        <is>
          <t>6박</t>
        </is>
      </c>
      <c r="AC254" s="3" t="inlineStr">
        <is>
          <t>1</t>
        </is>
      </c>
      <c r="AD254" s="3" t="n"/>
      <c r="AE254" s="3" t="n"/>
      <c r="AF254" s="3" t="n"/>
      <c r="AG254" s="3" t="inlineStr">
        <is>
          <t>1</t>
        </is>
      </c>
      <c r="AH254" s="3" t="n"/>
      <c r="AI254" s="3" t="n"/>
      <c r="AJ254" s="3" t="n"/>
      <c r="AK254" s="3" t="n"/>
      <c r="AL254" s="3" t="inlineStr">
        <is>
          <t>FINAL</t>
        </is>
      </c>
      <c r="AM254" s="3" t="n"/>
      <c r="AN254" s="3" t="n"/>
    </row>
    <row r="255">
      <c r="A255" s="3" t="inlineStr">
        <is>
          <t>P0254</t>
        </is>
      </c>
      <c r="B255" s="3" t="n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n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n"/>
      <c r="S255" s="3" t="n"/>
      <c r="T255" s="3" t="n"/>
      <c r="U255" s="3" t="n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n"/>
      <c r="AB255" s="3" t="inlineStr">
        <is>
          <t>5박</t>
        </is>
      </c>
      <c r="AC255" s="3" t="inlineStr">
        <is>
          <t>1</t>
        </is>
      </c>
      <c r="AD255" s="3" t="n"/>
      <c r="AE255" s="3" t="n"/>
      <c r="AF255" s="3" t="n"/>
      <c r="AG255" s="3" t="inlineStr">
        <is>
          <t>1</t>
        </is>
      </c>
      <c r="AH255" s="3" t="n"/>
      <c r="AI255" s="3" t="n"/>
      <c r="AJ255" s="3" t="n"/>
      <c r="AK255" s="3" t="n"/>
      <c r="AL255" s="3" t="inlineStr">
        <is>
          <t>FINAL</t>
        </is>
      </c>
      <c r="AM255" s="3" t="n"/>
      <c r="AN255" s="3" t="n"/>
    </row>
    <row r="256">
      <c r="A256" s="3" t="inlineStr">
        <is>
          <t>P0255</t>
        </is>
      </c>
      <c r="B256" s="3" t="n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n"/>
      <c r="S256" s="3" t="n"/>
      <c r="T256" s="3" t="n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n"/>
      <c r="AB256" s="3" t="inlineStr">
        <is>
          <t>6박</t>
        </is>
      </c>
      <c r="AC256" s="3" t="inlineStr">
        <is>
          <t>1</t>
        </is>
      </c>
      <c r="AD256" s="3" t="n"/>
      <c r="AE256" s="3" t="n"/>
      <c r="AF256" s="3" t="n"/>
      <c r="AG256" s="3" t="inlineStr">
        <is>
          <t>1</t>
        </is>
      </c>
      <c r="AH256" s="3" t="n"/>
      <c r="AI256" s="3" t="n"/>
      <c r="AJ256" s="3" t="n"/>
      <c r="AK256" s="3" t="n"/>
      <c r="AL256" s="3" t="inlineStr">
        <is>
          <t>FINAL</t>
        </is>
      </c>
      <c r="AM256" s="3" t="n"/>
      <c r="AN256" s="3" t="n"/>
    </row>
    <row r="257">
      <c r="A257" s="3" t="inlineStr">
        <is>
          <t>P0256</t>
        </is>
      </c>
      <c r="B257" s="3" t="n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n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n"/>
      <c r="S257" s="3" t="n"/>
      <c r="T257" s="3" t="n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n"/>
      <c r="AB257" s="3" t="inlineStr">
        <is>
          <t>6박</t>
        </is>
      </c>
      <c r="AC257" s="3" t="inlineStr">
        <is>
          <t>1</t>
        </is>
      </c>
      <c r="AD257" s="3" t="n"/>
      <c r="AE257" s="3" t="n"/>
      <c r="AF257" s="3" t="n"/>
      <c r="AG257" s="3" t="inlineStr">
        <is>
          <t>1</t>
        </is>
      </c>
      <c r="AH257" s="3" t="n"/>
      <c r="AI257" s="3" t="n"/>
      <c r="AJ257" s="3" t="n"/>
      <c r="AK257" s="3" t="n"/>
      <c r="AL257" s="3" t="inlineStr">
        <is>
          <t>FINAL</t>
        </is>
      </c>
      <c r="AM257" s="3" t="n"/>
      <c r="AN257" s="3" t="n"/>
    </row>
    <row r="258">
      <c r="A258" s="3" t="inlineStr">
        <is>
          <t>P0257</t>
        </is>
      </c>
      <c r="B258" s="3" t="n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n"/>
      <c r="S258" s="3" t="n"/>
      <c r="T258" s="3" t="n"/>
      <c r="U258" s="3" t="n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n"/>
      <c r="AB258" s="3" t="inlineStr">
        <is>
          <t>5박</t>
        </is>
      </c>
      <c r="AC258" s="3" t="inlineStr">
        <is>
          <t>1</t>
        </is>
      </c>
      <c r="AD258" s="3" t="n"/>
      <c r="AE258" s="3" t="n"/>
      <c r="AF258" s="3" t="n"/>
      <c r="AG258" s="3" t="inlineStr">
        <is>
          <t>1</t>
        </is>
      </c>
      <c r="AH258" s="3" t="n"/>
      <c r="AI258" s="3" t="n"/>
      <c r="AJ258" s="3" t="n"/>
      <c r="AK258" s="3" t="n"/>
      <c r="AL258" s="3" t="inlineStr">
        <is>
          <t>FINAL</t>
        </is>
      </c>
      <c r="AM258" s="3" t="inlineStr">
        <is>
          <t>한글이름 확인</t>
        </is>
      </c>
      <c r="AN258" s="3" t="n"/>
    </row>
    <row r="259">
      <c r="A259" s="3" t="inlineStr">
        <is>
          <t>P0258</t>
        </is>
      </c>
      <c r="B259" s="3" t="n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n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n"/>
      <c r="S259" s="3" t="n"/>
      <c r="T259" s="3" t="n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n"/>
      <c r="AB259" s="3" t="inlineStr">
        <is>
          <t>6박</t>
        </is>
      </c>
      <c r="AC259" s="3" t="inlineStr">
        <is>
          <t>1</t>
        </is>
      </c>
      <c r="AD259" s="3" t="n"/>
      <c r="AE259" s="3" t="n"/>
      <c r="AF259" s="3" t="n"/>
      <c r="AG259" s="3" t="inlineStr">
        <is>
          <t>1</t>
        </is>
      </c>
      <c r="AH259" s="3" t="n"/>
      <c r="AI259" s="3" t="n"/>
      <c r="AJ259" s="3" t="n"/>
      <c r="AK259" s="3" t="n"/>
      <c r="AL259" s="3" t="inlineStr">
        <is>
          <t>FINAL</t>
        </is>
      </c>
      <c r="AM259" s="3" t="n"/>
      <c r="AN259" s="3" t="n"/>
    </row>
    <row r="260">
      <c r="A260" s="3" t="inlineStr">
        <is>
          <t>P0259</t>
        </is>
      </c>
      <c r="B260" s="3" t="n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n"/>
      <c r="S260" s="3" t="n"/>
      <c r="T260" s="3" t="n"/>
      <c r="U260" s="3" t="n"/>
      <c r="V260" s="3" t="n"/>
      <c r="W260" s="3" t="n"/>
      <c r="X260" s="3" t="n"/>
      <c r="Y260" s="3" t="inlineStr">
        <is>
          <t>✓</t>
        </is>
      </c>
      <c r="Z260" s="3" t="inlineStr">
        <is>
          <t>✓</t>
        </is>
      </c>
      <c r="AA260" s="3" t="n"/>
      <c r="AB260" s="3" t="inlineStr">
        <is>
          <t>2박</t>
        </is>
      </c>
      <c r="AC260" s="3" t="inlineStr">
        <is>
          <t>1</t>
        </is>
      </c>
      <c r="AD260" s="3" t="n"/>
      <c r="AE260" s="3" t="n"/>
      <c r="AF260" s="3" t="n"/>
      <c r="AG260" s="3" t="inlineStr">
        <is>
          <t>1</t>
        </is>
      </c>
      <c r="AH260" s="3" t="n"/>
      <c r="AI260" s="3" t="n"/>
      <c r="AJ260" s="3" t="n"/>
      <c r="AK260" s="3" t="n"/>
      <c r="AL260" s="3" t="inlineStr">
        <is>
          <t>FINAL</t>
        </is>
      </c>
      <c r="AM260" s="3" t="n"/>
      <c r="AN260" s="3" t="n"/>
    </row>
    <row r="261">
      <c r="A261" s="3" t="inlineStr">
        <is>
          <t>P0260</t>
        </is>
      </c>
      <c r="B261" s="3" t="n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n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n"/>
      <c r="S261" s="3" t="n"/>
      <c r="T261" s="3" t="n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n"/>
      <c r="AB261" s="3" t="inlineStr">
        <is>
          <t>6박</t>
        </is>
      </c>
      <c r="AC261" s="3" t="inlineStr">
        <is>
          <t>1</t>
        </is>
      </c>
      <c r="AD261" s="3" t="n"/>
      <c r="AE261" s="3" t="n"/>
      <c r="AF261" s="3" t="n"/>
      <c r="AG261" s="3" t="inlineStr">
        <is>
          <t>1</t>
        </is>
      </c>
      <c r="AH261" s="3" t="n"/>
      <c r="AI261" s="3" t="n"/>
      <c r="AJ261" s="3" t="n"/>
      <c r="AK261" s="3" t="n"/>
      <c r="AL261" s="3" t="inlineStr">
        <is>
          <t>FINAL</t>
        </is>
      </c>
      <c r="AM261" s="3" t="n"/>
      <c r="AN261" s="3" t="n"/>
    </row>
    <row r="262">
      <c r="A262" s="3" t="inlineStr">
        <is>
          <t>P0261</t>
        </is>
      </c>
      <c r="B262" s="3" t="n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n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n"/>
      <c r="S262" s="3" t="n"/>
      <c r="T262" s="3" t="n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n"/>
      <c r="AB262" s="3" t="inlineStr">
        <is>
          <t>6박</t>
        </is>
      </c>
      <c r="AC262" s="3" t="inlineStr">
        <is>
          <t>1</t>
        </is>
      </c>
      <c r="AD262" s="3" t="n"/>
      <c r="AE262" s="3" t="n"/>
      <c r="AF262" s="3" t="n"/>
      <c r="AG262" s="3" t="inlineStr">
        <is>
          <t>1</t>
        </is>
      </c>
      <c r="AH262" s="3" t="n"/>
      <c r="AI262" s="3" t="n"/>
      <c r="AJ262" s="3" t="n"/>
      <c r="AK262" s="3" t="n"/>
      <c r="AL262" s="3" t="inlineStr">
        <is>
          <t>FINAL</t>
        </is>
      </c>
      <c r="AM262" s="3" t="n"/>
      <c r="AN262" s="3" t="n"/>
    </row>
    <row r="263">
      <c r="A263" s="3" t="inlineStr">
        <is>
          <t>P0262</t>
        </is>
      </c>
      <c r="B263" s="3" t="n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n"/>
      <c r="S263" s="3" t="n"/>
      <c r="T263" s="3" t="n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n"/>
      <c r="AB263" s="3" t="inlineStr">
        <is>
          <t>6박</t>
        </is>
      </c>
      <c r="AC263" s="3" t="inlineStr">
        <is>
          <t>1</t>
        </is>
      </c>
      <c r="AD263" s="3" t="n"/>
      <c r="AE263" s="3" t="n"/>
      <c r="AF263" s="3" t="n"/>
      <c r="AG263" s="3" t="inlineStr">
        <is>
          <t>1</t>
        </is>
      </c>
      <c r="AH263" s="3" t="n"/>
      <c r="AI263" s="3" t="n"/>
      <c r="AJ263" s="3" t="n"/>
      <c r="AK263" s="3" t="n"/>
      <c r="AL263" s="3" t="inlineStr">
        <is>
          <t>FINAL</t>
        </is>
      </c>
      <c r="AM263" s="3" t="n"/>
      <c r="AN263" s="3" t="inlineStr">
        <is>
          <t>자원봉사팀</t>
        </is>
      </c>
    </row>
    <row r="264">
      <c r="A264" s="3" t="inlineStr">
        <is>
          <t>P0263</t>
        </is>
      </c>
      <c r="B264" s="3" t="n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n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n"/>
      <c r="S264" s="3" t="n"/>
      <c r="T264" s="3" t="n"/>
      <c r="U264" s="3" t="n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n"/>
      <c r="AB264" s="3" t="inlineStr">
        <is>
          <t>5박</t>
        </is>
      </c>
      <c r="AC264" s="3" t="inlineStr">
        <is>
          <t>1</t>
        </is>
      </c>
      <c r="AD264" s="3" t="n"/>
      <c r="AE264" s="3" t="n"/>
      <c r="AF264" s="3" t="n"/>
      <c r="AG264" s="3" t="inlineStr">
        <is>
          <t>1</t>
        </is>
      </c>
      <c r="AH264" s="3" t="n"/>
      <c r="AI264" s="3" t="n"/>
      <c r="AJ264" s="3" t="n"/>
      <c r="AK264" s="3" t="n"/>
      <c r="AL264" s="3" t="inlineStr">
        <is>
          <t>FINAL</t>
        </is>
      </c>
      <c r="AM264" s="3" t="n"/>
      <c r="AN264" s="3" t="n"/>
    </row>
    <row r="265">
      <c r="A265" s="3" t="inlineStr">
        <is>
          <t>P0264</t>
        </is>
      </c>
      <c r="B265" s="3" t="n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n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n"/>
      <c r="S265" s="3" t="n"/>
      <c r="T265" s="3" t="n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n"/>
      <c r="AB265" s="3" t="inlineStr">
        <is>
          <t>6박</t>
        </is>
      </c>
      <c r="AC265" s="3" t="inlineStr">
        <is>
          <t>1</t>
        </is>
      </c>
      <c r="AD265" s="3" t="n"/>
      <c r="AE265" s="3" t="n"/>
      <c r="AF265" s="3" t="n"/>
      <c r="AG265" s="3" t="inlineStr">
        <is>
          <t>1</t>
        </is>
      </c>
      <c r="AH265" s="3" t="n"/>
      <c r="AI265" s="3" t="n"/>
      <c r="AJ265" s="3" t="n"/>
      <c r="AK265" s="3" t="n"/>
      <c r="AL265" s="3" t="inlineStr">
        <is>
          <t>FINAL</t>
        </is>
      </c>
      <c r="AM265" s="3" t="n"/>
      <c r="AN265" s="3" t="n"/>
    </row>
    <row r="266">
      <c r="A266" s="3" t="inlineStr">
        <is>
          <t>P0265</t>
        </is>
      </c>
      <c r="B266" s="3" t="n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n"/>
      <c r="S266" s="3" t="n"/>
      <c r="T266" s="3" t="n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n"/>
      <c r="AB266" s="3" t="inlineStr">
        <is>
          <t>6박</t>
        </is>
      </c>
      <c r="AC266" s="3" t="inlineStr">
        <is>
          <t>1</t>
        </is>
      </c>
      <c r="AD266" s="3" t="n"/>
      <c r="AE266" s="3" t="n"/>
      <c r="AF266" s="3" t="n"/>
      <c r="AG266" s="3" t="inlineStr">
        <is>
          <t>1</t>
        </is>
      </c>
      <c r="AH266" s="3" t="n"/>
      <c r="AI266" s="3" t="n"/>
      <c r="AJ266" s="3" t="n"/>
      <c r="AK266" s="3" t="n"/>
      <c r="AL266" s="3" t="inlineStr">
        <is>
          <t>FINAL</t>
        </is>
      </c>
      <c r="AM266" s="3" t="n"/>
      <c r="AN266" s="3" t="n"/>
    </row>
    <row r="267">
      <c r="A267" s="3" t="inlineStr">
        <is>
          <t>P0266</t>
        </is>
      </c>
      <c r="B267" s="3" t="n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n"/>
      <c r="S267" s="3" t="n"/>
      <c r="T267" s="3" t="n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n"/>
      <c r="AB267" s="3" t="inlineStr">
        <is>
          <t>6박</t>
        </is>
      </c>
      <c r="AC267" s="3" t="inlineStr">
        <is>
          <t>1</t>
        </is>
      </c>
      <c r="AD267" s="3" t="n"/>
      <c r="AE267" s="3" t="n"/>
      <c r="AF267" s="3" t="n"/>
      <c r="AG267" s="3" t="inlineStr">
        <is>
          <t>1</t>
        </is>
      </c>
      <c r="AH267" s="3" t="n"/>
      <c r="AI267" s="3" t="n"/>
      <c r="AJ267" s="3" t="n"/>
      <c r="AK267" s="3" t="n"/>
      <c r="AL267" s="3" t="inlineStr">
        <is>
          <t>FINAL</t>
        </is>
      </c>
      <c r="AM267" s="3" t="n"/>
      <c r="AN267" s="3" t="n"/>
    </row>
    <row r="268">
      <c r="A268" s="3" t="inlineStr">
        <is>
          <t>P0267</t>
        </is>
      </c>
      <c r="B268" s="3" t="n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n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n"/>
      <c r="S268" s="3" t="n"/>
      <c r="T268" s="3" t="n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n"/>
      <c r="AB268" s="3" t="inlineStr">
        <is>
          <t>6박</t>
        </is>
      </c>
      <c r="AC268" s="3" t="inlineStr">
        <is>
          <t>1</t>
        </is>
      </c>
      <c r="AD268" s="3" t="n"/>
      <c r="AE268" s="3" t="n"/>
      <c r="AF268" s="3" t="n"/>
      <c r="AG268" s="3" t="inlineStr">
        <is>
          <t>1</t>
        </is>
      </c>
      <c r="AH268" s="3" t="n"/>
      <c r="AI268" s="3" t="n"/>
      <c r="AJ268" s="3" t="n"/>
      <c r="AK268" s="3" t="n"/>
      <c r="AL268" s="3" t="inlineStr">
        <is>
          <t>FINAL</t>
        </is>
      </c>
      <c r="AM268" s="3" t="n"/>
      <c r="AN268" s="3" t="n"/>
    </row>
    <row r="269">
      <c r="A269" s="3" t="inlineStr">
        <is>
          <t>P0268</t>
        </is>
      </c>
      <c r="B269" s="3" t="n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n"/>
      <c r="S269" s="3" t="n"/>
      <c r="T269" s="3" t="n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n"/>
      <c r="AB269" s="3" t="inlineStr">
        <is>
          <t>6박</t>
        </is>
      </c>
      <c r="AC269" s="3" t="inlineStr">
        <is>
          <t>1</t>
        </is>
      </c>
      <c r="AD269" s="3" t="n"/>
      <c r="AE269" s="3" t="n"/>
      <c r="AF269" s="3" t="n"/>
      <c r="AG269" s="3" t="inlineStr">
        <is>
          <t>1</t>
        </is>
      </c>
      <c r="AH269" s="3" t="n"/>
      <c r="AI269" s="3" t="n"/>
      <c r="AJ269" s="3" t="n"/>
      <c r="AK269" s="3" t="n"/>
      <c r="AL269" s="3" t="inlineStr">
        <is>
          <t>FINAL</t>
        </is>
      </c>
      <c r="AM269" s="3" t="n"/>
      <c r="AN269" s="3" t="n"/>
    </row>
    <row r="270">
      <c r="A270" s="3" t="inlineStr">
        <is>
          <t>P0269</t>
        </is>
      </c>
      <c r="B270" s="3" t="n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n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n"/>
      <c r="S270" s="3" t="n"/>
      <c r="T270" s="3" t="n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n"/>
      <c r="AB270" s="3" t="inlineStr">
        <is>
          <t>6박</t>
        </is>
      </c>
      <c r="AC270" s="3" t="inlineStr">
        <is>
          <t>1</t>
        </is>
      </c>
      <c r="AD270" s="3" t="n"/>
      <c r="AE270" s="3" t="n"/>
      <c r="AF270" s="3" t="n"/>
      <c r="AG270" s="3" t="inlineStr">
        <is>
          <t>1</t>
        </is>
      </c>
      <c r="AH270" s="3" t="n"/>
      <c r="AI270" s="3" t="n"/>
      <c r="AJ270" s="3" t="n"/>
      <c r="AK270" s="3" t="n"/>
      <c r="AL270" s="3" t="inlineStr">
        <is>
          <t>FINAL</t>
        </is>
      </c>
      <c r="AM270" s="3" t="n"/>
      <c r="AN270" s="3" t="n"/>
    </row>
    <row r="271">
      <c r="A271" s="3" t="inlineStr">
        <is>
          <t>P0270</t>
        </is>
      </c>
      <c r="B271" s="3" t="n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n"/>
      <c r="S271" s="3" t="n"/>
      <c r="T271" s="3" t="n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n"/>
      <c r="AB271" s="3" t="inlineStr">
        <is>
          <t>6박</t>
        </is>
      </c>
      <c r="AC271" s="3" t="inlineStr">
        <is>
          <t>1</t>
        </is>
      </c>
      <c r="AD271" s="3" t="n"/>
      <c r="AE271" s="3" t="n"/>
      <c r="AF271" s="3" t="n"/>
      <c r="AG271" s="3" t="inlineStr">
        <is>
          <t>1</t>
        </is>
      </c>
      <c r="AH271" s="3" t="n"/>
      <c r="AI271" s="3" t="n"/>
      <c r="AJ271" s="3" t="n"/>
      <c r="AK271" s="3" t="n"/>
      <c r="AL271" s="3" t="inlineStr">
        <is>
          <t>FINAL</t>
        </is>
      </c>
      <c r="AM271" s="3" t="n"/>
      <c r="AN271" s="3" t="n"/>
    </row>
    <row r="272">
      <c r="A272" s="3" t="inlineStr">
        <is>
          <t>P0271</t>
        </is>
      </c>
      <c r="B272" s="3" t="n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n"/>
      <c r="S272" s="3" t="n"/>
      <c r="T272" s="3" t="n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n"/>
      <c r="AB272" s="3" t="inlineStr">
        <is>
          <t>6박</t>
        </is>
      </c>
      <c r="AC272" s="3" t="inlineStr">
        <is>
          <t>1</t>
        </is>
      </c>
      <c r="AD272" s="3" t="n"/>
      <c r="AE272" s="3" t="n"/>
      <c r="AF272" s="3" t="n"/>
      <c r="AG272" s="3" t="inlineStr">
        <is>
          <t>1</t>
        </is>
      </c>
      <c r="AH272" s="3" t="n"/>
      <c r="AI272" s="3" t="n"/>
      <c r="AJ272" s="3" t="n"/>
      <c r="AK272" s="3" t="n"/>
      <c r="AL272" s="3" t="inlineStr">
        <is>
          <t>FINAL</t>
        </is>
      </c>
      <c r="AM272" s="3" t="n"/>
      <c r="AN272" s="3" t="n"/>
    </row>
    <row r="273">
      <c r="A273" s="3" t="inlineStr">
        <is>
          <t>P0272</t>
        </is>
      </c>
      <c r="B273" s="3" t="n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n"/>
      <c r="S273" s="3" t="n"/>
      <c r="T273" s="3" t="n"/>
      <c r="U273" s="3" t="n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n"/>
      <c r="AB273" s="3" t="inlineStr">
        <is>
          <t>5박</t>
        </is>
      </c>
      <c r="AC273" s="3" t="inlineStr">
        <is>
          <t>1</t>
        </is>
      </c>
      <c r="AD273" s="3" t="n"/>
      <c r="AE273" s="3" t="n"/>
      <c r="AF273" s="3" t="n"/>
      <c r="AG273" s="3" t="inlineStr">
        <is>
          <t>1</t>
        </is>
      </c>
      <c r="AH273" s="3" t="n"/>
      <c r="AI273" s="3" t="n"/>
      <c r="AJ273" s="3" t="n"/>
      <c r="AK273" s="3" t="n"/>
      <c r="AL273" s="3" t="inlineStr">
        <is>
          <t>FINAL</t>
        </is>
      </c>
      <c r="AM273" s="3" t="n"/>
      <c r="AN273" s="3" t="n"/>
    </row>
    <row r="274">
      <c r="A274" s="3" t="inlineStr">
        <is>
          <t>P0273</t>
        </is>
      </c>
      <c r="B274" s="3" t="n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n"/>
      <c r="S274" s="3" t="n"/>
      <c r="T274" s="3" t="n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n"/>
      <c r="AB274" s="3" t="inlineStr">
        <is>
          <t>6박</t>
        </is>
      </c>
      <c r="AC274" s="3" t="inlineStr">
        <is>
          <t>1</t>
        </is>
      </c>
      <c r="AD274" s="3" t="n"/>
      <c r="AE274" s="3" t="n"/>
      <c r="AF274" s="3" t="n"/>
      <c r="AG274" s="3" t="inlineStr">
        <is>
          <t>1</t>
        </is>
      </c>
      <c r="AH274" s="3" t="n"/>
      <c r="AI274" s="3" t="n"/>
      <c r="AJ274" s="3" t="n"/>
      <c r="AK274" s="3" t="n"/>
      <c r="AL274" s="3" t="inlineStr">
        <is>
          <t>FINAL</t>
        </is>
      </c>
      <c r="AM274" s="3" t="n"/>
      <c r="AN274" s="3" t="n"/>
    </row>
    <row r="275">
      <c r="A275" s="3" t="inlineStr">
        <is>
          <t>P0274</t>
        </is>
      </c>
      <c r="B275" s="3" t="n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n"/>
      <c r="S275" s="3" t="n"/>
      <c r="T275" s="3" t="n"/>
      <c r="U275" s="3" t="n"/>
      <c r="V275" s="3" t="n"/>
      <c r="W275" s="3" t="n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n"/>
      <c r="AB275" s="3" t="inlineStr">
        <is>
          <t>3박</t>
        </is>
      </c>
      <c r="AC275" s="3" t="inlineStr">
        <is>
          <t>1</t>
        </is>
      </c>
      <c r="AD275" s="3" t="n"/>
      <c r="AE275" s="3" t="n"/>
      <c r="AF275" s="3" t="n"/>
      <c r="AG275" s="3" t="inlineStr">
        <is>
          <t>1</t>
        </is>
      </c>
      <c r="AH275" s="3" t="n"/>
      <c r="AI275" s="3" t="n"/>
      <c r="AJ275" s="3" t="n"/>
      <c r="AK275" s="3" t="n"/>
      <c r="AL275" s="3" t="inlineStr">
        <is>
          <t>FINAL</t>
        </is>
      </c>
      <c r="AM275" s="3" t="n"/>
      <c r="AN275" s="3" t="n"/>
    </row>
    <row r="276">
      <c r="A276" s="3" t="inlineStr">
        <is>
          <t>P0275</t>
        </is>
      </c>
      <c r="B276" s="3" t="n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n"/>
      <c r="S276" s="3" t="n"/>
      <c r="T276" s="3" t="n"/>
      <c r="U276" s="3" t="n"/>
      <c r="V276" s="3" t="n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n"/>
      <c r="AB276" s="3" t="inlineStr">
        <is>
          <t>4박</t>
        </is>
      </c>
      <c r="AC276" s="3" t="inlineStr">
        <is>
          <t>1</t>
        </is>
      </c>
      <c r="AD276" s="3" t="n"/>
      <c r="AE276" s="3" t="n"/>
      <c r="AF276" s="3" t="n"/>
      <c r="AG276" s="3" t="inlineStr">
        <is>
          <t>1</t>
        </is>
      </c>
      <c r="AH276" s="3" t="n"/>
      <c r="AI276" s="3" t="n"/>
      <c r="AJ276" s="3" t="n"/>
      <c r="AK276" s="3" t="n"/>
      <c r="AL276" s="3" t="inlineStr">
        <is>
          <t>FINAL</t>
        </is>
      </c>
      <c r="AM276" s="3" t="n"/>
      <c r="AN276" s="3" t="n"/>
    </row>
    <row r="277">
      <c r="A277" s="3" t="inlineStr">
        <is>
          <t>P0276</t>
        </is>
      </c>
      <c r="B277" s="3" t="n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n"/>
      <c r="S277" s="3" t="n"/>
      <c r="T277" s="3" t="n"/>
      <c r="U277" s="3" t="n"/>
      <c r="V277" s="3" t="n"/>
      <c r="W277" s="3" t="n"/>
      <c r="X277" s="3" t="n"/>
      <c r="Y277" s="3" t="inlineStr">
        <is>
          <t>✓</t>
        </is>
      </c>
      <c r="Z277" s="3" t="inlineStr">
        <is>
          <t>✓</t>
        </is>
      </c>
      <c r="AA277" s="3" t="n"/>
      <c r="AB277" s="3" t="inlineStr">
        <is>
          <t>2박</t>
        </is>
      </c>
      <c r="AC277" s="3" t="inlineStr">
        <is>
          <t>1</t>
        </is>
      </c>
      <c r="AD277" s="3" t="n"/>
      <c r="AE277" s="3" t="n"/>
      <c r="AF277" s="3" t="n"/>
      <c r="AG277" s="3" t="inlineStr">
        <is>
          <t>1</t>
        </is>
      </c>
      <c r="AH277" s="3" t="n"/>
      <c r="AI277" s="3" t="n"/>
      <c r="AJ277" s="3" t="n"/>
      <c r="AK277" s="3" t="n"/>
      <c r="AL277" s="3" t="inlineStr">
        <is>
          <t>FINAL</t>
        </is>
      </c>
      <c r="AM277" s="3" t="n"/>
      <c r="AN277" s="3" t="n"/>
    </row>
    <row r="278">
      <c r="A278" s="3" t="inlineStr">
        <is>
          <t>P0277</t>
        </is>
      </c>
      <c r="B278" s="3" t="n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n"/>
      <c r="S278" s="3" t="n"/>
      <c r="T278" s="3" t="n"/>
      <c r="U278" s="3" t="n"/>
      <c r="V278" s="3" t="n"/>
      <c r="W278" s="3" t="n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n"/>
      <c r="AB278" s="3" t="inlineStr">
        <is>
          <t>3박</t>
        </is>
      </c>
      <c r="AC278" s="3" t="inlineStr">
        <is>
          <t>1</t>
        </is>
      </c>
      <c r="AD278" s="3" t="n"/>
      <c r="AE278" s="3" t="n"/>
      <c r="AF278" s="3" t="n"/>
      <c r="AG278" s="3" t="inlineStr">
        <is>
          <t>1</t>
        </is>
      </c>
      <c r="AH278" s="3" t="n"/>
      <c r="AI278" s="3" t="n"/>
      <c r="AJ278" s="3" t="n"/>
      <c r="AK278" s="3" t="n"/>
      <c r="AL278" s="3" t="inlineStr">
        <is>
          <t>FINAL</t>
        </is>
      </c>
      <c r="AM278" s="3" t="n"/>
      <c r="AN278" s="3" t="n"/>
    </row>
    <row r="279">
      <c r="A279" s="3" t="inlineStr">
        <is>
          <t>P0278</t>
        </is>
      </c>
      <c r="B279" s="3" t="n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n"/>
      <c r="S279" s="3" t="n"/>
      <c r="T279" s="3" t="n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n"/>
      <c r="AB279" s="3" t="inlineStr">
        <is>
          <t>6박</t>
        </is>
      </c>
      <c r="AC279" s="3" t="inlineStr">
        <is>
          <t>1</t>
        </is>
      </c>
      <c r="AD279" s="3" t="n"/>
      <c r="AE279" s="3" t="n"/>
      <c r="AF279" s="3" t="n"/>
      <c r="AG279" s="3" t="inlineStr">
        <is>
          <t>1</t>
        </is>
      </c>
      <c r="AH279" s="3" t="n"/>
      <c r="AI279" s="3" t="n"/>
      <c r="AJ279" s="3" t="n"/>
      <c r="AK279" s="3" t="n"/>
      <c r="AL279" s="3" t="inlineStr">
        <is>
          <t>FINAL</t>
        </is>
      </c>
      <c r="AM279" s="3" t="n"/>
      <c r="AN279" s="3" t="n"/>
    </row>
    <row r="280">
      <c r="A280" s="3" t="inlineStr">
        <is>
          <t>P0279</t>
        </is>
      </c>
      <c r="B280" s="3" t="n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n"/>
      <c r="S280" s="3" t="n"/>
      <c r="T280" s="3" t="n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n"/>
      <c r="AB280" s="3" t="inlineStr">
        <is>
          <t>6박</t>
        </is>
      </c>
      <c r="AC280" s="3" t="inlineStr">
        <is>
          <t>1</t>
        </is>
      </c>
      <c r="AD280" s="3" t="n"/>
      <c r="AE280" s="3" t="n"/>
      <c r="AF280" s="3" t="n"/>
      <c r="AG280" s="3" t="inlineStr">
        <is>
          <t>1</t>
        </is>
      </c>
      <c r="AH280" s="3" t="n"/>
      <c r="AI280" s="3" t="n"/>
      <c r="AJ280" s="3" t="n"/>
      <c r="AK280" s="3" t="n"/>
      <c r="AL280" s="3" t="inlineStr">
        <is>
          <t>FINAL</t>
        </is>
      </c>
      <c r="AM280" s="3" t="n"/>
      <c r="AN280" s="3" t="n"/>
    </row>
    <row r="281">
      <c r="A281" s="3" t="inlineStr">
        <is>
          <t>P0280</t>
        </is>
      </c>
      <c r="B281" s="3" t="n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n"/>
      <c r="S281" s="3" t="n"/>
      <c r="T281" s="3" t="n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n"/>
      <c r="AB281" s="3" t="inlineStr">
        <is>
          <t>6박</t>
        </is>
      </c>
      <c r="AC281" s="3" t="inlineStr">
        <is>
          <t>1</t>
        </is>
      </c>
      <c r="AD281" s="3" t="n"/>
      <c r="AE281" s="3" t="n"/>
      <c r="AF281" s="3" t="n"/>
      <c r="AG281" s="3" t="inlineStr">
        <is>
          <t>1</t>
        </is>
      </c>
      <c r="AH281" s="3" t="n"/>
      <c r="AI281" s="3" t="n"/>
      <c r="AJ281" s="3" t="n"/>
      <c r="AK281" s="3" t="n"/>
      <c r="AL281" s="3" t="inlineStr">
        <is>
          <t>FINAL</t>
        </is>
      </c>
      <c r="AM281" s="3" t="n"/>
      <c r="AN281" s="3" t="n"/>
    </row>
    <row r="282">
      <c r="A282" s="3" t="inlineStr">
        <is>
          <t>P0281</t>
        </is>
      </c>
      <c r="B282" s="3" t="n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n"/>
      <c r="S282" s="3" t="n"/>
      <c r="T282" s="3" t="n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n"/>
      <c r="AB282" s="3" t="inlineStr">
        <is>
          <t>6박</t>
        </is>
      </c>
      <c r="AC282" s="3" t="inlineStr">
        <is>
          <t>1</t>
        </is>
      </c>
      <c r="AD282" s="3" t="n"/>
      <c r="AE282" s="3" t="n"/>
      <c r="AF282" s="3" t="n"/>
      <c r="AG282" s="3" t="inlineStr">
        <is>
          <t>1</t>
        </is>
      </c>
      <c r="AH282" s="3" t="n"/>
      <c r="AI282" s="3" t="n"/>
      <c r="AJ282" s="3" t="n"/>
      <c r="AK282" s="3" t="n"/>
      <c r="AL282" s="3" t="inlineStr">
        <is>
          <t>FINAL</t>
        </is>
      </c>
      <c r="AM282" s="3" t="n"/>
      <c r="AN282" s="3" t="n"/>
    </row>
    <row r="283">
      <c r="A283" s="3" t="inlineStr">
        <is>
          <t>P0282</t>
        </is>
      </c>
      <c r="B283" s="3" t="n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n"/>
      <c r="S283" s="3" t="n"/>
      <c r="T283" s="3" t="n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n"/>
      <c r="AB283" s="3" t="inlineStr">
        <is>
          <t>6박</t>
        </is>
      </c>
      <c r="AC283" s="3" t="inlineStr">
        <is>
          <t>1</t>
        </is>
      </c>
      <c r="AD283" s="3" t="n"/>
      <c r="AE283" s="3" t="n"/>
      <c r="AF283" s="3" t="n"/>
      <c r="AG283" s="3" t="inlineStr">
        <is>
          <t>1</t>
        </is>
      </c>
      <c r="AH283" s="3" t="n"/>
      <c r="AI283" s="3" t="n"/>
      <c r="AJ283" s="3" t="n"/>
      <c r="AK283" s="3" t="n"/>
      <c r="AL283" s="3" t="inlineStr">
        <is>
          <t>FINAL</t>
        </is>
      </c>
      <c r="AM283" s="3" t="n"/>
      <c r="AN283" s="3" t="n"/>
    </row>
    <row r="284">
      <c r="A284" s="3" t="inlineStr">
        <is>
          <t>P0283</t>
        </is>
      </c>
      <c r="B284" s="3" t="n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n"/>
      <c r="S284" s="3" t="n"/>
      <c r="T284" s="3" t="n"/>
      <c r="U284" s="3" t="n"/>
      <c r="V284" s="3" t="n"/>
      <c r="W284" s="3" t="n"/>
      <c r="X284" s="3" t="inlineStr">
        <is>
          <t>✓</t>
        </is>
      </c>
      <c r="Y284" s="3" t="inlineStr">
        <is>
          <t>✓</t>
        </is>
      </c>
      <c r="Z284" s="3" t="n"/>
      <c r="AA284" s="3" t="n"/>
      <c r="AB284" s="3" t="inlineStr">
        <is>
          <t>2박</t>
        </is>
      </c>
      <c r="AC284" s="3" t="inlineStr">
        <is>
          <t>1</t>
        </is>
      </c>
      <c r="AD284" s="3" t="n"/>
      <c r="AE284" s="3" t="n"/>
      <c r="AF284" s="3" t="n"/>
      <c r="AG284" s="3" t="inlineStr">
        <is>
          <t>1</t>
        </is>
      </c>
      <c r="AH284" s="3" t="n"/>
      <c r="AI284" s="3" t="n"/>
      <c r="AJ284" s="3" t="n"/>
      <c r="AK284" s="3" t="n"/>
      <c r="AL284" s="3" t="inlineStr">
        <is>
          <t>FINAL</t>
        </is>
      </c>
      <c r="AM284" s="3" t="n"/>
      <c r="AN284" s="3" t="n"/>
    </row>
    <row r="285">
      <c r="A285" s="3" t="inlineStr">
        <is>
          <t>P0284</t>
        </is>
      </c>
      <c r="B285" s="3" t="n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n"/>
      <c r="S285" s="3" t="n"/>
      <c r="T285" s="3" t="n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n"/>
      <c r="AB285" s="3" t="inlineStr">
        <is>
          <t>6박</t>
        </is>
      </c>
      <c r="AC285" s="3" t="inlineStr">
        <is>
          <t>1</t>
        </is>
      </c>
      <c r="AD285" s="3" t="n"/>
      <c r="AE285" s="3" t="n"/>
      <c r="AF285" s="3" t="n"/>
      <c r="AG285" s="3" t="inlineStr">
        <is>
          <t>1</t>
        </is>
      </c>
      <c r="AH285" s="3" t="n"/>
      <c r="AI285" s="3" t="n"/>
      <c r="AJ285" s="3" t="n"/>
      <c r="AK285" s="3" t="n"/>
      <c r="AL285" s="3" t="inlineStr">
        <is>
          <t>FINAL</t>
        </is>
      </c>
      <c r="AM285" s="3" t="n"/>
      <c r="AN285" s="3" t="n"/>
    </row>
    <row r="286">
      <c r="A286" s="3" t="inlineStr">
        <is>
          <t>P0285</t>
        </is>
      </c>
      <c r="B286" s="3" t="n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n"/>
      <c r="S286" s="3" t="n"/>
      <c r="T286" s="3" t="n"/>
      <c r="U286" s="3" t="n"/>
      <c r="V286" s="3" t="n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n"/>
      <c r="AB286" s="3" t="inlineStr">
        <is>
          <t>4박</t>
        </is>
      </c>
      <c r="AC286" s="3" t="inlineStr">
        <is>
          <t>1</t>
        </is>
      </c>
      <c r="AD286" s="3" t="n"/>
      <c r="AE286" s="3" t="n"/>
      <c r="AF286" s="3" t="n"/>
      <c r="AG286" s="3" t="inlineStr">
        <is>
          <t>1</t>
        </is>
      </c>
      <c r="AH286" s="3" t="n"/>
      <c r="AI286" s="3" t="n"/>
      <c r="AJ286" s="3" t="n"/>
      <c r="AK286" s="3" t="n"/>
      <c r="AL286" s="3" t="inlineStr">
        <is>
          <t>FINAL</t>
        </is>
      </c>
      <c r="AM286" s="3" t="n"/>
      <c r="AN286" s="3" t="n"/>
    </row>
    <row r="287">
      <c r="A287" s="3" t="inlineStr">
        <is>
          <t>P0286</t>
        </is>
      </c>
      <c r="B287" s="3" t="n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n"/>
      <c r="S287" s="3" t="n"/>
      <c r="T287" s="3" t="n"/>
      <c r="U287" s="3" t="n"/>
      <c r="V287" s="3" t="n"/>
      <c r="W287" s="3" t="n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n"/>
      <c r="AB287" s="3" t="inlineStr">
        <is>
          <t>3박</t>
        </is>
      </c>
      <c r="AC287" s="3" t="inlineStr">
        <is>
          <t>1</t>
        </is>
      </c>
      <c r="AD287" s="3" t="n"/>
      <c r="AE287" s="3" t="n"/>
      <c r="AF287" s="3" t="n"/>
      <c r="AG287" s="3" t="inlineStr">
        <is>
          <t>1</t>
        </is>
      </c>
      <c r="AH287" s="3" t="n"/>
      <c r="AI287" s="3" t="n"/>
      <c r="AJ287" s="3" t="n"/>
      <c r="AK287" s="3" t="n"/>
      <c r="AL287" s="3" t="inlineStr">
        <is>
          <t>FINAL</t>
        </is>
      </c>
      <c r="AM287" s="3" t="n"/>
      <c r="AN287" s="3" t="n"/>
    </row>
    <row r="288">
      <c r="A288" s="3" t="inlineStr">
        <is>
          <t>P0287</t>
        </is>
      </c>
      <c r="B288" s="3" t="n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n"/>
      <c r="S288" s="3" t="n"/>
      <c r="T288" s="3" t="n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n"/>
      <c r="AB288" s="3" t="inlineStr">
        <is>
          <t>6박</t>
        </is>
      </c>
      <c r="AC288" s="3" t="inlineStr">
        <is>
          <t>1</t>
        </is>
      </c>
      <c r="AD288" s="3" t="n"/>
      <c r="AE288" s="3" t="n"/>
      <c r="AF288" s="3" t="n"/>
      <c r="AG288" s="3" t="inlineStr">
        <is>
          <t>1</t>
        </is>
      </c>
      <c r="AH288" s="3" t="n"/>
      <c r="AI288" s="3" t="n"/>
      <c r="AJ288" s="3" t="n"/>
      <c r="AK288" s="3" t="n"/>
      <c r="AL288" s="3" t="inlineStr">
        <is>
          <t>FINAL</t>
        </is>
      </c>
      <c r="AM288" s="3" t="n"/>
      <c r="AN288" s="3" t="n"/>
    </row>
    <row r="289">
      <c r="A289" s="3" t="inlineStr">
        <is>
          <t>P0288</t>
        </is>
      </c>
      <c r="B289" s="3" t="n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n"/>
      <c r="S289" s="3" t="n"/>
      <c r="T289" s="3" t="n"/>
      <c r="U289" s="3" t="n"/>
      <c r="V289" s="3" t="n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n"/>
      <c r="AB289" s="3" t="inlineStr">
        <is>
          <t>4박</t>
        </is>
      </c>
      <c r="AC289" s="3" t="inlineStr">
        <is>
          <t>1</t>
        </is>
      </c>
      <c r="AD289" s="3" t="n"/>
      <c r="AE289" s="3" t="n"/>
      <c r="AF289" s="3" t="n"/>
      <c r="AG289" s="3" t="inlineStr">
        <is>
          <t>1</t>
        </is>
      </c>
      <c r="AH289" s="3" t="n"/>
      <c r="AI289" s="3" t="n"/>
      <c r="AJ289" s="3" t="n"/>
      <c r="AK289" s="3" t="n"/>
      <c r="AL289" s="3" t="inlineStr">
        <is>
          <t>FINAL</t>
        </is>
      </c>
      <c r="AM289" s="3" t="n"/>
      <c r="AN289" s="3" t="n"/>
    </row>
    <row r="290">
      <c r="A290" s="3" t="inlineStr">
        <is>
          <t>P0289</t>
        </is>
      </c>
      <c r="B290" s="3" t="n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n"/>
      <c r="S290" s="3" t="n"/>
      <c r="T290" s="3" t="n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n"/>
      <c r="AB290" s="3" t="inlineStr">
        <is>
          <t>6박</t>
        </is>
      </c>
      <c r="AC290" s="3" t="inlineStr">
        <is>
          <t>1</t>
        </is>
      </c>
      <c r="AD290" s="3" t="n"/>
      <c r="AE290" s="3" t="n"/>
      <c r="AF290" s="3" t="n"/>
      <c r="AG290" s="3" t="inlineStr">
        <is>
          <t>1</t>
        </is>
      </c>
      <c r="AH290" s="3" t="n"/>
      <c r="AI290" s="3" t="n"/>
      <c r="AJ290" s="3" t="n"/>
      <c r="AK290" s="3" t="n"/>
      <c r="AL290" s="3" t="inlineStr">
        <is>
          <t>FINAL</t>
        </is>
      </c>
      <c r="AM290" s="3" t="n"/>
      <c r="AN290" s="3" t="n"/>
    </row>
    <row r="291">
      <c r="A291" s="3" t="inlineStr">
        <is>
          <t>P0290</t>
        </is>
      </c>
      <c r="B291" s="3" t="n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n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n"/>
      <c r="S291" s="3" t="n"/>
      <c r="T291" s="3" t="n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n"/>
      <c r="AB291" s="3" t="inlineStr">
        <is>
          <t>6박</t>
        </is>
      </c>
      <c r="AC291" s="3" t="inlineStr">
        <is>
          <t>1</t>
        </is>
      </c>
      <c r="AD291" s="3" t="n"/>
      <c r="AE291" s="3" t="n"/>
      <c r="AF291" s="3" t="n"/>
      <c r="AG291" s="3" t="inlineStr">
        <is>
          <t>1</t>
        </is>
      </c>
      <c r="AH291" s="3" t="n"/>
      <c r="AI291" s="3" t="n"/>
      <c r="AJ291" s="3" t="n"/>
      <c r="AK291" s="3" t="n"/>
      <c r="AL291" s="3" t="inlineStr">
        <is>
          <t>FINAL</t>
        </is>
      </c>
      <c r="AM291" s="3" t="n"/>
      <c r="AN291" s="3" t="n"/>
    </row>
    <row r="292">
      <c r="A292" s="3" t="inlineStr">
        <is>
          <t>P0291</t>
        </is>
      </c>
      <c r="B292" s="3" t="n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n"/>
      <c r="S292" s="3" t="n"/>
      <c r="T292" s="3" t="n"/>
      <c r="U292" s="3" t="n"/>
      <c r="V292" s="3" t="n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n"/>
      <c r="AB292" s="3" t="inlineStr">
        <is>
          <t>4박</t>
        </is>
      </c>
      <c r="AC292" s="3" t="inlineStr">
        <is>
          <t>1</t>
        </is>
      </c>
      <c r="AD292" s="3" t="n"/>
      <c r="AE292" s="3" t="n"/>
      <c r="AF292" s="3" t="n"/>
      <c r="AG292" s="3" t="inlineStr">
        <is>
          <t>1</t>
        </is>
      </c>
      <c r="AH292" s="3" t="n"/>
      <c r="AI292" s="3" t="n"/>
      <c r="AJ292" s="3" t="n"/>
      <c r="AK292" s="3" t="n"/>
      <c r="AL292" s="3" t="inlineStr">
        <is>
          <t>FINAL</t>
        </is>
      </c>
      <c r="AM292" s="3" t="n"/>
      <c r="AN292" s="3" t="n"/>
    </row>
    <row r="293">
      <c r="A293" s="3" t="inlineStr">
        <is>
          <t>P0292</t>
        </is>
      </c>
      <c r="B293" s="3" t="n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n"/>
      <c r="S293" s="3" t="n"/>
      <c r="T293" s="3" t="n"/>
      <c r="U293" s="3" t="n"/>
      <c r="V293" s="3" t="n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n"/>
      <c r="AB293" s="3" t="inlineStr">
        <is>
          <t>4박</t>
        </is>
      </c>
      <c r="AC293" s="3" t="inlineStr">
        <is>
          <t>1</t>
        </is>
      </c>
      <c r="AD293" s="3" t="n"/>
      <c r="AE293" s="3" t="n"/>
      <c r="AF293" s="3" t="n"/>
      <c r="AG293" s="3" t="inlineStr">
        <is>
          <t>1</t>
        </is>
      </c>
      <c r="AH293" s="3" t="n"/>
      <c r="AI293" s="3" t="n"/>
      <c r="AJ293" s="3" t="n"/>
      <c r="AK293" s="3" t="n"/>
      <c r="AL293" s="3" t="inlineStr">
        <is>
          <t>FINAL</t>
        </is>
      </c>
      <c r="AM293" s="3" t="n"/>
      <c r="AN293" s="3" t="n"/>
    </row>
    <row r="294">
      <c r="A294" s="3" t="inlineStr">
        <is>
          <t>P0293</t>
        </is>
      </c>
      <c r="B294" s="3" t="n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n"/>
      <c r="S294" s="3" t="n"/>
      <c r="T294" s="3" t="n"/>
      <c r="U294" s="3" t="n"/>
      <c r="V294" s="3" t="n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n"/>
      <c r="AB294" s="3" t="inlineStr">
        <is>
          <t>4박</t>
        </is>
      </c>
      <c r="AC294" s="3" t="inlineStr">
        <is>
          <t>1</t>
        </is>
      </c>
      <c r="AD294" s="3" t="n"/>
      <c r="AE294" s="3" t="n"/>
      <c r="AF294" s="3" t="n"/>
      <c r="AG294" s="3" t="inlineStr">
        <is>
          <t>1</t>
        </is>
      </c>
      <c r="AH294" s="3" t="n"/>
      <c r="AI294" s="3" t="n"/>
      <c r="AJ294" s="3" t="n"/>
      <c r="AK294" s="3" t="n"/>
      <c r="AL294" s="3" t="inlineStr">
        <is>
          <t>FINAL</t>
        </is>
      </c>
      <c r="AM294" s="3" t="n"/>
      <c r="AN294" s="3" t="n"/>
    </row>
    <row r="295">
      <c r="A295" s="3" t="inlineStr">
        <is>
          <t>P0294</t>
        </is>
      </c>
      <c r="B295" s="3" t="n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n"/>
      <c r="S295" s="3" t="n"/>
      <c r="T295" s="3" t="n"/>
      <c r="U295" s="3" t="n"/>
      <c r="V295" s="3" t="n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n"/>
      <c r="AB295" s="3" t="inlineStr">
        <is>
          <t>4박</t>
        </is>
      </c>
      <c r="AC295" s="3" t="inlineStr">
        <is>
          <t>1</t>
        </is>
      </c>
      <c r="AD295" s="3" t="n"/>
      <c r="AE295" s="3" t="n"/>
      <c r="AF295" s="3" t="n"/>
      <c r="AG295" s="3" t="inlineStr">
        <is>
          <t>1</t>
        </is>
      </c>
      <c r="AH295" s="3" t="n"/>
      <c r="AI295" s="3" t="n"/>
      <c r="AJ295" s="3" t="n"/>
      <c r="AK295" s="3" t="n"/>
      <c r="AL295" s="3" t="inlineStr">
        <is>
          <t>FINAL</t>
        </is>
      </c>
      <c r="AM295" s="3" t="n"/>
      <c r="AN295" s="3" t="n"/>
    </row>
    <row r="296">
      <c r="A296" s="3" t="inlineStr">
        <is>
          <t>P0295</t>
        </is>
      </c>
      <c r="B296" s="3" t="n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n"/>
      <c r="S296" s="3" t="n"/>
      <c r="T296" s="3" t="n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n"/>
      <c r="AB296" s="3" t="inlineStr">
        <is>
          <t>6박</t>
        </is>
      </c>
      <c r="AC296" s="3" t="inlineStr">
        <is>
          <t>1</t>
        </is>
      </c>
      <c r="AD296" s="3" t="n"/>
      <c r="AE296" s="3" t="n"/>
      <c r="AF296" s="3" t="n"/>
      <c r="AG296" s="3" t="inlineStr">
        <is>
          <t>1</t>
        </is>
      </c>
      <c r="AH296" s="3" t="n"/>
      <c r="AI296" s="3" t="n"/>
      <c r="AJ296" s="3" t="n"/>
      <c r="AK296" s="3" t="n"/>
      <c r="AL296" s="3" t="inlineStr">
        <is>
          <t>FINAL</t>
        </is>
      </c>
      <c r="AM296" s="3" t="n"/>
      <c r="AN296" s="3" t="n"/>
    </row>
    <row r="297">
      <c r="A297" s="3" t="inlineStr">
        <is>
          <t>P0296</t>
        </is>
      </c>
      <c r="B297" s="3" t="n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n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n"/>
      <c r="S297" s="3" t="n"/>
      <c r="T297" s="3" t="n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n"/>
      <c r="AB297" s="3" t="inlineStr">
        <is>
          <t>6박</t>
        </is>
      </c>
      <c r="AC297" s="3" t="inlineStr">
        <is>
          <t>1</t>
        </is>
      </c>
      <c r="AD297" s="3" t="n"/>
      <c r="AE297" s="3" t="n"/>
      <c r="AF297" s="3" t="n"/>
      <c r="AG297" s="3" t="inlineStr">
        <is>
          <t>1</t>
        </is>
      </c>
      <c r="AH297" s="3" t="n"/>
      <c r="AI297" s="3" t="n"/>
      <c r="AJ297" s="3" t="n"/>
      <c r="AK297" s="3" t="n"/>
      <c r="AL297" s="3" t="inlineStr">
        <is>
          <t>FINAL</t>
        </is>
      </c>
      <c r="AM297" s="3" t="n"/>
      <c r="AN297" s="3" t="n"/>
    </row>
    <row r="298">
      <c r="A298" s="3" t="inlineStr">
        <is>
          <t>P0297</t>
        </is>
      </c>
      <c r="B298" s="3" t="n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n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n"/>
      <c r="S298" s="3" t="n"/>
      <c r="T298" s="3" t="n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n"/>
      <c r="AB298" s="3" t="inlineStr">
        <is>
          <t>6박</t>
        </is>
      </c>
      <c r="AC298" s="3" t="inlineStr">
        <is>
          <t>1</t>
        </is>
      </c>
      <c r="AD298" s="3" t="n"/>
      <c r="AE298" s="3" t="n"/>
      <c r="AF298" s="3" t="n"/>
      <c r="AG298" s="3" t="inlineStr">
        <is>
          <t>1</t>
        </is>
      </c>
      <c r="AH298" s="3" t="n"/>
      <c r="AI298" s="3" t="n"/>
      <c r="AJ298" s="3" t="n"/>
      <c r="AK298" s="3" t="n"/>
      <c r="AL298" s="3" t="inlineStr">
        <is>
          <t>FINAL</t>
        </is>
      </c>
      <c r="AM298" s="3" t="n"/>
      <c r="AN298" s="3" t="n"/>
    </row>
    <row r="299">
      <c r="A299" s="3" t="inlineStr">
        <is>
          <t>P0298</t>
        </is>
      </c>
      <c r="B299" s="3" t="n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n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n"/>
      <c r="S299" s="3" t="n"/>
      <c r="T299" s="3" t="n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n"/>
      <c r="AB299" s="3" t="inlineStr">
        <is>
          <t>6박</t>
        </is>
      </c>
      <c r="AC299" s="3" t="inlineStr">
        <is>
          <t>1</t>
        </is>
      </c>
      <c r="AD299" s="3" t="n"/>
      <c r="AE299" s="3" t="n"/>
      <c r="AF299" s="3" t="n"/>
      <c r="AG299" s="3" t="inlineStr">
        <is>
          <t>1</t>
        </is>
      </c>
      <c r="AH299" s="3" t="n"/>
      <c r="AI299" s="3" t="n"/>
      <c r="AJ299" s="3" t="n"/>
      <c r="AK299" s="3" t="n"/>
      <c r="AL299" s="3" t="inlineStr">
        <is>
          <t>FINAL</t>
        </is>
      </c>
      <c r="AM299" s="3" t="n"/>
      <c r="AN299" s="3" t="n"/>
    </row>
    <row r="300">
      <c r="A300" s="3" t="inlineStr">
        <is>
          <t>P0299</t>
        </is>
      </c>
      <c r="B300" s="3" t="n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n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n"/>
      <c r="S300" s="3" t="n"/>
      <c r="T300" s="3" t="n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n"/>
      <c r="AB300" s="3" t="inlineStr">
        <is>
          <t>6박</t>
        </is>
      </c>
      <c r="AC300" s="3" t="inlineStr">
        <is>
          <t>1</t>
        </is>
      </c>
      <c r="AD300" s="3" t="n"/>
      <c r="AE300" s="3" t="n"/>
      <c r="AF300" s="3" t="n"/>
      <c r="AG300" s="3" t="inlineStr">
        <is>
          <t>1</t>
        </is>
      </c>
      <c r="AH300" s="3" t="n"/>
      <c r="AI300" s="3" t="n"/>
      <c r="AJ300" s="3" t="n"/>
      <c r="AK300" s="3" t="n"/>
      <c r="AL300" s="3" t="inlineStr">
        <is>
          <t>FINAL</t>
        </is>
      </c>
      <c r="AM300" s="3" t="n"/>
      <c r="AN300" s="3" t="n"/>
    </row>
    <row r="301">
      <c r="A301" s="3" t="inlineStr">
        <is>
          <t>P0300</t>
        </is>
      </c>
      <c r="B301" s="3" t="n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n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n"/>
      <c r="S301" s="3" t="n"/>
      <c r="T301" s="3" t="n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n"/>
      <c r="AB301" s="3" t="inlineStr">
        <is>
          <t>6박</t>
        </is>
      </c>
      <c r="AC301" s="3" t="inlineStr">
        <is>
          <t>1</t>
        </is>
      </c>
      <c r="AD301" s="3" t="n"/>
      <c r="AE301" s="3" t="n"/>
      <c r="AF301" s="3" t="n"/>
      <c r="AG301" s="3" t="inlineStr">
        <is>
          <t>1</t>
        </is>
      </c>
      <c r="AH301" s="3" t="n"/>
      <c r="AI301" s="3" t="n"/>
      <c r="AJ301" s="3" t="n"/>
      <c r="AK301" s="3" t="n"/>
      <c r="AL301" s="3" t="inlineStr">
        <is>
          <t>FINAL</t>
        </is>
      </c>
      <c r="AM301" s="3" t="n"/>
      <c r="AN301" s="3" t="n"/>
    </row>
    <row r="302">
      <c r="A302" s="3" t="inlineStr">
        <is>
          <t>P0301</t>
        </is>
      </c>
      <c r="B302" s="3" t="n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n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n"/>
      <c r="S302" s="3" t="n"/>
      <c r="T302" s="3" t="n"/>
      <c r="U302" s="3" t="n"/>
      <c r="V302" s="3" t="n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n"/>
      <c r="AB302" s="3" t="inlineStr">
        <is>
          <t>4박</t>
        </is>
      </c>
      <c r="AC302" s="3" t="inlineStr">
        <is>
          <t>1</t>
        </is>
      </c>
      <c r="AD302" s="3" t="n"/>
      <c r="AE302" s="3" t="n"/>
      <c r="AF302" s="3" t="n"/>
      <c r="AG302" s="3" t="inlineStr">
        <is>
          <t>1</t>
        </is>
      </c>
      <c r="AH302" s="3" t="n"/>
      <c r="AI302" s="3" t="n"/>
      <c r="AJ302" s="3" t="n"/>
      <c r="AK302" s="3" t="n"/>
      <c r="AL302" s="3" t="inlineStr">
        <is>
          <t>FINAL</t>
        </is>
      </c>
      <c r="AM302" s="3" t="n"/>
      <c r="AN302" s="3" t="n"/>
    </row>
    <row r="303">
      <c r="A303" s="3" t="inlineStr">
        <is>
          <t>P0302</t>
        </is>
      </c>
      <c r="B303" s="3" t="n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n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n"/>
      <c r="S303" s="3" t="n"/>
      <c r="T303" s="3" t="n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n"/>
      <c r="AB303" s="3" t="inlineStr">
        <is>
          <t>6박</t>
        </is>
      </c>
      <c r="AC303" s="3" t="inlineStr">
        <is>
          <t>1</t>
        </is>
      </c>
      <c r="AD303" s="3" t="n"/>
      <c r="AE303" s="3" t="n"/>
      <c r="AF303" s="3" t="n"/>
      <c r="AG303" s="3" t="inlineStr">
        <is>
          <t>1</t>
        </is>
      </c>
      <c r="AH303" s="3" t="n"/>
      <c r="AI303" s="3" t="n"/>
      <c r="AJ303" s="3" t="n"/>
      <c r="AK303" s="3" t="n"/>
      <c r="AL303" s="3" t="inlineStr">
        <is>
          <t>FINAL</t>
        </is>
      </c>
      <c r="AM303" s="3" t="n"/>
      <c r="AN303" s="3" t="n"/>
    </row>
    <row r="304">
      <c r="A304" s="3" t="inlineStr">
        <is>
          <t>P0303</t>
        </is>
      </c>
      <c r="B304" s="3" t="n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n"/>
      <c r="S304" s="3" t="n"/>
      <c r="T304" s="3" t="n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n"/>
      <c r="AB304" s="3" t="inlineStr">
        <is>
          <t>6박</t>
        </is>
      </c>
      <c r="AC304" s="3" t="inlineStr">
        <is>
          <t>1</t>
        </is>
      </c>
      <c r="AD304" s="3" t="n"/>
      <c r="AE304" s="3" t="n"/>
      <c r="AF304" s="3" t="n"/>
      <c r="AG304" s="3" t="inlineStr">
        <is>
          <t>1</t>
        </is>
      </c>
      <c r="AH304" s="3" t="n"/>
      <c r="AI304" s="3" t="n"/>
      <c r="AJ304" s="3" t="n"/>
      <c r="AK304" s="3" t="n"/>
      <c r="AL304" s="3" t="inlineStr">
        <is>
          <t>FINAL</t>
        </is>
      </c>
      <c r="AM304" s="3" t="inlineStr">
        <is>
          <t>한글이름 확인</t>
        </is>
      </c>
      <c r="AN304" s="3" t="n"/>
    </row>
    <row r="305">
      <c r="A305" s="3" t="inlineStr">
        <is>
          <t>P0304</t>
        </is>
      </c>
      <c r="B305" s="3" t="n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n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n"/>
      <c r="S305" s="3" t="n"/>
      <c r="T305" s="3" t="n"/>
      <c r="U305" s="3" t="inlineStr">
        <is>
          <t>✓</t>
        </is>
      </c>
      <c r="V305" s="3" t="n"/>
      <c r="W305" s="3" t="n"/>
      <c r="X305" s="3" t="n"/>
      <c r="Y305" s="3" t="n"/>
      <c r="Z305" s="3" t="n"/>
      <c r="AA305" s="3" t="n"/>
      <c r="AB305" s="3" t="inlineStr">
        <is>
          <t>1박</t>
        </is>
      </c>
      <c r="AC305" s="3" t="inlineStr">
        <is>
          <t>1</t>
        </is>
      </c>
      <c r="AD305" s="3" t="n"/>
      <c r="AE305" s="3" t="n"/>
      <c r="AF305" s="3" t="n"/>
      <c r="AG305" s="3" t="inlineStr">
        <is>
          <t>1</t>
        </is>
      </c>
      <c r="AH305" s="3" t="n"/>
      <c r="AI305" s="3" t="n"/>
      <c r="AJ305" s="3" t="n"/>
      <c r="AK305" s="3" t="n"/>
      <c r="AL305" s="3" t="inlineStr">
        <is>
          <t>FINAL</t>
        </is>
      </c>
      <c r="AM305" s="3" t="n"/>
      <c r="AN305" s="3" t="n"/>
    </row>
    <row r="306">
      <c r="A306" s="3" t="inlineStr">
        <is>
          <t>P0305</t>
        </is>
      </c>
      <c r="B306" s="3" t="n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n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n"/>
      <c r="S306" s="3" t="n"/>
      <c r="T306" s="3" t="n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n"/>
      <c r="AB306" s="3" t="inlineStr">
        <is>
          <t>6박</t>
        </is>
      </c>
      <c r="AC306" s="3" t="inlineStr">
        <is>
          <t>1</t>
        </is>
      </c>
      <c r="AD306" s="3" t="n"/>
      <c r="AE306" s="3" t="n"/>
      <c r="AF306" s="3" t="n"/>
      <c r="AG306" s="3" t="inlineStr">
        <is>
          <t>1</t>
        </is>
      </c>
      <c r="AH306" s="3" t="n"/>
      <c r="AI306" s="3" t="n"/>
      <c r="AJ306" s="3" t="n"/>
      <c r="AK306" s="3" t="n"/>
      <c r="AL306" s="3" t="inlineStr">
        <is>
          <t>FINAL</t>
        </is>
      </c>
      <c r="AM306" s="3" t="n"/>
      <c r="AN306" s="3" t="n"/>
    </row>
    <row r="307">
      <c r="A307" s="3" t="inlineStr">
        <is>
          <t>P0306</t>
        </is>
      </c>
      <c r="B307" s="3" t="n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n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n"/>
      <c r="S307" s="3" t="n"/>
      <c r="T307" s="3" t="n"/>
      <c r="U307" s="3" t="n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n"/>
      <c r="AB307" s="3" t="inlineStr">
        <is>
          <t>5박</t>
        </is>
      </c>
      <c r="AC307" s="3" t="inlineStr">
        <is>
          <t>1</t>
        </is>
      </c>
      <c r="AD307" s="3" t="n"/>
      <c r="AE307" s="3" t="n"/>
      <c r="AF307" s="3" t="n"/>
      <c r="AG307" s="3" t="inlineStr">
        <is>
          <t>1</t>
        </is>
      </c>
      <c r="AH307" s="3" t="n"/>
      <c r="AI307" s="3" t="n"/>
      <c r="AJ307" s="3" t="n"/>
      <c r="AK307" s="3" t="n"/>
      <c r="AL307" s="3" t="inlineStr">
        <is>
          <t>FINAL</t>
        </is>
      </c>
      <c r="AM307" s="3" t="n"/>
      <c r="AN307" s="3" t="n"/>
    </row>
    <row r="308">
      <c r="A308" s="3" t="inlineStr">
        <is>
          <t>P0307</t>
        </is>
      </c>
      <c r="B308" s="3" t="n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n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n"/>
      <c r="S308" s="3" t="n"/>
      <c r="T308" s="3" t="n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n"/>
      <c r="AB308" s="3" t="inlineStr">
        <is>
          <t>6박</t>
        </is>
      </c>
      <c r="AC308" s="3" t="inlineStr">
        <is>
          <t>1</t>
        </is>
      </c>
      <c r="AD308" s="3" t="n"/>
      <c r="AE308" s="3" t="n"/>
      <c r="AF308" s="3" t="n"/>
      <c r="AG308" s="3" t="inlineStr">
        <is>
          <t>1</t>
        </is>
      </c>
      <c r="AH308" s="3" t="n"/>
      <c r="AI308" s="3" t="n"/>
      <c r="AJ308" s="3" t="n"/>
      <c r="AK308" s="3" t="n"/>
      <c r="AL308" s="3" t="inlineStr">
        <is>
          <t>FINAL</t>
        </is>
      </c>
      <c r="AM308" s="3" t="n"/>
      <c r="AN308" s="3" t="n"/>
    </row>
    <row r="309">
      <c r="A309" s="3" t="inlineStr">
        <is>
          <t>P0308</t>
        </is>
      </c>
      <c r="B309" s="3" t="n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n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n"/>
      <c r="S309" s="3" t="n"/>
      <c r="T309" s="3" t="n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n"/>
      <c r="AB309" s="3" t="inlineStr">
        <is>
          <t>6박</t>
        </is>
      </c>
      <c r="AC309" s="3" t="inlineStr">
        <is>
          <t>1</t>
        </is>
      </c>
      <c r="AD309" s="3" t="n"/>
      <c r="AE309" s="3" t="n"/>
      <c r="AF309" s="3" t="n"/>
      <c r="AG309" s="3" t="inlineStr">
        <is>
          <t>1</t>
        </is>
      </c>
      <c r="AH309" s="3" t="n"/>
      <c r="AI309" s="3" t="n"/>
      <c r="AJ309" s="3" t="n"/>
      <c r="AK309" s="3" t="n"/>
      <c r="AL309" s="3" t="inlineStr">
        <is>
          <t>FINAL</t>
        </is>
      </c>
      <c r="AM309" s="3" t="n"/>
      <c r="AN309" s="3" t="n"/>
    </row>
    <row r="310">
      <c r="A310" s="3" t="inlineStr">
        <is>
          <t>P0309</t>
        </is>
      </c>
      <c r="B310" s="3" t="n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n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n"/>
      <c r="S310" s="3" t="n"/>
      <c r="T310" s="3" t="n"/>
      <c r="U310" s="3" t="n"/>
      <c r="V310" s="3" t="n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n"/>
      <c r="AB310" s="3" t="inlineStr">
        <is>
          <t>4박</t>
        </is>
      </c>
      <c r="AC310" s="3" t="inlineStr">
        <is>
          <t>1</t>
        </is>
      </c>
      <c r="AD310" s="3" t="n"/>
      <c r="AE310" s="3" t="n"/>
      <c r="AF310" s="3" t="n"/>
      <c r="AG310" s="3" t="inlineStr">
        <is>
          <t>1</t>
        </is>
      </c>
      <c r="AH310" s="3" t="n"/>
      <c r="AI310" s="3" t="n"/>
      <c r="AJ310" s="3" t="n"/>
      <c r="AK310" s="3" t="n"/>
      <c r="AL310" s="3" t="inlineStr">
        <is>
          <t>FINAL</t>
        </is>
      </c>
      <c r="AM310" s="3" t="n"/>
      <c r="AN310" s="3" t="n"/>
    </row>
    <row r="311">
      <c r="A311" s="3" t="inlineStr">
        <is>
          <t>P0310</t>
        </is>
      </c>
      <c r="B311" s="3" t="n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n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n"/>
      <c r="S311" s="3" t="n"/>
      <c r="T311" s="3" t="n"/>
      <c r="U311" s="3" t="n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n"/>
      <c r="AB311" s="3" t="inlineStr">
        <is>
          <t>5박</t>
        </is>
      </c>
      <c r="AC311" s="3" t="inlineStr">
        <is>
          <t>1</t>
        </is>
      </c>
      <c r="AD311" s="3" t="n"/>
      <c r="AE311" s="3" t="n"/>
      <c r="AF311" s="3" t="n"/>
      <c r="AG311" s="3" t="inlineStr">
        <is>
          <t>1</t>
        </is>
      </c>
      <c r="AH311" s="3" t="n"/>
      <c r="AI311" s="3" t="n"/>
      <c r="AJ311" s="3" t="n"/>
      <c r="AK311" s="3" t="n"/>
      <c r="AL311" s="3" t="inlineStr">
        <is>
          <t>FINAL</t>
        </is>
      </c>
      <c r="AM311" s="3" t="n"/>
      <c r="AN311" s="3" t="n"/>
    </row>
    <row r="312">
      <c r="A312" s="3" t="inlineStr">
        <is>
          <t>P0311</t>
        </is>
      </c>
      <c r="B312" s="3" t="n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n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n"/>
      <c r="S312" s="3" t="n"/>
      <c r="T312" s="3" t="n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n"/>
      <c r="AB312" s="3" t="inlineStr">
        <is>
          <t>6박</t>
        </is>
      </c>
      <c r="AC312" s="3" t="inlineStr">
        <is>
          <t>1</t>
        </is>
      </c>
      <c r="AD312" s="3" t="n"/>
      <c r="AE312" s="3" t="n"/>
      <c r="AF312" s="3" t="n"/>
      <c r="AG312" s="3" t="inlineStr">
        <is>
          <t>1</t>
        </is>
      </c>
      <c r="AH312" s="3" t="n"/>
      <c r="AI312" s="3" t="n"/>
      <c r="AJ312" s="3" t="n"/>
      <c r="AK312" s="3" t="n"/>
      <c r="AL312" s="3" t="inlineStr">
        <is>
          <t>FINAL</t>
        </is>
      </c>
      <c r="AM312" s="3" t="n"/>
      <c r="AN312" s="3" t="n"/>
    </row>
    <row r="313">
      <c r="A313" s="3" t="inlineStr">
        <is>
          <t>P0312</t>
        </is>
      </c>
      <c r="B313" s="3" t="n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n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n"/>
      <c r="S313" s="3" t="n"/>
      <c r="T313" s="3" t="n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n"/>
      <c r="AB313" s="3" t="inlineStr">
        <is>
          <t>6박</t>
        </is>
      </c>
      <c r="AC313" s="3" t="inlineStr">
        <is>
          <t>1</t>
        </is>
      </c>
      <c r="AD313" s="3" t="n"/>
      <c r="AE313" s="3" t="n"/>
      <c r="AF313" s="3" t="n"/>
      <c r="AG313" s="3" t="inlineStr">
        <is>
          <t>1</t>
        </is>
      </c>
      <c r="AH313" s="3" t="n"/>
      <c r="AI313" s="3" t="n"/>
      <c r="AJ313" s="3" t="n"/>
      <c r="AK313" s="3" t="n"/>
      <c r="AL313" s="3" t="inlineStr">
        <is>
          <t>FINAL</t>
        </is>
      </c>
      <c r="AM313" s="3" t="n"/>
      <c r="AN313" s="3" t="n"/>
    </row>
    <row r="314">
      <c r="A314" s="3" t="inlineStr">
        <is>
          <t>P0313</t>
        </is>
      </c>
      <c r="B314" s="3" t="n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n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n"/>
      <c r="S314" s="3" t="n"/>
      <c r="T314" s="3" t="n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n"/>
      <c r="AB314" s="3" t="inlineStr">
        <is>
          <t>6박</t>
        </is>
      </c>
      <c r="AC314" s="3" t="inlineStr">
        <is>
          <t>1</t>
        </is>
      </c>
      <c r="AD314" s="3" t="n"/>
      <c r="AE314" s="3" t="n"/>
      <c r="AF314" s="3" t="n"/>
      <c r="AG314" s="3" t="inlineStr">
        <is>
          <t>1</t>
        </is>
      </c>
      <c r="AH314" s="3" t="n"/>
      <c r="AI314" s="3" t="n"/>
      <c r="AJ314" s="3" t="n"/>
      <c r="AK314" s="3" t="n"/>
      <c r="AL314" s="3" t="inlineStr">
        <is>
          <t>FINAL</t>
        </is>
      </c>
      <c r="AM314" s="3" t="n"/>
      <c r="AN314" s="3" t="n"/>
    </row>
    <row r="315">
      <c r="A315" s="3" t="inlineStr">
        <is>
          <t>P0314</t>
        </is>
      </c>
      <c r="B315" s="3" t="n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n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n"/>
      <c r="S315" s="3" t="n"/>
      <c r="T315" s="3" t="n"/>
      <c r="U315" s="3" t="n"/>
      <c r="V315" s="3" t="n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n"/>
      <c r="AB315" s="3" t="inlineStr">
        <is>
          <t>4박</t>
        </is>
      </c>
      <c r="AC315" s="3" t="inlineStr">
        <is>
          <t>1</t>
        </is>
      </c>
      <c r="AD315" s="3" t="n"/>
      <c r="AE315" s="3" t="n"/>
      <c r="AF315" s="3" t="n"/>
      <c r="AG315" s="3" t="inlineStr">
        <is>
          <t>1</t>
        </is>
      </c>
      <c r="AH315" s="3" t="n"/>
      <c r="AI315" s="3" t="n"/>
      <c r="AJ315" s="3" t="n"/>
      <c r="AK315" s="3" t="n"/>
      <c r="AL315" s="3" t="inlineStr">
        <is>
          <t>FINAL</t>
        </is>
      </c>
      <c r="AM315" s="3" t="n"/>
      <c r="AN315" s="3" t="n"/>
    </row>
    <row r="316">
      <c r="A316" s="3" t="inlineStr">
        <is>
          <t>P0315</t>
        </is>
      </c>
      <c r="B316" s="3" t="n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n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n"/>
      <c r="S316" s="3" t="n"/>
      <c r="T316" s="3" t="n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n"/>
      <c r="AB316" s="3" t="inlineStr">
        <is>
          <t>6박</t>
        </is>
      </c>
      <c r="AC316" s="3" t="inlineStr">
        <is>
          <t>1</t>
        </is>
      </c>
      <c r="AD316" s="3" t="n"/>
      <c r="AE316" s="3" t="n"/>
      <c r="AF316" s="3" t="n"/>
      <c r="AG316" s="3" t="inlineStr">
        <is>
          <t>1</t>
        </is>
      </c>
      <c r="AH316" s="3" t="n"/>
      <c r="AI316" s="3" t="n"/>
      <c r="AJ316" s="3" t="n"/>
      <c r="AK316" s="3" t="n"/>
      <c r="AL316" s="3" t="inlineStr">
        <is>
          <t>FINAL</t>
        </is>
      </c>
      <c r="AM316" s="3" t="n"/>
      <c r="AN316" s="3" t="n"/>
    </row>
    <row r="317">
      <c r="A317" s="3" t="inlineStr">
        <is>
          <t>P0316</t>
        </is>
      </c>
      <c r="B317" s="3" t="n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n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n"/>
      <c r="S317" s="3" t="n"/>
      <c r="T317" s="3" t="n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n"/>
      <c r="AB317" s="3" t="inlineStr">
        <is>
          <t>6박</t>
        </is>
      </c>
      <c r="AC317" s="3" t="inlineStr">
        <is>
          <t>1</t>
        </is>
      </c>
      <c r="AD317" s="3" t="n"/>
      <c r="AE317" s="3" t="n"/>
      <c r="AF317" s="3" t="n"/>
      <c r="AG317" s="3" t="inlineStr">
        <is>
          <t>1</t>
        </is>
      </c>
      <c r="AH317" s="3" t="n"/>
      <c r="AI317" s="3" t="n"/>
      <c r="AJ317" s="3" t="n"/>
      <c r="AK317" s="3" t="n"/>
      <c r="AL317" s="3" t="inlineStr">
        <is>
          <t>FINAL</t>
        </is>
      </c>
      <c r="AM317" s="3" t="n"/>
      <c r="AN317" s="3" t="n"/>
    </row>
    <row r="318">
      <c r="A318" s="3" t="inlineStr">
        <is>
          <t>P0317</t>
        </is>
      </c>
      <c r="B318" s="3" t="n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n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n"/>
      <c r="S318" s="3" t="n"/>
      <c r="T318" s="3" t="n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n"/>
      <c r="AB318" s="3" t="inlineStr">
        <is>
          <t>6박</t>
        </is>
      </c>
      <c r="AC318" s="3" t="inlineStr">
        <is>
          <t>1</t>
        </is>
      </c>
      <c r="AD318" s="3" t="n"/>
      <c r="AE318" s="3" t="n"/>
      <c r="AF318" s="3" t="n"/>
      <c r="AG318" s="3" t="inlineStr">
        <is>
          <t>1</t>
        </is>
      </c>
      <c r="AH318" s="3" t="n"/>
      <c r="AI318" s="3" t="n"/>
      <c r="AJ318" s="3" t="n"/>
      <c r="AK318" s="3" t="n"/>
      <c r="AL318" s="3" t="inlineStr">
        <is>
          <t>FINAL</t>
        </is>
      </c>
      <c r="AM318" s="3" t="n"/>
      <c r="AN318" s="3" t="n"/>
    </row>
    <row r="319">
      <c r="A319" s="3" t="inlineStr">
        <is>
          <t>P0318</t>
        </is>
      </c>
      <c r="B319" s="3" t="n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n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n"/>
      <c r="S319" s="3" t="n"/>
      <c r="T319" s="3" t="n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n"/>
      <c r="AB319" s="3" t="inlineStr">
        <is>
          <t>6박</t>
        </is>
      </c>
      <c r="AC319" s="3" t="inlineStr">
        <is>
          <t>1</t>
        </is>
      </c>
      <c r="AD319" s="3" t="n"/>
      <c r="AE319" s="3" t="n"/>
      <c r="AF319" s="3" t="n"/>
      <c r="AG319" s="3" t="inlineStr">
        <is>
          <t>1</t>
        </is>
      </c>
      <c r="AH319" s="3" t="n"/>
      <c r="AI319" s="3" t="n"/>
      <c r="AJ319" s="3" t="n"/>
      <c r="AK319" s="3" t="n"/>
      <c r="AL319" s="3" t="inlineStr">
        <is>
          <t>FINAL</t>
        </is>
      </c>
      <c r="AM319" s="3" t="n"/>
      <c r="AN319" s="3" t="n"/>
    </row>
    <row r="320">
      <c r="A320" s="3" t="inlineStr">
        <is>
          <t>P0319</t>
        </is>
      </c>
      <c r="B320" s="3" t="n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n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n"/>
      <c r="S320" s="3" t="n"/>
      <c r="T320" s="3" t="n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n"/>
      <c r="AB320" s="3" t="inlineStr">
        <is>
          <t>6박</t>
        </is>
      </c>
      <c r="AC320" s="3" t="inlineStr">
        <is>
          <t>1</t>
        </is>
      </c>
      <c r="AD320" s="3" t="n"/>
      <c r="AE320" s="3" t="n"/>
      <c r="AF320" s="3" t="n"/>
      <c r="AG320" s="3" t="inlineStr">
        <is>
          <t>1</t>
        </is>
      </c>
      <c r="AH320" s="3" t="n"/>
      <c r="AI320" s="3" t="n"/>
      <c r="AJ320" s="3" t="n"/>
      <c r="AK320" s="3" t="n"/>
      <c r="AL320" s="3" t="inlineStr">
        <is>
          <t>FINAL</t>
        </is>
      </c>
      <c r="AM320" s="3" t="n"/>
      <c r="AN320" s="3" t="n"/>
    </row>
    <row r="321">
      <c r="A321" s="3" t="inlineStr">
        <is>
          <t>P0320</t>
        </is>
      </c>
      <c r="B321" s="3" t="n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n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n"/>
      <c r="S321" s="3" t="n"/>
      <c r="T321" s="3" t="n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n"/>
      <c r="AB321" s="3" t="inlineStr">
        <is>
          <t>6박</t>
        </is>
      </c>
      <c r="AC321" s="3" t="inlineStr">
        <is>
          <t>1</t>
        </is>
      </c>
      <c r="AD321" s="3" t="n"/>
      <c r="AE321" s="3" t="n"/>
      <c r="AF321" s="3" t="n"/>
      <c r="AG321" s="3" t="inlineStr">
        <is>
          <t>1</t>
        </is>
      </c>
      <c r="AH321" s="3" t="n"/>
      <c r="AI321" s="3" t="n"/>
      <c r="AJ321" s="3" t="n"/>
      <c r="AK321" s="3" t="n"/>
      <c r="AL321" s="3" t="inlineStr">
        <is>
          <t>FINAL</t>
        </is>
      </c>
      <c r="AM321" s="3" t="n"/>
      <c r="AN321" s="3" t="n"/>
    </row>
    <row r="322">
      <c r="A322" s="3" t="inlineStr">
        <is>
          <t>P0321</t>
        </is>
      </c>
      <c r="B322" s="3" t="n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n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n"/>
      <c r="S322" s="3" t="n"/>
      <c r="T322" s="3" t="n"/>
      <c r="U322" s="3" t="n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n"/>
      <c r="AB322" s="3" t="inlineStr">
        <is>
          <t>5박</t>
        </is>
      </c>
      <c r="AC322" s="3" t="inlineStr">
        <is>
          <t>1</t>
        </is>
      </c>
      <c r="AD322" s="3" t="n"/>
      <c r="AE322" s="3" t="n"/>
      <c r="AF322" s="3" t="n"/>
      <c r="AG322" s="3" t="inlineStr">
        <is>
          <t>1</t>
        </is>
      </c>
      <c r="AH322" s="3" t="n"/>
      <c r="AI322" s="3" t="n"/>
      <c r="AJ322" s="3" t="n"/>
      <c r="AK322" s="3" t="n"/>
      <c r="AL322" s="3" t="inlineStr">
        <is>
          <t>FINAL</t>
        </is>
      </c>
      <c r="AM322" s="3" t="n"/>
      <c r="AN322" s="3" t="n"/>
    </row>
    <row r="323">
      <c r="A323" s="3" t="inlineStr">
        <is>
          <t>P0322</t>
        </is>
      </c>
      <c r="B323" s="3" t="n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n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n"/>
      <c r="S323" s="3" t="n"/>
      <c r="T323" s="3" t="n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n"/>
      <c r="AB323" s="3" t="inlineStr">
        <is>
          <t>6박</t>
        </is>
      </c>
      <c r="AC323" s="3" t="inlineStr">
        <is>
          <t>1</t>
        </is>
      </c>
      <c r="AD323" s="3" t="n"/>
      <c r="AE323" s="3" t="n"/>
      <c r="AF323" s="3" t="n"/>
      <c r="AG323" s="3" t="inlineStr">
        <is>
          <t>1</t>
        </is>
      </c>
      <c r="AH323" s="3" t="n"/>
      <c r="AI323" s="3" t="n"/>
      <c r="AJ323" s="3" t="n"/>
      <c r="AK323" s="3" t="n"/>
      <c r="AL323" s="3" t="inlineStr">
        <is>
          <t>FINAL</t>
        </is>
      </c>
      <c r="AM323" s="3" t="n"/>
      <c r="AN323" s="3" t="n"/>
    </row>
    <row r="324">
      <c r="A324" s="3" t="inlineStr">
        <is>
          <t>P0323</t>
        </is>
      </c>
      <c r="B324" s="3" t="n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n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n"/>
      <c r="S324" s="3" t="n"/>
      <c r="T324" s="3" t="n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n"/>
      <c r="AB324" s="3" t="inlineStr">
        <is>
          <t>6박</t>
        </is>
      </c>
      <c r="AC324" s="3" t="inlineStr">
        <is>
          <t>1</t>
        </is>
      </c>
      <c r="AD324" s="3" t="n"/>
      <c r="AE324" s="3" t="n"/>
      <c r="AF324" s="3" t="n"/>
      <c r="AG324" s="3" t="inlineStr">
        <is>
          <t>1</t>
        </is>
      </c>
      <c r="AH324" s="3" t="n"/>
      <c r="AI324" s="3" t="n"/>
      <c r="AJ324" s="3" t="n"/>
      <c r="AK324" s="3" t="n"/>
      <c r="AL324" s="3" t="inlineStr">
        <is>
          <t>FINAL</t>
        </is>
      </c>
      <c r="AM324" s="3" t="n"/>
      <c r="AN324" s="3" t="n"/>
    </row>
    <row r="325">
      <c r="A325" s="3" t="inlineStr">
        <is>
          <t>P0324</t>
        </is>
      </c>
      <c r="B325" s="3" t="n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n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n"/>
      <c r="S325" s="3" t="n"/>
      <c r="T325" s="3" t="n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n"/>
      <c r="AB325" s="3" t="inlineStr">
        <is>
          <t>6박</t>
        </is>
      </c>
      <c r="AC325" s="3" t="inlineStr">
        <is>
          <t>1</t>
        </is>
      </c>
      <c r="AD325" s="3" t="n"/>
      <c r="AE325" s="3" t="n"/>
      <c r="AF325" s="3" t="n"/>
      <c r="AG325" s="3" t="inlineStr">
        <is>
          <t>1</t>
        </is>
      </c>
      <c r="AH325" s="3" t="n"/>
      <c r="AI325" s="3" t="n"/>
      <c r="AJ325" s="3" t="n"/>
      <c r="AK325" s="3" t="n"/>
      <c r="AL325" s="3" t="inlineStr">
        <is>
          <t>FINAL</t>
        </is>
      </c>
      <c r="AM325" s="3" t="n"/>
      <c r="AN325" s="3" t="n"/>
    </row>
    <row r="326">
      <c r="A326" s="3" t="inlineStr">
        <is>
          <t>P0325</t>
        </is>
      </c>
      <c r="B326" s="3" t="n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n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n"/>
      <c r="S326" s="3" t="n"/>
      <c r="T326" s="3" t="n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n"/>
      <c r="AB326" s="3" t="inlineStr">
        <is>
          <t>6박</t>
        </is>
      </c>
      <c r="AC326" s="3" t="inlineStr">
        <is>
          <t>1</t>
        </is>
      </c>
      <c r="AD326" s="3" t="n"/>
      <c r="AE326" s="3" t="n"/>
      <c r="AF326" s="3" t="n"/>
      <c r="AG326" s="3" t="inlineStr">
        <is>
          <t>1</t>
        </is>
      </c>
      <c r="AH326" s="3" t="n"/>
      <c r="AI326" s="3" t="n"/>
      <c r="AJ326" s="3" t="n"/>
      <c r="AK326" s="3" t="n"/>
      <c r="AL326" s="3" t="inlineStr">
        <is>
          <t>FINAL</t>
        </is>
      </c>
      <c r="AM326" s="3" t="n"/>
      <c r="AN326" s="3" t="n"/>
    </row>
    <row r="327">
      <c r="A327" s="3" t="inlineStr">
        <is>
          <t>P0326</t>
        </is>
      </c>
      <c r="B327" s="3" t="n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n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n"/>
      <c r="S327" s="3" t="n"/>
      <c r="T327" s="3" t="n"/>
      <c r="U327" s="3" t="inlineStr">
        <is>
          <t>✓</t>
        </is>
      </c>
      <c r="V327" s="3" t="n"/>
      <c r="W327" s="3" t="n"/>
      <c r="X327" s="3" t="n"/>
      <c r="Y327" s="3" t="n"/>
      <c r="Z327" s="3" t="n"/>
      <c r="AA327" s="3" t="n"/>
      <c r="AB327" s="3" t="inlineStr">
        <is>
          <t>1박</t>
        </is>
      </c>
      <c r="AC327" s="3" t="inlineStr">
        <is>
          <t>1</t>
        </is>
      </c>
      <c r="AD327" s="3" t="n"/>
      <c r="AE327" s="3" t="n"/>
      <c r="AF327" s="3" t="n"/>
      <c r="AG327" s="3" t="inlineStr">
        <is>
          <t>1</t>
        </is>
      </c>
      <c r="AH327" s="3" t="n"/>
      <c r="AI327" s="3" t="n"/>
      <c r="AJ327" s="3" t="n"/>
      <c r="AK327" s="3" t="n"/>
      <c r="AL327" s="3" t="inlineStr">
        <is>
          <t>FINAL</t>
        </is>
      </c>
      <c r="AM327" s="3" t="n"/>
      <c r="AN327" s="3" t="n"/>
    </row>
    <row r="328">
      <c r="A328" s="3" t="inlineStr">
        <is>
          <t>P0327</t>
        </is>
      </c>
      <c r="B328" s="3" t="n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n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n"/>
      <c r="S328" s="3" t="n"/>
      <c r="T328" s="3" t="n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n"/>
      <c r="AB328" s="3" t="inlineStr">
        <is>
          <t>6박</t>
        </is>
      </c>
      <c r="AC328" s="3" t="inlineStr">
        <is>
          <t>1</t>
        </is>
      </c>
      <c r="AD328" s="3" t="n"/>
      <c r="AE328" s="3" t="n"/>
      <c r="AF328" s="3" t="n"/>
      <c r="AG328" s="3" t="inlineStr">
        <is>
          <t>1</t>
        </is>
      </c>
      <c r="AH328" s="3" t="n"/>
      <c r="AI328" s="3" t="n"/>
      <c r="AJ328" s="3" t="n"/>
      <c r="AK328" s="3" t="n"/>
      <c r="AL328" s="3" t="inlineStr">
        <is>
          <t>FINAL</t>
        </is>
      </c>
      <c r="AM328" s="3" t="n"/>
      <c r="AN328" s="3" t="n"/>
    </row>
    <row r="329">
      <c r="A329" s="3" t="inlineStr">
        <is>
          <t>P0328</t>
        </is>
      </c>
      <c r="B329" s="3" t="n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n"/>
      <c r="S329" s="3" t="n"/>
      <c r="T329" s="3" t="n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n"/>
      <c r="AB329" s="3" t="inlineStr">
        <is>
          <t>6박</t>
        </is>
      </c>
      <c r="AC329" s="3" t="inlineStr">
        <is>
          <t>1</t>
        </is>
      </c>
      <c r="AD329" s="3" t="n"/>
      <c r="AE329" s="3" t="n"/>
      <c r="AF329" s="3" t="n"/>
      <c r="AG329" s="3" t="inlineStr">
        <is>
          <t>1</t>
        </is>
      </c>
      <c r="AH329" s="3" t="n"/>
      <c r="AI329" s="3" t="n"/>
      <c r="AJ329" s="3" t="n"/>
      <c r="AK329" s="3" t="n"/>
      <c r="AL329" s="3" t="inlineStr">
        <is>
          <t>FINAL</t>
        </is>
      </c>
      <c r="AM329" s="3" t="inlineStr">
        <is>
          <t>한글이름 확인</t>
        </is>
      </c>
      <c r="AN329" s="3" t="n"/>
    </row>
    <row r="330">
      <c r="A330" s="3" t="inlineStr">
        <is>
          <t>P0329</t>
        </is>
      </c>
      <c r="B330" s="3" t="n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n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n"/>
      <c r="S330" s="3" t="n"/>
      <c r="T330" s="3" t="n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n"/>
      <c r="AB330" s="3" t="inlineStr">
        <is>
          <t>6박</t>
        </is>
      </c>
      <c r="AC330" s="3" t="inlineStr">
        <is>
          <t>1</t>
        </is>
      </c>
      <c r="AD330" s="3" t="n"/>
      <c r="AE330" s="3" t="n"/>
      <c r="AF330" s="3" t="n"/>
      <c r="AG330" s="3" t="inlineStr">
        <is>
          <t>1</t>
        </is>
      </c>
      <c r="AH330" s="3" t="n"/>
      <c r="AI330" s="3" t="n"/>
      <c r="AJ330" s="3" t="n"/>
      <c r="AK330" s="3" t="n"/>
      <c r="AL330" s="3" t="inlineStr">
        <is>
          <t>FINAL</t>
        </is>
      </c>
      <c r="AM330" s="3" t="n"/>
      <c r="AN330" s="3" t="n"/>
    </row>
    <row r="331">
      <c r="A331" s="3" t="inlineStr">
        <is>
          <t>P0330</t>
        </is>
      </c>
      <c r="B331" s="3" t="n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n"/>
      <c r="S331" s="3" t="n"/>
      <c r="T331" s="3" t="n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n"/>
      <c r="AB331" s="3" t="inlineStr">
        <is>
          <t>6박</t>
        </is>
      </c>
      <c r="AC331" s="3" t="inlineStr">
        <is>
          <t>1</t>
        </is>
      </c>
      <c r="AD331" s="3" t="n"/>
      <c r="AE331" s="3" t="n"/>
      <c r="AF331" s="3" t="n"/>
      <c r="AG331" s="3" t="inlineStr">
        <is>
          <t>1</t>
        </is>
      </c>
      <c r="AH331" s="3" t="n"/>
      <c r="AI331" s="3" t="n"/>
      <c r="AJ331" s="3" t="n"/>
      <c r="AK331" s="3" t="n"/>
      <c r="AL331" s="3" t="inlineStr">
        <is>
          <t>FINAL</t>
        </is>
      </c>
      <c r="AM331" s="3" t="n"/>
      <c r="AN331" s="3" t="n"/>
    </row>
    <row r="332">
      <c r="A332" s="3" t="inlineStr">
        <is>
          <t>P0331</t>
        </is>
      </c>
      <c r="B332" s="3" t="n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n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n"/>
      <c r="S332" s="3" t="n"/>
      <c r="T332" s="3" t="n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n"/>
      <c r="AB332" s="3" t="inlineStr">
        <is>
          <t>6박</t>
        </is>
      </c>
      <c r="AC332" s="3" t="inlineStr">
        <is>
          <t>1</t>
        </is>
      </c>
      <c r="AD332" s="3" t="n"/>
      <c r="AE332" s="3" t="n"/>
      <c r="AF332" s="3" t="n"/>
      <c r="AG332" s="3" t="inlineStr">
        <is>
          <t>1</t>
        </is>
      </c>
      <c r="AH332" s="3" t="n"/>
      <c r="AI332" s="3" t="n"/>
      <c r="AJ332" s="3" t="n"/>
      <c r="AK332" s="3" t="n"/>
      <c r="AL332" s="3" t="inlineStr">
        <is>
          <t>FINAL</t>
        </is>
      </c>
      <c r="AM332" s="3" t="n"/>
      <c r="AN332" s="3" t="n"/>
    </row>
    <row r="333">
      <c r="A333" s="3" t="inlineStr">
        <is>
          <t>P0332</t>
        </is>
      </c>
      <c r="B333" s="3" t="n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n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n"/>
      <c r="S333" s="3" t="n"/>
      <c r="T333" s="3" t="n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n"/>
      <c r="AB333" s="3" t="inlineStr">
        <is>
          <t>6박</t>
        </is>
      </c>
      <c r="AC333" s="3" t="inlineStr">
        <is>
          <t>1</t>
        </is>
      </c>
      <c r="AD333" s="3" t="n"/>
      <c r="AE333" s="3" t="n"/>
      <c r="AF333" s="3" t="n"/>
      <c r="AG333" s="3" t="inlineStr">
        <is>
          <t>1</t>
        </is>
      </c>
      <c r="AH333" s="3" t="n"/>
      <c r="AI333" s="3" t="n"/>
      <c r="AJ333" s="3" t="n"/>
      <c r="AK333" s="3" t="n"/>
      <c r="AL333" s="3" t="inlineStr">
        <is>
          <t>FINAL</t>
        </is>
      </c>
      <c r="AM333" s="3" t="n"/>
      <c r="AN333" s="3" t="n"/>
    </row>
    <row r="334">
      <c r="A334" s="3" t="inlineStr">
        <is>
          <t>P0333</t>
        </is>
      </c>
      <c r="B334" s="3" t="n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n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n"/>
      <c r="S334" s="3" t="n"/>
      <c r="T334" s="3" t="n"/>
      <c r="U334" s="3" t="n"/>
      <c r="V334" s="3" t="n"/>
      <c r="W334" s="3" t="n"/>
      <c r="X334" s="3" t="n"/>
      <c r="Y334" s="3" t="inlineStr">
        <is>
          <t>✓</t>
        </is>
      </c>
      <c r="Z334" s="3" t="inlineStr">
        <is>
          <t>✓</t>
        </is>
      </c>
      <c r="AA334" s="3" t="n"/>
      <c r="AB334" s="3" t="inlineStr">
        <is>
          <t>2박</t>
        </is>
      </c>
      <c r="AC334" s="3" t="inlineStr">
        <is>
          <t>1</t>
        </is>
      </c>
      <c r="AD334" s="3" t="n"/>
      <c r="AE334" s="3" t="n"/>
      <c r="AF334" s="3" t="n"/>
      <c r="AG334" s="3" t="inlineStr">
        <is>
          <t>1</t>
        </is>
      </c>
      <c r="AH334" s="3" t="n"/>
      <c r="AI334" s="3" t="n"/>
      <c r="AJ334" s="3" t="n"/>
      <c r="AK334" s="3" t="n"/>
      <c r="AL334" s="3" t="inlineStr">
        <is>
          <t>FINAL</t>
        </is>
      </c>
      <c r="AM334" s="3" t="n"/>
      <c r="AN334" s="3" t="n"/>
    </row>
    <row r="335">
      <c r="A335" s="3" t="inlineStr">
        <is>
          <t>P0334</t>
        </is>
      </c>
      <c r="B335" s="3" t="n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n"/>
      <c r="S335" s="3" t="n"/>
      <c r="T335" s="3" t="n"/>
      <c r="U335" s="3" t="n"/>
      <c r="V335" s="3" t="n"/>
      <c r="W335" s="3" t="n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n"/>
      <c r="AB335" s="3" t="inlineStr">
        <is>
          <t>3박</t>
        </is>
      </c>
      <c r="AC335" s="3" t="inlineStr">
        <is>
          <t>1</t>
        </is>
      </c>
      <c r="AD335" s="3" t="n"/>
      <c r="AE335" s="3" t="n"/>
      <c r="AF335" s="3" t="n"/>
      <c r="AG335" s="3" t="inlineStr">
        <is>
          <t>1</t>
        </is>
      </c>
      <c r="AH335" s="3" t="n"/>
      <c r="AI335" s="3" t="n"/>
      <c r="AJ335" s="3" t="n"/>
      <c r="AK335" s="3" t="n"/>
      <c r="AL335" s="3" t="inlineStr">
        <is>
          <t>FINAL</t>
        </is>
      </c>
      <c r="AM335" s="3" t="n"/>
      <c r="AN335" s="3" t="n"/>
    </row>
    <row r="336">
      <c r="A336" s="3" t="inlineStr">
        <is>
          <t>P0335</t>
        </is>
      </c>
      <c r="B336" s="3" t="n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n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n"/>
      <c r="S336" s="3" t="n"/>
      <c r="T336" s="3" t="n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n"/>
      <c r="AB336" s="3" t="inlineStr">
        <is>
          <t>6박</t>
        </is>
      </c>
      <c r="AC336" s="3" t="inlineStr">
        <is>
          <t>1</t>
        </is>
      </c>
      <c r="AD336" s="3" t="n"/>
      <c r="AE336" s="3" t="n"/>
      <c r="AF336" s="3" t="n"/>
      <c r="AG336" s="3" t="inlineStr">
        <is>
          <t>1</t>
        </is>
      </c>
      <c r="AH336" s="3" t="n"/>
      <c r="AI336" s="3" t="n"/>
      <c r="AJ336" s="3" t="n"/>
      <c r="AK336" s="3" t="n"/>
      <c r="AL336" s="3" t="inlineStr">
        <is>
          <t>FINAL</t>
        </is>
      </c>
      <c r="AM336" s="3" t="n"/>
      <c r="AN336" s="3" t="n"/>
    </row>
    <row r="337">
      <c r="A337" s="3" t="inlineStr">
        <is>
          <t>P0336</t>
        </is>
      </c>
      <c r="B337" s="3" t="n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n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n"/>
      <c r="S337" s="3" t="n"/>
      <c r="T337" s="3" t="n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n"/>
      <c r="AB337" s="3" t="inlineStr">
        <is>
          <t>6박</t>
        </is>
      </c>
      <c r="AC337" s="3" t="inlineStr">
        <is>
          <t>1</t>
        </is>
      </c>
      <c r="AD337" s="3" t="n"/>
      <c r="AE337" s="3" t="n"/>
      <c r="AF337" s="3" t="n"/>
      <c r="AG337" s="3" t="inlineStr">
        <is>
          <t>1</t>
        </is>
      </c>
      <c r="AH337" s="3" t="n"/>
      <c r="AI337" s="3" t="n"/>
      <c r="AJ337" s="3" t="n"/>
      <c r="AK337" s="3" t="n"/>
      <c r="AL337" s="3" t="inlineStr">
        <is>
          <t>FINAL</t>
        </is>
      </c>
      <c r="AM337" s="3" t="n"/>
      <c r="AN337" s="3" t="n"/>
    </row>
    <row r="338">
      <c r="A338" s="3" t="inlineStr">
        <is>
          <t>P0337</t>
        </is>
      </c>
      <c r="B338" s="3" t="n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n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n"/>
      <c r="S338" s="3" t="n"/>
      <c r="T338" s="3" t="n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n"/>
      <c r="AB338" s="3" t="inlineStr">
        <is>
          <t>6박</t>
        </is>
      </c>
      <c r="AC338" s="3" t="inlineStr">
        <is>
          <t>1</t>
        </is>
      </c>
      <c r="AD338" s="3" t="n"/>
      <c r="AE338" s="3" t="n"/>
      <c r="AF338" s="3" t="n"/>
      <c r="AG338" s="3" t="inlineStr">
        <is>
          <t>1</t>
        </is>
      </c>
      <c r="AH338" s="3" t="n"/>
      <c r="AI338" s="3" t="n"/>
      <c r="AJ338" s="3" t="n"/>
      <c r="AK338" s="3" t="n"/>
      <c r="AL338" s="3" t="inlineStr">
        <is>
          <t>FINAL</t>
        </is>
      </c>
      <c r="AM338" s="3" t="n"/>
      <c r="AN338" s="3" t="n"/>
    </row>
    <row r="339">
      <c r="A339" s="3" t="inlineStr">
        <is>
          <t>P0338</t>
        </is>
      </c>
      <c r="B339" s="3" t="n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n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n"/>
      <c r="S339" s="3" t="n"/>
      <c r="T339" s="3" t="n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n"/>
      <c r="AB339" s="3" t="inlineStr">
        <is>
          <t>6박</t>
        </is>
      </c>
      <c r="AC339" s="3" t="inlineStr">
        <is>
          <t>1</t>
        </is>
      </c>
      <c r="AD339" s="3" t="n"/>
      <c r="AE339" s="3" t="n"/>
      <c r="AF339" s="3" t="n"/>
      <c r="AG339" s="3" t="inlineStr">
        <is>
          <t>1</t>
        </is>
      </c>
      <c r="AH339" s="3" t="n"/>
      <c r="AI339" s="3" t="n"/>
      <c r="AJ339" s="3" t="n"/>
      <c r="AK339" s="3" t="n"/>
      <c r="AL339" s="3" t="inlineStr">
        <is>
          <t>FINAL</t>
        </is>
      </c>
      <c r="AM339" s="3" t="n"/>
      <c r="AN339" s="3" t="n"/>
    </row>
    <row r="340">
      <c r="A340" s="3" t="inlineStr">
        <is>
          <t>P0339</t>
        </is>
      </c>
      <c r="B340" s="3" t="n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n"/>
      <c r="S340" s="3" t="n"/>
      <c r="T340" s="3" t="n"/>
      <c r="U340" s="3" t="n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n"/>
      <c r="AB340" s="3" t="inlineStr">
        <is>
          <t>5박</t>
        </is>
      </c>
      <c r="AC340" s="3" t="inlineStr">
        <is>
          <t>1</t>
        </is>
      </c>
      <c r="AD340" s="3" t="n"/>
      <c r="AE340" s="3" t="n"/>
      <c r="AF340" s="3" t="n"/>
      <c r="AG340" s="3" t="inlineStr">
        <is>
          <t>1</t>
        </is>
      </c>
      <c r="AH340" s="3" t="n"/>
      <c r="AI340" s="3" t="n"/>
      <c r="AJ340" s="3" t="n"/>
      <c r="AK340" s="3" t="n"/>
      <c r="AL340" s="3" t="inlineStr">
        <is>
          <t>FINAL</t>
        </is>
      </c>
      <c r="AM340" s="3" t="n"/>
      <c r="AN340" s="3" t="n"/>
    </row>
    <row r="341">
      <c r="A341" s="3" t="inlineStr">
        <is>
          <t>P0340</t>
        </is>
      </c>
      <c r="B341" s="3" t="n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n"/>
      <c r="S341" s="3" t="n"/>
      <c r="T341" s="3" t="n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n"/>
      <c r="AB341" s="3" t="inlineStr">
        <is>
          <t>6박</t>
        </is>
      </c>
      <c r="AC341" s="3" t="inlineStr">
        <is>
          <t>1</t>
        </is>
      </c>
      <c r="AD341" s="3" t="n"/>
      <c r="AE341" s="3" t="n"/>
      <c r="AF341" s="3" t="n"/>
      <c r="AG341" s="3" t="inlineStr">
        <is>
          <t>1</t>
        </is>
      </c>
      <c r="AH341" s="3" t="n"/>
      <c r="AI341" s="3" t="n"/>
      <c r="AJ341" s="3" t="n"/>
      <c r="AK341" s="3" t="n"/>
      <c r="AL341" s="3" t="inlineStr">
        <is>
          <t>FINAL</t>
        </is>
      </c>
      <c r="AM341" s="3" t="n"/>
      <c r="AN341" s="3" t="n"/>
    </row>
    <row r="342">
      <c r="A342" s="3" t="inlineStr">
        <is>
          <t>P0341</t>
        </is>
      </c>
      <c r="B342" s="3" t="n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n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n"/>
      <c r="S342" s="3" t="n"/>
      <c r="T342" s="3" t="n"/>
      <c r="U342" s="3" t="n"/>
      <c r="V342" s="3" t="n"/>
      <c r="W342" s="3" t="n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n"/>
      <c r="AB342" s="3" t="inlineStr">
        <is>
          <t>3박</t>
        </is>
      </c>
      <c r="AC342" s="3" t="inlineStr">
        <is>
          <t>1</t>
        </is>
      </c>
      <c r="AD342" s="3" t="n"/>
      <c r="AE342" s="3" t="n"/>
      <c r="AF342" s="3" t="n"/>
      <c r="AG342" s="3" t="inlineStr">
        <is>
          <t>1</t>
        </is>
      </c>
      <c r="AH342" s="3" t="n"/>
      <c r="AI342" s="3" t="n"/>
      <c r="AJ342" s="3" t="n"/>
      <c r="AK342" s="3" t="n"/>
      <c r="AL342" s="3" t="inlineStr">
        <is>
          <t>FINAL</t>
        </is>
      </c>
      <c r="AM342" s="3" t="n"/>
      <c r="AN342" s="3" t="n"/>
    </row>
    <row r="343">
      <c r="A343" s="3" t="inlineStr">
        <is>
          <t>P0342</t>
        </is>
      </c>
      <c r="B343" s="3" t="n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n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n"/>
      <c r="S343" s="3" t="n"/>
      <c r="T343" s="3" t="n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n"/>
      <c r="AB343" s="3" t="inlineStr">
        <is>
          <t>6박</t>
        </is>
      </c>
      <c r="AC343" s="3" t="inlineStr">
        <is>
          <t>1</t>
        </is>
      </c>
      <c r="AD343" s="3" t="n"/>
      <c r="AE343" s="3" t="n"/>
      <c r="AF343" s="3" t="n"/>
      <c r="AG343" s="3" t="inlineStr">
        <is>
          <t>1</t>
        </is>
      </c>
      <c r="AH343" s="3" t="n"/>
      <c r="AI343" s="3" t="n"/>
      <c r="AJ343" s="3" t="n"/>
      <c r="AK343" s="3" t="n"/>
      <c r="AL343" s="3" t="inlineStr">
        <is>
          <t>FINAL</t>
        </is>
      </c>
      <c r="AM343" s="3" t="n"/>
      <c r="AN343" s="3" t="n"/>
    </row>
    <row r="344">
      <c r="A344" s="3" t="inlineStr">
        <is>
          <t>P0343</t>
        </is>
      </c>
      <c r="B344" s="3" t="n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n"/>
      <c r="S344" s="3" t="n"/>
      <c r="T344" s="3" t="n"/>
      <c r="U344" s="3" t="n"/>
      <c r="V344" s="3" t="n"/>
      <c r="W344" s="3" t="n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n"/>
      <c r="AB344" s="3" t="inlineStr">
        <is>
          <t>3박</t>
        </is>
      </c>
      <c r="AC344" s="3" t="inlineStr">
        <is>
          <t>1</t>
        </is>
      </c>
      <c r="AD344" s="3" t="n"/>
      <c r="AE344" s="3" t="n"/>
      <c r="AF344" s="3" t="n"/>
      <c r="AG344" s="3" t="inlineStr">
        <is>
          <t>1</t>
        </is>
      </c>
      <c r="AH344" s="3" t="n"/>
      <c r="AI344" s="3" t="n"/>
      <c r="AJ344" s="3" t="n"/>
      <c r="AK344" s="3" t="n"/>
      <c r="AL344" s="3" t="inlineStr">
        <is>
          <t>FINAL</t>
        </is>
      </c>
      <c r="AM344" s="3" t="n"/>
      <c r="AN344" s="3" t="n"/>
    </row>
    <row r="345">
      <c r="A345" s="3" t="inlineStr">
        <is>
          <t>P0344</t>
        </is>
      </c>
      <c r="B345" s="3" t="n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n"/>
      <c r="S345" s="3" t="n"/>
      <c r="T345" s="3" t="n"/>
      <c r="U345" s="3" t="n"/>
      <c r="V345" s="3" t="n"/>
      <c r="W345" s="3" t="n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n"/>
      <c r="AB345" s="3" t="inlineStr">
        <is>
          <t>3박</t>
        </is>
      </c>
      <c r="AC345" s="3" t="inlineStr">
        <is>
          <t>1</t>
        </is>
      </c>
      <c r="AD345" s="3" t="n"/>
      <c r="AE345" s="3" t="n"/>
      <c r="AF345" s="3" t="n"/>
      <c r="AG345" s="3" t="inlineStr">
        <is>
          <t>1</t>
        </is>
      </c>
      <c r="AH345" s="3" t="n"/>
      <c r="AI345" s="3" t="n"/>
      <c r="AJ345" s="3" t="n"/>
      <c r="AK345" s="3" t="n"/>
      <c r="AL345" s="3" t="inlineStr">
        <is>
          <t>FINAL</t>
        </is>
      </c>
      <c r="AM345" s="3" t="n"/>
      <c r="AN345" s="3" t="n"/>
    </row>
    <row r="346">
      <c r="A346" s="3" t="inlineStr">
        <is>
          <t>P0345</t>
        </is>
      </c>
      <c r="B346" s="3" t="n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n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n"/>
      <c r="S346" s="3" t="n"/>
      <c r="T346" s="3" t="n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n"/>
      <c r="AB346" s="3" t="inlineStr">
        <is>
          <t>6박</t>
        </is>
      </c>
      <c r="AC346" s="3" t="inlineStr">
        <is>
          <t>1</t>
        </is>
      </c>
      <c r="AD346" s="3" t="n"/>
      <c r="AE346" s="3" t="n"/>
      <c r="AF346" s="3" t="n"/>
      <c r="AG346" s="3" t="inlineStr">
        <is>
          <t>1</t>
        </is>
      </c>
      <c r="AH346" s="3" t="n"/>
      <c r="AI346" s="3" t="n"/>
      <c r="AJ346" s="3" t="n"/>
      <c r="AK346" s="3" t="n"/>
      <c r="AL346" s="3" t="inlineStr">
        <is>
          <t>FINAL</t>
        </is>
      </c>
      <c r="AM346" s="3" t="n"/>
      <c r="AN346" s="3" t="n"/>
    </row>
    <row r="347">
      <c r="A347" s="3" t="inlineStr">
        <is>
          <t>P0346</t>
        </is>
      </c>
      <c r="B347" s="3" t="n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n"/>
      <c r="S347" s="3" t="n"/>
      <c r="T347" s="3" t="n"/>
      <c r="U347" s="3" t="inlineStr">
        <is>
          <t>✓</t>
        </is>
      </c>
      <c r="V347" s="3" t="n"/>
      <c r="W347" s="3" t="n"/>
      <c r="X347" s="3" t="n"/>
      <c r="Y347" s="3" t="n"/>
      <c r="Z347" s="3" t="inlineStr">
        <is>
          <t>✓</t>
        </is>
      </c>
      <c r="AA347" s="3" t="n"/>
      <c r="AB347" s="3" t="inlineStr">
        <is>
          <t>2박</t>
        </is>
      </c>
      <c r="AC347" s="3" t="inlineStr">
        <is>
          <t>1</t>
        </is>
      </c>
      <c r="AD347" s="3" t="n"/>
      <c r="AE347" s="3" t="n"/>
      <c r="AF347" s="3" t="n"/>
      <c r="AG347" s="3" t="inlineStr">
        <is>
          <t>1</t>
        </is>
      </c>
      <c r="AH347" s="3" t="n"/>
      <c r="AI347" s="3" t="n"/>
      <c r="AJ347" s="3" t="n"/>
      <c r="AK347" s="3" t="n"/>
      <c r="AL347" s="3" t="inlineStr">
        <is>
          <t>FINAL</t>
        </is>
      </c>
      <c r="AM347" s="3" t="inlineStr">
        <is>
          <t>한글이름 확인</t>
        </is>
      </c>
      <c r="AN347" s="3" t="n"/>
    </row>
    <row r="348">
      <c r="A348" s="3" t="inlineStr">
        <is>
          <t>P0347</t>
        </is>
      </c>
      <c r="B348" s="3" t="n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n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n"/>
      <c r="S348" s="3" t="n"/>
      <c r="T348" s="3" t="n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n"/>
      <c r="AB348" s="3" t="inlineStr">
        <is>
          <t>6박</t>
        </is>
      </c>
      <c r="AC348" s="3" t="inlineStr">
        <is>
          <t>1</t>
        </is>
      </c>
      <c r="AD348" s="3" t="n"/>
      <c r="AE348" s="3" t="n"/>
      <c r="AF348" s="3" t="n"/>
      <c r="AG348" s="3" t="inlineStr">
        <is>
          <t>1</t>
        </is>
      </c>
      <c r="AH348" s="3" t="n"/>
      <c r="AI348" s="3" t="n"/>
      <c r="AJ348" s="3" t="n"/>
      <c r="AK348" s="3" t="n"/>
      <c r="AL348" s="3" t="inlineStr">
        <is>
          <t>FINAL</t>
        </is>
      </c>
      <c r="AM348" s="3" t="n"/>
      <c r="AN348" s="3" t="n"/>
    </row>
    <row r="349">
      <c r="A349" s="3" t="inlineStr">
        <is>
          <t>P0348</t>
        </is>
      </c>
      <c r="B349" s="3" t="n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n"/>
      <c r="S349" s="3" t="n"/>
      <c r="T349" s="3" t="n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n"/>
      <c r="AB349" s="3" t="inlineStr">
        <is>
          <t>6박</t>
        </is>
      </c>
      <c r="AC349" s="3" t="inlineStr">
        <is>
          <t>1</t>
        </is>
      </c>
      <c r="AD349" s="3" t="n"/>
      <c r="AE349" s="3" t="n"/>
      <c r="AF349" s="3" t="n"/>
      <c r="AG349" s="3" t="inlineStr">
        <is>
          <t>1</t>
        </is>
      </c>
      <c r="AH349" s="3" t="n"/>
      <c r="AI349" s="3" t="n"/>
      <c r="AJ349" s="3" t="n"/>
      <c r="AK349" s="3" t="n"/>
      <c r="AL349" s="3" t="inlineStr">
        <is>
          <t>FINAL</t>
        </is>
      </c>
      <c r="AM349" s="3" t="inlineStr">
        <is>
          <t>한글이름 확인</t>
        </is>
      </c>
      <c r="AN349" s="3" t="n"/>
    </row>
    <row r="350">
      <c r="A350" s="3" t="inlineStr">
        <is>
          <t>P0349</t>
        </is>
      </c>
      <c r="B350" s="3" t="n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n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n"/>
      <c r="S350" s="3" t="n"/>
      <c r="T350" s="3" t="n"/>
      <c r="U350" s="3" t="n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n"/>
      <c r="AB350" s="3" t="inlineStr">
        <is>
          <t>5박</t>
        </is>
      </c>
      <c r="AC350" s="3" t="inlineStr">
        <is>
          <t>1</t>
        </is>
      </c>
      <c r="AD350" s="3" t="n"/>
      <c r="AE350" s="3" t="n"/>
      <c r="AF350" s="3" t="n"/>
      <c r="AG350" s="3" t="inlineStr">
        <is>
          <t>1</t>
        </is>
      </c>
      <c r="AH350" s="3" t="n"/>
      <c r="AI350" s="3" t="n"/>
      <c r="AJ350" s="3" t="n"/>
      <c r="AK350" s="3" t="n"/>
      <c r="AL350" s="3" t="inlineStr">
        <is>
          <t>FINAL</t>
        </is>
      </c>
      <c r="AM350" s="3" t="n"/>
      <c r="AN350" s="3" t="n"/>
    </row>
    <row r="351">
      <c r="A351" s="3" t="inlineStr">
        <is>
          <t>P0350</t>
        </is>
      </c>
      <c r="B351" s="3" t="n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n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n"/>
      <c r="S351" s="3" t="n"/>
      <c r="T351" s="3" t="n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n"/>
      <c r="AB351" s="3" t="inlineStr">
        <is>
          <t>6박</t>
        </is>
      </c>
      <c r="AC351" s="3" t="inlineStr">
        <is>
          <t>1</t>
        </is>
      </c>
      <c r="AD351" s="3" t="n"/>
      <c r="AE351" s="3" t="n"/>
      <c r="AF351" s="3" t="n"/>
      <c r="AG351" s="3" t="inlineStr">
        <is>
          <t>1</t>
        </is>
      </c>
      <c r="AH351" s="3" t="n"/>
      <c r="AI351" s="3" t="n"/>
      <c r="AJ351" s="3" t="n"/>
      <c r="AK351" s="3" t="n"/>
      <c r="AL351" s="3" t="inlineStr">
        <is>
          <t>FINAL</t>
        </is>
      </c>
      <c r="AM351" s="3" t="n"/>
      <c r="AN351" s="3" t="n"/>
    </row>
    <row r="352">
      <c r="A352" s="3" t="inlineStr">
        <is>
          <t>P0351</t>
        </is>
      </c>
      <c r="B352" s="3" t="n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n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n"/>
      <c r="S352" s="3" t="n"/>
      <c r="T352" s="3" t="n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n"/>
      <c r="AB352" s="3" t="inlineStr">
        <is>
          <t>6박</t>
        </is>
      </c>
      <c r="AC352" s="3" t="inlineStr">
        <is>
          <t>1</t>
        </is>
      </c>
      <c r="AD352" s="3" t="n"/>
      <c r="AE352" s="3" t="n"/>
      <c r="AF352" s="3" t="n"/>
      <c r="AG352" s="3" t="inlineStr">
        <is>
          <t>1</t>
        </is>
      </c>
      <c r="AH352" s="3" t="n"/>
      <c r="AI352" s="3" t="n"/>
      <c r="AJ352" s="3" t="n"/>
      <c r="AK352" s="3" t="n"/>
      <c r="AL352" s="3" t="inlineStr">
        <is>
          <t>FINAL</t>
        </is>
      </c>
      <c r="AM352" s="3" t="n"/>
      <c r="AN352" s="3" t="n"/>
    </row>
    <row r="353">
      <c r="A353" s="3" t="inlineStr">
        <is>
          <t>P0352</t>
        </is>
      </c>
      <c r="B353" s="3" t="n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n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n"/>
      <c r="S353" s="3" t="n"/>
      <c r="T353" s="3" t="n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n"/>
      <c r="AB353" s="3" t="inlineStr">
        <is>
          <t>6박</t>
        </is>
      </c>
      <c r="AC353" s="3" t="inlineStr">
        <is>
          <t>1</t>
        </is>
      </c>
      <c r="AD353" s="3" t="n"/>
      <c r="AE353" s="3" t="n"/>
      <c r="AF353" s="3" t="n"/>
      <c r="AG353" s="3" t="inlineStr">
        <is>
          <t>1</t>
        </is>
      </c>
      <c r="AH353" s="3" t="n"/>
      <c r="AI353" s="3" t="n"/>
      <c r="AJ353" s="3" t="n"/>
      <c r="AK353" s="3" t="n"/>
      <c r="AL353" s="3" t="inlineStr">
        <is>
          <t>FINAL</t>
        </is>
      </c>
      <c r="AM353" s="3" t="n"/>
      <c r="AN353" s="3" t="n"/>
    </row>
    <row r="354">
      <c r="A354" s="3" t="inlineStr">
        <is>
          <t>P0353</t>
        </is>
      </c>
      <c r="B354" s="3" t="n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n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n"/>
      <c r="S354" s="3" t="n"/>
      <c r="T354" s="3" t="n"/>
      <c r="U354" s="3" t="n"/>
      <c r="V354" s="3" t="n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n"/>
      <c r="AB354" s="3" t="inlineStr">
        <is>
          <t>4박</t>
        </is>
      </c>
      <c r="AC354" s="3" t="inlineStr">
        <is>
          <t>1</t>
        </is>
      </c>
      <c r="AD354" s="3" t="n"/>
      <c r="AE354" s="3" t="n"/>
      <c r="AF354" s="3" t="n"/>
      <c r="AG354" s="3" t="inlineStr">
        <is>
          <t>1</t>
        </is>
      </c>
      <c r="AH354" s="3" t="n"/>
      <c r="AI354" s="3" t="n"/>
      <c r="AJ354" s="3" t="n"/>
      <c r="AK354" s="3" t="n"/>
      <c r="AL354" s="3" t="inlineStr">
        <is>
          <t>FINAL</t>
        </is>
      </c>
      <c r="AM354" s="3" t="n"/>
      <c r="AN354" s="3" t="n"/>
    </row>
    <row r="355">
      <c r="A355" s="3" t="inlineStr">
        <is>
          <t>P0354</t>
        </is>
      </c>
      <c r="B355" s="3" t="n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n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n"/>
      <c r="S355" s="3" t="n"/>
      <c r="T355" s="3" t="n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n"/>
      <c r="AB355" s="3" t="inlineStr">
        <is>
          <t>6박</t>
        </is>
      </c>
      <c r="AC355" s="3" t="inlineStr">
        <is>
          <t>1</t>
        </is>
      </c>
      <c r="AD355" s="3" t="n"/>
      <c r="AE355" s="3" t="n"/>
      <c r="AF355" s="3" t="n"/>
      <c r="AG355" s="3" t="inlineStr">
        <is>
          <t>1</t>
        </is>
      </c>
      <c r="AH355" s="3" t="n"/>
      <c r="AI355" s="3" t="n"/>
      <c r="AJ355" s="3" t="n"/>
      <c r="AK355" s="3" t="n"/>
      <c r="AL355" s="3" t="inlineStr">
        <is>
          <t>FINAL</t>
        </is>
      </c>
      <c r="AM355" s="3" t="n"/>
      <c r="AN355" s="3" t="n"/>
    </row>
    <row r="356">
      <c r="A356" s="3" t="inlineStr">
        <is>
          <t>P0355</t>
        </is>
      </c>
      <c r="B356" s="3" t="n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n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n"/>
      <c r="S356" s="3" t="n"/>
      <c r="T356" s="3" t="n"/>
      <c r="U356" s="3" t="n"/>
      <c r="V356" s="3" t="n"/>
      <c r="W356" s="3" t="n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n"/>
      <c r="AB356" s="3" t="inlineStr">
        <is>
          <t>3박</t>
        </is>
      </c>
      <c r="AC356" s="3" t="inlineStr">
        <is>
          <t>1</t>
        </is>
      </c>
      <c r="AD356" s="3" t="n"/>
      <c r="AE356" s="3" t="n"/>
      <c r="AF356" s="3" t="n"/>
      <c r="AG356" s="3" t="inlineStr">
        <is>
          <t>1</t>
        </is>
      </c>
      <c r="AH356" s="3" t="n"/>
      <c r="AI356" s="3" t="n"/>
      <c r="AJ356" s="3" t="n"/>
      <c r="AK356" s="3" t="n"/>
      <c r="AL356" s="3" t="inlineStr">
        <is>
          <t>FINAL</t>
        </is>
      </c>
      <c r="AM356" s="3" t="n"/>
      <c r="AN356" s="3" t="n"/>
    </row>
    <row r="357">
      <c r="A357" s="3" t="inlineStr">
        <is>
          <t>P0356</t>
        </is>
      </c>
      <c r="B357" s="3" t="n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n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n"/>
      <c r="S357" s="3" t="n"/>
      <c r="T357" s="3" t="n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n"/>
      <c r="AB357" s="3" t="inlineStr">
        <is>
          <t>6박</t>
        </is>
      </c>
      <c r="AC357" s="3" t="inlineStr">
        <is>
          <t>1</t>
        </is>
      </c>
      <c r="AD357" s="3" t="n"/>
      <c r="AE357" s="3" t="n"/>
      <c r="AF357" s="3" t="n"/>
      <c r="AG357" s="3" t="inlineStr">
        <is>
          <t>1</t>
        </is>
      </c>
      <c r="AH357" s="3" t="n"/>
      <c r="AI357" s="3" t="n"/>
      <c r="AJ357" s="3" t="n"/>
      <c r="AK357" s="3" t="n"/>
      <c r="AL357" s="3" t="inlineStr">
        <is>
          <t>FINAL</t>
        </is>
      </c>
      <c r="AM357" s="3" t="n"/>
      <c r="AN357" s="3" t="n"/>
    </row>
    <row r="358">
      <c r="A358" s="3" t="inlineStr">
        <is>
          <t>P0357</t>
        </is>
      </c>
      <c r="B358" s="3" t="n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n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n"/>
      <c r="S358" s="3" t="n"/>
      <c r="T358" s="3" t="n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n"/>
      <c r="AB358" s="3" t="inlineStr">
        <is>
          <t>6박</t>
        </is>
      </c>
      <c r="AC358" s="3" t="inlineStr">
        <is>
          <t>1</t>
        </is>
      </c>
      <c r="AD358" s="3" t="n"/>
      <c r="AE358" s="3" t="n"/>
      <c r="AF358" s="3" t="n"/>
      <c r="AG358" s="3" t="inlineStr">
        <is>
          <t>1</t>
        </is>
      </c>
      <c r="AH358" s="3" t="n"/>
      <c r="AI358" s="3" t="n"/>
      <c r="AJ358" s="3" t="n"/>
      <c r="AK358" s="3" t="n"/>
      <c r="AL358" s="3" t="inlineStr">
        <is>
          <t>FINAL</t>
        </is>
      </c>
      <c r="AM358" s="3" t="n"/>
      <c r="AN358" s="3" t="n"/>
    </row>
    <row r="359">
      <c r="A359" s="3" t="inlineStr">
        <is>
          <t>P0358</t>
        </is>
      </c>
      <c r="B359" s="3" t="n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n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n"/>
      <c r="S359" s="3" t="n"/>
      <c r="T359" s="3" t="n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n"/>
      <c r="AB359" s="3" t="inlineStr">
        <is>
          <t>6박</t>
        </is>
      </c>
      <c r="AC359" s="3" t="inlineStr">
        <is>
          <t>1</t>
        </is>
      </c>
      <c r="AD359" s="3" t="n"/>
      <c r="AE359" s="3" t="n"/>
      <c r="AF359" s="3" t="n"/>
      <c r="AG359" s="3" t="inlineStr">
        <is>
          <t>1</t>
        </is>
      </c>
      <c r="AH359" s="3" t="n"/>
      <c r="AI359" s="3" t="n"/>
      <c r="AJ359" s="3" t="n"/>
      <c r="AK359" s="3" t="n"/>
      <c r="AL359" s="3" t="inlineStr">
        <is>
          <t>FINAL</t>
        </is>
      </c>
      <c r="AM359" s="3" t="n"/>
      <c r="AN359" s="3" t="n"/>
    </row>
    <row r="360">
      <c r="A360" s="3" t="inlineStr">
        <is>
          <t>P0359</t>
        </is>
      </c>
      <c r="B360" s="3" t="n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n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n"/>
      <c r="S360" s="3" t="n"/>
      <c r="T360" s="3" t="n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n"/>
      <c r="AB360" s="3" t="inlineStr">
        <is>
          <t>6박</t>
        </is>
      </c>
      <c r="AC360" s="3" t="inlineStr">
        <is>
          <t>1</t>
        </is>
      </c>
      <c r="AD360" s="3" t="n"/>
      <c r="AE360" s="3" t="n"/>
      <c r="AF360" s="3" t="n"/>
      <c r="AG360" s="3" t="inlineStr">
        <is>
          <t>1</t>
        </is>
      </c>
      <c r="AH360" s="3" t="n"/>
      <c r="AI360" s="3" t="n"/>
      <c r="AJ360" s="3" t="n"/>
      <c r="AK360" s="3" t="n"/>
      <c r="AL360" s="3" t="inlineStr">
        <is>
          <t>FINAL</t>
        </is>
      </c>
      <c r="AM360" s="3" t="n"/>
      <c r="AN360" s="3" t="n"/>
    </row>
    <row r="361">
      <c r="A361" s="3" t="inlineStr">
        <is>
          <t>P0360</t>
        </is>
      </c>
      <c r="B361" s="3" t="n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n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n"/>
      <c r="S361" s="3" t="n"/>
      <c r="T361" s="3" t="n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n"/>
      <c r="AB361" s="3" t="inlineStr">
        <is>
          <t>6박</t>
        </is>
      </c>
      <c r="AC361" s="3" t="inlineStr">
        <is>
          <t>1</t>
        </is>
      </c>
      <c r="AD361" s="3" t="n"/>
      <c r="AE361" s="3" t="n"/>
      <c r="AF361" s="3" t="n"/>
      <c r="AG361" s="3" t="inlineStr">
        <is>
          <t>1</t>
        </is>
      </c>
      <c r="AH361" s="3" t="n"/>
      <c r="AI361" s="3" t="n"/>
      <c r="AJ361" s="3" t="n"/>
      <c r="AK361" s="3" t="n"/>
      <c r="AL361" s="3" t="inlineStr">
        <is>
          <t>FINAL</t>
        </is>
      </c>
      <c r="AM361" s="3" t="n"/>
      <c r="AN361" s="3" t="n"/>
    </row>
    <row r="362">
      <c r="A362" s="3" t="inlineStr">
        <is>
          <t>P0361</t>
        </is>
      </c>
      <c r="B362" s="3" t="n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n"/>
      <c r="S362" s="3" t="n"/>
      <c r="T362" s="3" t="n"/>
      <c r="U362" s="3" t="n"/>
      <c r="V362" s="3" t="n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n"/>
      <c r="AB362" s="3" t="inlineStr">
        <is>
          <t>4박</t>
        </is>
      </c>
      <c r="AC362" s="3" t="inlineStr">
        <is>
          <t>1</t>
        </is>
      </c>
      <c r="AD362" s="3" t="n"/>
      <c r="AE362" s="3" t="n"/>
      <c r="AF362" s="3" t="n"/>
      <c r="AG362" s="3" t="inlineStr">
        <is>
          <t>1</t>
        </is>
      </c>
      <c r="AH362" s="3" t="n"/>
      <c r="AI362" s="3" t="n"/>
      <c r="AJ362" s="3" t="n"/>
      <c r="AK362" s="3" t="n"/>
      <c r="AL362" s="3" t="inlineStr">
        <is>
          <t>FINAL</t>
        </is>
      </c>
      <c r="AM362" s="3" t="n"/>
      <c r="AN362" s="3" t="n"/>
    </row>
    <row r="363">
      <c r="A363" s="3" t="inlineStr">
        <is>
          <t>P0362</t>
        </is>
      </c>
      <c r="B363" s="3" t="n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n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n"/>
      <c r="S363" s="3" t="n"/>
      <c r="T363" s="3" t="n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n"/>
      <c r="AB363" s="3" t="inlineStr">
        <is>
          <t>6박</t>
        </is>
      </c>
      <c r="AC363" s="3" t="inlineStr">
        <is>
          <t>1</t>
        </is>
      </c>
      <c r="AD363" s="3" t="n"/>
      <c r="AE363" s="3" t="n"/>
      <c r="AF363" s="3" t="n"/>
      <c r="AG363" s="3" t="inlineStr">
        <is>
          <t>1</t>
        </is>
      </c>
      <c r="AH363" s="3" t="n"/>
      <c r="AI363" s="3" t="n"/>
      <c r="AJ363" s="3" t="n"/>
      <c r="AK363" s="3" t="n"/>
      <c r="AL363" s="3" t="inlineStr">
        <is>
          <t>FINAL</t>
        </is>
      </c>
      <c r="AM363" s="3" t="n"/>
      <c r="AN363" s="3" t="n"/>
    </row>
    <row r="364">
      <c r="A364" s="3" t="inlineStr">
        <is>
          <t>P0363</t>
        </is>
      </c>
      <c r="B364" s="3" t="n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n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n"/>
      <c r="S364" s="3" t="n"/>
      <c r="T364" s="3" t="n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n"/>
      <c r="AB364" s="3" t="inlineStr">
        <is>
          <t>6박</t>
        </is>
      </c>
      <c r="AC364" s="3" t="inlineStr">
        <is>
          <t>1</t>
        </is>
      </c>
      <c r="AD364" s="3" t="n"/>
      <c r="AE364" s="3" t="n"/>
      <c r="AF364" s="3" t="n"/>
      <c r="AG364" s="3" t="inlineStr">
        <is>
          <t>1</t>
        </is>
      </c>
      <c r="AH364" s="3" t="n"/>
      <c r="AI364" s="3" t="n"/>
      <c r="AJ364" s="3" t="n"/>
      <c r="AK364" s="3" t="n"/>
      <c r="AL364" s="3" t="inlineStr">
        <is>
          <t>FINAL</t>
        </is>
      </c>
      <c r="AM364" s="3" t="n"/>
      <c r="AN364" s="3" t="n"/>
    </row>
    <row r="365">
      <c r="A365" s="3" t="inlineStr">
        <is>
          <t>P0364</t>
        </is>
      </c>
      <c r="B365" s="3" t="n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n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n"/>
      <c r="S365" s="3" t="n"/>
      <c r="T365" s="3" t="n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n"/>
      <c r="AB365" s="3" t="inlineStr">
        <is>
          <t>6박</t>
        </is>
      </c>
      <c r="AC365" s="3" t="inlineStr">
        <is>
          <t>1</t>
        </is>
      </c>
      <c r="AD365" s="3" t="n"/>
      <c r="AE365" s="3" t="n"/>
      <c r="AF365" s="3" t="n"/>
      <c r="AG365" s="3" t="inlineStr">
        <is>
          <t>1</t>
        </is>
      </c>
      <c r="AH365" s="3" t="n"/>
      <c r="AI365" s="3" t="n"/>
      <c r="AJ365" s="3" t="n"/>
      <c r="AK365" s="3" t="n"/>
      <c r="AL365" s="3" t="inlineStr">
        <is>
          <t>FINAL</t>
        </is>
      </c>
      <c r="AM365" s="3" t="n"/>
      <c r="AN365" s="3" t="n"/>
    </row>
    <row r="366">
      <c r="A366" s="3" t="inlineStr">
        <is>
          <t>P0365</t>
        </is>
      </c>
      <c r="B366" s="3" t="n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n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n"/>
      <c r="S366" s="3" t="n"/>
      <c r="T366" s="3" t="n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n"/>
      <c r="AB366" s="3" t="inlineStr">
        <is>
          <t>6박</t>
        </is>
      </c>
      <c r="AC366" s="3" t="inlineStr">
        <is>
          <t>1</t>
        </is>
      </c>
      <c r="AD366" s="3" t="n"/>
      <c r="AE366" s="3" t="n"/>
      <c r="AF366" s="3" t="n"/>
      <c r="AG366" s="3" t="inlineStr">
        <is>
          <t>1</t>
        </is>
      </c>
      <c r="AH366" s="3" t="n"/>
      <c r="AI366" s="3" t="n"/>
      <c r="AJ366" s="3" t="n"/>
      <c r="AK366" s="3" t="n"/>
      <c r="AL366" s="3" t="inlineStr">
        <is>
          <t>FINAL</t>
        </is>
      </c>
      <c r="AM366" s="3" t="n"/>
      <c r="AN366" s="3" t="n"/>
    </row>
    <row r="367">
      <c r="A367" s="3" t="inlineStr">
        <is>
          <t>P0366</t>
        </is>
      </c>
      <c r="B367" s="3" t="n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n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n"/>
      <c r="S367" s="3" t="n"/>
      <c r="T367" s="3" t="n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n"/>
      <c r="AB367" s="3" t="inlineStr">
        <is>
          <t>6박</t>
        </is>
      </c>
      <c r="AC367" s="3" t="inlineStr">
        <is>
          <t>1</t>
        </is>
      </c>
      <c r="AD367" s="3" t="n"/>
      <c r="AE367" s="3" t="n"/>
      <c r="AF367" s="3" t="n"/>
      <c r="AG367" s="3" t="inlineStr">
        <is>
          <t>1</t>
        </is>
      </c>
      <c r="AH367" s="3" t="n"/>
      <c r="AI367" s="3" t="n"/>
      <c r="AJ367" s="3" t="n"/>
      <c r="AK367" s="3" t="n"/>
      <c r="AL367" s="3" t="inlineStr">
        <is>
          <t>FINAL</t>
        </is>
      </c>
      <c r="AM367" s="3" t="n"/>
      <c r="AN367" s="3" t="n"/>
    </row>
    <row r="368">
      <c r="A368" s="3" t="inlineStr">
        <is>
          <t>P0367</t>
        </is>
      </c>
      <c r="B368" s="3" t="n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n"/>
      <c r="S368" s="3" t="n"/>
      <c r="T368" s="3" t="n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n"/>
      <c r="AB368" s="3" t="inlineStr">
        <is>
          <t>6박</t>
        </is>
      </c>
      <c r="AC368" s="3" t="inlineStr">
        <is>
          <t>1</t>
        </is>
      </c>
      <c r="AD368" s="3" t="n"/>
      <c r="AE368" s="3" t="n"/>
      <c r="AF368" s="3" t="n"/>
      <c r="AG368" s="3" t="inlineStr">
        <is>
          <t>1</t>
        </is>
      </c>
      <c r="AH368" s="3" t="n"/>
      <c r="AI368" s="3" t="n"/>
      <c r="AJ368" s="3" t="n"/>
      <c r="AK368" s="3" t="n"/>
      <c r="AL368" s="3" t="inlineStr">
        <is>
          <t>FINAL</t>
        </is>
      </c>
      <c r="AM368" s="3" t="n"/>
      <c r="AN368" s="3" t="n"/>
    </row>
    <row r="369">
      <c r="A369" s="3" t="inlineStr">
        <is>
          <t>P0368</t>
        </is>
      </c>
      <c r="B369" s="3" t="n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n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n"/>
      <c r="S369" s="3" t="n"/>
      <c r="T369" s="3" t="n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n"/>
      <c r="AB369" s="3" t="inlineStr">
        <is>
          <t>6박</t>
        </is>
      </c>
      <c r="AC369" s="3" t="inlineStr">
        <is>
          <t>1</t>
        </is>
      </c>
      <c r="AD369" s="3" t="n"/>
      <c r="AE369" s="3" t="n"/>
      <c r="AF369" s="3" t="n"/>
      <c r="AG369" s="3" t="inlineStr">
        <is>
          <t>1</t>
        </is>
      </c>
      <c r="AH369" s="3" t="n"/>
      <c r="AI369" s="3" t="n"/>
      <c r="AJ369" s="3" t="n"/>
      <c r="AK369" s="3" t="n"/>
      <c r="AL369" s="3" t="inlineStr">
        <is>
          <t>FINAL</t>
        </is>
      </c>
      <c r="AM369" s="3" t="n"/>
      <c r="AN369" s="3" t="n"/>
    </row>
    <row r="370">
      <c r="A370" s="3" t="inlineStr">
        <is>
          <t>P0369</t>
        </is>
      </c>
      <c r="B370" s="3" t="n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n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n"/>
      <c r="S370" s="3" t="n"/>
      <c r="T370" s="3" t="n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n"/>
      <c r="AB370" s="3" t="inlineStr">
        <is>
          <t>6박</t>
        </is>
      </c>
      <c r="AC370" s="3" t="inlineStr">
        <is>
          <t>1</t>
        </is>
      </c>
      <c r="AD370" s="3" t="n"/>
      <c r="AE370" s="3" t="n"/>
      <c r="AF370" s="3" t="n"/>
      <c r="AG370" s="3" t="inlineStr">
        <is>
          <t>1</t>
        </is>
      </c>
      <c r="AH370" s="3" t="n"/>
      <c r="AI370" s="3" t="n"/>
      <c r="AJ370" s="3" t="n"/>
      <c r="AK370" s="3" t="n"/>
      <c r="AL370" s="3" t="inlineStr">
        <is>
          <t>FINAL</t>
        </is>
      </c>
      <c r="AM370" s="3" t="n"/>
      <c r="AN370" s="3" t="n"/>
    </row>
    <row r="371">
      <c r="A371" s="3" t="inlineStr">
        <is>
          <t>P0370</t>
        </is>
      </c>
      <c r="B371" s="3" t="n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n"/>
      <c r="S371" s="3" t="n"/>
      <c r="T371" s="3" t="n"/>
      <c r="U371" s="3" t="n"/>
      <c r="V371" s="3" t="n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n"/>
      <c r="AB371" s="3" t="inlineStr">
        <is>
          <t>4박</t>
        </is>
      </c>
      <c r="AC371" s="3" t="inlineStr">
        <is>
          <t>1</t>
        </is>
      </c>
      <c r="AD371" s="3" t="n"/>
      <c r="AE371" s="3" t="n"/>
      <c r="AF371" s="3" t="n"/>
      <c r="AG371" s="3" t="inlineStr">
        <is>
          <t>1</t>
        </is>
      </c>
      <c r="AH371" s="3" t="n"/>
      <c r="AI371" s="3" t="n"/>
      <c r="AJ371" s="3" t="n"/>
      <c r="AK371" s="3" t="n"/>
      <c r="AL371" s="3" t="inlineStr">
        <is>
          <t>FINAL</t>
        </is>
      </c>
      <c r="AM371" s="3" t="n"/>
      <c r="AN371" s="3" t="n"/>
    </row>
    <row r="372">
      <c r="A372" s="3" t="inlineStr">
        <is>
          <t>P0371</t>
        </is>
      </c>
      <c r="B372" s="3" t="n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n"/>
      <c r="S372" s="3" t="n"/>
      <c r="T372" s="3" t="n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n"/>
      <c r="AB372" s="3" t="inlineStr">
        <is>
          <t>6박</t>
        </is>
      </c>
      <c r="AC372" s="3" t="inlineStr">
        <is>
          <t>1</t>
        </is>
      </c>
      <c r="AD372" s="3" t="n"/>
      <c r="AE372" s="3" t="n"/>
      <c r="AF372" s="3" t="n"/>
      <c r="AG372" s="3" t="inlineStr">
        <is>
          <t>1</t>
        </is>
      </c>
      <c r="AH372" s="3" t="n"/>
      <c r="AI372" s="3" t="n"/>
      <c r="AJ372" s="3" t="n"/>
      <c r="AK372" s="3" t="n"/>
      <c r="AL372" s="3" t="inlineStr">
        <is>
          <t>FINAL</t>
        </is>
      </c>
      <c r="AM372" s="3" t="n"/>
      <c r="AN372" s="3" t="n"/>
    </row>
    <row r="373">
      <c r="A373" s="3" t="inlineStr">
        <is>
          <t>P0372</t>
        </is>
      </c>
      <c r="B373" s="3" t="n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n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n"/>
      <c r="S373" s="3" t="n"/>
      <c r="T373" s="3" t="n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n"/>
      <c r="AB373" s="3" t="inlineStr">
        <is>
          <t>6박</t>
        </is>
      </c>
      <c r="AC373" s="3" t="inlineStr">
        <is>
          <t>1</t>
        </is>
      </c>
      <c r="AD373" s="3" t="n"/>
      <c r="AE373" s="3" t="n"/>
      <c r="AF373" s="3" t="n"/>
      <c r="AG373" s="3" t="inlineStr">
        <is>
          <t>1</t>
        </is>
      </c>
      <c r="AH373" s="3" t="n"/>
      <c r="AI373" s="3" t="n"/>
      <c r="AJ373" s="3" t="n"/>
      <c r="AK373" s="3" t="n"/>
      <c r="AL373" s="3" t="inlineStr">
        <is>
          <t>FINAL</t>
        </is>
      </c>
      <c r="AM373" s="3" t="n"/>
      <c r="AN373" s="3" t="n"/>
    </row>
    <row r="374">
      <c r="A374" s="3" t="inlineStr">
        <is>
          <t>P0373</t>
        </is>
      </c>
      <c r="B374" s="3" t="n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n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n"/>
      <c r="S374" s="3" t="n"/>
      <c r="T374" s="3" t="n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n"/>
      <c r="AB374" s="3" t="inlineStr">
        <is>
          <t>6박</t>
        </is>
      </c>
      <c r="AC374" s="3" t="inlineStr">
        <is>
          <t>1</t>
        </is>
      </c>
      <c r="AD374" s="3" t="n"/>
      <c r="AE374" s="3" t="n"/>
      <c r="AF374" s="3" t="n"/>
      <c r="AG374" s="3" t="inlineStr">
        <is>
          <t>1</t>
        </is>
      </c>
      <c r="AH374" s="3" t="n"/>
      <c r="AI374" s="3" t="n"/>
      <c r="AJ374" s="3" t="n"/>
      <c r="AK374" s="3" t="n"/>
      <c r="AL374" s="3" t="inlineStr">
        <is>
          <t>FINAL</t>
        </is>
      </c>
      <c r="AM374" s="3" t="n"/>
      <c r="AN374" s="3" t="n"/>
    </row>
    <row r="375">
      <c r="A375" s="3" t="inlineStr">
        <is>
          <t>P0374</t>
        </is>
      </c>
      <c r="B375" s="3" t="n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n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n"/>
      <c r="S375" s="3" t="n"/>
      <c r="T375" s="3" t="n"/>
      <c r="U375" s="3" t="n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n"/>
      <c r="AB375" s="3" t="inlineStr">
        <is>
          <t>5박</t>
        </is>
      </c>
      <c r="AC375" s="3" t="inlineStr">
        <is>
          <t>1</t>
        </is>
      </c>
      <c r="AD375" s="3" t="n"/>
      <c r="AE375" s="3" t="n"/>
      <c r="AF375" s="3" t="n"/>
      <c r="AG375" s="3" t="inlineStr">
        <is>
          <t>1</t>
        </is>
      </c>
      <c r="AH375" s="3" t="n"/>
      <c r="AI375" s="3" t="n"/>
      <c r="AJ375" s="3" t="n"/>
      <c r="AK375" s="3" t="n"/>
      <c r="AL375" s="3" t="inlineStr">
        <is>
          <t>FINAL</t>
        </is>
      </c>
      <c r="AM375" s="3" t="n"/>
      <c r="AN375" s="3" t="n"/>
    </row>
    <row r="376">
      <c r="A376" s="3" t="inlineStr">
        <is>
          <t>P0375</t>
        </is>
      </c>
      <c r="B376" s="3" t="n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n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n"/>
      <c r="S376" s="3" t="n"/>
      <c r="T376" s="3" t="n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n"/>
      <c r="AB376" s="3" t="inlineStr">
        <is>
          <t>6박</t>
        </is>
      </c>
      <c r="AC376" s="3" t="inlineStr">
        <is>
          <t>1</t>
        </is>
      </c>
      <c r="AD376" s="3" t="n"/>
      <c r="AE376" s="3" t="n"/>
      <c r="AF376" s="3" t="n"/>
      <c r="AG376" s="3" t="inlineStr">
        <is>
          <t>1</t>
        </is>
      </c>
      <c r="AH376" s="3" t="n"/>
      <c r="AI376" s="3" t="n"/>
      <c r="AJ376" s="3" t="n"/>
      <c r="AK376" s="3" t="n"/>
      <c r="AL376" s="3" t="inlineStr">
        <is>
          <t>FINAL</t>
        </is>
      </c>
      <c r="AM376" s="3" t="n"/>
      <c r="AN376" s="3" t="n"/>
    </row>
    <row r="377">
      <c r="A377" s="3" t="inlineStr">
        <is>
          <t>P0376</t>
        </is>
      </c>
      <c r="B377" s="3" t="n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n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n"/>
      <c r="S377" s="3" t="n"/>
      <c r="T377" s="3" t="n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n"/>
      <c r="AB377" s="3" t="inlineStr">
        <is>
          <t>6박</t>
        </is>
      </c>
      <c r="AC377" s="3" t="inlineStr">
        <is>
          <t>1</t>
        </is>
      </c>
      <c r="AD377" s="3" t="n"/>
      <c r="AE377" s="3" t="n"/>
      <c r="AF377" s="3" t="n"/>
      <c r="AG377" s="3" t="inlineStr">
        <is>
          <t>1</t>
        </is>
      </c>
      <c r="AH377" s="3" t="n"/>
      <c r="AI377" s="3" t="n"/>
      <c r="AJ377" s="3" t="n"/>
      <c r="AK377" s="3" t="n"/>
      <c r="AL377" s="3" t="inlineStr">
        <is>
          <t>FINAL</t>
        </is>
      </c>
      <c r="AM377" s="3" t="n"/>
      <c r="AN377" s="3" t="n"/>
    </row>
    <row r="378">
      <c r="A378" s="3" t="inlineStr">
        <is>
          <t>P0377</t>
        </is>
      </c>
      <c r="B378" s="3" t="n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n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n"/>
      <c r="S378" s="3" t="n"/>
      <c r="T378" s="3" t="n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n"/>
      <c r="AB378" s="3" t="inlineStr">
        <is>
          <t>6박</t>
        </is>
      </c>
      <c r="AC378" s="3" t="inlineStr">
        <is>
          <t>1</t>
        </is>
      </c>
      <c r="AD378" s="3" t="n"/>
      <c r="AE378" s="3" t="n"/>
      <c r="AF378" s="3" t="n"/>
      <c r="AG378" s="3" t="inlineStr">
        <is>
          <t>1</t>
        </is>
      </c>
      <c r="AH378" s="3" t="n"/>
      <c r="AI378" s="3" t="n"/>
      <c r="AJ378" s="3" t="n"/>
      <c r="AK378" s="3" t="n"/>
      <c r="AL378" s="3" t="inlineStr">
        <is>
          <t>FINAL</t>
        </is>
      </c>
      <c r="AM378" s="3" t="n"/>
      <c r="AN378" s="3" t="n"/>
    </row>
    <row r="379">
      <c r="A379" s="3" t="inlineStr">
        <is>
          <t>P0378</t>
        </is>
      </c>
      <c r="B379" s="3" t="n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n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n"/>
      <c r="S379" s="3" t="n"/>
      <c r="T379" s="3" t="n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n"/>
      <c r="AB379" s="3" t="inlineStr">
        <is>
          <t>6박</t>
        </is>
      </c>
      <c r="AC379" s="3" t="inlineStr">
        <is>
          <t>1</t>
        </is>
      </c>
      <c r="AD379" s="3" t="n"/>
      <c r="AE379" s="3" t="n"/>
      <c r="AF379" s="3" t="n"/>
      <c r="AG379" s="3" t="inlineStr">
        <is>
          <t>1</t>
        </is>
      </c>
      <c r="AH379" s="3" t="n"/>
      <c r="AI379" s="3" t="n"/>
      <c r="AJ379" s="3" t="n"/>
      <c r="AK379" s="3" t="n"/>
      <c r="AL379" s="3" t="inlineStr">
        <is>
          <t>FINAL</t>
        </is>
      </c>
      <c r="AM379" s="3" t="n"/>
      <c r="AN379" s="3" t="n"/>
    </row>
    <row r="380">
      <c r="A380" s="3" t="inlineStr">
        <is>
          <t>P0379</t>
        </is>
      </c>
      <c r="B380" s="3" t="n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n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n"/>
      <c r="S380" s="3" t="n"/>
      <c r="T380" s="3" t="n"/>
      <c r="U380" s="3" t="inlineStr">
        <is>
          <t>✓</t>
        </is>
      </c>
      <c r="V380" s="3" t="n"/>
      <c r="W380" s="3" t="n"/>
      <c r="X380" s="3" t="n"/>
      <c r="Y380" s="3" t="n"/>
      <c r="Z380" s="3" t="n"/>
      <c r="AA380" s="3" t="n"/>
      <c r="AB380" s="3" t="inlineStr">
        <is>
          <t>1박</t>
        </is>
      </c>
      <c r="AC380" s="3" t="inlineStr">
        <is>
          <t>1</t>
        </is>
      </c>
      <c r="AD380" s="3" t="n"/>
      <c r="AE380" s="3" t="n"/>
      <c r="AF380" s="3" t="n"/>
      <c r="AG380" s="3" t="inlineStr">
        <is>
          <t>1</t>
        </is>
      </c>
      <c r="AH380" s="3" t="n"/>
      <c r="AI380" s="3" t="n"/>
      <c r="AJ380" s="3" t="n"/>
      <c r="AK380" s="3" t="n"/>
      <c r="AL380" s="3" t="inlineStr">
        <is>
          <t>FINAL</t>
        </is>
      </c>
      <c r="AM380" s="3" t="n"/>
      <c r="AN380" s="3" t="n"/>
    </row>
    <row r="381">
      <c r="A381" s="3" t="inlineStr">
        <is>
          <t>P0380</t>
        </is>
      </c>
      <c r="B381" s="3" t="n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n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n"/>
      <c r="S381" s="3" t="n"/>
      <c r="T381" s="3" t="n"/>
      <c r="U381" s="3" t="n"/>
      <c r="V381" s="3" t="n"/>
      <c r="W381" s="3" t="n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n"/>
      <c r="AB381" s="3" t="inlineStr">
        <is>
          <t>3박</t>
        </is>
      </c>
      <c r="AC381" s="3" t="inlineStr">
        <is>
          <t>1</t>
        </is>
      </c>
      <c r="AD381" s="3" t="n"/>
      <c r="AE381" s="3" t="n"/>
      <c r="AF381" s="3" t="n"/>
      <c r="AG381" s="3" t="inlineStr">
        <is>
          <t>1</t>
        </is>
      </c>
      <c r="AH381" s="3" t="n"/>
      <c r="AI381" s="3" t="n"/>
      <c r="AJ381" s="3" t="n"/>
      <c r="AK381" s="3" t="n"/>
      <c r="AL381" s="3" t="inlineStr">
        <is>
          <t>FINAL</t>
        </is>
      </c>
      <c r="AM381" s="3" t="n"/>
      <c r="AN381" s="3" t="n"/>
    </row>
    <row r="382">
      <c r="A382" s="3" t="inlineStr">
        <is>
          <t>P0381</t>
        </is>
      </c>
      <c r="B382" s="3" t="n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n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n"/>
      <c r="S382" s="3" t="n"/>
      <c r="T382" s="3" t="n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n"/>
      <c r="AB382" s="3" t="inlineStr">
        <is>
          <t>6박</t>
        </is>
      </c>
      <c r="AC382" s="3" t="inlineStr">
        <is>
          <t>1</t>
        </is>
      </c>
      <c r="AD382" s="3" t="n"/>
      <c r="AE382" s="3" t="n"/>
      <c r="AF382" s="3" t="n"/>
      <c r="AG382" s="3" t="inlineStr">
        <is>
          <t>1</t>
        </is>
      </c>
      <c r="AH382" s="3" t="n"/>
      <c r="AI382" s="3" t="n"/>
      <c r="AJ382" s="3" t="n"/>
      <c r="AK382" s="3" t="n"/>
      <c r="AL382" s="3" t="inlineStr">
        <is>
          <t>FINAL</t>
        </is>
      </c>
      <c r="AM382" s="3" t="n"/>
      <c r="AN382" s="3" t="n"/>
    </row>
    <row r="383">
      <c r="A383" s="3" t="inlineStr">
        <is>
          <t>P0382</t>
        </is>
      </c>
      <c r="B383" s="3" t="n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n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n"/>
      <c r="S383" s="3" t="n"/>
      <c r="T383" s="3" t="n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n"/>
      <c r="AB383" s="3" t="inlineStr">
        <is>
          <t>6박</t>
        </is>
      </c>
      <c r="AC383" s="3" t="inlineStr">
        <is>
          <t>1</t>
        </is>
      </c>
      <c r="AD383" s="3" t="n"/>
      <c r="AE383" s="3" t="n"/>
      <c r="AF383" s="3" t="n"/>
      <c r="AG383" s="3" t="inlineStr">
        <is>
          <t>1</t>
        </is>
      </c>
      <c r="AH383" s="3" t="n"/>
      <c r="AI383" s="3" t="n"/>
      <c r="AJ383" s="3" t="n"/>
      <c r="AK383" s="3" t="n"/>
      <c r="AL383" s="3" t="inlineStr">
        <is>
          <t>FINAL</t>
        </is>
      </c>
      <c r="AM383" s="3" t="n"/>
      <c r="AN383" s="3" t="n"/>
    </row>
    <row r="384">
      <c r="A384" s="3" t="inlineStr">
        <is>
          <t>P0383</t>
        </is>
      </c>
      <c r="B384" s="3" t="n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n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n"/>
      <c r="S384" s="3" t="n"/>
      <c r="T384" s="3" t="n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n"/>
      <c r="AB384" s="3" t="inlineStr">
        <is>
          <t>6박</t>
        </is>
      </c>
      <c r="AC384" s="3" t="inlineStr">
        <is>
          <t>1</t>
        </is>
      </c>
      <c r="AD384" s="3" t="n"/>
      <c r="AE384" s="3" t="n"/>
      <c r="AF384" s="3" t="n"/>
      <c r="AG384" s="3" t="inlineStr">
        <is>
          <t>1</t>
        </is>
      </c>
      <c r="AH384" s="3" t="n"/>
      <c r="AI384" s="3" t="n"/>
      <c r="AJ384" s="3" t="n"/>
      <c r="AK384" s="3" t="n"/>
      <c r="AL384" s="3" t="inlineStr">
        <is>
          <t>FINAL</t>
        </is>
      </c>
      <c r="AM384" s="3" t="n"/>
      <c r="AN384" s="3" t="n"/>
    </row>
    <row r="385">
      <c r="A385" s="3" t="inlineStr">
        <is>
          <t>P0384</t>
        </is>
      </c>
      <c r="B385" s="3" t="n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n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n"/>
      <c r="S385" s="3" t="n"/>
      <c r="T385" s="3" t="n"/>
      <c r="U385" s="3" t="inlineStr">
        <is>
          <t>✓</t>
        </is>
      </c>
      <c r="V385" s="3" t="n"/>
      <c r="W385" s="3" t="n"/>
      <c r="X385" s="3" t="n"/>
      <c r="Y385" s="3" t="n"/>
      <c r="Z385" s="3" t="inlineStr">
        <is>
          <t>✓</t>
        </is>
      </c>
      <c r="AA385" s="3" t="n"/>
      <c r="AB385" s="3" t="inlineStr">
        <is>
          <t>2박</t>
        </is>
      </c>
      <c r="AC385" s="3" t="inlineStr">
        <is>
          <t>1</t>
        </is>
      </c>
      <c r="AD385" s="3" t="n"/>
      <c r="AE385" s="3" t="n"/>
      <c r="AF385" s="3" t="n"/>
      <c r="AG385" s="3" t="inlineStr">
        <is>
          <t>1</t>
        </is>
      </c>
      <c r="AH385" s="3" t="n"/>
      <c r="AI385" s="3" t="n"/>
      <c r="AJ385" s="3" t="n"/>
      <c r="AK385" s="3" t="n"/>
      <c r="AL385" s="3" t="inlineStr">
        <is>
          <t>FINAL</t>
        </is>
      </c>
      <c r="AM385" s="3" t="n"/>
      <c r="AN385" s="3" t="n"/>
    </row>
    <row r="386">
      <c r="A386" s="3" t="inlineStr">
        <is>
          <t>P0385</t>
        </is>
      </c>
      <c r="B386" s="3" t="n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n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n"/>
      <c r="S386" s="3" t="n"/>
      <c r="T386" s="3" t="n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n"/>
      <c r="AB386" s="3" t="inlineStr">
        <is>
          <t>6박</t>
        </is>
      </c>
      <c r="AC386" s="3" t="inlineStr">
        <is>
          <t>1</t>
        </is>
      </c>
      <c r="AD386" s="3" t="n"/>
      <c r="AE386" s="3" t="n"/>
      <c r="AF386" s="3" t="n"/>
      <c r="AG386" s="3" t="inlineStr">
        <is>
          <t>1</t>
        </is>
      </c>
      <c r="AH386" s="3" t="n"/>
      <c r="AI386" s="3" t="n"/>
      <c r="AJ386" s="3" t="n"/>
      <c r="AK386" s="3" t="n"/>
      <c r="AL386" s="3" t="inlineStr">
        <is>
          <t>FINAL</t>
        </is>
      </c>
      <c r="AM386" s="3" t="n"/>
      <c r="AN386" s="3" t="n"/>
    </row>
    <row r="387">
      <c r="A387" s="3" t="inlineStr">
        <is>
          <t>P0386</t>
        </is>
      </c>
      <c r="B387" s="3" t="n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n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n"/>
      <c r="S387" s="3" t="n"/>
      <c r="T387" s="3" t="n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n"/>
      <c r="AB387" s="3" t="inlineStr">
        <is>
          <t>6박</t>
        </is>
      </c>
      <c r="AC387" s="3" t="inlineStr">
        <is>
          <t>1</t>
        </is>
      </c>
      <c r="AD387" s="3" t="n"/>
      <c r="AE387" s="3" t="n"/>
      <c r="AF387" s="3" t="n"/>
      <c r="AG387" s="3" t="inlineStr">
        <is>
          <t>1</t>
        </is>
      </c>
      <c r="AH387" s="3" t="n"/>
      <c r="AI387" s="3" t="n"/>
      <c r="AJ387" s="3" t="n"/>
      <c r="AK387" s="3" t="n"/>
      <c r="AL387" s="3" t="inlineStr">
        <is>
          <t>FINAL</t>
        </is>
      </c>
      <c r="AM387" s="3" t="n"/>
      <c r="AN387" s="3" t="n"/>
    </row>
    <row r="388">
      <c r="A388" s="3" t="inlineStr">
        <is>
          <t>P0387</t>
        </is>
      </c>
      <c r="B388" s="3" t="n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n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n"/>
      <c r="S388" s="3" t="n"/>
      <c r="T388" s="3" t="n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n"/>
      <c r="AB388" s="3" t="inlineStr">
        <is>
          <t>6박</t>
        </is>
      </c>
      <c r="AC388" s="3" t="inlineStr">
        <is>
          <t>1</t>
        </is>
      </c>
      <c r="AD388" s="3" t="n"/>
      <c r="AE388" s="3" t="n"/>
      <c r="AF388" s="3" t="n"/>
      <c r="AG388" s="3" t="inlineStr">
        <is>
          <t>1</t>
        </is>
      </c>
      <c r="AH388" s="3" t="n"/>
      <c r="AI388" s="3" t="n"/>
      <c r="AJ388" s="3" t="n"/>
      <c r="AK388" s="3" t="n"/>
      <c r="AL388" s="3" t="inlineStr">
        <is>
          <t>FINAL</t>
        </is>
      </c>
      <c r="AM388" s="3" t="n"/>
      <c r="AN388" s="3" t="n"/>
    </row>
    <row r="389">
      <c r="A389" s="3" t="inlineStr">
        <is>
          <t>P0388</t>
        </is>
      </c>
      <c r="B389" s="3" t="n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n"/>
      <c r="S389" s="3" t="n"/>
      <c r="T389" s="3" t="n"/>
      <c r="U389" s="3" t="n"/>
      <c r="V389" s="3" t="n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n"/>
      <c r="AB389" s="3" t="inlineStr">
        <is>
          <t>4박</t>
        </is>
      </c>
      <c r="AC389" s="3" t="inlineStr">
        <is>
          <t>1</t>
        </is>
      </c>
      <c r="AD389" s="3" t="n"/>
      <c r="AE389" s="3" t="n"/>
      <c r="AF389" s="3" t="n"/>
      <c r="AG389" s="3" t="inlineStr">
        <is>
          <t>1</t>
        </is>
      </c>
      <c r="AH389" s="3" t="n"/>
      <c r="AI389" s="3" t="n"/>
      <c r="AJ389" s="3" t="n"/>
      <c r="AK389" s="3" t="n"/>
      <c r="AL389" s="3" t="inlineStr">
        <is>
          <t>FINAL</t>
        </is>
      </c>
      <c r="AM389" s="3" t="inlineStr">
        <is>
          <t>한글이름 확인</t>
        </is>
      </c>
      <c r="AN389" s="3" t="n"/>
    </row>
    <row r="390">
      <c r="A390" s="3" t="inlineStr">
        <is>
          <t>P0389</t>
        </is>
      </c>
      <c r="B390" s="3" t="n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n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n"/>
      <c r="S390" s="3" t="n"/>
      <c r="T390" s="3" t="n"/>
      <c r="U390" s="3" t="n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n"/>
      <c r="AB390" s="3" t="inlineStr">
        <is>
          <t>5박</t>
        </is>
      </c>
      <c r="AC390" s="3" t="inlineStr">
        <is>
          <t>1</t>
        </is>
      </c>
      <c r="AD390" s="3" t="n"/>
      <c r="AE390" s="3" t="n"/>
      <c r="AF390" s="3" t="n"/>
      <c r="AG390" s="3" t="inlineStr">
        <is>
          <t>1</t>
        </is>
      </c>
      <c r="AH390" s="3" t="n"/>
      <c r="AI390" s="3" t="n"/>
      <c r="AJ390" s="3" t="n"/>
      <c r="AK390" s="3" t="n"/>
      <c r="AL390" s="3" t="inlineStr">
        <is>
          <t>FINAL</t>
        </is>
      </c>
      <c r="AM390" s="3" t="n"/>
      <c r="AN390" s="3" t="n"/>
    </row>
    <row r="391">
      <c r="A391" s="3" t="inlineStr">
        <is>
          <t>P0390</t>
        </is>
      </c>
      <c r="B391" s="3" t="n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n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n"/>
      <c r="S391" s="3" t="n"/>
      <c r="T391" s="3" t="n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n"/>
      <c r="AB391" s="3" t="inlineStr">
        <is>
          <t>6박</t>
        </is>
      </c>
      <c r="AC391" s="3" t="inlineStr">
        <is>
          <t>1</t>
        </is>
      </c>
      <c r="AD391" s="3" t="n"/>
      <c r="AE391" s="3" t="n"/>
      <c r="AF391" s="3" t="n"/>
      <c r="AG391" s="3" t="inlineStr">
        <is>
          <t>1</t>
        </is>
      </c>
      <c r="AH391" s="3" t="n"/>
      <c r="AI391" s="3" t="n"/>
      <c r="AJ391" s="3" t="n"/>
      <c r="AK391" s="3" t="n"/>
      <c r="AL391" s="3" t="inlineStr">
        <is>
          <t>FINAL</t>
        </is>
      </c>
      <c r="AM391" s="3" t="n"/>
      <c r="AN391" s="3" t="n"/>
    </row>
    <row r="392">
      <c r="A392" s="3" t="inlineStr">
        <is>
          <t>P0391</t>
        </is>
      </c>
      <c r="B392" s="3" t="n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n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n"/>
      <c r="S392" s="3" t="n"/>
      <c r="T392" s="3" t="n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n"/>
      <c r="AB392" s="3" t="inlineStr">
        <is>
          <t>6박</t>
        </is>
      </c>
      <c r="AC392" s="3" t="inlineStr">
        <is>
          <t>1</t>
        </is>
      </c>
      <c r="AD392" s="3" t="n"/>
      <c r="AE392" s="3" t="n"/>
      <c r="AF392" s="3" t="n"/>
      <c r="AG392" s="3" t="inlineStr">
        <is>
          <t>1</t>
        </is>
      </c>
      <c r="AH392" s="3" t="n"/>
      <c r="AI392" s="3" t="n"/>
      <c r="AJ392" s="3" t="n"/>
      <c r="AK392" s="3" t="n"/>
      <c r="AL392" s="3" t="inlineStr">
        <is>
          <t>FINAL</t>
        </is>
      </c>
      <c r="AM392" s="3" t="n"/>
      <c r="AN392" s="3" t="n"/>
    </row>
    <row r="393">
      <c r="A393" s="3" t="inlineStr">
        <is>
          <t>P0392</t>
        </is>
      </c>
      <c r="B393" s="3" t="n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n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n"/>
      <c r="S393" s="3" t="n"/>
      <c r="T393" s="3" t="n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n"/>
      <c r="AB393" s="3" t="inlineStr">
        <is>
          <t>6박</t>
        </is>
      </c>
      <c r="AC393" s="3" t="inlineStr">
        <is>
          <t>1</t>
        </is>
      </c>
      <c r="AD393" s="3" t="n"/>
      <c r="AE393" s="3" t="n"/>
      <c r="AF393" s="3" t="n"/>
      <c r="AG393" s="3" t="inlineStr">
        <is>
          <t>1</t>
        </is>
      </c>
      <c r="AH393" s="3" t="n"/>
      <c r="AI393" s="3" t="n"/>
      <c r="AJ393" s="3" t="n"/>
      <c r="AK393" s="3" t="n"/>
      <c r="AL393" s="3" t="inlineStr">
        <is>
          <t>FINAL</t>
        </is>
      </c>
      <c r="AM393" s="3" t="n"/>
      <c r="AN393" s="3" t="n"/>
    </row>
    <row r="394">
      <c r="A394" s="3" t="inlineStr">
        <is>
          <t>P0393</t>
        </is>
      </c>
      <c r="B394" s="3" t="n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n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n"/>
      <c r="S394" s="3" t="n"/>
      <c r="T394" s="3" t="n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n"/>
      <c r="AB394" s="3" t="inlineStr">
        <is>
          <t>6박</t>
        </is>
      </c>
      <c r="AC394" s="3" t="inlineStr">
        <is>
          <t>1</t>
        </is>
      </c>
      <c r="AD394" s="3" t="n"/>
      <c r="AE394" s="3" t="n"/>
      <c r="AF394" s="3" t="n"/>
      <c r="AG394" s="3" t="inlineStr">
        <is>
          <t>1</t>
        </is>
      </c>
      <c r="AH394" s="3" t="n"/>
      <c r="AI394" s="3" t="n"/>
      <c r="AJ394" s="3" t="n"/>
      <c r="AK394" s="3" t="n"/>
      <c r="AL394" s="3" t="inlineStr">
        <is>
          <t>FINAL</t>
        </is>
      </c>
      <c r="AM394" s="3" t="n"/>
      <c r="AN394" s="3" t="n"/>
    </row>
    <row r="395">
      <c r="A395" s="3" t="inlineStr">
        <is>
          <t>P0394</t>
        </is>
      </c>
      <c r="B395" s="3" t="n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n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n"/>
      <c r="S395" s="3" t="n"/>
      <c r="T395" s="3" t="n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n"/>
      <c r="AB395" s="3" t="inlineStr">
        <is>
          <t>6박</t>
        </is>
      </c>
      <c r="AC395" s="3" t="inlineStr">
        <is>
          <t>1</t>
        </is>
      </c>
      <c r="AD395" s="3" t="n"/>
      <c r="AE395" s="3" t="n"/>
      <c r="AF395" s="3" t="n"/>
      <c r="AG395" s="3" t="inlineStr">
        <is>
          <t>1</t>
        </is>
      </c>
      <c r="AH395" s="3" t="n"/>
      <c r="AI395" s="3" t="n"/>
      <c r="AJ395" s="3" t="n"/>
      <c r="AK395" s="3" t="n"/>
      <c r="AL395" s="3" t="inlineStr">
        <is>
          <t>FINAL</t>
        </is>
      </c>
      <c r="AM395" s="3" t="n"/>
      <c r="AN395" s="3" t="n"/>
    </row>
    <row r="396">
      <c r="A396" s="3" t="inlineStr">
        <is>
          <t>P0395</t>
        </is>
      </c>
      <c r="B396" s="3" t="n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n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n"/>
      <c r="S396" s="3" t="n"/>
      <c r="T396" s="3" t="n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n"/>
      <c r="AB396" s="3" t="inlineStr">
        <is>
          <t>6박</t>
        </is>
      </c>
      <c r="AC396" s="3" t="inlineStr">
        <is>
          <t>1</t>
        </is>
      </c>
      <c r="AD396" s="3" t="n"/>
      <c r="AE396" s="3" t="n"/>
      <c r="AF396" s="3" t="n"/>
      <c r="AG396" s="3" t="inlineStr">
        <is>
          <t>1</t>
        </is>
      </c>
      <c r="AH396" s="3" t="n"/>
      <c r="AI396" s="3" t="n"/>
      <c r="AJ396" s="3" t="n"/>
      <c r="AK396" s="3" t="n"/>
      <c r="AL396" s="3" t="inlineStr">
        <is>
          <t>FINAL</t>
        </is>
      </c>
      <c r="AM396" s="3" t="n"/>
      <c r="AN396" s="3" t="n"/>
    </row>
    <row r="397">
      <c r="A397" s="3" t="inlineStr">
        <is>
          <t>P0396</t>
        </is>
      </c>
      <c r="B397" s="3" t="n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n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n"/>
      <c r="S397" s="3" t="n"/>
      <c r="T397" s="3" t="n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n"/>
      <c r="AB397" s="3" t="inlineStr">
        <is>
          <t>6박</t>
        </is>
      </c>
      <c r="AC397" s="3" t="inlineStr">
        <is>
          <t>1</t>
        </is>
      </c>
      <c r="AD397" s="3" t="n"/>
      <c r="AE397" s="3" t="n"/>
      <c r="AF397" s="3" t="n"/>
      <c r="AG397" s="3" t="inlineStr">
        <is>
          <t>1</t>
        </is>
      </c>
      <c r="AH397" s="3" t="n"/>
      <c r="AI397" s="3" t="n"/>
      <c r="AJ397" s="3" t="n"/>
      <c r="AK397" s="3" t="n"/>
      <c r="AL397" s="3" t="inlineStr">
        <is>
          <t>FINAL</t>
        </is>
      </c>
      <c r="AM397" s="3" t="n"/>
      <c r="AN397" s="3" t="n"/>
    </row>
    <row r="398">
      <c r="A398" s="3" t="inlineStr">
        <is>
          <t>P0397</t>
        </is>
      </c>
      <c r="B398" s="3" t="n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n"/>
      <c r="S398" s="3" t="n"/>
      <c r="T398" s="3" t="n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n"/>
      <c r="AB398" s="3" t="inlineStr">
        <is>
          <t>6박</t>
        </is>
      </c>
      <c r="AC398" s="3" t="inlineStr">
        <is>
          <t>1</t>
        </is>
      </c>
      <c r="AD398" s="3" t="n"/>
      <c r="AE398" s="3" t="n"/>
      <c r="AF398" s="3" t="n"/>
      <c r="AG398" s="3" t="inlineStr">
        <is>
          <t>1</t>
        </is>
      </c>
      <c r="AH398" s="3" t="n"/>
      <c r="AI398" s="3" t="n"/>
      <c r="AJ398" s="3" t="n"/>
      <c r="AK398" s="3" t="n"/>
      <c r="AL398" s="3" t="inlineStr">
        <is>
          <t>FINAL</t>
        </is>
      </c>
      <c r="AM398" s="3" t="n"/>
      <c r="AN398" s="3" t="n"/>
    </row>
    <row r="399">
      <c r="A399" s="3" t="inlineStr">
        <is>
          <t>P0398</t>
        </is>
      </c>
      <c r="B399" s="3" t="n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n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n"/>
      <c r="S399" s="3" t="n"/>
      <c r="T399" s="3" t="n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n"/>
      <c r="AB399" s="3" t="inlineStr">
        <is>
          <t>6박</t>
        </is>
      </c>
      <c r="AC399" s="3" t="inlineStr">
        <is>
          <t>1</t>
        </is>
      </c>
      <c r="AD399" s="3" t="n"/>
      <c r="AE399" s="3" t="n"/>
      <c r="AF399" s="3" t="n"/>
      <c r="AG399" s="3" t="inlineStr">
        <is>
          <t>1</t>
        </is>
      </c>
      <c r="AH399" s="3" t="n"/>
      <c r="AI399" s="3" t="n"/>
      <c r="AJ399" s="3" t="n"/>
      <c r="AK399" s="3" t="n"/>
      <c r="AL399" s="3" t="inlineStr">
        <is>
          <t>FINAL</t>
        </is>
      </c>
      <c r="AM399" s="3" t="n"/>
      <c r="AN399" s="3" t="n"/>
    </row>
    <row r="400">
      <c r="A400" s="3" t="inlineStr">
        <is>
          <t>P0399</t>
        </is>
      </c>
      <c r="B400" s="3" t="n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n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n"/>
      <c r="S400" s="3" t="n"/>
      <c r="T400" s="3" t="n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n"/>
      <c r="AB400" s="3" t="inlineStr">
        <is>
          <t>6박</t>
        </is>
      </c>
      <c r="AC400" s="3" t="inlineStr">
        <is>
          <t>1</t>
        </is>
      </c>
      <c r="AD400" s="3" t="n"/>
      <c r="AE400" s="3" t="n"/>
      <c r="AF400" s="3" t="n"/>
      <c r="AG400" s="3" t="inlineStr">
        <is>
          <t>1</t>
        </is>
      </c>
      <c r="AH400" s="3" t="n"/>
      <c r="AI400" s="3" t="n"/>
      <c r="AJ400" s="3" t="n"/>
      <c r="AK400" s="3" t="n"/>
      <c r="AL400" s="3" t="inlineStr">
        <is>
          <t>FINAL</t>
        </is>
      </c>
      <c r="AM400" s="3" t="n"/>
      <c r="AN400" s="3" t="n"/>
    </row>
    <row r="401">
      <c r="A401" s="3" t="inlineStr">
        <is>
          <t>P0400</t>
        </is>
      </c>
      <c r="B401" s="3" t="n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n"/>
      <c r="S401" s="3" t="n"/>
      <c r="T401" s="3" t="n"/>
      <c r="U401" s="3" t="n"/>
      <c r="V401" s="3" t="n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n"/>
      <c r="AA401" s="3" t="n"/>
      <c r="AB401" s="3" t="inlineStr">
        <is>
          <t>3박</t>
        </is>
      </c>
      <c r="AC401" s="3" t="inlineStr">
        <is>
          <t>1</t>
        </is>
      </c>
      <c r="AD401" s="3" t="n"/>
      <c r="AE401" s="3" t="n"/>
      <c r="AF401" s="3" t="n"/>
      <c r="AG401" s="3" t="inlineStr">
        <is>
          <t>1</t>
        </is>
      </c>
      <c r="AH401" s="3" t="n"/>
      <c r="AI401" s="3" t="n"/>
      <c r="AJ401" s="3" t="n"/>
      <c r="AK401" s="3" t="n"/>
      <c r="AL401" s="3" t="inlineStr">
        <is>
          <t>FINAL</t>
        </is>
      </c>
      <c r="AM401" s="3" t="n"/>
      <c r="AN401" s="3" t="n"/>
    </row>
    <row r="402">
      <c r="A402" s="3" t="inlineStr">
        <is>
          <t>P0401</t>
        </is>
      </c>
      <c r="B402" s="3" t="n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n"/>
      <c r="S402" s="3" t="n"/>
      <c r="T402" s="3" t="n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n"/>
      <c r="AB402" s="3" t="inlineStr">
        <is>
          <t>6박</t>
        </is>
      </c>
      <c r="AC402" s="3" t="inlineStr">
        <is>
          <t>1</t>
        </is>
      </c>
      <c r="AD402" s="3" t="n"/>
      <c r="AE402" s="3" t="n"/>
      <c r="AF402" s="3" t="n"/>
      <c r="AG402" s="3" t="inlineStr">
        <is>
          <t>1</t>
        </is>
      </c>
      <c r="AH402" s="3" t="n"/>
      <c r="AI402" s="3" t="n"/>
      <c r="AJ402" s="3" t="n"/>
      <c r="AK402" s="3" t="n"/>
      <c r="AL402" s="3" t="inlineStr">
        <is>
          <t>FINAL</t>
        </is>
      </c>
      <c r="AM402" s="3" t="inlineStr">
        <is>
          <t>한글이름 확인</t>
        </is>
      </c>
      <c r="AN402" s="3" t="n"/>
    </row>
    <row r="403">
      <c r="A403" s="3" t="inlineStr">
        <is>
          <t>P0402</t>
        </is>
      </c>
      <c r="B403" s="3" t="n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n"/>
      <c r="S403" s="3" t="n"/>
      <c r="T403" s="3" t="n"/>
      <c r="U403" s="3" t="n"/>
      <c r="V403" s="3" t="n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n"/>
      <c r="AB403" s="3" t="inlineStr">
        <is>
          <t>4박</t>
        </is>
      </c>
      <c r="AC403" s="3" t="inlineStr">
        <is>
          <t>1</t>
        </is>
      </c>
      <c r="AD403" s="3" t="n"/>
      <c r="AE403" s="3" t="n"/>
      <c r="AF403" s="3" t="n"/>
      <c r="AG403" s="3" t="inlineStr">
        <is>
          <t>1</t>
        </is>
      </c>
      <c r="AH403" s="3" t="n"/>
      <c r="AI403" s="3" t="n"/>
      <c r="AJ403" s="3" t="n"/>
      <c r="AK403" s="3" t="n"/>
      <c r="AL403" s="3" t="inlineStr">
        <is>
          <t>FINAL</t>
        </is>
      </c>
      <c r="AM403" s="3" t="n"/>
      <c r="AN403" s="3" t="n"/>
    </row>
    <row r="404">
      <c r="A404" s="3" t="inlineStr">
        <is>
          <t>P0403</t>
        </is>
      </c>
      <c r="B404" s="3" t="n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n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n"/>
      <c r="S404" s="3" t="n"/>
      <c r="T404" s="3" t="n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n"/>
      <c r="AB404" s="3" t="inlineStr">
        <is>
          <t>6박</t>
        </is>
      </c>
      <c r="AC404" s="3" t="inlineStr">
        <is>
          <t>1</t>
        </is>
      </c>
      <c r="AD404" s="3" t="n"/>
      <c r="AE404" s="3" t="n"/>
      <c r="AF404" s="3" t="n"/>
      <c r="AG404" s="3" t="inlineStr">
        <is>
          <t>1</t>
        </is>
      </c>
      <c r="AH404" s="3" t="n"/>
      <c r="AI404" s="3" t="n"/>
      <c r="AJ404" s="3" t="n"/>
      <c r="AK404" s="3" t="n"/>
      <c r="AL404" s="3" t="inlineStr">
        <is>
          <t>FINAL</t>
        </is>
      </c>
      <c r="AM404" s="3" t="n"/>
      <c r="AN404" s="3" t="n"/>
    </row>
    <row r="405">
      <c r="A405" s="3" t="inlineStr">
        <is>
          <t>P0404</t>
        </is>
      </c>
      <c r="B405" s="3" t="n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n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n"/>
      <c r="S405" s="3" t="n"/>
      <c r="T405" s="3" t="n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n"/>
      <c r="AB405" s="3" t="inlineStr">
        <is>
          <t>6박</t>
        </is>
      </c>
      <c r="AC405" s="3" t="inlineStr">
        <is>
          <t>1</t>
        </is>
      </c>
      <c r="AD405" s="3" t="n"/>
      <c r="AE405" s="3" t="n"/>
      <c r="AF405" s="3" t="n"/>
      <c r="AG405" s="3" t="inlineStr">
        <is>
          <t>1</t>
        </is>
      </c>
      <c r="AH405" s="3" t="n"/>
      <c r="AI405" s="3" t="n"/>
      <c r="AJ405" s="3" t="n"/>
      <c r="AK405" s="3" t="n"/>
      <c r="AL405" s="3" t="inlineStr">
        <is>
          <t>FINAL</t>
        </is>
      </c>
      <c r="AM405" s="3" t="n"/>
      <c r="AN405" s="3" t="n"/>
    </row>
    <row r="406">
      <c r="A406" s="3" t="inlineStr">
        <is>
          <t>P0405</t>
        </is>
      </c>
      <c r="B406" s="3" t="n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n"/>
      <c r="S406" s="3" t="n"/>
      <c r="T406" s="3" t="n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n"/>
      <c r="AB406" s="3" t="inlineStr">
        <is>
          <t>6박</t>
        </is>
      </c>
      <c r="AC406" s="3" t="inlineStr">
        <is>
          <t>1</t>
        </is>
      </c>
      <c r="AD406" s="3" t="n"/>
      <c r="AE406" s="3" t="n"/>
      <c r="AF406" s="3" t="n"/>
      <c r="AG406" s="3" t="inlineStr">
        <is>
          <t>1</t>
        </is>
      </c>
      <c r="AH406" s="3" t="n"/>
      <c r="AI406" s="3" t="n"/>
      <c r="AJ406" s="3" t="n"/>
      <c r="AK406" s="3" t="n"/>
      <c r="AL406" s="3" t="inlineStr">
        <is>
          <t>FINAL</t>
        </is>
      </c>
      <c r="AM406" s="3" t="n"/>
      <c r="AN406" s="3" t="n"/>
    </row>
    <row r="407">
      <c r="A407" s="3" t="inlineStr">
        <is>
          <t>P0406</t>
        </is>
      </c>
      <c r="B407" s="3" t="n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n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n"/>
      <c r="S407" s="3" t="n"/>
      <c r="T407" s="3" t="n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n"/>
      <c r="AB407" s="3" t="inlineStr">
        <is>
          <t>6박</t>
        </is>
      </c>
      <c r="AC407" s="3" t="inlineStr">
        <is>
          <t>1</t>
        </is>
      </c>
      <c r="AD407" s="3" t="n"/>
      <c r="AE407" s="3" t="n"/>
      <c r="AF407" s="3" t="n"/>
      <c r="AG407" s="3" t="inlineStr">
        <is>
          <t>1</t>
        </is>
      </c>
      <c r="AH407" s="3" t="n"/>
      <c r="AI407" s="3" t="n"/>
      <c r="AJ407" s="3" t="n"/>
      <c r="AK407" s="3" t="n"/>
      <c r="AL407" s="3" t="inlineStr">
        <is>
          <t>FINAL</t>
        </is>
      </c>
      <c r="AM407" s="3" t="n"/>
      <c r="AN407" s="3" t="n"/>
    </row>
    <row r="408">
      <c r="A408" s="3" t="inlineStr">
        <is>
          <t>P0407</t>
        </is>
      </c>
      <c r="B408" s="3" t="n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n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n"/>
      <c r="S408" s="3" t="n"/>
      <c r="T408" s="3" t="n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n"/>
      <c r="AB408" s="3" t="inlineStr">
        <is>
          <t>6박</t>
        </is>
      </c>
      <c r="AC408" s="3" t="inlineStr">
        <is>
          <t>1</t>
        </is>
      </c>
      <c r="AD408" s="3" t="n"/>
      <c r="AE408" s="3" t="n"/>
      <c r="AF408" s="3" t="n"/>
      <c r="AG408" s="3" t="inlineStr">
        <is>
          <t>1</t>
        </is>
      </c>
      <c r="AH408" s="3" t="n"/>
      <c r="AI408" s="3" t="n"/>
      <c r="AJ408" s="3" t="n"/>
      <c r="AK408" s="3" t="n"/>
      <c r="AL408" s="3" t="inlineStr">
        <is>
          <t>FINAL</t>
        </is>
      </c>
      <c r="AM408" s="3" t="n"/>
      <c r="AN408" s="3" t="n"/>
    </row>
    <row r="409">
      <c r="A409" s="3" t="inlineStr">
        <is>
          <t>P0408</t>
        </is>
      </c>
      <c r="B409" s="3" t="n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n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n"/>
      <c r="S409" s="3" t="n"/>
      <c r="T409" s="3" t="n"/>
      <c r="U409" s="3" t="inlineStr">
        <is>
          <t>✓</t>
        </is>
      </c>
      <c r="V409" s="3" t="n"/>
      <c r="W409" s="3" t="n"/>
      <c r="X409" s="3" t="n"/>
      <c r="Y409" s="3" t="n"/>
      <c r="Z409" s="3" t="n"/>
      <c r="AA409" s="3" t="n"/>
      <c r="AB409" s="3" t="inlineStr">
        <is>
          <t>1박</t>
        </is>
      </c>
      <c r="AC409" s="3" t="inlineStr">
        <is>
          <t>1</t>
        </is>
      </c>
      <c r="AD409" s="3" t="n"/>
      <c r="AE409" s="3" t="n"/>
      <c r="AF409" s="3" t="n"/>
      <c r="AG409" s="3" t="inlineStr">
        <is>
          <t>1</t>
        </is>
      </c>
      <c r="AH409" s="3" t="n"/>
      <c r="AI409" s="3" t="n"/>
      <c r="AJ409" s="3" t="n"/>
      <c r="AK409" s="3" t="n"/>
      <c r="AL409" s="3" t="inlineStr">
        <is>
          <t>FINAL</t>
        </is>
      </c>
      <c r="AM409" s="3" t="n"/>
      <c r="AN409" s="3" t="n"/>
    </row>
    <row r="410">
      <c r="A410" s="3" t="inlineStr">
        <is>
          <t>P0409</t>
        </is>
      </c>
      <c r="B410" s="3" t="n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n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n"/>
      <c r="S410" s="3" t="n"/>
      <c r="T410" s="3" t="n"/>
      <c r="U410" s="3" t="n"/>
      <c r="V410" s="3" t="n"/>
      <c r="W410" s="3" t="n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n"/>
      <c r="AB410" s="3" t="inlineStr">
        <is>
          <t>3박</t>
        </is>
      </c>
      <c r="AC410" s="3" t="inlineStr">
        <is>
          <t>1</t>
        </is>
      </c>
      <c r="AD410" s="3" t="n"/>
      <c r="AE410" s="3" t="n"/>
      <c r="AF410" s="3" t="n"/>
      <c r="AG410" s="3" t="inlineStr">
        <is>
          <t>1</t>
        </is>
      </c>
      <c r="AH410" s="3" t="n"/>
      <c r="AI410" s="3" t="n"/>
      <c r="AJ410" s="3" t="n"/>
      <c r="AK410" s="3" t="n"/>
      <c r="AL410" s="3" t="inlineStr">
        <is>
          <t>FINAL</t>
        </is>
      </c>
      <c r="AM410" s="3" t="n"/>
      <c r="AN410" s="3" t="n"/>
    </row>
    <row r="411">
      <c r="A411" s="3" t="inlineStr">
        <is>
          <t>P0410</t>
        </is>
      </c>
      <c r="B411" s="3" t="n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n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n"/>
      <c r="S411" s="3" t="n"/>
      <c r="T411" s="3" t="n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n"/>
      <c r="AB411" s="3" t="inlineStr">
        <is>
          <t>6박</t>
        </is>
      </c>
      <c r="AC411" s="3" t="inlineStr">
        <is>
          <t>1</t>
        </is>
      </c>
      <c r="AD411" s="3" t="n"/>
      <c r="AE411" s="3" t="n"/>
      <c r="AF411" s="3" t="n"/>
      <c r="AG411" s="3" t="inlineStr">
        <is>
          <t>1</t>
        </is>
      </c>
      <c r="AH411" s="3" t="n"/>
      <c r="AI411" s="3" t="n"/>
      <c r="AJ411" s="3" t="n"/>
      <c r="AK411" s="3" t="n"/>
      <c r="AL411" s="3" t="inlineStr">
        <is>
          <t>FINAL</t>
        </is>
      </c>
      <c r="AM411" s="3" t="n"/>
      <c r="AN411" s="3" t="n"/>
    </row>
    <row r="412">
      <c r="A412" s="3" t="inlineStr">
        <is>
          <t>P0411</t>
        </is>
      </c>
      <c r="B412" s="3" t="n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n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n"/>
      <c r="S412" s="3" t="n"/>
      <c r="T412" s="3" t="n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n"/>
      <c r="AB412" s="3" t="inlineStr">
        <is>
          <t>6박</t>
        </is>
      </c>
      <c r="AC412" s="3" t="inlineStr">
        <is>
          <t>1</t>
        </is>
      </c>
      <c r="AD412" s="3" t="n"/>
      <c r="AE412" s="3" t="n"/>
      <c r="AF412" s="3" t="n"/>
      <c r="AG412" s="3" t="inlineStr">
        <is>
          <t>1</t>
        </is>
      </c>
      <c r="AH412" s="3" t="n"/>
      <c r="AI412" s="3" t="n"/>
      <c r="AJ412" s="3" t="n"/>
      <c r="AK412" s="3" t="n"/>
      <c r="AL412" s="3" t="inlineStr">
        <is>
          <t>FINAL</t>
        </is>
      </c>
      <c r="AM412" s="3" t="n"/>
      <c r="AN412" s="3" t="n"/>
    </row>
    <row r="413">
      <c r="A413" s="3" t="inlineStr">
        <is>
          <t>P0412</t>
        </is>
      </c>
      <c r="B413" s="3" t="n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n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n"/>
      <c r="S413" s="3" t="n"/>
      <c r="T413" s="3" t="n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n"/>
      <c r="AB413" s="3" t="inlineStr">
        <is>
          <t>6박</t>
        </is>
      </c>
      <c r="AC413" s="3" t="inlineStr">
        <is>
          <t>1</t>
        </is>
      </c>
      <c r="AD413" s="3" t="n"/>
      <c r="AE413" s="3" t="n"/>
      <c r="AF413" s="3" t="n"/>
      <c r="AG413" s="3" t="inlineStr">
        <is>
          <t>1</t>
        </is>
      </c>
      <c r="AH413" s="3" t="n"/>
      <c r="AI413" s="3" t="n"/>
      <c r="AJ413" s="3" t="n"/>
      <c r="AK413" s="3" t="n"/>
      <c r="AL413" s="3" t="inlineStr">
        <is>
          <t>FINAL</t>
        </is>
      </c>
      <c r="AM413" s="3" t="n"/>
      <c r="AN413" s="3" t="n"/>
    </row>
    <row r="414">
      <c r="A414" s="3" t="inlineStr">
        <is>
          <t>P0413</t>
        </is>
      </c>
      <c r="B414" s="3" t="n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n"/>
      <c r="S414" s="3" t="n"/>
      <c r="T414" s="3" t="n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n"/>
      <c r="AB414" s="3" t="inlineStr">
        <is>
          <t>6박</t>
        </is>
      </c>
      <c r="AC414" s="3" t="inlineStr">
        <is>
          <t>1</t>
        </is>
      </c>
      <c r="AD414" s="3" t="n"/>
      <c r="AE414" s="3" t="n"/>
      <c r="AF414" s="3" t="n"/>
      <c r="AG414" s="3" t="inlineStr">
        <is>
          <t>1</t>
        </is>
      </c>
      <c r="AH414" s="3" t="n"/>
      <c r="AI414" s="3" t="n"/>
      <c r="AJ414" s="3" t="n"/>
      <c r="AK414" s="3" t="n"/>
      <c r="AL414" s="3" t="inlineStr">
        <is>
          <t>FINAL</t>
        </is>
      </c>
      <c r="AM414" s="3" t="n"/>
      <c r="AN414" s="3" t="n"/>
    </row>
    <row r="415">
      <c r="A415" s="3" t="inlineStr">
        <is>
          <t>P0414</t>
        </is>
      </c>
      <c r="B415" s="3" t="n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n"/>
      <c r="S415" s="3" t="n"/>
      <c r="T415" s="3" t="n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n"/>
      <c r="AB415" s="3" t="inlineStr">
        <is>
          <t>6박</t>
        </is>
      </c>
      <c r="AC415" s="3" t="inlineStr">
        <is>
          <t>1</t>
        </is>
      </c>
      <c r="AD415" s="3" t="n"/>
      <c r="AE415" s="3" t="n"/>
      <c r="AF415" s="3" t="n"/>
      <c r="AG415" s="3" t="inlineStr">
        <is>
          <t>1</t>
        </is>
      </c>
      <c r="AH415" s="3" t="n"/>
      <c r="AI415" s="3" t="n"/>
      <c r="AJ415" s="3" t="n"/>
      <c r="AK415" s="3" t="n"/>
      <c r="AL415" s="3" t="inlineStr">
        <is>
          <t>FINAL</t>
        </is>
      </c>
      <c r="AM415" s="3" t="inlineStr">
        <is>
          <t>한글이름 확인</t>
        </is>
      </c>
      <c r="AN415" s="3" t="n"/>
    </row>
    <row r="416">
      <c r="A416" s="3" t="inlineStr">
        <is>
          <t>P0415</t>
        </is>
      </c>
      <c r="B416" s="3" t="n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n"/>
      <c r="S416" s="3" t="n"/>
      <c r="T416" s="3" t="n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n"/>
      <c r="AB416" s="3" t="inlineStr">
        <is>
          <t>6박</t>
        </is>
      </c>
      <c r="AC416" s="3" t="inlineStr">
        <is>
          <t>1</t>
        </is>
      </c>
      <c r="AD416" s="3" t="n"/>
      <c r="AE416" s="3" t="n"/>
      <c r="AF416" s="3" t="n"/>
      <c r="AG416" s="3" t="inlineStr">
        <is>
          <t>1</t>
        </is>
      </c>
      <c r="AH416" s="3" t="n"/>
      <c r="AI416" s="3" t="n"/>
      <c r="AJ416" s="3" t="n"/>
      <c r="AK416" s="3" t="n"/>
      <c r="AL416" s="3" t="inlineStr">
        <is>
          <t>FINAL</t>
        </is>
      </c>
      <c r="AM416" s="3" t="n"/>
      <c r="AN416" s="3" t="n"/>
    </row>
    <row r="417">
      <c r="A417" s="3" t="inlineStr">
        <is>
          <t>P0416</t>
        </is>
      </c>
      <c r="B417" s="3" t="n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n"/>
      <c r="S417" s="3" t="n"/>
      <c r="T417" s="3" t="n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n"/>
      <c r="AB417" s="3" t="inlineStr">
        <is>
          <t>6박</t>
        </is>
      </c>
      <c r="AC417" s="3" t="inlineStr">
        <is>
          <t>1</t>
        </is>
      </c>
      <c r="AD417" s="3" t="n"/>
      <c r="AE417" s="3" t="n"/>
      <c r="AF417" s="3" t="n"/>
      <c r="AG417" s="3" t="inlineStr">
        <is>
          <t>1</t>
        </is>
      </c>
      <c r="AH417" s="3" t="n"/>
      <c r="AI417" s="3" t="n"/>
      <c r="AJ417" s="3" t="n"/>
      <c r="AK417" s="3" t="n"/>
      <c r="AL417" s="3" t="inlineStr">
        <is>
          <t>FINAL</t>
        </is>
      </c>
      <c r="AM417" s="3" t="n"/>
      <c r="AN417" s="3" t="n"/>
    </row>
    <row r="418">
      <c r="A418" s="3" t="inlineStr">
        <is>
          <t>P0417</t>
        </is>
      </c>
      <c r="B418" s="3" t="n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n"/>
      <c r="S418" s="3" t="n"/>
      <c r="T418" s="3" t="n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n"/>
      <c r="AB418" s="3" t="inlineStr">
        <is>
          <t>6박</t>
        </is>
      </c>
      <c r="AC418" s="3" t="inlineStr">
        <is>
          <t>1</t>
        </is>
      </c>
      <c r="AD418" s="3" t="n"/>
      <c r="AE418" s="3" t="n"/>
      <c r="AF418" s="3" t="n"/>
      <c r="AG418" s="3" t="inlineStr">
        <is>
          <t>1</t>
        </is>
      </c>
      <c r="AH418" s="3" t="n"/>
      <c r="AI418" s="3" t="n"/>
      <c r="AJ418" s="3" t="n"/>
      <c r="AK418" s="3" t="n"/>
      <c r="AL418" s="3" t="inlineStr">
        <is>
          <t>FINAL</t>
        </is>
      </c>
      <c r="AM418" s="3" t="n"/>
      <c r="AN418" s="3" t="n"/>
    </row>
    <row r="419">
      <c r="A419" s="3" t="inlineStr">
        <is>
          <t>P0418</t>
        </is>
      </c>
      <c r="B419" s="3" t="n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n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n"/>
      <c r="S419" s="3" t="n"/>
      <c r="T419" s="3" t="n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n"/>
      <c r="AB419" s="3" t="inlineStr">
        <is>
          <t>6박</t>
        </is>
      </c>
      <c r="AC419" s="3" t="inlineStr">
        <is>
          <t>1</t>
        </is>
      </c>
      <c r="AD419" s="3" t="n"/>
      <c r="AE419" s="3" t="n"/>
      <c r="AF419" s="3" t="n"/>
      <c r="AG419" s="3" t="inlineStr">
        <is>
          <t>1</t>
        </is>
      </c>
      <c r="AH419" s="3" t="n"/>
      <c r="AI419" s="3" t="n"/>
      <c r="AJ419" s="3" t="n"/>
      <c r="AK419" s="3" t="n"/>
      <c r="AL419" s="3" t="inlineStr">
        <is>
          <t>FINAL</t>
        </is>
      </c>
      <c r="AM419" s="3" t="n"/>
      <c r="AN419" s="3" t="n"/>
    </row>
    <row r="420">
      <c r="A420" s="3" t="inlineStr">
        <is>
          <t>P0419</t>
        </is>
      </c>
      <c r="B420" s="3" t="n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n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n"/>
      <c r="S420" s="3" t="n"/>
      <c r="T420" s="3" t="n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n"/>
      <c r="AB420" s="3" t="inlineStr">
        <is>
          <t>6박</t>
        </is>
      </c>
      <c r="AC420" s="3" t="inlineStr">
        <is>
          <t>1</t>
        </is>
      </c>
      <c r="AD420" s="3" t="n"/>
      <c r="AE420" s="3" t="n"/>
      <c r="AF420" s="3" t="n"/>
      <c r="AG420" s="3" t="inlineStr">
        <is>
          <t>1</t>
        </is>
      </c>
      <c r="AH420" s="3" t="n"/>
      <c r="AI420" s="3" t="n"/>
      <c r="AJ420" s="3" t="n"/>
      <c r="AK420" s="3" t="n"/>
      <c r="AL420" s="3" t="inlineStr">
        <is>
          <t>FINAL</t>
        </is>
      </c>
      <c r="AM420" s="3" t="n"/>
      <c r="AN420" s="3" t="n"/>
    </row>
    <row r="421">
      <c r="A421" s="3" t="inlineStr">
        <is>
          <t>P0420</t>
        </is>
      </c>
      <c r="B421" s="3" t="n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n"/>
      <c r="S421" s="3" t="n"/>
      <c r="T421" s="3" t="n"/>
      <c r="U421" s="3" t="n"/>
      <c r="V421" s="3" t="n"/>
      <c r="W421" s="3" t="n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n"/>
      <c r="AB421" s="3" t="inlineStr">
        <is>
          <t>3박</t>
        </is>
      </c>
      <c r="AC421" s="3" t="inlineStr">
        <is>
          <t>1</t>
        </is>
      </c>
      <c r="AD421" s="3" t="n"/>
      <c r="AE421" s="3" t="n"/>
      <c r="AF421" s="3" t="n"/>
      <c r="AG421" s="3" t="inlineStr">
        <is>
          <t>1</t>
        </is>
      </c>
      <c r="AH421" s="3" t="n"/>
      <c r="AI421" s="3" t="n"/>
      <c r="AJ421" s="3" t="n"/>
      <c r="AK421" s="3" t="n"/>
      <c r="AL421" s="3" t="inlineStr">
        <is>
          <t>FINAL</t>
        </is>
      </c>
      <c r="AM421" s="3" t="n"/>
      <c r="AN421" s="3" t="n"/>
    </row>
    <row r="422">
      <c r="A422" s="3" t="inlineStr">
        <is>
          <t>P0421</t>
        </is>
      </c>
      <c r="B422" s="3" t="n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n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n"/>
      <c r="S422" s="3" t="n"/>
      <c r="T422" s="3" t="n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n"/>
      <c r="AB422" s="3" t="inlineStr">
        <is>
          <t>6박</t>
        </is>
      </c>
      <c r="AC422" s="3" t="inlineStr">
        <is>
          <t>1</t>
        </is>
      </c>
      <c r="AD422" s="3" t="n"/>
      <c r="AE422" s="3" t="n"/>
      <c r="AF422" s="3" t="n"/>
      <c r="AG422" s="3" t="inlineStr">
        <is>
          <t>1</t>
        </is>
      </c>
      <c r="AH422" s="3" t="n"/>
      <c r="AI422" s="3" t="n"/>
      <c r="AJ422" s="3" t="n"/>
      <c r="AK422" s="3" t="n"/>
      <c r="AL422" s="3" t="inlineStr">
        <is>
          <t>FINAL</t>
        </is>
      </c>
      <c r="AM422" s="3" t="n"/>
      <c r="AN422" s="3" t="n"/>
    </row>
    <row r="423">
      <c r="A423" s="3" t="inlineStr">
        <is>
          <t>P0422</t>
        </is>
      </c>
      <c r="B423" s="3" t="n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n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n"/>
      <c r="S423" s="3" t="n"/>
      <c r="T423" s="3" t="n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n"/>
      <c r="AB423" s="3" t="inlineStr">
        <is>
          <t>6박</t>
        </is>
      </c>
      <c r="AC423" s="3" t="inlineStr">
        <is>
          <t>1</t>
        </is>
      </c>
      <c r="AD423" s="3" t="n"/>
      <c r="AE423" s="3" t="n"/>
      <c r="AF423" s="3" t="n"/>
      <c r="AG423" s="3" t="inlineStr">
        <is>
          <t>1</t>
        </is>
      </c>
      <c r="AH423" s="3" t="n"/>
      <c r="AI423" s="3" t="n"/>
      <c r="AJ423" s="3" t="n"/>
      <c r="AK423" s="3" t="n"/>
      <c r="AL423" s="3" t="inlineStr">
        <is>
          <t>FINAL</t>
        </is>
      </c>
      <c r="AM423" s="3" t="n"/>
      <c r="AN423" s="3" t="n"/>
    </row>
    <row r="424">
      <c r="A424" s="3" t="inlineStr">
        <is>
          <t>P0423</t>
        </is>
      </c>
      <c r="B424" s="3" t="n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n"/>
      <c r="S424" s="3" t="n"/>
      <c r="T424" s="3" t="n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n"/>
      <c r="AB424" s="3" t="inlineStr">
        <is>
          <t>6박</t>
        </is>
      </c>
      <c r="AC424" s="3" t="inlineStr">
        <is>
          <t>1</t>
        </is>
      </c>
      <c r="AD424" s="3" t="n"/>
      <c r="AE424" s="3" t="n"/>
      <c r="AF424" s="3" t="n"/>
      <c r="AG424" s="3" t="inlineStr">
        <is>
          <t>1</t>
        </is>
      </c>
      <c r="AH424" s="3" t="n"/>
      <c r="AI424" s="3" t="n"/>
      <c r="AJ424" s="3" t="n"/>
      <c r="AK424" s="3" t="n"/>
      <c r="AL424" s="3" t="inlineStr">
        <is>
          <t>FINAL</t>
        </is>
      </c>
      <c r="AM424" s="3" t="n"/>
      <c r="AN424" s="3" t="n"/>
    </row>
    <row r="425">
      <c r="A425" s="3" t="inlineStr">
        <is>
          <t>P0424</t>
        </is>
      </c>
      <c r="B425" s="3" t="n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n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n"/>
      <c r="S425" s="3" t="n"/>
      <c r="T425" s="3" t="n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n"/>
      <c r="AB425" s="3" t="inlineStr">
        <is>
          <t>6박</t>
        </is>
      </c>
      <c r="AC425" s="3" t="inlineStr">
        <is>
          <t>1</t>
        </is>
      </c>
      <c r="AD425" s="3" t="n"/>
      <c r="AE425" s="3" t="n"/>
      <c r="AF425" s="3" t="n"/>
      <c r="AG425" s="3" t="inlineStr">
        <is>
          <t>1</t>
        </is>
      </c>
      <c r="AH425" s="3" t="n"/>
      <c r="AI425" s="3" t="n"/>
      <c r="AJ425" s="3" t="n"/>
      <c r="AK425" s="3" t="n"/>
      <c r="AL425" s="3" t="inlineStr">
        <is>
          <t>FINAL</t>
        </is>
      </c>
      <c r="AM425" s="3" t="n"/>
      <c r="AN425" s="3" t="n"/>
    </row>
    <row r="426">
      <c r="A426" s="3" t="inlineStr">
        <is>
          <t>P0425</t>
        </is>
      </c>
      <c r="B426" s="3" t="n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n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n"/>
      <c r="S426" s="3" t="n"/>
      <c r="T426" s="3" t="n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n"/>
      <c r="AB426" s="3" t="inlineStr">
        <is>
          <t>6박</t>
        </is>
      </c>
      <c r="AC426" s="3" t="inlineStr">
        <is>
          <t>1</t>
        </is>
      </c>
      <c r="AD426" s="3" t="n"/>
      <c r="AE426" s="3" t="n"/>
      <c r="AF426" s="3" t="n"/>
      <c r="AG426" s="3" t="inlineStr">
        <is>
          <t>1</t>
        </is>
      </c>
      <c r="AH426" s="3" t="n"/>
      <c r="AI426" s="3" t="n"/>
      <c r="AJ426" s="3" t="n"/>
      <c r="AK426" s="3" t="n"/>
      <c r="AL426" s="3" t="inlineStr">
        <is>
          <t>FINAL</t>
        </is>
      </c>
      <c r="AM426" s="3" t="n"/>
      <c r="AN426" s="3" t="n"/>
    </row>
    <row r="427">
      <c r="A427" s="3" t="inlineStr">
        <is>
          <t>P0426</t>
        </is>
      </c>
      <c r="B427" s="3" t="n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n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n"/>
      <c r="S427" s="3" t="n"/>
      <c r="T427" s="3" t="n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n"/>
      <c r="AB427" s="3" t="inlineStr">
        <is>
          <t>6박</t>
        </is>
      </c>
      <c r="AC427" s="3" t="inlineStr">
        <is>
          <t>1</t>
        </is>
      </c>
      <c r="AD427" s="3" t="n"/>
      <c r="AE427" s="3" t="n"/>
      <c r="AF427" s="3" t="n"/>
      <c r="AG427" s="3" t="inlineStr">
        <is>
          <t>1</t>
        </is>
      </c>
      <c r="AH427" s="3" t="n"/>
      <c r="AI427" s="3" t="n"/>
      <c r="AJ427" s="3" t="n"/>
      <c r="AK427" s="3" t="n"/>
      <c r="AL427" s="3" t="inlineStr">
        <is>
          <t>FINAL</t>
        </is>
      </c>
      <c r="AM427" s="3" t="n"/>
      <c r="AN427" s="3" t="n"/>
    </row>
    <row r="428">
      <c r="A428" s="3" t="inlineStr">
        <is>
          <t>P0427</t>
        </is>
      </c>
      <c r="B428" s="3" t="n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n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n"/>
      <c r="S428" s="3" t="n"/>
      <c r="T428" s="3" t="n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n"/>
      <c r="AB428" s="3" t="inlineStr">
        <is>
          <t>6박</t>
        </is>
      </c>
      <c r="AC428" s="3" t="inlineStr">
        <is>
          <t>1</t>
        </is>
      </c>
      <c r="AD428" s="3" t="n"/>
      <c r="AE428" s="3" t="n"/>
      <c r="AF428" s="3" t="n"/>
      <c r="AG428" s="3" t="inlineStr">
        <is>
          <t>1</t>
        </is>
      </c>
      <c r="AH428" s="3" t="n"/>
      <c r="AI428" s="3" t="n"/>
      <c r="AJ428" s="3" t="n"/>
      <c r="AK428" s="3" t="n"/>
      <c r="AL428" s="3" t="inlineStr">
        <is>
          <t>FINAL</t>
        </is>
      </c>
      <c r="AM428" s="3" t="n"/>
      <c r="AN428" s="3" t="n"/>
    </row>
    <row r="429">
      <c r="A429" s="3" t="inlineStr">
        <is>
          <t>P0428</t>
        </is>
      </c>
      <c r="B429" s="3" t="n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n"/>
      <c r="S429" s="3" t="n"/>
      <c r="T429" s="3" t="n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n"/>
      <c r="AB429" s="3" t="inlineStr">
        <is>
          <t>6박</t>
        </is>
      </c>
      <c r="AC429" s="3" t="inlineStr">
        <is>
          <t>1</t>
        </is>
      </c>
      <c r="AD429" s="3" t="n"/>
      <c r="AE429" s="3" t="n"/>
      <c r="AF429" s="3" t="n"/>
      <c r="AG429" s="3" t="inlineStr">
        <is>
          <t>1</t>
        </is>
      </c>
      <c r="AH429" s="3" t="n"/>
      <c r="AI429" s="3" t="n"/>
      <c r="AJ429" s="3" t="n"/>
      <c r="AK429" s="3" t="n"/>
      <c r="AL429" s="3" t="inlineStr">
        <is>
          <t>FINAL</t>
        </is>
      </c>
      <c r="AM429" s="3" t="inlineStr">
        <is>
          <t>한글이름 확인</t>
        </is>
      </c>
      <c r="AN429" s="3" t="n"/>
    </row>
    <row r="430">
      <c r="A430" s="3" t="inlineStr">
        <is>
          <t>P0429</t>
        </is>
      </c>
      <c r="B430" s="3" t="n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n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n"/>
      <c r="S430" s="3" t="n"/>
      <c r="T430" s="3" t="n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n"/>
      <c r="AB430" s="3" t="inlineStr">
        <is>
          <t>6박</t>
        </is>
      </c>
      <c r="AC430" s="3" t="inlineStr">
        <is>
          <t>1</t>
        </is>
      </c>
      <c r="AD430" s="3" t="n"/>
      <c r="AE430" s="3" t="n"/>
      <c r="AF430" s="3" t="n"/>
      <c r="AG430" s="3" t="inlineStr">
        <is>
          <t>1</t>
        </is>
      </c>
      <c r="AH430" s="3" t="n"/>
      <c r="AI430" s="3" t="n"/>
      <c r="AJ430" s="3" t="n"/>
      <c r="AK430" s="3" t="n"/>
      <c r="AL430" s="3" t="inlineStr">
        <is>
          <t>FINAL</t>
        </is>
      </c>
      <c r="AM430" s="3" t="n"/>
      <c r="AN430" s="3" t="n"/>
    </row>
    <row r="431">
      <c r="A431" s="3" t="inlineStr">
        <is>
          <t>P0430</t>
        </is>
      </c>
      <c r="B431" s="3" t="n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n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n"/>
      <c r="S431" s="3" t="n"/>
      <c r="T431" s="3" t="n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n"/>
      <c r="AB431" s="3" t="inlineStr">
        <is>
          <t>6박</t>
        </is>
      </c>
      <c r="AC431" s="3" t="inlineStr">
        <is>
          <t>1</t>
        </is>
      </c>
      <c r="AD431" s="3" t="n"/>
      <c r="AE431" s="3" t="n"/>
      <c r="AF431" s="3" t="n"/>
      <c r="AG431" s="3" t="inlineStr">
        <is>
          <t>1</t>
        </is>
      </c>
      <c r="AH431" s="3" t="n"/>
      <c r="AI431" s="3" t="n"/>
      <c r="AJ431" s="3" t="n"/>
      <c r="AK431" s="3" t="n"/>
      <c r="AL431" s="3" t="inlineStr">
        <is>
          <t>FINAL</t>
        </is>
      </c>
      <c r="AM431" s="3" t="n"/>
      <c r="AN431" s="3" t="n"/>
    </row>
    <row r="432">
      <c r="A432" s="3" t="inlineStr">
        <is>
          <t>P0431</t>
        </is>
      </c>
      <c r="B432" s="3" t="n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n"/>
      <c r="S432" s="3" t="n"/>
      <c r="T432" s="3" t="n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n"/>
      <c r="AB432" s="3" t="inlineStr">
        <is>
          <t>6박</t>
        </is>
      </c>
      <c r="AC432" s="3" t="inlineStr">
        <is>
          <t>1</t>
        </is>
      </c>
      <c r="AD432" s="3" t="n"/>
      <c r="AE432" s="3" t="n"/>
      <c r="AF432" s="3" t="n"/>
      <c r="AG432" s="3" t="inlineStr">
        <is>
          <t>1</t>
        </is>
      </c>
      <c r="AH432" s="3" t="n"/>
      <c r="AI432" s="3" t="n"/>
      <c r="AJ432" s="3" t="n"/>
      <c r="AK432" s="3" t="n"/>
      <c r="AL432" s="3" t="inlineStr">
        <is>
          <t>FINAL</t>
        </is>
      </c>
      <c r="AM432" s="3" t="n"/>
      <c r="AN432" s="3" t="n"/>
    </row>
    <row r="433">
      <c r="A433" s="3" t="inlineStr">
        <is>
          <t>P0432</t>
        </is>
      </c>
      <c r="B433" s="3" t="n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n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n"/>
      <c r="S433" s="3" t="n"/>
      <c r="T433" s="3" t="n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n"/>
      <c r="AB433" s="3" t="inlineStr">
        <is>
          <t>6박</t>
        </is>
      </c>
      <c r="AC433" s="3" t="inlineStr">
        <is>
          <t>1</t>
        </is>
      </c>
      <c r="AD433" s="3" t="n"/>
      <c r="AE433" s="3" t="n"/>
      <c r="AF433" s="3" t="n"/>
      <c r="AG433" s="3" t="inlineStr">
        <is>
          <t>1</t>
        </is>
      </c>
      <c r="AH433" s="3" t="n"/>
      <c r="AI433" s="3" t="n"/>
      <c r="AJ433" s="3" t="n"/>
      <c r="AK433" s="3" t="n"/>
      <c r="AL433" s="3" t="inlineStr">
        <is>
          <t>FINAL</t>
        </is>
      </c>
      <c r="AM433" s="3" t="n"/>
      <c r="AN433" s="3" t="n"/>
    </row>
    <row r="434">
      <c r="A434" s="3" t="inlineStr">
        <is>
          <t>P0433</t>
        </is>
      </c>
      <c r="B434" s="3" t="n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n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n"/>
      <c r="S434" s="3" t="n"/>
      <c r="T434" s="3" t="n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n"/>
      <c r="AB434" s="3" t="inlineStr">
        <is>
          <t>6박</t>
        </is>
      </c>
      <c r="AC434" s="3" t="inlineStr">
        <is>
          <t>1</t>
        </is>
      </c>
      <c r="AD434" s="3" t="n"/>
      <c r="AE434" s="3" t="n"/>
      <c r="AF434" s="3" t="n"/>
      <c r="AG434" s="3" t="inlineStr">
        <is>
          <t>1</t>
        </is>
      </c>
      <c r="AH434" s="3" t="n"/>
      <c r="AI434" s="3" t="n"/>
      <c r="AJ434" s="3" t="n"/>
      <c r="AK434" s="3" t="n"/>
      <c r="AL434" s="3" t="inlineStr">
        <is>
          <t>FINAL</t>
        </is>
      </c>
      <c r="AM434" s="3" t="n"/>
      <c r="AN434" s="3" t="n"/>
    </row>
    <row r="435">
      <c r="A435" s="3" t="inlineStr">
        <is>
          <t>P0434</t>
        </is>
      </c>
      <c r="B435" s="3" t="n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n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n"/>
      <c r="S435" s="3" t="n"/>
      <c r="T435" s="3" t="n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n"/>
      <c r="AB435" s="3" t="inlineStr">
        <is>
          <t>6박</t>
        </is>
      </c>
      <c r="AC435" s="3" t="inlineStr">
        <is>
          <t>1</t>
        </is>
      </c>
      <c r="AD435" s="3" t="n"/>
      <c r="AE435" s="3" t="n"/>
      <c r="AF435" s="3" t="n"/>
      <c r="AG435" s="3" t="inlineStr">
        <is>
          <t>1</t>
        </is>
      </c>
      <c r="AH435" s="3" t="n"/>
      <c r="AI435" s="3" t="n"/>
      <c r="AJ435" s="3" t="n"/>
      <c r="AK435" s="3" t="n"/>
      <c r="AL435" s="3" t="inlineStr">
        <is>
          <t>FINAL</t>
        </is>
      </c>
      <c r="AM435" s="3" t="n"/>
      <c r="AN435" s="3" t="n"/>
    </row>
    <row r="436">
      <c r="A436" s="3" t="inlineStr">
        <is>
          <t>P0435</t>
        </is>
      </c>
      <c r="B436" s="3" t="n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n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n"/>
      <c r="S436" s="3" t="n"/>
      <c r="T436" s="3" t="n"/>
      <c r="U436" s="3" t="n"/>
      <c r="V436" s="3" t="n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n"/>
      <c r="AB436" s="3" t="inlineStr">
        <is>
          <t>4박</t>
        </is>
      </c>
      <c r="AC436" s="3" t="inlineStr">
        <is>
          <t>1</t>
        </is>
      </c>
      <c r="AD436" s="3" t="n"/>
      <c r="AE436" s="3" t="n"/>
      <c r="AF436" s="3" t="n"/>
      <c r="AG436" s="3" t="inlineStr">
        <is>
          <t>1</t>
        </is>
      </c>
      <c r="AH436" s="3" t="n"/>
      <c r="AI436" s="3" t="n"/>
      <c r="AJ436" s="3" t="n"/>
      <c r="AK436" s="3" t="n"/>
      <c r="AL436" s="3" t="inlineStr">
        <is>
          <t>FINAL</t>
        </is>
      </c>
      <c r="AM436" s="3" t="n"/>
      <c r="AN436" s="3" t="n"/>
    </row>
    <row r="437">
      <c r="A437" s="3" t="inlineStr">
        <is>
          <t>P0436</t>
        </is>
      </c>
      <c r="B437" s="3" t="n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n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n"/>
      <c r="S437" s="3" t="n"/>
      <c r="T437" s="3" t="n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n"/>
      <c r="AB437" s="3" t="inlineStr">
        <is>
          <t>6박</t>
        </is>
      </c>
      <c r="AC437" s="3" t="inlineStr">
        <is>
          <t>1</t>
        </is>
      </c>
      <c r="AD437" s="3" t="n"/>
      <c r="AE437" s="3" t="n"/>
      <c r="AF437" s="3" t="n"/>
      <c r="AG437" s="3" t="inlineStr">
        <is>
          <t>1</t>
        </is>
      </c>
      <c r="AH437" s="3" t="n"/>
      <c r="AI437" s="3" t="n"/>
      <c r="AJ437" s="3" t="n"/>
      <c r="AK437" s="3" t="n"/>
      <c r="AL437" s="3" t="inlineStr">
        <is>
          <t>FINAL</t>
        </is>
      </c>
      <c r="AM437" s="3" t="n"/>
      <c r="AN437" s="3" t="n"/>
    </row>
    <row r="438">
      <c r="A438" s="3" t="inlineStr">
        <is>
          <t>P0437</t>
        </is>
      </c>
      <c r="B438" s="3" t="n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n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n"/>
      <c r="S438" s="3" t="n"/>
      <c r="T438" s="3" t="n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n"/>
      <c r="AB438" s="3" t="inlineStr">
        <is>
          <t>6박</t>
        </is>
      </c>
      <c r="AC438" s="3" t="inlineStr">
        <is>
          <t>1</t>
        </is>
      </c>
      <c r="AD438" s="3" t="n"/>
      <c r="AE438" s="3" t="n"/>
      <c r="AF438" s="3" t="n"/>
      <c r="AG438" s="3" t="inlineStr">
        <is>
          <t>1</t>
        </is>
      </c>
      <c r="AH438" s="3" t="n"/>
      <c r="AI438" s="3" t="n"/>
      <c r="AJ438" s="3" t="n"/>
      <c r="AK438" s="3" t="n"/>
      <c r="AL438" s="3" t="inlineStr">
        <is>
          <t>FINAL</t>
        </is>
      </c>
      <c r="AM438" s="3" t="n"/>
      <c r="AN438" s="3" t="n"/>
    </row>
    <row r="439">
      <c r="A439" s="3" t="inlineStr">
        <is>
          <t>P0438</t>
        </is>
      </c>
      <c r="B439" s="3" t="n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n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n"/>
      <c r="S439" s="3" t="n"/>
      <c r="T439" s="3" t="n"/>
      <c r="U439" s="3" t="n"/>
      <c r="V439" s="3" t="n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n"/>
      <c r="AA439" s="3" t="n"/>
      <c r="AB439" s="3" t="inlineStr">
        <is>
          <t>3박</t>
        </is>
      </c>
      <c r="AC439" s="3" t="inlineStr">
        <is>
          <t>1</t>
        </is>
      </c>
      <c r="AD439" s="3" t="n"/>
      <c r="AE439" s="3" t="n"/>
      <c r="AF439" s="3" t="n"/>
      <c r="AG439" s="3" t="inlineStr">
        <is>
          <t>1</t>
        </is>
      </c>
      <c r="AH439" s="3" t="n"/>
      <c r="AI439" s="3" t="n"/>
      <c r="AJ439" s="3" t="n"/>
      <c r="AK439" s="3" t="n"/>
      <c r="AL439" s="3" t="inlineStr">
        <is>
          <t>FINAL</t>
        </is>
      </c>
      <c r="AM439" s="3" t="n"/>
      <c r="AN439" s="3" t="n"/>
    </row>
    <row r="440">
      <c r="A440" s="3" t="inlineStr">
        <is>
          <t>P0439</t>
        </is>
      </c>
      <c r="B440" s="3" t="n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n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n"/>
      <c r="S440" s="3" t="n"/>
      <c r="T440" s="3" t="n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n"/>
      <c r="AB440" s="3" t="inlineStr">
        <is>
          <t>6박</t>
        </is>
      </c>
      <c r="AC440" s="3" t="inlineStr">
        <is>
          <t>1</t>
        </is>
      </c>
      <c r="AD440" s="3" t="n"/>
      <c r="AE440" s="3" t="n"/>
      <c r="AF440" s="3" t="n"/>
      <c r="AG440" s="3" t="inlineStr">
        <is>
          <t>1</t>
        </is>
      </c>
      <c r="AH440" s="3" t="n"/>
      <c r="AI440" s="3" t="n"/>
      <c r="AJ440" s="3" t="n"/>
      <c r="AK440" s="3" t="n"/>
      <c r="AL440" s="3" t="inlineStr">
        <is>
          <t>FINAL</t>
        </is>
      </c>
      <c r="AM440" s="3" t="n"/>
      <c r="AN440" s="3" t="n"/>
    </row>
    <row r="441">
      <c r="A441" s="3" t="inlineStr">
        <is>
          <t>P0440</t>
        </is>
      </c>
      <c r="B441" s="3" t="n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n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n"/>
      <c r="S441" s="3" t="n"/>
      <c r="T441" s="3" t="n"/>
      <c r="U441" s="3" t="inlineStr">
        <is>
          <t>✓</t>
        </is>
      </c>
      <c r="V441" s="3" t="n"/>
      <c r="W441" s="3" t="n"/>
      <c r="X441" s="3" t="n"/>
      <c r="Y441" s="3" t="n"/>
      <c r="Z441" s="3" t="n"/>
      <c r="AA441" s="3" t="n"/>
      <c r="AB441" s="3" t="inlineStr">
        <is>
          <t>1박</t>
        </is>
      </c>
      <c r="AC441" s="3" t="inlineStr">
        <is>
          <t>1</t>
        </is>
      </c>
      <c r="AD441" s="3" t="n"/>
      <c r="AE441" s="3" t="n"/>
      <c r="AF441" s="3" t="n"/>
      <c r="AG441" s="3" t="inlineStr">
        <is>
          <t>1</t>
        </is>
      </c>
      <c r="AH441" s="3" t="n"/>
      <c r="AI441" s="3" t="n"/>
      <c r="AJ441" s="3" t="n"/>
      <c r="AK441" s="3" t="n"/>
      <c r="AL441" s="3" t="inlineStr">
        <is>
          <t>FINAL</t>
        </is>
      </c>
      <c r="AM441" s="3" t="n"/>
      <c r="AN441" s="3" t="n"/>
    </row>
    <row r="442">
      <c r="A442" s="3" t="inlineStr">
        <is>
          <t>P0441</t>
        </is>
      </c>
      <c r="B442" s="3" t="n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n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n"/>
      <c r="S442" s="3" t="n"/>
      <c r="T442" s="3" t="n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n"/>
      <c r="AB442" s="3" t="inlineStr">
        <is>
          <t>6박</t>
        </is>
      </c>
      <c r="AC442" s="3" t="inlineStr">
        <is>
          <t>1</t>
        </is>
      </c>
      <c r="AD442" s="3" t="n"/>
      <c r="AE442" s="3" t="n"/>
      <c r="AF442" s="3" t="n"/>
      <c r="AG442" s="3" t="inlineStr">
        <is>
          <t>1</t>
        </is>
      </c>
      <c r="AH442" s="3" t="n"/>
      <c r="AI442" s="3" t="n"/>
      <c r="AJ442" s="3" t="n"/>
      <c r="AK442" s="3" t="n"/>
      <c r="AL442" s="3" t="inlineStr">
        <is>
          <t>FINAL</t>
        </is>
      </c>
      <c r="AM442" s="3" t="n"/>
      <c r="AN442" s="3" t="n"/>
    </row>
    <row r="443">
      <c r="A443" s="3" t="inlineStr">
        <is>
          <t>P0442</t>
        </is>
      </c>
      <c r="B443" s="3" t="n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n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n"/>
      <c r="S443" s="3" t="n"/>
      <c r="T443" s="3" t="n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n"/>
      <c r="AB443" s="3" t="inlineStr">
        <is>
          <t>6박</t>
        </is>
      </c>
      <c r="AC443" s="3" t="inlineStr">
        <is>
          <t>1</t>
        </is>
      </c>
      <c r="AD443" s="3" t="n"/>
      <c r="AE443" s="3" t="n"/>
      <c r="AF443" s="3" t="n"/>
      <c r="AG443" s="3" t="inlineStr">
        <is>
          <t>1</t>
        </is>
      </c>
      <c r="AH443" s="3" t="n"/>
      <c r="AI443" s="3" t="n"/>
      <c r="AJ443" s="3" t="n"/>
      <c r="AK443" s="3" t="n"/>
      <c r="AL443" s="3" t="inlineStr">
        <is>
          <t>FINAL</t>
        </is>
      </c>
      <c r="AM443" s="3" t="n"/>
      <c r="AN443" s="3" t="n"/>
    </row>
    <row r="444">
      <c r="A444" s="3" t="inlineStr">
        <is>
          <t>P0443</t>
        </is>
      </c>
      <c r="B444" s="3" t="n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n"/>
      <c r="S444" s="3" t="n"/>
      <c r="T444" s="3" t="n"/>
      <c r="U444" s="3" t="n"/>
      <c r="V444" s="3" t="n"/>
      <c r="W444" s="3" t="inlineStr">
        <is>
          <t>✓</t>
        </is>
      </c>
      <c r="X444" s="3" t="inlineStr">
        <is>
          <t>✓</t>
        </is>
      </c>
      <c r="Y444" s="3" t="n"/>
      <c r="Z444" s="3" t="n"/>
      <c r="AA444" s="3" t="n"/>
      <c r="AB444" s="3" t="inlineStr">
        <is>
          <t>2박</t>
        </is>
      </c>
      <c r="AC444" s="3" t="inlineStr">
        <is>
          <t>1</t>
        </is>
      </c>
      <c r="AD444" s="3" t="n"/>
      <c r="AE444" s="3" t="n"/>
      <c r="AF444" s="3" t="n"/>
      <c r="AG444" s="3" t="inlineStr">
        <is>
          <t>1</t>
        </is>
      </c>
      <c r="AH444" s="3" t="n"/>
      <c r="AI444" s="3" t="n"/>
      <c r="AJ444" s="3" t="n"/>
      <c r="AK444" s="3" t="n"/>
      <c r="AL444" s="3" t="inlineStr">
        <is>
          <t>FINAL</t>
        </is>
      </c>
      <c r="AM444" s="3" t="n"/>
      <c r="AN444" s="3" t="n"/>
    </row>
    <row r="445">
      <c r="A445" s="3" t="inlineStr">
        <is>
          <t>P0444</t>
        </is>
      </c>
      <c r="B445" s="3" t="n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n"/>
      <c r="S445" s="3" t="n"/>
      <c r="T445" s="3" t="n"/>
      <c r="U445" s="3" t="n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n"/>
      <c r="AA445" s="3" t="n"/>
      <c r="AB445" s="3" t="inlineStr">
        <is>
          <t>4박</t>
        </is>
      </c>
      <c r="AC445" s="3" t="inlineStr">
        <is>
          <t>1</t>
        </is>
      </c>
      <c r="AD445" s="3" t="n"/>
      <c r="AE445" s="3" t="n"/>
      <c r="AF445" s="3" t="n"/>
      <c r="AG445" s="3" t="inlineStr">
        <is>
          <t>1</t>
        </is>
      </c>
      <c r="AH445" s="3" t="n"/>
      <c r="AI445" s="3" t="n"/>
      <c r="AJ445" s="3" t="n"/>
      <c r="AK445" s="3" t="n"/>
      <c r="AL445" s="3" t="inlineStr">
        <is>
          <t>FINAL</t>
        </is>
      </c>
      <c r="AM445" s="3" t="n"/>
      <c r="AN445" s="3" t="n"/>
    </row>
    <row r="446">
      <c r="A446" s="3" t="inlineStr">
        <is>
          <t>P0445</t>
        </is>
      </c>
      <c r="B446" s="3" t="n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n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n"/>
      <c r="S446" s="3" t="n"/>
      <c r="T446" s="3" t="n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n"/>
      <c r="AB446" s="3" t="inlineStr">
        <is>
          <t>6박</t>
        </is>
      </c>
      <c r="AC446" s="3" t="inlineStr">
        <is>
          <t>1</t>
        </is>
      </c>
      <c r="AD446" s="3" t="n"/>
      <c r="AE446" s="3" t="n"/>
      <c r="AF446" s="3" t="n"/>
      <c r="AG446" s="3" t="inlineStr">
        <is>
          <t>1</t>
        </is>
      </c>
      <c r="AH446" s="3" t="n"/>
      <c r="AI446" s="3" t="n"/>
      <c r="AJ446" s="3" t="n"/>
      <c r="AK446" s="3" t="n"/>
      <c r="AL446" s="3" t="inlineStr">
        <is>
          <t>FINAL</t>
        </is>
      </c>
      <c r="AM446" s="3" t="n"/>
      <c r="AN446" s="3" t="n"/>
    </row>
    <row r="447">
      <c r="A447" s="3" t="inlineStr">
        <is>
          <t>P0446</t>
        </is>
      </c>
      <c r="B447" s="3" t="n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n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n"/>
      <c r="S447" s="3" t="n"/>
      <c r="T447" s="3" t="n"/>
      <c r="U447" s="3" t="n"/>
      <c r="V447" s="3" t="n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n"/>
      <c r="AB447" s="3" t="inlineStr">
        <is>
          <t>4박</t>
        </is>
      </c>
      <c r="AC447" s="3" t="inlineStr">
        <is>
          <t>1</t>
        </is>
      </c>
      <c r="AD447" s="3" t="n"/>
      <c r="AE447" s="3" t="n"/>
      <c r="AF447" s="3" t="n"/>
      <c r="AG447" s="3" t="inlineStr">
        <is>
          <t>1</t>
        </is>
      </c>
      <c r="AH447" s="3" t="n"/>
      <c r="AI447" s="3" t="n"/>
      <c r="AJ447" s="3" t="n"/>
      <c r="AK447" s="3" t="n"/>
      <c r="AL447" s="3" t="inlineStr">
        <is>
          <t>FINAL</t>
        </is>
      </c>
      <c r="AM447" s="3" t="n"/>
      <c r="AN447" s="3" t="n"/>
    </row>
    <row r="448">
      <c r="A448" s="3" t="inlineStr">
        <is>
          <t>P0447</t>
        </is>
      </c>
      <c r="B448" s="3" t="n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n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n"/>
      <c r="S448" s="3" t="n"/>
      <c r="T448" s="3" t="n"/>
      <c r="U448" s="3" t="n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n"/>
      <c r="AB448" s="3" t="inlineStr">
        <is>
          <t>5박</t>
        </is>
      </c>
      <c r="AC448" s="3" t="inlineStr">
        <is>
          <t>1</t>
        </is>
      </c>
      <c r="AD448" s="3" t="n"/>
      <c r="AE448" s="3" t="n"/>
      <c r="AF448" s="3" t="n"/>
      <c r="AG448" s="3" t="inlineStr">
        <is>
          <t>1</t>
        </is>
      </c>
      <c r="AH448" s="3" t="n"/>
      <c r="AI448" s="3" t="n"/>
      <c r="AJ448" s="3" t="n"/>
      <c r="AK448" s="3" t="n"/>
      <c r="AL448" s="3" t="inlineStr">
        <is>
          <t>FINAL</t>
        </is>
      </c>
      <c r="AM448" s="3" t="n"/>
      <c r="AN448" s="3" t="n"/>
    </row>
    <row r="449">
      <c r="A449" s="3" t="inlineStr">
        <is>
          <t>P0448</t>
        </is>
      </c>
      <c r="B449" s="3" t="n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n"/>
      <c r="S449" s="3" t="n"/>
      <c r="T449" s="3" t="n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n"/>
      <c r="AB449" s="3" t="inlineStr">
        <is>
          <t>6박</t>
        </is>
      </c>
      <c r="AC449" s="3" t="inlineStr">
        <is>
          <t>1</t>
        </is>
      </c>
      <c r="AD449" s="3" t="n"/>
      <c r="AE449" s="3" t="n"/>
      <c r="AF449" s="3" t="n"/>
      <c r="AG449" s="3" t="inlineStr">
        <is>
          <t>1</t>
        </is>
      </c>
      <c r="AH449" s="3" t="n"/>
      <c r="AI449" s="3" t="n"/>
      <c r="AJ449" s="3" t="n"/>
      <c r="AK449" s="3" t="n"/>
      <c r="AL449" s="3" t="inlineStr">
        <is>
          <t>FINAL</t>
        </is>
      </c>
      <c r="AM449" s="3" t="n"/>
      <c r="AN449" s="3" t="n"/>
    </row>
    <row r="450">
      <c r="A450" s="3" t="inlineStr">
        <is>
          <t>P0449</t>
        </is>
      </c>
      <c r="B450" s="3" t="n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n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n"/>
      <c r="S450" s="3" t="n"/>
      <c r="T450" s="3" t="n"/>
      <c r="U450" s="3" t="n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n"/>
      <c r="AB450" s="3" t="inlineStr">
        <is>
          <t>5박</t>
        </is>
      </c>
      <c r="AC450" s="3" t="inlineStr">
        <is>
          <t>1</t>
        </is>
      </c>
      <c r="AD450" s="3" t="n"/>
      <c r="AE450" s="3" t="n"/>
      <c r="AF450" s="3" t="n"/>
      <c r="AG450" s="3" t="inlineStr">
        <is>
          <t>1</t>
        </is>
      </c>
      <c r="AH450" s="3" t="n"/>
      <c r="AI450" s="3" t="n"/>
      <c r="AJ450" s="3" t="n"/>
      <c r="AK450" s="3" t="n"/>
      <c r="AL450" s="3" t="inlineStr">
        <is>
          <t>FINAL</t>
        </is>
      </c>
      <c r="AM450" s="3" t="n"/>
      <c r="AN450" s="3" t="n"/>
    </row>
    <row r="451">
      <c r="A451" s="3" t="inlineStr">
        <is>
          <t>P0450</t>
        </is>
      </c>
      <c r="B451" s="3" t="n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n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n"/>
      <c r="S451" s="3" t="n"/>
      <c r="T451" s="3" t="n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n"/>
      <c r="AB451" s="3" t="inlineStr">
        <is>
          <t>6박</t>
        </is>
      </c>
      <c r="AC451" s="3" t="inlineStr">
        <is>
          <t>1</t>
        </is>
      </c>
      <c r="AD451" s="3" t="n"/>
      <c r="AE451" s="3" t="n"/>
      <c r="AF451" s="3" t="n"/>
      <c r="AG451" s="3" t="inlineStr">
        <is>
          <t>1</t>
        </is>
      </c>
      <c r="AH451" s="3" t="n"/>
      <c r="AI451" s="3" t="n"/>
      <c r="AJ451" s="3" t="n"/>
      <c r="AK451" s="3" t="n"/>
      <c r="AL451" s="3" t="inlineStr">
        <is>
          <t>FINAL</t>
        </is>
      </c>
      <c r="AM451" s="3" t="n"/>
      <c r="AN451" s="3" t="n"/>
    </row>
    <row r="452">
      <c r="A452" s="3" t="inlineStr">
        <is>
          <t>P0451</t>
        </is>
      </c>
      <c r="B452" s="3" t="n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n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n"/>
      <c r="S452" s="3" t="n"/>
      <c r="T452" s="3" t="n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n"/>
      <c r="AB452" s="3" t="inlineStr">
        <is>
          <t>6박</t>
        </is>
      </c>
      <c r="AC452" s="3" t="inlineStr">
        <is>
          <t>1</t>
        </is>
      </c>
      <c r="AD452" s="3" t="n"/>
      <c r="AE452" s="3" t="n"/>
      <c r="AF452" s="3" t="n"/>
      <c r="AG452" s="3" t="inlineStr">
        <is>
          <t>1</t>
        </is>
      </c>
      <c r="AH452" s="3" t="n"/>
      <c r="AI452" s="3" t="n"/>
      <c r="AJ452" s="3" t="n"/>
      <c r="AK452" s="3" t="n"/>
      <c r="AL452" s="3" t="inlineStr">
        <is>
          <t>FINAL</t>
        </is>
      </c>
      <c r="AM452" s="3" t="n"/>
      <c r="AN452" s="3" t="n"/>
    </row>
    <row r="453">
      <c r="A453" s="3" t="inlineStr">
        <is>
          <t>P0452</t>
        </is>
      </c>
      <c r="B453" s="3" t="n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n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n"/>
      <c r="S453" s="3" t="n"/>
      <c r="T453" s="3" t="n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n"/>
      <c r="AB453" s="3" t="inlineStr">
        <is>
          <t>6박</t>
        </is>
      </c>
      <c r="AC453" s="3" t="inlineStr">
        <is>
          <t>1</t>
        </is>
      </c>
      <c r="AD453" s="3" t="n"/>
      <c r="AE453" s="3" t="n"/>
      <c r="AF453" s="3" t="n"/>
      <c r="AG453" s="3" t="inlineStr">
        <is>
          <t>1</t>
        </is>
      </c>
      <c r="AH453" s="3" t="n"/>
      <c r="AI453" s="3" t="n"/>
      <c r="AJ453" s="3" t="n"/>
      <c r="AK453" s="3" t="n"/>
      <c r="AL453" s="3" t="inlineStr">
        <is>
          <t>FINAL</t>
        </is>
      </c>
      <c r="AM453" s="3" t="n"/>
      <c r="AN453" s="3" t="n"/>
    </row>
    <row r="454">
      <c r="A454" s="3" t="inlineStr">
        <is>
          <t>P0453</t>
        </is>
      </c>
      <c r="B454" s="3" t="n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n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n"/>
      <c r="S454" s="3" t="n"/>
      <c r="T454" s="3" t="n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n"/>
      <c r="AB454" s="3" t="inlineStr">
        <is>
          <t>6박</t>
        </is>
      </c>
      <c r="AC454" s="3" t="inlineStr">
        <is>
          <t>1</t>
        </is>
      </c>
      <c r="AD454" s="3" t="n"/>
      <c r="AE454" s="3" t="n"/>
      <c r="AF454" s="3" t="n"/>
      <c r="AG454" s="3" t="inlineStr">
        <is>
          <t>1</t>
        </is>
      </c>
      <c r="AH454" s="3" t="n"/>
      <c r="AI454" s="3" t="n"/>
      <c r="AJ454" s="3" t="n"/>
      <c r="AK454" s="3" t="n"/>
      <c r="AL454" s="3" t="inlineStr">
        <is>
          <t>FINAL</t>
        </is>
      </c>
      <c r="AM454" s="3" t="n"/>
      <c r="AN454" s="3" t="n"/>
    </row>
    <row r="455">
      <c r="A455" s="3" t="inlineStr">
        <is>
          <t>P0454</t>
        </is>
      </c>
      <c r="B455" s="3" t="n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n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n"/>
      <c r="S455" s="3" t="n"/>
      <c r="T455" s="3" t="n"/>
      <c r="U455" s="3" t="n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n"/>
      <c r="AB455" s="3" t="inlineStr">
        <is>
          <t>5박</t>
        </is>
      </c>
      <c r="AC455" s="3" t="inlineStr">
        <is>
          <t>1</t>
        </is>
      </c>
      <c r="AD455" s="3" t="n"/>
      <c r="AE455" s="3" t="n"/>
      <c r="AF455" s="3" t="n"/>
      <c r="AG455" s="3" t="inlineStr">
        <is>
          <t>1</t>
        </is>
      </c>
      <c r="AH455" s="3" t="n"/>
      <c r="AI455" s="3" t="n"/>
      <c r="AJ455" s="3" t="n"/>
      <c r="AK455" s="3" t="n"/>
      <c r="AL455" s="3" t="inlineStr">
        <is>
          <t>FINAL</t>
        </is>
      </c>
      <c r="AM455" s="3" t="n"/>
      <c r="AN455" s="3" t="n"/>
    </row>
    <row r="456">
      <c r="A456" s="3" t="inlineStr">
        <is>
          <t>P0455</t>
        </is>
      </c>
      <c r="B456" s="3" t="n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n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n"/>
      <c r="S456" s="3" t="n"/>
      <c r="T456" s="3" t="n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n"/>
      <c r="AB456" s="3" t="inlineStr">
        <is>
          <t>6박</t>
        </is>
      </c>
      <c r="AC456" s="3" t="inlineStr">
        <is>
          <t>1</t>
        </is>
      </c>
      <c r="AD456" s="3" t="n"/>
      <c r="AE456" s="3" t="n"/>
      <c r="AF456" s="3" t="n"/>
      <c r="AG456" s="3" t="inlineStr">
        <is>
          <t>1</t>
        </is>
      </c>
      <c r="AH456" s="3" t="n"/>
      <c r="AI456" s="3" t="n"/>
      <c r="AJ456" s="3" t="n"/>
      <c r="AK456" s="3" t="n"/>
      <c r="AL456" s="3" t="inlineStr">
        <is>
          <t>FINAL</t>
        </is>
      </c>
      <c r="AM456" s="3" t="n"/>
      <c r="AN456" s="3" t="n"/>
    </row>
    <row r="457">
      <c r="A457" s="3" t="inlineStr">
        <is>
          <t>P0456</t>
        </is>
      </c>
      <c r="B457" s="3" t="n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n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n"/>
      <c r="S457" s="3" t="n"/>
      <c r="T457" s="3" t="n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n"/>
      <c r="AB457" s="3" t="inlineStr">
        <is>
          <t>6박</t>
        </is>
      </c>
      <c r="AC457" s="3" t="inlineStr">
        <is>
          <t>1</t>
        </is>
      </c>
      <c r="AD457" s="3" t="n"/>
      <c r="AE457" s="3" t="n"/>
      <c r="AF457" s="3" t="n"/>
      <c r="AG457" s="3" t="inlineStr">
        <is>
          <t>1</t>
        </is>
      </c>
      <c r="AH457" s="3" t="n"/>
      <c r="AI457" s="3" t="n"/>
      <c r="AJ457" s="3" t="n"/>
      <c r="AK457" s="3" t="n"/>
      <c r="AL457" s="3" t="inlineStr">
        <is>
          <t>FINAL</t>
        </is>
      </c>
      <c r="AM457" s="3" t="n"/>
      <c r="AN457" s="3" t="n"/>
    </row>
    <row r="458">
      <c r="A458" s="3" t="inlineStr">
        <is>
          <t>P0457</t>
        </is>
      </c>
      <c r="B458" s="3" t="n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n"/>
      <c r="S458" s="3" t="n"/>
      <c r="T458" s="3" t="n"/>
      <c r="U458" s="3" t="n"/>
      <c r="V458" s="3" t="n"/>
      <c r="W458" s="3" t="n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n"/>
      <c r="AB458" s="3" t="inlineStr">
        <is>
          <t>3박</t>
        </is>
      </c>
      <c r="AC458" s="3" t="inlineStr">
        <is>
          <t>1</t>
        </is>
      </c>
      <c r="AD458" s="3" t="n"/>
      <c r="AE458" s="3" t="n"/>
      <c r="AF458" s="3" t="n"/>
      <c r="AG458" s="3" t="inlineStr">
        <is>
          <t>1</t>
        </is>
      </c>
      <c r="AH458" s="3" t="n"/>
      <c r="AI458" s="3" t="n"/>
      <c r="AJ458" s="3" t="n"/>
      <c r="AK458" s="3" t="n"/>
      <c r="AL458" s="3" t="inlineStr">
        <is>
          <t>FINAL</t>
        </is>
      </c>
      <c r="AM458" s="3" t="n"/>
      <c r="AN458" s="3" t="n"/>
    </row>
    <row r="459">
      <c r="A459" s="3" t="inlineStr">
        <is>
          <t>P0458</t>
        </is>
      </c>
      <c r="B459" s="3" t="n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n"/>
      <c r="S459" s="3" t="n"/>
      <c r="T459" s="3" t="n"/>
      <c r="U459" s="3" t="n"/>
      <c r="V459" s="3" t="n"/>
      <c r="W459" s="3" t="n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n"/>
      <c r="AB459" s="3" t="inlineStr">
        <is>
          <t>3박</t>
        </is>
      </c>
      <c r="AC459" s="3" t="inlineStr">
        <is>
          <t>1</t>
        </is>
      </c>
      <c r="AD459" s="3" t="n"/>
      <c r="AE459" s="3" t="n"/>
      <c r="AF459" s="3" t="n"/>
      <c r="AG459" s="3" t="inlineStr">
        <is>
          <t>1</t>
        </is>
      </c>
      <c r="AH459" s="3" t="n"/>
      <c r="AI459" s="3" t="n"/>
      <c r="AJ459" s="3" t="n"/>
      <c r="AK459" s="3" t="n"/>
      <c r="AL459" s="3" t="inlineStr">
        <is>
          <t>FINAL</t>
        </is>
      </c>
      <c r="AM459" s="3" t="n"/>
      <c r="AN459" s="3" t="n"/>
    </row>
    <row r="460">
      <c r="A460" s="3" t="inlineStr">
        <is>
          <t>P0459</t>
        </is>
      </c>
      <c r="B460" s="3" t="n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n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n"/>
      <c r="S460" s="3" t="n"/>
      <c r="T460" s="3" t="n"/>
      <c r="U460" s="3" t="n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n"/>
      <c r="AB460" s="3" t="inlineStr">
        <is>
          <t>5박</t>
        </is>
      </c>
      <c r="AC460" s="3" t="inlineStr">
        <is>
          <t>1</t>
        </is>
      </c>
      <c r="AD460" s="3" t="n"/>
      <c r="AE460" s="3" t="n"/>
      <c r="AF460" s="3" t="n"/>
      <c r="AG460" s="3" t="inlineStr">
        <is>
          <t>1</t>
        </is>
      </c>
      <c r="AH460" s="3" t="n"/>
      <c r="AI460" s="3" t="n"/>
      <c r="AJ460" s="3" t="n"/>
      <c r="AK460" s="3" t="n"/>
      <c r="AL460" s="3" t="inlineStr">
        <is>
          <t>FINAL</t>
        </is>
      </c>
      <c r="AM460" s="3" t="n"/>
      <c r="AN460" s="3" t="n"/>
    </row>
    <row r="461">
      <c r="A461" s="3" t="inlineStr">
        <is>
          <t>P0460</t>
        </is>
      </c>
      <c r="B461" s="3" t="n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n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n"/>
      <c r="S461" s="3" t="n"/>
      <c r="T461" s="3" t="n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n"/>
      <c r="AB461" s="3" t="inlineStr">
        <is>
          <t>6박</t>
        </is>
      </c>
      <c r="AC461" s="3" t="inlineStr">
        <is>
          <t>1</t>
        </is>
      </c>
      <c r="AD461" s="3" t="n"/>
      <c r="AE461" s="3" t="n"/>
      <c r="AF461" s="3" t="n"/>
      <c r="AG461" s="3" t="inlineStr">
        <is>
          <t>1</t>
        </is>
      </c>
      <c r="AH461" s="3" t="n"/>
      <c r="AI461" s="3" t="n"/>
      <c r="AJ461" s="3" t="n"/>
      <c r="AK461" s="3" t="n"/>
      <c r="AL461" s="3" t="inlineStr">
        <is>
          <t>FINAL</t>
        </is>
      </c>
      <c r="AM461" s="3" t="n"/>
      <c r="AN461" s="3" t="n"/>
    </row>
    <row r="462">
      <c r="A462" s="3" t="inlineStr">
        <is>
          <t>P0461</t>
        </is>
      </c>
      <c r="B462" s="3" t="n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n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n"/>
      <c r="S462" s="3" t="n"/>
      <c r="T462" s="3" t="n"/>
      <c r="U462" s="3" t="inlineStr">
        <is>
          <t>✓</t>
        </is>
      </c>
      <c r="V462" s="3" t="n"/>
      <c r="W462" s="3" t="n"/>
      <c r="X462" s="3" t="n"/>
      <c r="Y462" s="3" t="n"/>
      <c r="Z462" s="3" t="n"/>
      <c r="AA462" s="3" t="n"/>
      <c r="AB462" s="3" t="inlineStr">
        <is>
          <t>1박</t>
        </is>
      </c>
      <c r="AC462" s="3" t="inlineStr">
        <is>
          <t>1</t>
        </is>
      </c>
      <c r="AD462" s="3" t="n"/>
      <c r="AE462" s="3" t="n"/>
      <c r="AF462" s="3" t="n"/>
      <c r="AG462" s="3" t="inlineStr">
        <is>
          <t>1</t>
        </is>
      </c>
      <c r="AH462" s="3" t="n"/>
      <c r="AI462" s="3" t="n"/>
      <c r="AJ462" s="3" t="n"/>
      <c r="AK462" s="3" t="n"/>
      <c r="AL462" s="3" t="inlineStr">
        <is>
          <t>FINAL</t>
        </is>
      </c>
      <c r="AM462" s="3" t="n"/>
      <c r="AN462" s="3" t="n"/>
    </row>
    <row r="463">
      <c r="A463" s="3" t="inlineStr">
        <is>
          <t>P0462</t>
        </is>
      </c>
      <c r="B463" s="3" t="n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n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n"/>
      <c r="S463" s="3" t="n"/>
      <c r="T463" s="3" t="n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n"/>
      <c r="AB463" s="3" t="inlineStr">
        <is>
          <t>6박</t>
        </is>
      </c>
      <c r="AC463" s="3" t="inlineStr">
        <is>
          <t>1</t>
        </is>
      </c>
      <c r="AD463" s="3" t="n"/>
      <c r="AE463" s="3" t="n"/>
      <c r="AF463" s="3" t="n"/>
      <c r="AG463" s="3" t="inlineStr">
        <is>
          <t>1</t>
        </is>
      </c>
      <c r="AH463" s="3" t="n"/>
      <c r="AI463" s="3" t="n"/>
      <c r="AJ463" s="3" t="n"/>
      <c r="AK463" s="3" t="n"/>
      <c r="AL463" s="3" t="inlineStr">
        <is>
          <t>FINAL</t>
        </is>
      </c>
      <c r="AM463" s="3" t="n"/>
      <c r="AN463" s="3" t="n"/>
    </row>
    <row r="464">
      <c r="A464" s="3" t="inlineStr">
        <is>
          <t>P0463</t>
        </is>
      </c>
      <c r="B464" s="3" t="n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n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n"/>
      <c r="S464" s="3" t="n"/>
      <c r="T464" s="3" t="n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n"/>
      <c r="AB464" s="3" t="inlineStr">
        <is>
          <t>6박</t>
        </is>
      </c>
      <c r="AC464" s="3" t="inlineStr">
        <is>
          <t>1</t>
        </is>
      </c>
      <c r="AD464" s="3" t="n"/>
      <c r="AE464" s="3" t="n"/>
      <c r="AF464" s="3" t="n"/>
      <c r="AG464" s="3" t="inlineStr">
        <is>
          <t>1</t>
        </is>
      </c>
      <c r="AH464" s="3" t="n"/>
      <c r="AI464" s="3" t="n"/>
      <c r="AJ464" s="3" t="n"/>
      <c r="AK464" s="3" t="n"/>
      <c r="AL464" s="3" t="inlineStr">
        <is>
          <t>FINAL</t>
        </is>
      </c>
      <c r="AM464" s="3" t="n"/>
      <c r="AN464" s="3" t="n"/>
    </row>
    <row r="465">
      <c r="A465" s="3" t="inlineStr">
        <is>
          <t>P0464</t>
        </is>
      </c>
      <c r="B465" s="3" t="n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n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n"/>
      <c r="S465" s="3" t="n"/>
      <c r="T465" s="3" t="n"/>
      <c r="U465" s="3" t="n"/>
      <c r="V465" s="3" t="n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n"/>
      <c r="AB465" s="3" t="inlineStr">
        <is>
          <t>4박</t>
        </is>
      </c>
      <c r="AC465" s="3" t="inlineStr">
        <is>
          <t>1</t>
        </is>
      </c>
      <c r="AD465" s="3" t="n"/>
      <c r="AE465" s="3" t="n"/>
      <c r="AF465" s="3" t="n"/>
      <c r="AG465" s="3" t="inlineStr">
        <is>
          <t>1</t>
        </is>
      </c>
      <c r="AH465" s="3" t="n"/>
      <c r="AI465" s="3" t="n"/>
      <c r="AJ465" s="3" t="n"/>
      <c r="AK465" s="3" t="n"/>
      <c r="AL465" s="3" t="inlineStr">
        <is>
          <t>FINAL</t>
        </is>
      </c>
      <c r="AM465" s="3" t="n"/>
      <c r="AN465" s="3" t="n"/>
    </row>
    <row r="466">
      <c r="A466" s="3" t="inlineStr">
        <is>
          <t>P0465</t>
        </is>
      </c>
      <c r="B466" s="3" t="n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n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n"/>
      <c r="S466" s="3" t="n"/>
      <c r="T466" s="3" t="n"/>
      <c r="U466" s="3" t="n"/>
      <c r="V466" s="3" t="n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n"/>
      <c r="AB466" s="3" t="inlineStr">
        <is>
          <t>4박</t>
        </is>
      </c>
      <c r="AC466" s="3" t="inlineStr">
        <is>
          <t>1</t>
        </is>
      </c>
      <c r="AD466" s="3" t="n"/>
      <c r="AE466" s="3" t="n"/>
      <c r="AF466" s="3" t="n"/>
      <c r="AG466" s="3" t="inlineStr">
        <is>
          <t>1</t>
        </is>
      </c>
      <c r="AH466" s="3" t="n"/>
      <c r="AI466" s="3" t="n"/>
      <c r="AJ466" s="3" t="n"/>
      <c r="AK466" s="3" t="n"/>
      <c r="AL466" s="3" t="inlineStr">
        <is>
          <t>FINAL</t>
        </is>
      </c>
      <c r="AM466" s="3" t="n"/>
      <c r="AN466" s="3" t="n"/>
    </row>
    <row r="467">
      <c r="A467" s="3" t="inlineStr">
        <is>
          <t>P0466</t>
        </is>
      </c>
      <c r="B467" s="3" t="n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n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n"/>
      <c r="S467" s="3" t="n"/>
      <c r="T467" s="3" t="n"/>
      <c r="U467" s="3" t="n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n"/>
      <c r="AB467" s="3" t="inlineStr">
        <is>
          <t>5박</t>
        </is>
      </c>
      <c r="AC467" s="3" t="inlineStr">
        <is>
          <t>1</t>
        </is>
      </c>
      <c r="AD467" s="3" t="n"/>
      <c r="AE467" s="3" t="n"/>
      <c r="AF467" s="3" t="n"/>
      <c r="AG467" s="3" t="inlineStr">
        <is>
          <t>1</t>
        </is>
      </c>
      <c r="AH467" s="3" t="n"/>
      <c r="AI467" s="3" t="n"/>
      <c r="AJ467" s="3" t="n"/>
      <c r="AK467" s="3" t="n"/>
      <c r="AL467" s="3" t="inlineStr">
        <is>
          <t>FINAL</t>
        </is>
      </c>
      <c r="AM467" s="3" t="n"/>
      <c r="AN467" s="3" t="n"/>
    </row>
    <row r="468">
      <c r="A468" s="3" t="inlineStr">
        <is>
          <t>P0467</t>
        </is>
      </c>
      <c r="B468" s="3" t="n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n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n"/>
      <c r="S468" s="3" t="n"/>
      <c r="T468" s="3" t="n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n"/>
      <c r="AB468" s="3" t="inlineStr">
        <is>
          <t>6박</t>
        </is>
      </c>
      <c r="AC468" s="3" t="inlineStr">
        <is>
          <t>1</t>
        </is>
      </c>
      <c r="AD468" s="3" t="n"/>
      <c r="AE468" s="3" t="n"/>
      <c r="AF468" s="3" t="n"/>
      <c r="AG468" s="3" t="inlineStr">
        <is>
          <t>1</t>
        </is>
      </c>
      <c r="AH468" s="3" t="n"/>
      <c r="AI468" s="3" t="n"/>
      <c r="AJ468" s="3" t="n"/>
      <c r="AK468" s="3" t="n"/>
      <c r="AL468" s="3" t="inlineStr">
        <is>
          <t>FINAL</t>
        </is>
      </c>
      <c r="AM468" s="3" t="n"/>
      <c r="AN468" s="3" t="n"/>
    </row>
    <row r="469">
      <c r="A469" s="3" t="inlineStr">
        <is>
          <t>P0468</t>
        </is>
      </c>
      <c r="B469" s="3" t="n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n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n"/>
      <c r="S469" s="3" t="n"/>
      <c r="T469" s="3" t="n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n"/>
      <c r="AB469" s="3" t="inlineStr">
        <is>
          <t>6박</t>
        </is>
      </c>
      <c r="AC469" s="3" t="inlineStr">
        <is>
          <t>1</t>
        </is>
      </c>
      <c r="AD469" s="3" t="n"/>
      <c r="AE469" s="3" t="n"/>
      <c r="AF469" s="3" t="n"/>
      <c r="AG469" s="3" t="inlineStr">
        <is>
          <t>1</t>
        </is>
      </c>
      <c r="AH469" s="3" t="n"/>
      <c r="AI469" s="3" t="n"/>
      <c r="AJ469" s="3" t="n"/>
      <c r="AK469" s="3" t="n"/>
      <c r="AL469" s="3" t="inlineStr">
        <is>
          <t>FINAL</t>
        </is>
      </c>
      <c r="AM469" s="3" t="n"/>
      <c r="AN469" s="3" t="n"/>
    </row>
    <row r="470">
      <c r="A470" s="3" t="inlineStr">
        <is>
          <t>P0469</t>
        </is>
      </c>
      <c r="B470" s="3" t="n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n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n"/>
      <c r="S470" s="3" t="n"/>
      <c r="T470" s="3" t="n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n"/>
      <c r="AB470" s="3" t="inlineStr">
        <is>
          <t>6박</t>
        </is>
      </c>
      <c r="AC470" s="3" t="inlineStr">
        <is>
          <t>1</t>
        </is>
      </c>
      <c r="AD470" s="3" t="n"/>
      <c r="AE470" s="3" t="n"/>
      <c r="AF470" s="3" t="n"/>
      <c r="AG470" s="3" t="inlineStr">
        <is>
          <t>1</t>
        </is>
      </c>
      <c r="AH470" s="3" t="n"/>
      <c r="AI470" s="3" t="n"/>
      <c r="AJ470" s="3" t="n"/>
      <c r="AK470" s="3" t="n"/>
      <c r="AL470" s="3" t="inlineStr">
        <is>
          <t>FINAL</t>
        </is>
      </c>
      <c r="AM470" s="3" t="n"/>
      <c r="AN470" s="3" t="n"/>
    </row>
    <row r="471">
      <c r="A471" s="3" t="inlineStr">
        <is>
          <t>P0470</t>
        </is>
      </c>
      <c r="B471" s="3" t="n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n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n"/>
      <c r="S471" s="3" t="n"/>
      <c r="T471" s="3" t="n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n"/>
      <c r="AB471" s="3" t="inlineStr">
        <is>
          <t>6박</t>
        </is>
      </c>
      <c r="AC471" s="3" t="inlineStr">
        <is>
          <t>1</t>
        </is>
      </c>
      <c r="AD471" s="3" t="n"/>
      <c r="AE471" s="3" t="n"/>
      <c r="AF471" s="3" t="n"/>
      <c r="AG471" s="3" t="inlineStr">
        <is>
          <t>1</t>
        </is>
      </c>
      <c r="AH471" s="3" t="n"/>
      <c r="AI471" s="3" t="n"/>
      <c r="AJ471" s="3" t="n"/>
      <c r="AK471" s="3" t="n"/>
      <c r="AL471" s="3" t="inlineStr">
        <is>
          <t>FINAL</t>
        </is>
      </c>
      <c r="AM471" s="3" t="n"/>
      <c r="AN471" s="3" t="n"/>
    </row>
    <row r="472">
      <c r="A472" s="3" t="inlineStr">
        <is>
          <t>P0471</t>
        </is>
      </c>
      <c r="B472" s="3" t="n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n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n"/>
      <c r="S472" s="3" t="n"/>
      <c r="T472" s="3" t="n"/>
      <c r="U472" s="3" t="inlineStr">
        <is>
          <t>✓</t>
        </is>
      </c>
      <c r="V472" s="3" t="n"/>
      <c r="W472" s="3" t="n"/>
      <c r="X472" s="3" t="n"/>
      <c r="Y472" s="3" t="n"/>
      <c r="Z472" s="3" t="n"/>
      <c r="AA472" s="3" t="n"/>
      <c r="AB472" s="3" t="inlineStr">
        <is>
          <t>1박</t>
        </is>
      </c>
      <c r="AC472" s="3" t="inlineStr">
        <is>
          <t>1</t>
        </is>
      </c>
      <c r="AD472" s="3" t="n"/>
      <c r="AE472" s="3" t="n"/>
      <c r="AF472" s="3" t="n"/>
      <c r="AG472" s="3" t="inlineStr">
        <is>
          <t>1</t>
        </is>
      </c>
      <c r="AH472" s="3" t="n"/>
      <c r="AI472" s="3" t="n"/>
      <c r="AJ472" s="3" t="n"/>
      <c r="AK472" s="3" t="n"/>
      <c r="AL472" s="3" t="inlineStr">
        <is>
          <t>FINAL</t>
        </is>
      </c>
      <c r="AM472" s="3" t="n"/>
      <c r="AN472" s="3" t="n"/>
    </row>
    <row r="473">
      <c r="A473" s="3" t="inlineStr">
        <is>
          <t>P0472</t>
        </is>
      </c>
      <c r="B473" s="3" t="n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n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n"/>
      <c r="S473" s="3" t="n"/>
      <c r="T473" s="3" t="n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n"/>
      <c r="AB473" s="3" t="inlineStr">
        <is>
          <t>6박</t>
        </is>
      </c>
      <c r="AC473" s="3" t="inlineStr">
        <is>
          <t>1</t>
        </is>
      </c>
      <c r="AD473" s="3" t="n"/>
      <c r="AE473" s="3" t="n"/>
      <c r="AF473" s="3" t="n"/>
      <c r="AG473" s="3" t="inlineStr">
        <is>
          <t>1</t>
        </is>
      </c>
      <c r="AH473" s="3" t="n"/>
      <c r="AI473" s="3" t="n"/>
      <c r="AJ473" s="3" t="n"/>
      <c r="AK473" s="3" t="n"/>
      <c r="AL473" s="3" t="inlineStr">
        <is>
          <t>FINAL</t>
        </is>
      </c>
      <c r="AM473" s="3" t="n"/>
      <c r="AN473" s="3" t="n"/>
    </row>
    <row r="474">
      <c r="A474" s="3" t="inlineStr">
        <is>
          <t>P0473</t>
        </is>
      </c>
      <c r="B474" s="3" t="n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n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n"/>
      <c r="S474" s="3" t="n"/>
      <c r="T474" s="3" t="n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n"/>
      <c r="AB474" s="3" t="inlineStr">
        <is>
          <t>6박</t>
        </is>
      </c>
      <c r="AC474" s="3" t="inlineStr">
        <is>
          <t>1</t>
        </is>
      </c>
      <c r="AD474" s="3" t="n"/>
      <c r="AE474" s="3" t="n"/>
      <c r="AF474" s="3" t="n"/>
      <c r="AG474" s="3" t="inlineStr">
        <is>
          <t>1</t>
        </is>
      </c>
      <c r="AH474" s="3" t="n"/>
      <c r="AI474" s="3" t="n"/>
      <c r="AJ474" s="3" t="n"/>
      <c r="AK474" s="3" t="n"/>
      <c r="AL474" s="3" t="inlineStr">
        <is>
          <t>FINAL</t>
        </is>
      </c>
      <c r="AM474" s="3" t="n"/>
      <c r="AN474" s="3" t="n"/>
    </row>
    <row r="475">
      <c r="A475" s="3" t="inlineStr">
        <is>
          <t>P0474</t>
        </is>
      </c>
      <c r="B475" s="3" t="n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n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n"/>
      <c r="S475" s="3" t="n"/>
      <c r="T475" s="3" t="n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n"/>
      <c r="AB475" s="3" t="inlineStr">
        <is>
          <t>6박</t>
        </is>
      </c>
      <c r="AC475" s="3" t="inlineStr">
        <is>
          <t>1</t>
        </is>
      </c>
      <c r="AD475" s="3" t="n"/>
      <c r="AE475" s="3" t="n"/>
      <c r="AF475" s="3" t="n"/>
      <c r="AG475" s="3" t="inlineStr">
        <is>
          <t>1</t>
        </is>
      </c>
      <c r="AH475" s="3" t="n"/>
      <c r="AI475" s="3" t="n"/>
      <c r="AJ475" s="3" t="n"/>
      <c r="AK475" s="3" t="n"/>
      <c r="AL475" s="3" t="inlineStr">
        <is>
          <t>FINAL</t>
        </is>
      </c>
      <c r="AM475" s="3" t="n"/>
      <c r="AN475" s="3" t="n"/>
    </row>
    <row r="476">
      <c r="A476" s="3" t="inlineStr">
        <is>
          <t>P0475</t>
        </is>
      </c>
      <c r="B476" s="3" t="n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n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n"/>
      <c r="S476" s="3" t="n"/>
      <c r="T476" s="3" t="n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n"/>
      <c r="AB476" s="3" t="inlineStr">
        <is>
          <t>6박</t>
        </is>
      </c>
      <c r="AC476" s="3" t="inlineStr">
        <is>
          <t>1</t>
        </is>
      </c>
      <c r="AD476" s="3" t="n"/>
      <c r="AE476" s="3" t="n"/>
      <c r="AF476" s="3" t="n"/>
      <c r="AG476" s="3" t="inlineStr">
        <is>
          <t>1</t>
        </is>
      </c>
      <c r="AH476" s="3" t="n"/>
      <c r="AI476" s="3" t="n"/>
      <c r="AJ476" s="3" t="n"/>
      <c r="AK476" s="3" t="n"/>
      <c r="AL476" s="3" t="inlineStr">
        <is>
          <t>FINAL</t>
        </is>
      </c>
      <c r="AM476" s="3" t="n"/>
      <c r="AN476" s="3" t="n"/>
    </row>
    <row r="477">
      <c r="A477" s="3" t="inlineStr">
        <is>
          <t>P0476</t>
        </is>
      </c>
      <c r="B477" s="3" t="n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n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n"/>
      <c r="S477" s="3" t="n"/>
      <c r="T477" s="3" t="n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n"/>
      <c r="AB477" s="3" t="inlineStr">
        <is>
          <t>6박</t>
        </is>
      </c>
      <c r="AC477" s="3" t="inlineStr">
        <is>
          <t>1</t>
        </is>
      </c>
      <c r="AD477" s="3" t="n"/>
      <c r="AE477" s="3" t="n"/>
      <c r="AF477" s="3" t="n"/>
      <c r="AG477" s="3" t="inlineStr">
        <is>
          <t>1</t>
        </is>
      </c>
      <c r="AH477" s="3" t="n"/>
      <c r="AI477" s="3" t="n"/>
      <c r="AJ477" s="3" t="n"/>
      <c r="AK477" s="3" t="n"/>
      <c r="AL477" s="3" t="inlineStr">
        <is>
          <t>FINAL</t>
        </is>
      </c>
      <c r="AM477" s="3" t="n"/>
      <c r="AN477" s="3" t="n"/>
    </row>
    <row r="478">
      <c r="A478" s="3" t="inlineStr">
        <is>
          <t>P0477</t>
        </is>
      </c>
      <c r="B478" s="3" t="n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n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n"/>
      <c r="S478" s="3" t="n"/>
      <c r="T478" s="3" t="n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n"/>
      <c r="AB478" s="3" t="inlineStr">
        <is>
          <t>6박</t>
        </is>
      </c>
      <c r="AC478" s="3" t="inlineStr">
        <is>
          <t>1</t>
        </is>
      </c>
      <c r="AD478" s="3" t="n"/>
      <c r="AE478" s="3" t="n"/>
      <c r="AF478" s="3" t="n"/>
      <c r="AG478" s="3" t="inlineStr">
        <is>
          <t>1</t>
        </is>
      </c>
      <c r="AH478" s="3" t="n"/>
      <c r="AI478" s="3" t="n"/>
      <c r="AJ478" s="3" t="n"/>
      <c r="AK478" s="3" t="n"/>
      <c r="AL478" s="3" t="inlineStr">
        <is>
          <t>FINAL</t>
        </is>
      </c>
      <c r="AM478" s="3" t="n"/>
      <c r="AN478" s="3" t="n"/>
    </row>
    <row r="479">
      <c r="A479" s="3" t="inlineStr">
        <is>
          <t>P0478</t>
        </is>
      </c>
      <c r="B479" s="3" t="n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n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n"/>
      <c r="S479" s="3" t="n"/>
      <c r="T479" s="3" t="n"/>
      <c r="U479" s="3" t="n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n"/>
      <c r="AB479" s="3" t="inlineStr">
        <is>
          <t>5박</t>
        </is>
      </c>
      <c r="AC479" s="3" t="inlineStr">
        <is>
          <t>1</t>
        </is>
      </c>
      <c r="AD479" s="3" t="n"/>
      <c r="AE479" s="3" t="n"/>
      <c r="AF479" s="3" t="n"/>
      <c r="AG479" s="3" t="inlineStr">
        <is>
          <t>1</t>
        </is>
      </c>
      <c r="AH479" s="3" t="n"/>
      <c r="AI479" s="3" t="n"/>
      <c r="AJ479" s="3" t="n"/>
      <c r="AK479" s="3" t="n"/>
      <c r="AL479" s="3" t="inlineStr">
        <is>
          <t>FINAL</t>
        </is>
      </c>
      <c r="AM479" s="3" t="n"/>
      <c r="AN479" s="3" t="n"/>
    </row>
    <row r="480">
      <c r="A480" s="3" t="inlineStr">
        <is>
          <t>P0479</t>
        </is>
      </c>
      <c r="B480" s="3" t="n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n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n"/>
      <c r="S480" s="3" t="n"/>
      <c r="T480" s="3" t="n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n"/>
      <c r="AB480" s="3" t="inlineStr">
        <is>
          <t>6박</t>
        </is>
      </c>
      <c r="AC480" s="3" t="inlineStr">
        <is>
          <t>1</t>
        </is>
      </c>
      <c r="AD480" s="3" t="n"/>
      <c r="AE480" s="3" t="n"/>
      <c r="AF480" s="3" t="n"/>
      <c r="AG480" s="3" t="inlineStr">
        <is>
          <t>1</t>
        </is>
      </c>
      <c r="AH480" s="3" t="n"/>
      <c r="AI480" s="3" t="n"/>
      <c r="AJ480" s="3" t="n"/>
      <c r="AK480" s="3" t="n"/>
      <c r="AL480" s="3" t="inlineStr">
        <is>
          <t>FINAL</t>
        </is>
      </c>
      <c r="AM480" s="3" t="n"/>
      <c r="AN480" s="3" t="n"/>
    </row>
    <row r="481">
      <c r="A481" s="3" t="inlineStr">
        <is>
          <t>P0480</t>
        </is>
      </c>
      <c r="B481" s="3" t="n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n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n"/>
      <c r="S481" s="3" t="n"/>
      <c r="T481" s="3" t="n"/>
      <c r="U481" s="3" t="n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n"/>
      <c r="AB481" s="3" t="inlineStr">
        <is>
          <t>5박</t>
        </is>
      </c>
      <c r="AC481" s="3" t="inlineStr">
        <is>
          <t>1</t>
        </is>
      </c>
      <c r="AD481" s="3" t="n"/>
      <c r="AE481" s="3" t="n"/>
      <c r="AF481" s="3" t="n"/>
      <c r="AG481" s="3" t="inlineStr">
        <is>
          <t>1</t>
        </is>
      </c>
      <c r="AH481" s="3" t="n"/>
      <c r="AI481" s="3" t="n"/>
      <c r="AJ481" s="3" t="n"/>
      <c r="AK481" s="3" t="n"/>
      <c r="AL481" s="3" t="inlineStr">
        <is>
          <t>FINAL</t>
        </is>
      </c>
      <c r="AM481" s="3" t="n"/>
      <c r="AN481" s="3" t="n"/>
    </row>
    <row r="482">
      <c r="A482" s="3" t="inlineStr">
        <is>
          <t>P0481</t>
        </is>
      </c>
      <c r="B482" s="3" t="n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n"/>
      <c r="S482" s="3" t="n"/>
      <c r="T482" s="3" t="n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n"/>
      <c r="AB482" s="3" t="inlineStr">
        <is>
          <t>6박</t>
        </is>
      </c>
      <c r="AC482" s="3" t="inlineStr">
        <is>
          <t>1</t>
        </is>
      </c>
      <c r="AD482" s="3" t="n"/>
      <c r="AE482" s="3" t="n"/>
      <c r="AF482" s="3" t="n"/>
      <c r="AG482" s="3" t="inlineStr">
        <is>
          <t>1</t>
        </is>
      </c>
      <c r="AH482" s="3" t="n"/>
      <c r="AI482" s="3" t="n"/>
      <c r="AJ482" s="3" t="n"/>
      <c r="AK482" s="3" t="n"/>
      <c r="AL482" s="3" t="inlineStr">
        <is>
          <t>FINAL</t>
        </is>
      </c>
      <c r="AM482" s="3" t="n"/>
      <c r="AN482" s="3" t="n"/>
    </row>
    <row r="483">
      <c r="A483" s="3" t="inlineStr">
        <is>
          <t>P0482</t>
        </is>
      </c>
      <c r="B483" s="3" t="n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n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n"/>
      <c r="S483" s="3" t="n"/>
      <c r="T483" s="3" t="n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n"/>
      <c r="AB483" s="3" t="inlineStr">
        <is>
          <t>6박</t>
        </is>
      </c>
      <c r="AC483" s="3" t="inlineStr">
        <is>
          <t>1</t>
        </is>
      </c>
      <c r="AD483" s="3" t="n"/>
      <c r="AE483" s="3" t="n"/>
      <c r="AF483" s="3" t="n"/>
      <c r="AG483" s="3" t="inlineStr">
        <is>
          <t>1</t>
        </is>
      </c>
      <c r="AH483" s="3" t="n"/>
      <c r="AI483" s="3" t="n"/>
      <c r="AJ483" s="3" t="n"/>
      <c r="AK483" s="3" t="n"/>
      <c r="AL483" s="3" t="inlineStr">
        <is>
          <t>FINAL</t>
        </is>
      </c>
      <c r="AM483" s="3" t="n"/>
      <c r="AN483" s="3" t="n"/>
    </row>
    <row r="484">
      <c r="A484" s="3" t="inlineStr">
        <is>
          <t>P0483</t>
        </is>
      </c>
      <c r="B484" s="3" t="n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n"/>
      <c r="S484" s="3" t="n"/>
      <c r="T484" s="3" t="n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n"/>
      <c r="AB484" s="3" t="inlineStr">
        <is>
          <t>6박</t>
        </is>
      </c>
      <c r="AC484" s="3" t="inlineStr">
        <is>
          <t>1</t>
        </is>
      </c>
      <c r="AD484" s="3" t="n"/>
      <c r="AE484" s="3" t="n"/>
      <c r="AF484" s="3" t="n"/>
      <c r="AG484" s="3" t="inlineStr">
        <is>
          <t>1</t>
        </is>
      </c>
      <c r="AH484" s="3" t="n"/>
      <c r="AI484" s="3" t="n"/>
      <c r="AJ484" s="3" t="n"/>
      <c r="AK484" s="3" t="n"/>
      <c r="AL484" s="3" t="inlineStr">
        <is>
          <t>FINAL</t>
        </is>
      </c>
      <c r="AM484" s="3" t="n"/>
      <c r="AN484" s="3" t="n"/>
    </row>
    <row r="485">
      <c r="A485" s="3" t="inlineStr">
        <is>
          <t>P0484</t>
        </is>
      </c>
      <c r="B485" s="3" t="n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n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n"/>
      <c r="S485" s="3" t="n"/>
      <c r="T485" s="3" t="n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n"/>
      <c r="AB485" s="3" t="inlineStr">
        <is>
          <t>6박</t>
        </is>
      </c>
      <c r="AC485" s="3" t="inlineStr">
        <is>
          <t>1</t>
        </is>
      </c>
      <c r="AD485" s="3" t="n"/>
      <c r="AE485" s="3" t="n"/>
      <c r="AF485" s="3" t="n"/>
      <c r="AG485" s="3" t="inlineStr">
        <is>
          <t>1</t>
        </is>
      </c>
      <c r="AH485" s="3" t="n"/>
      <c r="AI485" s="3" t="n"/>
      <c r="AJ485" s="3" t="n"/>
      <c r="AK485" s="3" t="n"/>
      <c r="AL485" s="3" t="inlineStr">
        <is>
          <t>FINAL</t>
        </is>
      </c>
      <c r="AM485" s="3" t="n"/>
      <c r="AN485" s="3" t="n"/>
    </row>
    <row r="486">
      <c r="A486" s="3" t="inlineStr">
        <is>
          <t>P0485</t>
        </is>
      </c>
      <c r="B486" s="3" t="n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n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n"/>
      <c r="S486" s="3" t="n"/>
      <c r="T486" s="3" t="n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n"/>
      <c r="AB486" s="3" t="inlineStr">
        <is>
          <t>6박</t>
        </is>
      </c>
      <c r="AC486" s="3" t="inlineStr">
        <is>
          <t>1</t>
        </is>
      </c>
      <c r="AD486" s="3" t="n"/>
      <c r="AE486" s="3" t="n"/>
      <c r="AF486" s="3" t="n"/>
      <c r="AG486" s="3" t="inlineStr">
        <is>
          <t>1</t>
        </is>
      </c>
      <c r="AH486" s="3" t="n"/>
      <c r="AI486" s="3" t="n"/>
      <c r="AJ486" s="3" t="n"/>
      <c r="AK486" s="3" t="n"/>
      <c r="AL486" s="3" t="inlineStr">
        <is>
          <t>FINAL</t>
        </is>
      </c>
      <c r="AM486" s="3" t="n"/>
      <c r="AN486" s="3" t="n"/>
    </row>
    <row r="487">
      <c r="A487" s="3" t="inlineStr">
        <is>
          <t>P0486</t>
        </is>
      </c>
      <c r="B487" s="3" t="n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n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n"/>
      <c r="S487" s="3" t="n"/>
      <c r="T487" s="3" t="n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n"/>
      <c r="AB487" s="3" t="inlineStr">
        <is>
          <t>6박</t>
        </is>
      </c>
      <c r="AC487" s="3" t="inlineStr">
        <is>
          <t>1</t>
        </is>
      </c>
      <c r="AD487" s="3" t="n"/>
      <c r="AE487" s="3" t="n"/>
      <c r="AF487" s="3" t="n"/>
      <c r="AG487" s="3" t="inlineStr">
        <is>
          <t>1</t>
        </is>
      </c>
      <c r="AH487" s="3" t="n"/>
      <c r="AI487" s="3" t="n"/>
      <c r="AJ487" s="3" t="n"/>
      <c r="AK487" s="3" t="n"/>
      <c r="AL487" s="3" t="inlineStr">
        <is>
          <t>FINAL</t>
        </is>
      </c>
      <c r="AM487" s="3" t="n"/>
      <c r="AN487" s="3" t="n"/>
    </row>
    <row r="488">
      <c r="A488" s="3" t="inlineStr">
        <is>
          <t>P0487</t>
        </is>
      </c>
      <c r="B488" s="3" t="n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n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n"/>
      <c r="S488" s="3" t="n"/>
      <c r="T488" s="3" t="n"/>
      <c r="U488" s="3" t="n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n"/>
      <c r="AB488" s="3" t="inlineStr">
        <is>
          <t>5박</t>
        </is>
      </c>
      <c r="AC488" s="3" t="inlineStr">
        <is>
          <t>1</t>
        </is>
      </c>
      <c r="AD488" s="3" t="n"/>
      <c r="AE488" s="3" t="n"/>
      <c r="AF488" s="3" t="n"/>
      <c r="AG488" s="3" t="inlineStr">
        <is>
          <t>1</t>
        </is>
      </c>
      <c r="AH488" s="3" t="n"/>
      <c r="AI488" s="3" t="n"/>
      <c r="AJ488" s="3" t="n"/>
      <c r="AK488" s="3" t="n"/>
      <c r="AL488" s="3" t="inlineStr">
        <is>
          <t>FINAL</t>
        </is>
      </c>
      <c r="AM488" s="3" t="n"/>
      <c r="AN488" s="3" t="n"/>
    </row>
    <row r="489">
      <c r="A489" s="3" t="inlineStr">
        <is>
          <t>P0488</t>
        </is>
      </c>
      <c r="B489" s="3" t="n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n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n"/>
      <c r="S489" s="3" t="n"/>
      <c r="T489" s="3" t="n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n"/>
      <c r="AB489" s="3" t="inlineStr">
        <is>
          <t>6박</t>
        </is>
      </c>
      <c r="AC489" s="3" t="inlineStr">
        <is>
          <t>1</t>
        </is>
      </c>
      <c r="AD489" s="3" t="n"/>
      <c r="AE489" s="3" t="n"/>
      <c r="AF489" s="3" t="n"/>
      <c r="AG489" s="3" t="inlineStr">
        <is>
          <t>1</t>
        </is>
      </c>
      <c r="AH489" s="3" t="n"/>
      <c r="AI489" s="3" t="n"/>
      <c r="AJ489" s="3" t="n"/>
      <c r="AK489" s="3" t="n"/>
      <c r="AL489" s="3" t="inlineStr">
        <is>
          <t>FINAL</t>
        </is>
      </c>
      <c r="AM489" s="3" t="n"/>
      <c r="AN489" s="3" t="n"/>
    </row>
    <row r="490">
      <c r="A490" s="3" t="inlineStr">
        <is>
          <t>P0489</t>
        </is>
      </c>
      <c r="B490" s="3" t="n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n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n"/>
      <c r="S490" s="3" t="n"/>
      <c r="T490" s="3" t="n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n"/>
      <c r="AB490" s="3" t="inlineStr">
        <is>
          <t>6박</t>
        </is>
      </c>
      <c r="AC490" s="3" t="inlineStr">
        <is>
          <t>1</t>
        </is>
      </c>
      <c r="AD490" s="3" t="n"/>
      <c r="AE490" s="3" t="n"/>
      <c r="AF490" s="3" t="n"/>
      <c r="AG490" s="3" t="inlineStr">
        <is>
          <t>1</t>
        </is>
      </c>
      <c r="AH490" s="3" t="n"/>
      <c r="AI490" s="3" t="n"/>
      <c r="AJ490" s="3" t="n"/>
      <c r="AK490" s="3" t="n"/>
      <c r="AL490" s="3" t="inlineStr">
        <is>
          <t>FINAL</t>
        </is>
      </c>
      <c r="AM490" s="3" t="n"/>
      <c r="AN490" s="3" t="n"/>
    </row>
    <row r="491">
      <c r="A491" s="3" t="inlineStr">
        <is>
          <t>P0490</t>
        </is>
      </c>
      <c r="B491" s="3" t="n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n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n"/>
      <c r="S491" s="3" t="n"/>
      <c r="T491" s="3" t="n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n"/>
      <c r="AB491" s="3" t="inlineStr">
        <is>
          <t>6박</t>
        </is>
      </c>
      <c r="AC491" s="3" t="inlineStr">
        <is>
          <t>1</t>
        </is>
      </c>
      <c r="AD491" s="3" t="n"/>
      <c r="AE491" s="3" t="n"/>
      <c r="AF491" s="3" t="n"/>
      <c r="AG491" s="3" t="inlineStr">
        <is>
          <t>1</t>
        </is>
      </c>
      <c r="AH491" s="3" t="n"/>
      <c r="AI491" s="3" t="n"/>
      <c r="AJ491" s="3" t="n"/>
      <c r="AK491" s="3" t="n"/>
      <c r="AL491" s="3" t="inlineStr">
        <is>
          <t>FINAL</t>
        </is>
      </c>
      <c r="AM491" s="3" t="n"/>
      <c r="AN491" s="3" t="n"/>
    </row>
    <row r="492">
      <c r="A492" s="3" t="inlineStr">
        <is>
          <t>P0491</t>
        </is>
      </c>
      <c r="B492" s="3" t="n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n"/>
      <c r="S492" s="3" t="n"/>
      <c r="T492" s="3" t="n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n"/>
      <c r="AB492" s="3" t="inlineStr">
        <is>
          <t>6박</t>
        </is>
      </c>
      <c r="AC492" s="3" t="inlineStr">
        <is>
          <t>1</t>
        </is>
      </c>
      <c r="AD492" s="3" t="n"/>
      <c r="AE492" s="3" t="n"/>
      <c r="AF492" s="3" t="n"/>
      <c r="AG492" s="3" t="inlineStr">
        <is>
          <t>1</t>
        </is>
      </c>
      <c r="AH492" s="3" t="n"/>
      <c r="AI492" s="3" t="n"/>
      <c r="AJ492" s="3" t="n"/>
      <c r="AK492" s="3" t="n"/>
      <c r="AL492" s="3" t="inlineStr">
        <is>
          <t>FINAL</t>
        </is>
      </c>
      <c r="AM492" s="3" t="n"/>
      <c r="AN492" s="3" t="n"/>
    </row>
    <row r="493">
      <c r="A493" s="3" t="inlineStr">
        <is>
          <t>P0492</t>
        </is>
      </c>
      <c r="B493" s="3" t="n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n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n"/>
      <c r="S493" s="3" t="n"/>
      <c r="T493" s="3" t="n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n"/>
      <c r="AB493" s="3" t="inlineStr">
        <is>
          <t>6박</t>
        </is>
      </c>
      <c r="AC493" s="3" t="inlineStr">
        <is>
          <t>1</t>
        </is>
      </c>
      <c r="AD493" s="3" t="n"/>
      <c r="AE493" s="3" t="n"/>
      <c r="AF493" s="3" t="n"/>
      <c r="AG493" s="3" t="inlineStr">
        <is>
          <t>1</t>
        </is>
      </c>
      <c r="AH493" s="3" t="n"/>
      <c r="AI493" s="3" t="n"/>
      <c r="AJ493" s="3" t="n"/>
      <c r="AK493" s="3" t="n"/>
      <c r="AL493" s="3" t="inlineStr">
        <is>
          <t>FINAL</t>
        </is>
      </c>
      <c r="AM493" s="3" t="n"/>
      <c r="AN493" s="3" t="n"/>
    </row>
    <row r="494">
      <c r="A494" s="3" t="inlineStr">
        <is>
          <t>P0493</t>
        </is>
      </c>
      <c r="B494" s="3" t="n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n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n"/>
      <c r="S494" s="3" t="n"/>
      <c r="T494" s="3" t="n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n"/>
      <c r="AB494" s="3" t="inlineStr">
        <is>
          <t>6박</t>
        </is>
      </c>
      <c r="AC494" s="3" t="inlineStr">
        <is>
          <t>1</t>
        </is>
      </c>
      <c r="AD494" s="3" t="n"/>
      <c r="AE494" s="3" t="n"/>
      <c r="AF494" s="3" t="n"/>
      <c r="AG494" s="3" t="inlineStr">
        <is>
          <t>1</t>
        </is>
      </c>
      <c r="AH494" s="3" t="n"/>
      <c r="AI494" s="3" t="n"/>
      <c r="AJ494" s="3" t="n"/>
      <c r="AK494" s="3" t="n"/>
      <c r="AL494" s="3" t="inlineStr">
        <is>
          <t>FINAL</t>
        </is>
      </c>
      <c r="AM494" s="3" t="n"/>
      <c r="AN494" s="3" t="n"/>
    </row>
    <row r="495">
      <c r="A495" s="3" t="inlineStr">
        <is>
          <t>P0494</t>
        </is>
      </c>
      <c r="B495" s="3" t="n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n"/>
      <c r="S495" s="3" t="n"/>
      <c r="T495" s="3" t="n"/>
      <c r="U495" s="3" t="inlineStr">
        <is>
          <t>✓</t>
        </is>
      </c>
      <c r="V495" s="3" t="n"/>
      <c r="W495" s="3" t="n"/>
      <c r="X495" s="3" t="n"/>
      <c r="Y495" s="3" t="n"/>
      <c r="Z495" s="3" t="n"/>
      <c r="AA495" s="3" t="n"/>
      <c r="AB495" s="3" t="inlineStr">
        <is>
          <t>1박</t>
        </is>
      </c>
      <c r="AC495" s="3" t="inlineStr">
        <is>
          <t>1</t>
        </is>
      </c>
      <c r="AD495" s="3" t="n"/>
      <c r="AE495" s="3" t="n"/>
      <c r="AF495" s="3" t="n"/>
      <c r="AG495" s="3" t="inlineStr">
        <is>
          <t>1</t>
        </is>
      </c>
      <c r="AH495" s="3" t="n"/>
      <c r="AI495" s="3" t="n"/>
      <c r="AJ495" s="3" t="n"/>
      <c r="AK495" s="3" t="n"/>
      <c r="AL495" s="3" t="inlineStr">
        <is>
          <t>FINAL</t>
        </is>
      </c>
      <c r="AM495" s="3" t="inlineStr">
        <is>
          <t>한글이름 확인</t>
        </is>
      </c>
      <c r="AN495" s="3" t="n"/>
    </row>
    <row r="496">
      <c r="A496" s="3" t="inlineStr">
        <is>
          <t>P0495</t>
        </is>
      </c>
      <c r="B496" s="3" t="n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n"/>
      <c r="S496" s="3" t="n"/>
      <c r="T496" s="3" t="n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n"/>
      <c r="AB496" s="3" t="inlineStr">
        <is>
          <t>6박</t>
        </is>
      </c>
      <c r="AC496" s="3" t="inlineStr">
        <is>
          <t>1</t>
        </is>
      </c>
      <c r="AD496" s="3" t="n"/>
      <c r="AE496" s="3" t="n"/>
      <c r="AF496" s="3" t="n"/>
      <c r="AG496" s="3" t="inlineStr">
        <is>
          <t>1</t>
        </is>
      </c>
      <c r="AH496" s="3" t="n"/>
      <c r="AI496" s="3" t="n"/>
      <c r="AJ496" s="3" t="n"/>
      <c r="AK496" s="3" t="n"/>
      <c r="AL496" s="3" t="inlineStr">
        <is>
          <t>FINAL</t>
        </is>
      </c>
      <c r="AM496" s="3" t="inlineStr">
        <is>
          <t>한글이름 확인</t>
        </is>
      </c>
      <c r="AN496" s="3" t="n"/>
    </row>
    <row r="497">
      <c r="A497" s="3" t="inlineStr">
        <is>
          <t>P0496</t>
        </is>
      </c>
      <c r="B497" s="3" t="n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n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n"/>
      <c r="S497" s="3" t="n"/>
      <c r="T497" s="3" t="n"/>
      <c r="U497" s="3" t="n"/>
      <c r="V497" s="3" t="n"/>
      <c r="W497" s="3" t="n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n"/>
      <c r="AB497" s="3" t="inlineStr">
        <is>
          <t>3박</t>
        </is>
      </c>
      <c r="AC497" s="3" t="inlineStr">
        <is>
          <t>1</t>
        </is>
      </c>
      <c r="AD497" s="3" t="n"/>
      <c r="AE497" s="3" t="n"/>
      <c r="AF497" s="3" t="n"/>
      <c r="AG497" s="3" t="inlineStr">
        <is>
          <t>1</t>
        </is>
      </c>
      <c r="AH497" s="3" t="n"/>
      <c r="AI497" s="3" t="n"/>
      <c r="AJ497" s="3" t="n"/>
      <c r="AK497" s="3" t="n"/>
      <c r="AL497" s="3" t="inlineStr">
        <is>
          <t>FINAL</t>
        </is>
      </c>
      <c r="AM497" s="3" t="n"/>
      <c r="AN497" s="3" t="n"/>
    </row>
    <row r="498">
      <c r="A498" s="3" t="inlineStr">
        <is>
          <t>P0497</t>
        </is>
      </c>
      <c r="B498" s="3" t="n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n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n"/>
      <c r="S498" s="3" t="n"/>
      <c r="T498" s="3" t="n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n"/>
      <c r="AB498" s="3" t="inlineStr">
        <is>
          <t>6박</t>
        </is>
      </c>
      <c r="AC498" s="3" t="inlineStr">
        <is>
          <t>1</t>
        </is>
      </c>
      <c r="AD498" s="3" t="n"/>
      <c r="AE498" s="3" t="n"/>
      <c r="AF498" s="3" t="n"/>
      <c r="AG498" s="3" t="inlineStr">
        <is>
          <t>1</t>
        </is>
      </c>
      <c r="AH498" s="3" t="n"/>
      <c r="AI498" s="3" t="n"/>
      <c r="AJ498" s="3" t="n"/>
      <c r="AK498" s="3" t="n"/>
      <c r="AL498" s="3" t="inlineStr">
        <is>
          <t>FINAL</t>
        </is>
      </c>
      <c r="AM498" s="3" t="n"/>
      <c r="AN498" s="3" t="n"/>
    </row>
    <row r="499">
      <c r="A499" s="3" t="inlineStr">
        <is>
          <t>P0498</t>
        </is>
      </c>
      <c r="B499" s="3" t="n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n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n"/>
      <c r="S499" s="3" t="n"/>
      <c r="T499" s="3" t="n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n"/>
      <c r="AB499" s="3" t="inlineStr">
        <is>
          <t>6박</t>
        </is>
      </c>
      <c r="AC499" s="3" t="inlineStr">
        <is>
          <t>1</t>
        </is>
      </c>
      <c r="AD499" s="3" t="n"/>
      <c r="AE499" s="3" t="n"/>
      <c r="AF499" s="3" t="n"/>
      <c r="AG499" s="3" t="inlineStr">
        <is>
          <t>1</t>
        </is>
      </c>
      <c r="AH499" s="3" t="n"/>
      <c r="AI499" s="3" t="n"/>
      <c r="AJ499" s="3" t="n"/>
      <c r="AK499" s="3" t="n"/>
      <c r="AL499" s="3" t="inlineStr">
        <is>
          <t>FINAL</t>
        </is>
      </c>
      <c r="AM499" s="3" t="n"/>
      <c r="AN499" s="3" t="n"/>
    </row>
    <row r="500">
      <c r="A500" s="3" t="inlineStr">
        <is>
          <t>P0499</t>
        </is>
      </c>
      <c r="B500" s="3" t="n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n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n"/>
      <c r="S500" s="3" t="n"/>
      <c r="T500" s="3" t="n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n"/>
      <c r="AB500" s="3" t="inlineStr">
        <is>
          <t>6박</t>
        </is>
      </c>
      <c r="AC500" s="3" t="inlineStr">
        <is>
          <t>1</t>
        </is>
      </c>
      <c r="AD500" s="3" t="n"/>
      <c r="AE500" s="3" t="n"/>
      <c r="AF500" s="3" t="n"/>
      <c r="AG500" s="3" t="inlineStr">
        <is>
          <t>1</t>
        </is>
      </c>
      <c r="AH500" s="3" t="n"/>
      <c r="AI500" s="3" t="n"/>
      <c r="AJ500" s="3" t="n"/>
      <c r="AK500" s="3" t="n"/>
      <c r="AL500" s="3" t="inlineStr">
        <is>
          <t>FINAL</t>
        </is>
      </c>
      <c r="AM500" s="3" t="n"/>
      <c r="AN500" s="3" t="n"/>
    </row>
    <row r="501">
      <c r="A501" s="3" t="inlineStr">
        <is>
          <t>P0500</t>
        </is>
      </c>
      <c r="B501" s="3" t="n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n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n"/>
      <c r="S501" s="3" t="n"/>
      <c r="T501" s="3" t="n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n"/>
      <c r="AB501" s="3" t="inlineStr">
        <is>
          <t>6박</t>
        </is>
      </c>
      <c r="AC501" s="3" t="inlineStr">
        <is>
          <t>1</t>
        </is>
      </c>
      <c r="AD501" s="3" t="n"/>
      <c r="AE501" s="3" t="n"/>
      <c r="AF501" s="3" t="n"/>
      <c r="AG501" s="3" t="inlineStr">
        <is>
          <t>1</t>
        </is>
      </c>
      <c r="AH501" s="3" t="n"/>
      <c r="AI501" s="3" t="n"/>
      <c r="AJ501" s="3" t="n"/>
      <c r="AK501" s="3" t="n"/>
      <c r="AL501" s="3" t="inlineStr">
        <is>
          <t>FINAL</t>
        </is>
      </c>
      <c r="AM501" s="3" t="n"/>
      <c r="AN501" s="3" t="n"/>
    </row>
    <row r="502">
      <c r="A502" s="3" t="inlineStr">
        <is>
          <t>P0501</t>
        </is>
      </c>
      <c r="B502" s="3" t="n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n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n"/>
      <c r="S502" s="3" t="n"/>
      <c r="T502" s="3" t="n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n"/>
      <c r="AB502" s="3" t="inlineStr">
        <is>
          <t>6박</t>
        </is>
      </c>
      <c r="AC502" s="3" t="inlineStr">
        <is>
          <t>1</t>
        </is>
      </c>
      <c r="AD502" s="3" t="n"/>
      <c r="AE502" s="3" t="n"/>
      <c r="AF502" s="3" t="n"/>
      <c r="AG502" s="3" t="inlineStr">
        <is>
          <t>1</t>
        </is>
      </c>
      <c r="AH502" s="3" t="n"/>
      <c r="AI502" s="3" t="n"/>
      <c r="AJ502" s="3" t="n"/>
      <c r="AK502" s="3" t="n"/>
      <c r="AL502" s="3" t="inlineStr">
        <is>
          <t>FINAL</t>
        </is>
      </c>
      <c r="AM502" s="3" t="n"/>
      <c r="AN502" s="3" t="n"/>
    </row>
    <row r="503">
      <c r="A503" s="3" t="inlineStr">
        <is>
          <t>P0502</t>
        </is>
      </c>
      <c r="B503" s="3" t="n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n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n"/>
      <c r="S503" s="3" t="n"/>
      <c r="T503" s="3" t="n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n"/>
      <c r="AB503" s="3" t="inlineStr">
        <is>
          <t>6박</t>
        </is>
      </c>
      <c r="AC503" s="3" t="inlineStr">
        <is>
          <t>1</t>
        </is>
      </c>
      <c r="AD503" s="3" t="n"/>
      <c r="AE503" s="3" t="n"/>
      <c r="AF503" s="3" t="n"/>
      <c r="AG503" s="3" t="inlineStr">
        <is>
          <t>1</t>
        </is>
      </c>
      <c r="AH503" s="3" t="n"/>
      <c r="AI503" s="3" t="n"/>
      <c r="AJ503" s="3" t="n"/>
      <c r="AK503" s="3" t="n"/>
      <c r="AL503" s="3" t="inlineStr">
        <is>
          <t>FINAL</t>
        </is>
      </c>
      <c r="AM503" s="3" t="n"/>
      <c r="AN503" s="3" t="n"/>
    </row>
    <row r="504">
      <c r="A504" s="3" t="inlineStr">
        <is>
          <t>P0503</t>
        </is>
      </c>
      <c r="B504" s="3" t="n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n"/>
      <c r="S504" s="3" t="n"/>
      <c r="T504" s="3" t="n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n"/>
      <c r="AB504" s="3" t="inlineStr">
        <is>
          <t>6박</t>
        </is>
      </c>
      <c r="AC504" s="3" t="inlineStr">
        <is>
          <t>1</t>
        </is>
      </c>
      <c r="AD504" s="3" t="n"/>
      <c r="AE504" s="3" t="n"/>
      <c r="AF504" s="3" t="n"/>
      <c r="AG504" s="3" t="inlineStr">
        <is>
          <t>1</t>
        </is>
      </c>
      <c r="AH504" s="3" t="n"/>
      <c r="AI504" s="3" t="n"/>
      <c r="AJ504" s="3" t="n"/>
      <c r="AK504" s="3" t="n"/>
      <c r="AL504" s="3" t="inlineStr">
        <is>
          <t>FINAL</t>
        </is>
      </c>
      <c r="AM504" s="3" t="inlineStr">
        <is>
          <t>한글이름 확인</t>
        </is>
      </c>
      <c r="AN504" s="3" t="n"/>
    </row>
    <row r="505">
      <c r="A505" s="3" t="inlineStr">
        <is>
          <t>P0504</t>
        </is>
      </c>
      <c r="B505" s="3" t="n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n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n"/>
      <c r="S505" s="3" t="n"/>
      <c r="T505" s="3" t="n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n"/>
      <c r="AB505" s="3" t="inlineStr">
        <is>
          <t>6박</t>
        </is>
      </c>
      <c r="AC505" s="3" t="inlineStr">
        <is>
          <t>1</t>
        </is>
      </c>
      <c r="AD505" s="3" t="n"/>
      <c r="AE505" s="3" t="n"/>
      <c r="AF505" s="3" t="n"/>
      <c r="AG505" s="3" t="inlineStr">
        <is>
          <t>1</t>
        </is>
      </c>
      <c r="AH505" s="3" t="n"/>
      <c r="AI505" s="3" t="n"/>
      <c r="AJ505" s="3" t="n"/>
      <c r="AK505" s="3" t="n"/>
      <c r="AL505" s="3" t="inlineStr">
        <is>
          <t>FINAL</t>
        </is>
      </c>
      <c r="AM505" s="3" t="n"/>
      <c r="AN505" s="3" t="n"/>
    </row>
    <row r="506">
      <c r="A506" s="3" t="inlineStr">
        <is>
          <t>P0505</t>
        </is>
      </c>
      <c r="B506" s="3" t="n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n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n"/>
      <c r="S506" s="3" t="n"/>
      <c r="T506" s="3" t="n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n"/>
      <c r="AB506" s="3" t="inlineStr">
        <is>
          <t>6박</t>
        </is>
      </c>
      <c r="AC506" s="3" t="inlineStr">
        <is>
          <t>1</t>
        </is>
      </c>
      <c r="AD506" s="3" t="n"/>
      <c r="AE506" s="3" t="n"/>
      <c r="AF506" s="3" t="n"/>
      <c r="AG506" s="3" t="inlineStr">
        <is>
          <t>1</t>
        </is>
      </c>
      <c r="AH506" s="3" t="n"/>
      <c r="AI506" s="3" t="n"/>
      <c r="AJ506" s="3" t="n"/>
      <c r="AK506" s="3" t="n"/>
      <c r="AL506" s="3" t="inlineStr">
        <is>
          <t>FINAL</t>
        </is>
      </c>
      <c r="AM506" s="3" t="n"/>
      <c r="AN506" s="3" t="n"/>
    </row>
    <row r="507">
      <c r="A507" s="3" t="inlineStr">
        <is>
          <t>P0506</t>
        </is>
      </c>
      <c r="B507" s="3" t="n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n"/>
      <c r="S507" s="3" t="n"/>
      <c r="T507" s="3" t="n"/>
      <c r="U507" s="3" t="n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n"/>
      <c r="AB507" s="3" t="inlineStr">
        <is>
          <t>5박</t>
        </is>
      </c>
      <c r="AC507" s="3" t="inlineStr">
        <is>
          <t>1</t>
        </is>
      </c>
      <c r="AD507" s="3" t="n"/>
      <c r="AE507" s="3" t="n"/>
      <c r="AF507" s="3" t="n"/>
      <c r="AG507" s="3" t="inlineStr">
        <is>
          <t>1</t>
        </is>
      </c>
      <c r="AH507" s="3" t="n"/>
      <c r="AI507" s="3" t="n"/>
      <c r="AJ507" s="3" t="n"/>
      <c r="AK507" s="3" t="n"/>
      <c r="AL507" s="3" t="inlineStr">
        <is>
          <t>FINAL</t>
        </is>
      </c>
      <c r="AM507" s="3" t="inlineStr">
        <is>
          <t>한글이름 확인</t>
        </is>
      </c>
      <c r="AN507" s="3" t="n"/>
    </row>
    <row r="508">
      <c r="A508" s="3" t="inlineStr">
        <is>
          <t>P0507</t>
        </is>
      </c>
      <c r="B508" s="3" t="n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n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n"/>
      <c r="S508" s="3" t="n"/>
      <c r="T508" s="3" t="n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n"/>
      <c r="AB508" s="3" t="inlineStr">
        <is>
          <t>6박</t>
        </is>
      </c>
      <c r="AC508" s="3" t="inlineStr">
        <is>
          <t>1</t>
        </is>
      </c>
      <c r="AD508" s="3" t="n"/>
      <c r="AE508" s="3" t="n"/>
      <c r="AF508" s="3" t="n"/>
      <c r="AG508" s="3" t="inlineStr">
        <is>
          <t>1</t>
        </is>
      </c>
      <c r="AH508" s="3" t="n"/>
      <c r="AI508" s="3" t="n"/>
      <c r="AJ508" s="3" t="n"/>
      <c r="AK508" s="3" t="n"/>
      <c r="AL508" s="3" t="inlineStr">
        <is>
          <t>FINAL</t>
        </is>
      </c>
      <c r="AM508" s="3" t="n"/>
      <c r="AN508" s="3" t="n"/>
    </row>
    <row r="509">
      <c r="A509" s="3" t="inlineStr">
        <is>
          <t>P0508</t>
        </is>
      </c>
      <c r="B509" s="3" t="n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n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n"/>
      <c r="S509" s="3" t="n"/>
      <c r="T509" s="3" t="n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n"/>
      <c r="AB509" s="3" t="inlineStr">
        <is>
          <t>6박</t>
        </is>
      </c>
      <c r="AC509" s="3" t="inlineStr">
        <is>
          <t>1</t>
        </is>
      </c>
      <c r="AD509" s="3" t="n"/>
      <c r="AE509" s="3" t="n"/>
      <c r="AF509" s="3" t="n"/>
      <c r="AG509" s="3" t="inlineStr">
        <is>
          <t>1</t>
        </is>
      </c>
      <c r="AH509" s="3" t="n"/>
      <c r="AI509" s="3" t="n"/>
      <c r="AJ509" s="3" t="n"/>
      <c r="AK509" s="3" t="n"/>
      <c r="AL509" s="3" t="inlineStr">
        <is>
          <t>FINAL</t>
        </is>
      </c>
      <c r="AM509" s="3" t="n"/>
      <c r="AN509" s="3" t="n"/>
    </row>
    <row r="510">
      <c r="A510" s="3" t="inlineStr">
        <is>
          <t>P0509</t>
        </is>
      </c>
      <c r="B510" s="3" t="n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n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n"/>
      <c r="S510" s="3" t="n"/>
      <c r="T510" s="3" t="n"/>
      <c r="U510" s="3" t="n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n"/>
      <c r="AB510" s="3" t="inlineStr">
        <is>
          <t>5박</t>
        </is>
      </c>
      <c r="AC510" s="3" t="inlineStr">
        <is>
          <t>1</t>
        </is>
      </c>
      <c r="AD510" s="3" t="n"/>
      <c r="AE510" s="3" t="n"/>
      <c r="AF510" s="3" t="n"/>
      <c r="AG510" s="3" t="inlineStr">
        <is>
          <t>1</t>
        </is>
      </c>
      <c r="AH510" s="3" t="n"/>
      <c r="AI510" s="3" t="n"/>
      <c r="AJ510" s="3" t="n"/>
      <c r="AK510" s="3" t="n"/>
      <c r="AL510" s="3" t="inlineStr">
        <is>
          <t>FINAL</t>
        </is>
      </c>
      <c r="AM510" s="3" t="n"/>
      <c r="AN510" s="3" t="n"/>
    </row>
    <row r="511">
      <c r="A511" s="3" t="inlineStr">
        <is>
          <t>P0510</t>
        </is>
      </c>
      <c r="B511" s="3" t="n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n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n"/>
      <c r="S511" s="3" t="n"/>
      <c r="T511" s="3" t="n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n"/>
      <c r="AB511" s="3" t="inlineStr">
        <is>
          <t>6박</t>
        </is>
      </c>
      <c r="AC511" s="3" t="inlineStr">
        <is>
          <t>1</t>
        </is>
      </c>
      <c r="AD511" s="3" t="n"/>
      <c r="AE511" s="3" t="n"/>
      <c r="AF511" s="3" t="n"/>
      <c r="AG511" s="3" t="inlineStr">
        <is>
          <t>1</t>
        </is>
      </c>
      <c r="AH511" s="3" t="n"/>
      <c r="AI511" s="3" t="n"/>
      <c r="AJ511" s="3" t="n"/>
      <c r="AK511" s="3" t="n"/>
      <c r="AL511" s="3" t="inlineStr">
        <is>
          <t>FINAL</t>
        </is>
      </c>
      <c r="AM511" s="3" t="n"/>
      <c r="AN511" s="3" t="n"/>
    </row>
    <row r="512">
      <c r="A512" s="3" t="inlineStr">
        <is>
          <t>P0511</t>
        </is>
      </c>
      <c r="B512" s="3" t="n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n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n"/>
      <c r="S512" s="3" t="n"/>
      <c r="T512" s="3" t="n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n"/>
      <c r="AB512" s="3" t="inlineStr">
        <is>
          <t>6박</t>
        </is>
      </c>
      <c r="AC512" s="3" t="inlineStr">
        <is>
          <t>1</t>
        </is>
      </c>
      <c r="AD512" s="3" t="n"/>
      <c r="AE512" s="3" t="n"/>
      <c r="AF512" s="3" t="n"/>
      <c r="AG512" s="3" t="inlineStr">
        <is>
          <t>1</t>
        </is>
      </c>
      <c r="AH512" s="3" t="n"/>
      <c r="AI512" s="3" t="n"/>
      <c r="AJ512" s="3" t="n"/>
      <c r="AK512" s="3" t="n"/>
      <c r="AL512" s="3" t="inlineStr">
        <is>
          <t>FINAL</t>
        </is>
      </c>
      <c r="AM512" s="3" t="n"/>
      <c r="AN512" s="3" t="n"/>
    </row>
    <row r="513">
      <c r="A513" s="3" t="inlineStr">
        <is>
          <t>P0512</t>
        </is>
      </c>
      <c r="B513" s="3" t="n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n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n"/>
      <c r="S513" s="3" t="n"/>
      <c r="T513" s="3" t="n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n"/>
      <c r="AB513" s="3" t="inlineStr">
        <is>
          <t>6박</t>
        </is>
      </c>
      <c r="AC513" s="3" t="inlineStr">
        <is>
          <t>1</t>
        </is>
      </c>
      <c r="AD513" s="3" t="n"/>
      <c r="AE513" s="3" t="n"/>
      <c r="AF513" s="3" t="n"/>
      <c r="AG513" s="3" t="inlineStr">
        <is>
          <t>1</t>
        </is>
      </c>
      <c r="AH513" s="3" t="n"/>
      <c r="AI513" s="3" t="n"/>
      <c r="AJ513" s="3" t="n"/>
      <c r="AK513" s="3" t="n"/>
      <c r="AL513" s="3" t="inlineStr">
        <is>
          <t>FINAL</t>
        </is>
      </c>
      <c r="AM513" s="3" t="n"/>
      <c r="AN513" s="3" t="n"/>
    </row>
    <row r="514">
      <c r="A514" s="3" t="inlineStr">
        <is>
          <t>P0513</t>
        </is>
      </c>
      <c r="B514" s="3" t="n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n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n"/>
      <c r="S514" s="3" t="n"/>
      <c r="T514" s="3" t="n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n"/>
      <c r="Z514" s="3" t="n"/>
      <c r="AA514" s="3" t="n"/>
      <c r="AB514" s="3" t="inlineStr">
        <is>
          <t>4박</t>
        </is>
      </c>
      <c r="AC514" s="3" t="inlineStr">
        <is>
          <t>1</t>
        </is>
      </c>
      <c r="AD514" s="3" t="n"/>
      <c r="AE514" s="3" t="n"/>
      <c r="AF514" s="3" t="n"/>
      <c r="AG514" s="3" t="inlineStr">
        <is>
          <t>1</t>
        </is>
      </c>
      <c r="AH514" s="3" t="n"/>
      <c r="AI514" s="3" t="n"/>
      <c r="AJ514" s="3" t="n"/>
      <c r="AK514" s="3" t="n"/>
      <c r="AL514" s="3" t="inlineStr">
        <is>
          <t>FINAL</t>
        </is>
      </c>
      <c r="AM514" s="3" t="n"/>
      <c r="AN514" s="3" t="n"/>
    </row>
    <row r="515">
      <c r="A515" s="3" t="inlineStr">
        <is>
          <t>P0514</t>
        </is>
      </c>
      <c r="B515" s="3" t="n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n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n"/>
      <c r="S515" s="3" t="n"/>
      <c r="T515" s="3" t="n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n"/>
      <c r="AB515" s="3" t="inlineStr">
        <is>
          <t>6박</t>
        </is>
      </c>
      <c r="AC515" s="3" t="inlineStr">
        <is>
          <t>1</t>
        </is>
      </c>
      <c r="AD515" s="3" t="n"/>
      <c r="AE515" s="3" t="n"/>
      <c r="AF515" s="3" t="n"/>
      <c r="AG515" s="3" t="inlineStr">
        <is>
          <t>1</t>
        </is>
      </c>
      <c r="AH515" s="3" t="n"/>
      <c r="AI515" s="3" t="n"/>
      <c r="AJ515" s="3" t="n"/>
      <c r="AK515" s="3" t="n"/>
      <c r="AL515" s="3" t="inlineStr">
        <is>
          <t>FINAL</t>
        </is>
      </c>
      <c r="AM515" s="3" t="n"/>
      <c r="AN515" s="3" t="n"/>
    </row>
    <row r="516">
      <c r="A516" s="3" t="inlineStr">
        <is>
          <t>P0515</t>
        </is>
      </c>
      <c r="B516" s="3" t="n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n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n"/>
      <c r="S516" s="3" t="n"/>
      <c r="T516" s="3" t="n"/>
      <c r="U516" s="3" t="inlineStr">
        <is>
          <t>✓</t>
        </is>
      </c>
      <c r="V516" s="3" t="n"/>
      <c r="W516" s="3" t="n"/>
      <c r="X516" s="3" t="n"/>
      <c r="Y516" s="3" t="n"/>
      <c r="Z516" s="3" t="n"/>
      <c r="AA516" s="3" t="n"/>
      <c r="AB516" s="3" t="inlineStr">
        <is>
          <t>1박</t>
        </is>
      </c>
      <c r="AC516" s="3" t="inlineStr">
        <is>
          <t>1</t>
        </is>
      </c>
      <c r="AD516" s="3" t="n"/>
      <c r="AE516" s="3" t="n"/>
      <c r="AF516" s="3" t="n"/>
      <c r="AG516" s="3" t="inlineStr">
        <is>
          <t>1</t>
        </is>
      </c>
      <c r="AH516" s="3" t="n"/>
      <c r="AI516" s="3" t="n"/>
      <c r="AJ516" s="3" t="n"/>
      <c r="AK516" s="3" t="n"/>
      <c r="AL516" s="3" t="inlineStr">
        <is>
          <t>FINAL</t>
        </is>
      </c>
      <c r="AM516" s="3" t="n"/>
      <c r="AN516" s="3" t="n"/>
    </row>
    <row r="517">
      <c r="A517" s="3" t="inlineStr">
        <is>
          <t>P0516</t>
        </is>
      </c>
      <c r="B517" s="3" t="n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n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n"/>
      <c r="S517" s="3" t="n"/>
      <c r="T517" s="3" t="n"/>
      <c r="U517" s="3" t="n"/>
      <c r="V517" s="3" t="n"/>
      <c r="W517" s="3" t="n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n"/>
      <c r="AB517" s="3" t="inlineStr">
        <is>
          <t>3박</t>
        </is>
      </c>
      <c r="AC517" s="3" t="inlineStr">
        <is>
          <t>1</t>
        </is>
      </c>
      <c r="AD517" s="3" t="n"/>
      <c r="AE517" s="3" t="n"/>
      <c r="AF517" s="3" t="n"/>
      <c r="AG517" s="3" t="inlineStr">
        <is>
          <t>1</t>
        </is>
      </c>
      <c r="AH517" s="3" t="n"/>
      <c r="AI517" s="3" t="n"/>
      <c r="AJ517" s="3" t="n"/>
      <c r="AK517" s="3" t="n"/>
      <c r="AL517" s="3" t="inlineStr">
        <is>
          <t>FINAL</t>
        </is>
      </c>
      <c r="AM517" s="3" t="n"/>
      <c r="AN517" s="3" t="n"/>
    </row>
    <row r="518">
      <c r="A518" s="3" t="inlineStr">
        <is>
          <t>P0517</t>
        </is>
      </c>
      <c r="B518" s="3" t="n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n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n"/>
      <c r="S518" s="3" t="n"/>
      <c r="T518" s="3" t="n"/>
      <c r="U518" s="3" t="n"/>
      <c r="V518" s="3" t="n"/>
      <c r="W518" s="3" t="n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n"/>
      <c r="AB518" s="3" t="inlineStr">
        <is>
          <t>3박</t>
        </is>
      </c>
      <c r="AC518" s="3" t="inlineStr">
        <is>
          <t>1</t>
        </is>
      </c>
      <c r="AD518" s="3" t="n"/>
      <c r="AE518" s="3" t="n"/>
      <c r="AF518" s="3" t="n"/>
      <c r="AG518" s="3" t="inlineStr">
        <is>
          <t>1</t>
        </is>
      </c>
      <c r="AH518" s="3" t="n"/>
      <c r="AI518" s="3" t="n"/>
      <c r="AJ518" s="3" t="n"/>
      <c r="AK518" s="3" t="n"/>
      <c r="AL518" s="3" t="inlineStr">
        <is>
          <t>FINAL</t>
        </is>
      </c>
      <c r="AM518" s="3" t="n"/>
      <c r="AN518" s="3" t="n"/>
    </row>
    <row r="519">
      <c r="A519" s="3" t="inlineStr">
        <is>
          <t>P0518</t>
        </is>
      </c>
      <c r="B519" s="3" t="n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n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n"/>
      <c r="S519" s="3" t="n"/>
      <c r="T519" s="3" t="n"/>
      <c r="U519" s="3" t="n"/>
      <c r="V519" s="3" t="n"/>
      <c r="W519" s="3" t="n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n"/>
      <c r="AB519" s="3" t="inlineStr">
        <is>
          <t>3박</t>
        </is>
      </c>
      <c r="AC519" s="3" t="inlineStr">
        <is>
          <t>1</t>
        </is>
      </c>
      <c r="AD519" s="3" t="n"/>
      <c r="AE519" s="3" t="n"/>
      <c r="AF519" s="3" t="n"/>
      <c r="AG519" s="3" t="inlineStr">
        <is>
          <t>1</t>
        </is>
      </c>
      <c r="AH519" s="3" t="n"/>
      <c r="AI519" s="3" t="n"/>
      <c r="AJ519" s="3" t="n"/>
      <c r="AK519" s="3" t="n"/>
      <c r="AL519" s="3" t="inlineStr">
        <is>
          <t>FINAL</t>
        </is>
      </c>
      <c r="AM519" s="3" t="n"/>
      <c r="AN519" s="3" t="n"/>
    </row>
    <row r="520">
      <c r="A520" s="3" t="inlineStr">
        <is>
          <t>P0519</t>
        </is>
      </c>
      <c r="B520" s="3" t="n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n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n"/>
      <c r="S520" s="3" t="n"/>
      <c r="T520" s="3" t="n"/>
      <c r="U520" s="3" t="n"/>
      <c r="V520" s="3" t="n"/>
      <c r="W520" s="3" t="n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n"/>
      <c r="AB520" s="3" t="inlineStr">
        <is>
          <t>3박</t>
        </is>
      </c>
      <c r="AC520" s="3" t="inlineStr">
        <is>
          <t>1</t>
        </is>
      </c>
      <c r="AD520" s="3" t="n"/>
      <c r="AE520" s="3" t="n"/>
      <c r="AF520" s="3" t="n"/>
      <c r="AG520" s="3" t="inlineStr">
        <is>
          <t>1</t>
        </is>
      </c>
      <c r="AH520" s="3" t="n"/>
      <c r="AI520" s="3" t="n"/>
      <c r="AJ520" s="3" t="n"/>
      <c r="AK520" s="3" t="n"/>
      <c r="AL520" s="3" t="inlineStr">
        <is>
          <t>FINAL</t>
        </is>
      </c>
      <c r="AM520" s="3" t="n"/>
      <c r="AN520" s="3" t="n"/>
    </row>
    <row r="521">
      <c r="A521" s="3" t="inlineStr">
        <is>
          <t>P0520</t>
        </is>
      </c>
      <c r="B521" s="3" t="n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n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n"/>
      <c r="S521" s="3" t="n"/>
      <c r="T521" s="3" t="n"/>
      <c r="U521" s="3" t="n"/>
      <c r="V521" s="3" t="n"/>
      <c r="W521" s="3" t="n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n"/>
      <c r="AB521" s="3" t="inlineStr">
        <is>
          <t>3박</t>
        </is>
      </c>
      <c r="AC521" s="3" t="inlineStr">
        <is>
          <t>1</t>
        </is>
      </c>
      <c r="AD521" s="3" t="n"/>
      <c r="AE521" s="3" t="n"/>
      <c r="AF521" s="3" t="n"/>
      <c r="AG521" s="3" t="inlineStr">
        <is>
          <t>1</t>
        </is>
      </c>
      <c r="AH521" s="3" t="n"/>
      <c r="AI521" s="3" t="n"/>
      <c r="AJ521" s="3" t="n"/>
      <c r="AK521" s="3" t="n"/>
      <c r="AL521" s="3" t="inlineStr">
        <is>
          <t>FINAL</t>
        </is>
      </c>
      <c r="AM521" s="3" t="n"/>
      <c r="AN521" s="3" t="n"/>
    </row>
    <row r="522">
      <c r="A522" s="3" t="inlineStr">
        <is>
          <t>P0521</t>
        </is>
      </c>
      <c r="B522" s="3" t="n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n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n"/>
      <c r="S522" s="3" t="n"/>
      <c r="T522" s="3" t="n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n"/>
      <c r="AB522" s="3" t="inlineStr">
        <is>
          <t>6박</t>
        </is>
      </c>
      <c r="AC522" s="3" t="inlineStr">
        <is>
          <t>1</t>
        </is>
      </c>
      <c r="AD522" s="3" t="n"/>
      <c r="AE522" s="3" t="n"/>
      <c r="AF522" s="3" t="n"/>
      <c r="AG522" s="3" t="inlineStr">
        <is>
          <t>1</t>
        </is>
      </c>
      <c r="AH522" s="3" t="n"/>
      <c r="AI522" s="3" t="n"/>
      <c r="AJ522" s="3" t="n"/>
      <c r="AK522" s="3" t="n"/>
      <c r="AL522" s="3" t="inlineStr">
        <is>
          <t>FINAL</t>
        </is>
      </c>
      <c r="AM522" s="3" t="n"/>
      <c r="AN522" s="3" t="n"/>
    </row>
    <row r="523">
      <c r="A523" s="3" t="inlineStr">
        <is>
          <t>P0522</t>
        </is>
      </c>
      <c r="B523" s="3" t="n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n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n"/>
      <c r="S523" s="3" t="n"/>
      <c r="T523" s="3" t="n"/>
      <c r="U523" s="3" t="n"/>
      <c r="V523" s="3" t="n"/>
      <c r="W523" s="3" t="n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n"/>
      <c r="AB523" s="3" t="inlineStr">
        <is>
          <t>3박</t>
        </is>
      </c>
      <c r="AC523" s="3" t="inlineStr">
        <is>
          <t>1</t>
        </is>
      </c>
      <c r="AD523" s="3" t="n"/>
      <c r="AE523" s="3" t="n"/>
      <c r="AF523" s="3" t="n"/>
      <c r="AG523" s="3" t="inlineStr">
        <is>
          <t>1</t>
        </is>
      </c>
      <c r="AH523" s="3" t="n"/>
      <c r="AI523" s="3" t="n"/>
      <c r="AJ523" s="3" t="n"/>
      <c r="AK523" s="3" t="n"/>
      <c r="AL523" s="3" t="inlineStr">
        <is>
          <t>FINAL</t>
        </is>
      </c>
      <c r="AM523" s="3" t="n"/>
      <c r="AN523" s="3" t="n"/>
    </row>
    <row r="524">
      <c r="A524" s="3" t="inlineStr">
        <is>
          <t>P0523</t>
        </is>
      </c>
      <c r="B524" s="3" t="n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n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n"/>
      <c r="S524" s="3" t="n"/>
      <c r="T524" s="3" t="n"/>
      <c r="U524" s="3" t="n"/>
      <c r="V524" s="3" t="n"/>
      <c r="W524" s="3" t="n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n"/>
      <c r="AB524" s="3" t="inlineStr">
        <is>
          <t>3박</t>
        </is>
      </c>
      <c r="AC524" s="3" t="inlineStr">
        <is>
          <t>1</t>
        </is>
      </c>
      <c r="AD524" s="3" t="n"/>
      <c r="AE524" s="3" t="n"/>
      <c r="AF524" s="3" t="n"/>
      <c r="AG524" s="3" t="inlineStr">
        <is>
          <t>1</t>
        </is>
      </c>
      <c r="AH524" s="3" t="n"/>
      <c r="AI524" s="3" t="n"/>
      <c r="AJ524" s="3" t="n"/>
      <c r="AK524" s="3" t="n"/>
      <c r="AL524" s="3" t="inlineStr">
        <is>
          <t>FINAL</t>
        </is>
      </c>
      <c r="AM524" s="3" t="n"/>
      <c r="AN524" s="3" t="n"/>
    </row>
    <row r="525">
      <c r="A525" s="3" t="inlineStr">
        <is>
          <t>P0524</t>
        </is>
      </c>
      <c r="B525" s="3" t="n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n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n"/>
      <c r="S525" s="3" t="n"/>
      <c r="T525" s="3" t="n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n"/>
      <c r="AB525" s="3" t="inlineStr">
        <is>
          <t>6박</t>
        </is>
      </c>
      <c r="AC525" s="3" t="inlineStr">
        <is>
          <t>1</t>
        </is>
      </c>
      <c r="AD525" s="3" t="n"/>
      <c r="AE525" s="3" t="n"/>
      <c r="AF525" s="3" t="n"/>
      <c r="AG525" s="3" t="inlineStr">
        <is>
          <t>1</t>
        </is>
      </c>
      <c r="AH525" s="3" t="n"/>
      <c r="AI525" s="3" t="n"/>
      <c r="AJ525" s="3" t="n"/>
      <c r="AK525" s="3" t="n"/>
      <c r="AL525" s="3" t="inlineStr">
        <is>
          <t>FINAL</t>
        </is>
      </c>
      <c r="AM525" s="3" t="n"/>
      <c r="AN525" s="3" t="n"/>
    </row>
    <row r="526">
      <c r="A526" s="3" t="inlineStr">
        <is>
          <t>P0525</t>
        </is>
      </c>
      <c r="B526" s="3" t="n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n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n"/>
      <c r="S526" s="3" t="n"/>
      <c r="T526" s="3" t="n"/>
      <c r="U526" s="3" t="n"/>
      <c r="V526" s="3" t="inlineStr">
        <is>
          <t>✓</t>
        </is>
      </c>
      <c r="W526" s="3" t="n"/>
      <c r="X526" s="3" t="n"/>
      <c r="Y526" s="3" t="n"/>
      <c r="Z526" s="3" t="n"/>
      <c r="AA526" s="3" t="n"/>
      <c r="AB526" s="3" t="inlineStr">
        <is>
          <t>1박</t>
        </is>
      </c>
      <c r="AC526" s="3" t="inlineStr">
        <is>
          <t>1</t>
        </is>
      </c>
      <c r="AD526" s="3" t="n"/>
      <c r="AE526" s="3" t="n"/>
      <c r="AF526" s="3" t="n"/>
      <c r="AG526" s="3" t="inlineStr">
        <is>
          <t>1</t>
        </is>
      </c>
      <c r="AH526" s="3" t="n"/>
      <c r="AI526" s="3" t="n"/>
      <c r="AJ526" s="3" t="n"/>
      <c r="AK526" s="3" t="n"/>
      <c r="AL526" s="3" t="inlineStr">
        <is>
          <t>FINAL</t>
        </is>
      </c>
      <c r="AM526" s="3" t="n"/>
      <c r="AN526" s="3" t="n"/>
    </row>
    <row r="527">
      <c r="A527" s="3" t="inlineStr">
        <is>
          <t>P0526</t>
        </is>
      </c>
      <c r="B527" s="3" t="n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n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n"/>
      <c r="S527" s="3" t="n"/>
      <c r="T527" s="3" t="n"/>
      <c r="U527" s="3" t="n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n"/>
      <c r="AB527" s="3" t="inlineStr">
        <is>
          <t>5박</t>
        </is>
      </c>
      <c r="AC527" s="3" t="inlineStr">
        <is>
          <t>1</t>
        </is>
      </c>
      <c r="AD527" s="3" t="n"/>
      <c r="AE527" s="3" t="n"/>
      <c r="AF527" s="3" t="n"/>
      <c r="AG527" s="3" t="inlineStr">
        <is>
          <t>1</t>
        </is>
      </c>
      <c r="AH527" s="3" t="n"/>
      <c r="AI527" s="3" t="n"/>
      <c r="AJ527" s="3" t="n"/>
      <c r="AK527" s="3" t="n"/>
      <c r="AL527" s="3" t="inlineStr">
        <is>
          <t>FINAL</t>
        </is>
      </c>
      <c r="AM527" s="3" t="n"/>
      <c r="AN527" s="3" t="n"/>
    </row>
    <row r="528">
      <c r="A528" s="3" t="inlineStr">
        <is>
          <t>P0527</t>
        </is>
      </c>
      <c r="B528" s="3" t="n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n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n"/>
      <c r="S528" s="3" t="n"/>
      <c r="T528" s="3" t="n"/>
      <c r="U528" s="3" t="n"/>
      <c r="V528" s="3" t="n"/>
      <c r="W528" s="3" t="n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n"/>
      <c r="AB528" s="3" t="inlineStr">
        <is>
          <t>3박</t>
        </is>
      </c>
      <c r="AC528" s="3" t="inlineStr">
        <is>
          <t>1</t>
        </is>
      </c>
      <c r="AD528" s="3" t="n"/>
      <c r="AE528" s="3" t="n"/>
      <c r="AF528" s="3" t="n"/>
      <c r="AG528" s="3" t="inlineStr">
        <is>
          <t>1</t>
        </is>
      </c>
      <c r="AH528" s="3" t="n"/>
      <c r="AI528" s="3" t="n"/>
      <c r="AJ528" s="3" t="n"/>
      <c r="AK528" s="3" t="n"/>
      <c r="AL528" s="3" t="inlineStr">
        <is>
          <t>FINAL</t>
        </is>
      </c>
      <c r="AM528" s="3" t="n"/>
      <c r="AN528" s="3" t="n"/>
    </row>
    <row r="529">
      <c r="A529" s="3" t="inlineStr">
        <is>
          <t>P0528</t>
        </is>
      </c>
      <c r="B529" s="3" t="n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n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n"/>
      <c r="S529" s="3" t="n"/>
      <c r="T529" s="3" t="n"/>
      <c r="U529" s="3" t="n"/>
      <c r="V529" s="3" t="inlineStr">
        <is>
          <t>✓</t>
        </is>
      </c>
      <c r="W529" s="3" t="n"/>
      <c r="X529" s="3" t="n"/>
      <c r="Y529" s="3" t="n"/>
      <c r="Z529" s="3" t="n"/>
      <c r="AA529" s="3" t="n"/>
      <c r="AB529" s="3" t="inlineStr">
        <is>
          <t>1박</t>
        </is>
      </c>
      <c r="AC529" s="3" t="inlineStr">
        <is>
          <t>1</t>
        </is>
      </c>
      <c r="AD529" s="3" t="n"/>
      <c r="AE529" s="3" t="n"/>
      <c r="AF529" s="3" t="n"/>
      <c r="AG529" s="3" t="inlineStr">
        <is>
          <t>1</t>
        </is>
      </c>
      <c r="AH529" s="3" t="n"/>
      <c r="AI529" s="3" t="n"/>
      <c r="AJ529" s="3" t="n"/>
      <c r="AK529" s="3" t="n"/>
      <c r="AL529" s="3" t="inlineStr">
        <is>
          <t>FINAL</t>
        </is>
      </c>
      <c r="AM529" s="3" t="n"/>
      <c r="AN529" s="3" t="n"/>
    </row>
    <row r="530">
      <c r="A530" s="3" t="inlineStr">
        <is>
          <t>P0529</t>
        </is>
      </c>
      <c r="B530" s="3" t="n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n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n"/>
      <c r="S530" s="3" t="n"/>
      <c r="T530" s="3" t="n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n"/>
      <c r="AB530" s="3" t="inlineStr">
        <is>
          <t>6박</t>
        </is>
      </c>
      <c r="AC530" s="3" t="inlineStr">
        <is>
          <t>1</t>
        </is>
      </c>
      <c r="AD530" s="3" t="n"/>
      <c r="AE530" s="3" t="n"/>
      <c r="AF530" s="3" t="n"/>
      <c r="AG530" s="3" t="inlineStr">
        <is>
          <t>1</t>
        </is>
      </c>
      <c r="AH530" s="3" t="n"/>
      <c r="AI530" s="3" t="n"/>
      <c r="AJ530" s="3" t="n"/>
      <c r="AK530" s="3" t="n"/>
      <c r="AL530" s="3" t="inlineStr">
        <is>
          <t>FINAL</t>
        </is>
      </c>
      <c r="AM530" s="3" t="n"/>
      <c r="AN530" s="3" t="n"/>
    </row>
    <row r="531">
      <c r="A531" s="3" t="inlineStr">
        <is>
          <t>P0530</t>
        </is>
      </c>
      <c r="B531" s="3" t="n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n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n"/>
      <c r="S531" s="3" t="n"/>
      <c r="T531" s="3" t="n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n"/>
      <c r="AB531" s="3" t="inlineStr">
        <is>
          <t>6박</t>
        </is>
      </c>
      <c r="AC531" s="3" t="inlineStr">
        <is>
          <t>1</t>
        </is>
      </c>
      <c r="AD531" s="3" t="n"/>
      <c r="AE531" s="3" t="n"/>
      <c r="AF531" s="3" t="n"/>
      <c r="AG531" s="3" t="inlineStr">
        <is>
          <t>1</t>
        </is>
      </c>
      <c r="AH531" s="3" t="n"/>
      <c r="AI531" s="3" t="n"/>
      <c r="AJ531" s="3" t="n"/>
      <c r="AK531" s="3" t="n"/>
      <c r="AL531" s="3" t="inlineStr">
        <is>
          <t>FINAL</t>
        </is>
      </c>
      <c r="AM531" s="3" t="n"/>
      <c r="AN531" s="3" t="n"/>
    </row>
    <row r="532">
      <c r="A532" s="3" t="inlineStr">
        <is>
          <t>P0531</t>
        </is>
      </c>
      <c r="B532" s="3" t="n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n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n"/>
      <c r="S532" s="3" t="n"/>
      <c r="T532" s="3" t="n"/>
      <c r="U532" s="3" t="n"/>
      <c r="V532" s="3" t="n"/>
      <c r="W532" s="3" t="n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n"/>
      <c r="AB532" s="3" t="inlineStr">
        <is>
          <t>3박</t>
        </is>
      </c>
      <c r="AC532" s="3" t="inlineStr">
        <is>
          <t>1</t>
        </is>
      </c>
      <c r="AD532" s="3" t="n"/>
      <c r="AE532" s="3" t="n"/>
      <c r="AF532" s="3" t="n"/>
      <c r="AG532" s="3" t="inlineStr">
        <is>
          <t>1</t>
        </is>
      </c>
      <c r="AH532" s="3" t="n"/>
      <c r="AI532" s="3" t="n"/>
      <c r="AJ532" s="3" t="n"/>
      <c r="AK532" s="3" t="n"/>
      <c r="AL532" s="3" t="inlineStr">
        <is>
          <t>FINAL</t>
        </is>
      </c>
      <c r="AM532" s="3" t="n"/>
      <c r="AN532" s="3" t="n"/>
    </row>
    <row r="533">
      <c r="A533" s="3" t="inlineStr">
        <is>
          <t>P0532</t>
        </is>
      </c>
      <c r="B533" s="3" t="n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n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n"/>
      <c r="S533" s="3" t="n"/>
      <c r="T533" s="3" t="n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n"/>
      <c r="AB533" s="3" t="inlineStr">
        <is>
          <t>6박</t>
        </is>
      </c>
      <c r="AC533" s="3" t="inlineStr">
        <is>
          <t>1</t>
        </is>
      </c>
      <c r="AD533" s="3" t="n"/>
      <c r="AE533" s="3" t="n"/>
      <c r="AF533" s="3" t="n"/>
      <c r="AG533" s="3" t="inlineStr">
        <is>
          <t>1</t>
        </is>
      </c>
      <c r="AH533" s="3" t="n"/>
      <c r="AI533" s="3" t="n"/>
      <c r="AJ533" s="3" t="n"/>
      <c r="AK533" s="3" t="n"/>
      <c r="AL533" s="3" t="inlineStr">
        <is>
          <t>FINAL</t>
        </is>
      </c>
      <c r="AM533" s="3" t="n"/>
      <c r="AN533" s="3" t="n"/>
    </row>
    <row r="534">
      <c r="A534" s="3" t="inlineStr">
        <is>
          <t>P0533</t>
        </is>
      </c>
      <c r="B534" s="3" t="n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n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n"/>
      <c r="S534" s="3" t="n"/>
      <c r="T534" s="3" t="n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n"/>
      <c r="AB534" s="3" t="inlineStr">
        <is>
          <t>6박</t>
        </is>
      </c>
      <c r="AC534" s="3" t="inlineStr">
        <is>
          <t>1</t>
        </is>
      </c>
      <c r="AD534" s="3" t="n"/>
      <c r="AE534" s="3" t="n"/>
      <c r="AF534" s="3" t="n"/>
      <c r="AG534" s="3" t="inlineStr">
        <is>
          <t>1</t>
        </is>
      </c>
      <c r="AH534" s="3" t="n"/>
      <c r="AI534" s="3" t="n"/>
      <c r="AJ534" s="3" t="n"/>
      <c r="AK534" s="3" t="n"/>
      <c r="AL534" s="3" t="inlineStr">
        <is>
          <t>FINAL</t>
        </is>
      </c>
      <c r="AM534" s="3" t="n"/>
      <c r="AN534" s="3" t="n"/>
    </row>
    <row r="535">
      <c r="A535" s="3" t="inlineStr">
        <is>
          <t>P0534</t>
        </is>
      </c>
      <c r="B535" s="3" t="n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n"/>
      <c r="S535" s="3" t="n"/>
      <c r="T535" s="3" t="n"/>
      <c r="U535" s="3" t="n"/>
      <c r="V535" s="3" t="n"/>
      <c r="W535" s="3" t="n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n"/>
      <c r="AB535" s="3" t="inlineStr">
        <is>
          <t>3박</t>
        </is>
      </c>
      <c r="AC535" s="3" t="inlineStr">
        <is>
          <t>1</t>
        </is>
      </c>
      <c r="AD535" s="3" t="n"/>
      <c r="AE535" s="3" t="n"/>
      <c r="AF535" s="3" t="n"/>
      <c r="AG535" s="3" t="inlineStr">
        <is>
          <t>1</t>
        </is>
      </c>
      <c r="AH535" s="3" t="n"/>
      <c r="AI535" s="3" t="n"/>
      <c r="AJ535" s="3" t="n"/>
      <c r="AK535" s="3" t="n"/>
      <c r="AL535" s="3" t="inlineStr">
        <is>
          <t>FINAL</t>
        </is>
      </c>
      <c r="AM535" s="3" t="n"/>
      <c r="AN535" s="3" t="n"/>
    </row>
    <row r="536">
      <c r="A536" s="3" t="inlineStr">
        <is>
          <t>P0535</t>
        </is>
      </c>
      <c r="B536" s="3" t="n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n"/>
      <c r="S536" s="3" t="n"/>
      <c r="T536" s="3" t="n"/>
      <c r="U536" s="3" t="n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n"/>
      <c r="AB536" s="3" t="inlineStr">
        <is>
          <t>5박</t>
        </is>
      </c>
      <c r="AC536" s="3" t="inlineStr">
        <is>
          <t>1</t>
        </is>
      </c>
      <c r="AD536" s="3" t="n"/>
      <c r="AE536" s="3" t="n"/>
      <c r="AF536" s="3" t="n"/>
      <c r="AG536" s="3" t="inlineStr">
        <is>
          <t>1</t>
        </is>
      </c>
      <c r="AH536" s="3" t="n"/>
      <c r="AI536" s="3" t="n"/>
      <c r="AJ536" s="3" t="n"/>
      <c r="AK536" s="3" t="n"/>
      <c r="AL536" s="3" t="inlineStr">
        <is>
          <t>FINAL</t>
        </is>
      </c>
      <c r="AM536" s="3" t="n"/>
      <c r="AN536" s="3" t="n"/>
    </row>
    <row r="537">
      <c r="A537" s="3" t="inlineStr">
        <is>
          <t>P0536</t>
        </is>
      </c>
      <c r="B537" s="3" t="n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n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n"/>
      <c r="S537" s="3" t="n"/>
      <c r="T537" s="3" t="n"/>
      <c r="U537" s="3" t="n"/>
      <c r="V537" s="3" t="n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n"/>
      <c r="AB537" s="3" t="inlineStr">
        <is>
          <t>4박</t>
        </is>
      </c>
      <c r="AC537" s="3" t="inlineStr">
        <is>
          <t>1</t>
        </is>
      </c>
      <c r="AD537" s="3" t="n"/>
      <c r="AE537" s="3" t="n"/>
      <c r="AF537" s="3" t="n"/>
      <c r="AG537" s="3" t="inlineStr">
        <is>
          <t>1</t>
        </is>
      </c>
      <c r="AH537" s="3" t="n"/>
      <c r="AI537" s="3" t="n"/>
      <c r="AJ537" s="3" t="n"/>
      <c r="AK537" s="3" t="n"/>
      <c r="AL537" s="3" t="inlineStr">
        <is>
          <t>FINAL</t>
        </is>
      </c>
      <c r="AM537" s="3" t="n"/>
      <c r="AN537" s="3" t="n"/>
    </row>
    <row r="538">
      <c r="A538" s="3" t="inlineStr">
        <is>
          <t>P0537</t>
        </is>
      </c>
      <c r="B538" s="3" t="n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n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n"/>
      <c r="S538" s="3" t="n"/>
      <c r="T538" s="3" t="n"/>
      <c r="U538" s="3" t="n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n"/>
      <c r="AB538" s="3" t="inlineStr">
        <is>
          <t>5박</t>
        </is>
      </c>
      <c r="AC538" s="3" t="inlineStr">
        <is>
          <t>1</t>
        </is>
      </c>
      <c r="AD538" s="3" t="n"/>
      <c r="AE538" s="3" t="n"/>
      <c r="AF538" s="3" t="n"/>
      <c r="AG538" s="3" t="inlineStr">
        <is>
          <t>1</t>
        </is>
      </c>
      <c r="AH538" s="3" t="n"/>
      <c r="AI538" s="3" t="n"/>
      <c r="AJ538" s="3" t="n"/>
      <c r="AK538" s="3" t="n"/>
      <c r="AL538" s="3" t="inlineStr">
        <is>
          <t>FINAL</t>
        </is>
      </c>
      <c r="AM538" s="3" t="n"/>
      <c r="AN538" s="3" t="n"/>
    </row>
    <row r="539">
      <c r="A539" s="3" t="inlineStr">
        <is>
          <t>P0538</t>
        </is>
      </c>
      <c r="B539" s="3" t="n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n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n"/>
      <c r="S539" s="3" t="n"/>
      <c r="T539" s="3" t="n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n"/>
      <c r="AB539" s="3" t="inlineStr">
        <is>
          <t>6박</t>
        </is>
      </c>
      <c r="AC539" s="3" t="inlineStr">
        <is>
          <t>1</t>
        </is>
      </c>
      <c r="AD539" s="3" t="n"/>
      <c r="AE539" s="3" t="n"/>
      <c r="AF539" s="3" t="n"/>
      <c r="AG539" s="3" t="inlineStr">
        <is>
          <t>1</t>
        </is>
      </c>
      <c r="AH539" s="3" t="n"/>
      <c r="AI539" s="3" t="n"/>
      <c r="AJ539" s="3" t="n"/>
      <c r="AK539" s="3" t="n"/>
      <c r="AL539" s="3" t="inlineStr">
        <is>
          <t>FINAL</t>
        </is>
      </c>
      <c r="AM539" s="3" t="n"/>
      <c r="AN539" s="3" t="n"/>
    </row>
    <row r="540">
      <c r="A540" s="3" t="inlineStr">
        <is>
          <t>P0539</t>
        </is>
      </c>
      <c r="B540" s="3" t="n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n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n"/>
      <c r="S540" s="3" t="n"/>
      <c r="T540" s="3" t="n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n"/>
      <c r="AB540" s="3" t="inlineStr">
        <is>
          <t>6박</t>
        </is>
      </c>
      <c r="AC540" s="3" t="inlineStr">
        <is>
          <t>1</t>
        </is>
      </c>
      <c r="AD540" s="3" t="n"/>
      <c r="AE540" s="3" t="n"/>
      <c r="AF540" s="3" t="n"/>
      <c r="AG540" s="3" t="inlineStr">
        <is>
          <t>1</t>
        </is>
      </c>
      <c r="AH540" s="3" t="n"/>
      <c r="AI540" s="3" t="n"/>
      <c r="AJ540" s="3" t="n"/>
      <c r="AK540" s="3" t="n"/>
      <c r="AL540" s="3" t="inlineStr">
        <is>
          <t>FINAL</t>
        </is>
      </c>
      <c r="AM540" s="3" t="n"/>
      <c r="AN540" s="3" t="n"/>
    </row>
    <row r="541">
      <c r="A541" s="3" t="inlineStr">
        <is>
          <t>P0540</t>
        </is>
      </c>
      <c r="B541" s="3" t="n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n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n"/>
      <c r="S541" s="3" t="n"/>
      <c r="T541" s="3" t="n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n"/>
      <c r="AB541" s="3" t="inlineStr">
        <is>
          <t>6박</t>
        </is>
      </c>
      <c r="AC541" s="3" t="inlineStr">
        <is>
          <t>1</t>
        </is>
      </c>
      <c r="AD541" s="3" t="n"/>
      <c r="AE541" s="3" t="n"/>
      <c r="AF541" s="3" t="n"/>
      <c r="AG541" s="3" t="inlineStr">
        <is>
          <t>1</t>
        </is>
      </c>
      <c r="AH541" s="3" t="n"/>
      <c r="AI541" s="3" t="n"/>
      <c r="AJ541" s="3" t="n"/>
      <c r="AK541" s="3" t="n"/>
      <c r="AL541" s="3" t="inlineStr">
        <is>
          <t>FINAL</t>
        </is>
      </c>
      <c r="AM541" s="3" t="n"/>
      <c r="AN541" s="3" t="n"/>
    </row>
    <row r="542">
      <c r="A542" s="3" t="inlineStr">
        <is>
          <t>P0541</t>
        </is>
      </c>
      <c r="B542" s="3" t="n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n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n"/>
      <c r="S542" s="3" t="n"/>
      <c r="T542" s="3" t="n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n"/>
      <c r="AB542" s="3" t="inlineStr">
        <is>
          <t>6박</t>
        </is>
      </c>
      <c r="AC542" s="3" t="inlineStr">
        <is>
          <t>1</t>
        </is>
      </c>
      <c r="AD542" s="3" t="n"/>
      <c r="AE542" s="3" t="n"/>
      <c r="AF542" s="3" t="n"/>
      <c r="AG542" s="3" t="inlineStr">
        <is>
          <t>1</t>
        </is>
      </c>
      <c r="AH542" s="3" t="n"/>
      <c r="AI542" s="3" t="n"/>
      <c r="AJ542" s="3" t="n"/>
      <c r="AK542" s="3" t="n"/>
      <c r="AL542" s="3" t="inlineStr">
        <is>
          <t>FINAL</t>
        </is>
      </c>
      <c r="AM542" s="3" t="n"/>
      <c r="AN542" s="3" t="n"/>
    </row>
    <row r="543">
      <c r="A543" s="3" t="inlineStr">
        <is>
          <t>P0542</t>
        </is>
      </c>
      <c r="B543" s="3" t="n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n"/>
      <c r="S543" s="3" t="n"/>
      <c r="T543" s="3" t="n"/>
      <c r="U543" s="3" t="n"/>
      <c r="V543" s="3" t="n"/>
      <c r="W543" s="3" t="n"/>
      <c r="X543" s="3" t="n"/>
      <c r="Y543" s="3" t="inlineStr">
        <is>
          <t>✓</t>
        </is>
      </c>
      <c r="Z543" s="3" t="inlineStr">
        <is>
          <t>✓</t>
        </is>
      </c>
      <c r="AA543" s="3" t="n"/>
      <c r="AB543" s="3" t="inlineStr">
        <is>
          <t>2박</t>
        </is>
      </c>
      <c r="AC543" s="3" t="inlineStr">
        <is>
          <t>1</t>
        </is>
      </c>
      <c r="AD543" s="3" t="n"/>
      <c r="AE543" s="3" t="n"/>
      <c r="AF543" s="3" t="n"/>
      <c r="AG543" s="3" t="inlineStr">
        <is>
          <t>1</t>
        </is>
      </c>
      <c r="AH543" s="3" t="n"/>
      <c r="AI543" s="3" t="n"/>
      <c r="AJ543" s="3" t="n"/>
      <c r="AK543" s="3" t="n"/>
      <c r="AL543" s="3" t="inlineStr">
        <is>
          <t>FINAL</t>
        </is>
      </c>
      <c r="AM543" s="3" t="n"/>
      <c r="AN543" s="3" t="n"/>
    </row>
    <row r="544">
      <c r="A544" s="3" t="inlineStr">
        <is>
          <t>P0543</t>
        </is>
      </c>
      <c r="B544" s="3" t="n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n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n"/>
      <c r="S544" s="3" t="n"/>
      <c r="T544" s="3" t="n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n"/>
      <c r="AB544" s="3" t="inlineStr">
        <is>
          <t>6박</t>
        </is>
      </c>
      <c r="AC544" s="3" t="inlineStr">
        <is>
          <t>1</t>
        </is>
      </c>
      <c r="AD544" s="3" t="n"/>
      <c r="AE544" s="3" t="n"/>
      <c r="AF544" s="3" t="n"/>
      <c r="AG544" s="3" t="inlineStr">
        <is>
          <t>1</t>
        </is>
      </c>
      <c r="AH544" s="3" t="n"/>
      <c r="AI544" s="3" t="n"/>
      <c r="AJ544" s="3" t="n"/>
      <c r="AK544" s="3" t="n"/>
      <c r="AL544" s="3" t="inlineStr">
        <is>
          <t>FINAL</t>
        </is>
      </c>
      <c r="AM544" s="3" t="n"/>
      <c r="AN544" s="3" t="n"/>
    </row>
    <row r="545">
      <c r="A545" s="3" t="inlineStr">
        <is>
          <t>P0544</t>
        </is>
      </c>
      <c r="B545" s="3" t="n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n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n"/>
      <c r="S545" s="3" t="n"/>
      <c r="T545" s="3" t="n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n"/>
      <c r="AB545" s="3" t="inlineStr">
        <is>
          <t>6박</t>
        </is>
      </c>
      <c r="AC545" s="3" t="inlineStr">
        <is>
          <t>1</t>
        </is>
      </c>
      <c r="AD545" s="3" t="n"/>
      <c r="AE545" s="3" t="n"/>
      <c r="AF545" s="3" t="n"/>
      <c r="AG545" s="3" t="inlineStr">
        <is>
          <t>1</t>
        </is>
      </c>
      <c r="AH545" s="3" t="n"/>
      <c r="AI545" s="3" t="n"/>
      <c r="AJ545" s="3" t="n"/>
      <c r="AK545" s="3" t="n"/>
      <c r="AL545" s="3" t="inlineStr">
        <is>
          <t>FINAL</t>
        </is>
      </c>
      <c r="AM545" s="3" t="n"/>
      <c r="AN545" s="3" t="n"/>
    </row>
    <row r="546">
      <c r="A546" s="3" t="inlineStr">
        <is>
          <t>P0545</t>
        </is>
      </c>
      <c r="B546" s="3" t="n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n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n"/>
      <c r="S546" s="3" t="n"/>
      <c r="T546" s="3" t="n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n"/>
      <c r="AB546" s="3" t="inlineStr">
        <is>
          <t>6박</t>
        </is>
      </c>
      <c r="AC546" s="3" t="inlineStr">
        <is>
          <t>1</t>
        </is>
      </c>
      <c r="AD546" s="3" t="n"/>
      <c r="AE546" s="3" t="n"/>
      <c r="AF546" s="3" t="n"/>
      <c r="AG546" s="3" t="inlineStr">
        <is>
          <t>1</t>
        </is>
      </c>
      <c r="AH546" s="3" t="n"/>
      <c r="AI546" s="3" t="n"/>
      <c r="AJ546" s="3" t="n"/>
      <c r="AK546" s="3" t="n"/>
      <c r="AL546" s="3" t="inlineStr">
        <is>
          <t>FINAL</t>
        </is>
      </c>
      <c r="AM546" s="3" t="n"/>
      <c r="AN546" s="3" t="n"/>
    </row>
    <row r="547">
      <c r="A547" s="3" t="inlineStr">
        <is>
          <t>P0546</t>
        </is>
      </c>
      <c r="B547" s="3" t="n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n"/>
      <c r="S547" s="3" t="n"/>
      <c r="T547" s="3" t="n"/>
      <c r="U547" s="3" t="n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n"/>
      <c r="AB547" s="3" t="inlineStr">
        <is>
          <t>5박</t>
        </is>
      </c>
      <c r="AC547" s="3" t="inlineStr">
        <is>
          <t>1</t>
        </is>
      </c>
      <c r="AD547" s="3" t="n"/>
      <c r="AE547" s="3" t="n"/>
      <c r="AF547" s="3" t="n"/>
      <c r="AG547" s="3" t="inlineStr">
        <is>
          <t>1</t>
        </is>
      </c>
      <c r="AH547" s="3" t="n"/>
      <c r="AI547" s="3" t="n"/>
      <c r="AJ547" s="3" t="n"/>
      <c r="AK547" s="3" t="n"/>
      <c r="AL547" s="3" t="inlineStr">
        <is>
          <t>FINAL</t>
        </is>
      </c>
      <c r="AM547" s="3" t="n"/>
      <c r="AN547" s="3" t="n"/>
    </row>
    <row r="548">
      <c r="A548" s="3" t="inlineStr">
        <is>
          <t>P0547</t>
        </is>
      </c>
      <c r="B548" s="3" t="n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n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n"/>
      <c r="S548" s="3" t="n"/>
      <c r="T548" s="3" t="n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n"/>
      <c r="AB548" s="3" t="inlineStr">
        <is>
          <t>6박</t>
        </is>
      </c>
      <c r="AC548" s="3" t="inlineStr">
        <is>
          <t>1</t>
        </is>
      </c>
      <c r="AD548" s="3" t="n"/>
      <c r="AE548" s="3" t="n"/>
      <c r="AF548" s="3" t="n"/>
      <c r="AG548" s="3" t="inlineStr">
        <is>
          <t>1</t>
        </is>
      </c>
      <c r="AH548" s="3" t="n"/>
      <c r="AI548" s="3" t="n"/>
      <c r="AJ548" s="3" t="n"/>
      <c r="AK548" s="3" t="n"/>
      <c r="AL548" s="3" t="inlineStr">
        <is>
          <t>FINAL</t>
        </is>
      </c>
      <c r="AM548" s="3" t="n"/>
      <c r="AN548" s="3" t="n"/>
    </row>
    <row r="549">
      <c r="A549" s="3" t="inlineStr">
        <is>
          <t>P0548</t>
        </is>
      </c>
      <c r="B549" s="3" t="n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n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n"/>
      <c r="S549" s="3" t="n"/>
      <c r="T549" s="3" t="n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n"/>
      <c r="AB549" s="3" t="inlineStr">
        <is>
          <t>6박</t>
        </is>
      </c>
      <c r="AC549" s="3" t="inlineStr">
        <is>
          <t>1</t>
        </is>
      </c>
      <c r="AD549" s="3" t="n"/>
      <c r="AE549" s="3" t="n"/>
      <c r="AF549" s="3" t="n"/>
      <c r="AG549" s="3" t="inlineStr">
        <is>
          <t>1</t>
        </is>
      </c>
      <c r="AH549" s="3" t="n"/>
      <c r="AI549" s="3" t="n"/>
      <c r="AJ549" s="3" t="n"/>
      <c r="AK549" s="3" t="n"/>
      <c r="AL549" s="3" t="inlineStr">
        <is>
          <t>FINAL</t>
        </is>
      </c>
      <c r="AM549" s="3" t="n"/>
      <c r="AN549" s="3" t="n"/>
    </row>
    <row r="550">
      <c r="A550" s="3" t="inlineStr">
        <is>
          <t>P0549</t>
        </is>
      </c>
      <c r="B550" s="3" t="n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n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n"/>
      <c r="S550" s="3" t="n"/>
      <c r="T550" s="3" t="n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n"/>
      <c r="AB550" s="3" t="inlineStr">
        <is>
          <t>6박</t>
        </is>
      </c>
      <c r="AC550" s="3" t="inlineStr">
        <is>
          <t>1</t>
        </is>
      </c>
      <c r="AD550" s="3" t="n"/>
      <c r="AE550" s="3" t="n"/>
      <c r="AF550" s="3" t="n"/>
      <c r="AG550" s="3" t="inlineStr">
        <is>
          <t>1</t>
        </is>
      </c>
      <c r="AH550" s="3" t="n"/>
      <c r="AI550" s="3" t="n"/>
      <c r="AJ550" s="3" t="n"/>
      <c r="AK550" s="3" t="n"/>
      <c r="AL550" s="3" t="inlineStr">
        <is>
          <t>FINAL</t>
        </is>
      </c>
      <c r="AM550" s="3" t="n"/>
      <c r="AN550" s="3" t="n"/>
    </row>
    <row r="551">
      <c r="A551" s="3" t="inlineStr">
        <is>
          <t>P0550</t>
        </is>
      </c>
      <c r="B551" s="3" t="n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n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n"/>
      <c r="S551" s="3" t="n"/>
      <c r="T551" s="3" t="n"/>
      <c r="U551" s="3" t="inlineStr">
        <is>
          <t>✓</t>
        </is>
      </c>
      <c r="V551" s="3" t="n"/>
      <c r="W551" s="3" t="n"/>
      <c r="X551" s="3" t="n"/>
      <c r="Y551" s="3" t="n"/>
      <c r="Z551" s="3" t="n"/>
      <c r="AA551" s="3" t="n"/>
      <c r="AB551" s="3" t="inlineStr">
        <is>
          <t>1박</t>
        </is>
      </c>
      <c r="AC551" s="3" t="inlineStr">
        <is>
          <t>1</t>
        </is>
      </c>
      <c r="AD551" s="3" t="n"/>
      <c r="AE551" s="3" t="n"/>
      <c r="AF551" s="3" t="n"/>
      <c r="AG551" s="3" t="inlineStr">
        <is>
          <t>1</t>
        </is>
      </c>
      <c r="AH551" s="3" t="n"/>
      <c r="AI551" s="3" t="n"/>
      <c r="AJ551" s="3" t="n"/>
      <c r="AK551" s="3" t="n"/>
      <c r="AL551" s="3" t="inlineStr">
        <is>
          <t>FINAL</t>
        </is>
      </c>
      <c r="AM551" s="3" t="n"/>
      <c r="AN551" s="3" t="n"/>
    </row>
    <row r="552">
      <c r="A552" s="3" t="inlineStr">
        <is>
          <t>P0551</t>
        </is>
      </c>
      <c r="B552" s="3" t="n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n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n"/>
      <c r="S552" s="3" t="n"/>
      <c r="T552" s="3" t="n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n"/>
      <c r="AB552" s="3" t="inlineStr">
        <is>
          <t>6박</t>
        </is>
      </c>
      <c r="AC552" s="3" t="inlineStr">
        <is>
          <t>1</t>
        </is>
      </c>
      <c r="AD552" s="3" t="n"/>
      <c r="AE552" s="3" t="n"/>
      <c r="AF552" s="3" t="n"/>
      <c r="AG552" s="3" t="inlineStr">
        <is>
          <t>1</t>
        </is>
      </c>
      <c r="AH552" s="3" t="n"/>
      <c r="AI552" s="3" t="n"/>
      <c r="AJ552" s="3" t="n"/>
      <c r="AK552" s="3" t="n"/>
      <c r="AL552" s="3" t="inlineStr">
        <is>
          <t>FINAL</t>
        </is>
      </c>
      <c r="AM552" s="3" t="n"/>
      <c r="AN552" s="3" t="n"/>
    </row>
    <row r="553">
      <c r="A553" s="3" t="inlineStr">
        <is>
          <t>P0552</t>
        </is>
      </c>
      <c r="B553" s="3" t="n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n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n"/>
      <c r="S553" s="3" t="n"/>
      <c r="T553" s="3" t="n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n"/>
      <c r="AB553" s="3" t="inlineStr">
        <is>
          <t>6박</t>
        </is>
      </c>
      <c r="AC553" s="3" t="inlineStr">
        <is>
          <t>1</t>
        </is>
      </c>
      <c r="AD553" s="3" t="n"/>
      <c r="AE553" s="3" t="n"/>
      <c r="AF553" s="3" t="n"/>
      <c r="AG553" s="3" t="inlineStr">
        <is>
          <t>1</t>
        </is>
      </c>
      <c r="AH553" s="3" t="n"/>
      <c r="AI553" s="3" t="n"/>
      <c r="AJ553" s="3" t="n"/>
      <c r="AK553" s="3" t="n"/>
      <c r="AL553" s="3" t="inlineStr">
        <is>
          <t>FINAL</t>
        </is>
      </c>
      <c r="AM553" s="3" t="n"/>
      <c r="AN553" s="3" t="n"/>
    </row>
    <row r="554">
      <c r="A554" s="3" t="inlineStr">
        <is>
          <t>P0553</t>
        </is>
      </c>
      <c r="B554" s="3" t="n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n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n"/>
      <c r="S554" s="3" t="n"/>
      <c r="T554" s="3" t="n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n"/>
      <c r="AB554" s="3" t="inlineStr">
        <is>
          <t>6박</t>
        </is>
      </c>
      <c r="AC554" s="3" t="inlineStr">
        <is>
          <t>1</t>
        </is>
      </c>
      <c r="AD554" s="3" t="n"/>
      <c r="AE554" s="3" t="n"/>
      <c r="AF554" s="3" t="n"/>
      <c r="AG554" s="3" t="inlineStr">
        <is>
          <t>1</t>
        </is>
      </c>
      <c r="AH554" s="3" t="n"/>
      <c r="AI554" s="3" t="n"/>
      <c r="AJ554" s="3" t="n"/>
      <c r="AK554" s="3" t="n"/>
      <c r="AL554" s="3" t="inlineStr">
        <is>
          <t>FINAL</t>
        </is>
      </c>
      <c r="AM554" s="3" t="n"/>
      <c r="AN554" s="3" t="n"/>
    </row>
    <row r="555">
      <c r="A555" s="3" t="inlineStr">
        <is>
          <t>P0554</t>
        </is>
      </c>
      <c r="B555" s="3" t="n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n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n"/>
      <c r="S555" s="3" t="n"/>
      <c r="T555" s="3" t="n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n"/>
      <c r="AB555" s="3" t="inlineStr">
        <is>
          <t>6박</t>
        </is>
      </c>
      <c r="AC555" s="3" t="inlineStr">
        <is>
          <t>1</t>
        </is>
      </c>
      <c r="AD555" s="3" t="n"/>
      <c r="AE555" s="3" t="n"/>
      <c r="AF555" s="3" t="n"/>
      <c r="AG555" s="3" t="inlineStr">
        <is>
          <t>1</t>
        </is>
      </c>
      <c r="AH555" s="3" t="n"/>
      <c r="AI555" s="3" t="n"/>
      <c r="AJ555" s="3" t="n"/>
      <c r="AK555" s="3" t="n"/>
      <c r="AL555" s="3" t="inlineStr">
        <is>
          <t>FINAL</t>
        </is>
      </c>
      <c r="AM555" s="3" t="n"/>
      <c r="AN555" s="3" t="n"/>
    </row>
    <row r="556">
      <c r="A556" s="3" t="inlineStr">
        <is>
          <t>P0555</t>
        </is>
      </c>
      <c r="B556" s="3" t="n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n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n"/>
      <c r="S556" s="3" t="n"/>
      <c r="T556" s="3" t="n"/>
      <c r="U556" s="3" t="n"/>
      <c r="V556" s="3" t="n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n"/>
      <c r="AB556" s="3" t="inlineStr">
        <is>
          <t>4박</t>
        </is>
      </c>
      <c r="AC556" s="3" t="inlineStr">
        <is>
          <t>1</t>
        </is>
      </c>
      <c r="AD556" s="3" t="n"/>
      <c r="AE556" s="3" t="n"/>
      <c r="AF556" s="3" t="n"/>
      <c r="AG556" s="3" t="inlineStr">
        <is>
          <t>1</t>
        </is>
      </c>
      <c r="AH556" s="3" t="n"/>
      <c r="AI556" s="3" t="n"/>
      <c r="AJ556" s="3" t="n"/>
      <c r="AK556" s="3" t="n"/>
      <c r="AL556" s="3" t="inlineStr">
        <is>
          <t>FINAL</t>
        </is>
      </c>
      <c r="AM556" s="3" t="n"/>
      <c r="AN556" s="3" t="n"/>
    </row>
    <row r="557">
      <c r="A557" s="3" t="inlineStr">
        <is>
          <t>P0556</t>
        </is>
      </c>
      <c r="B557" s="3" t="n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n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n"/>
      <c r="S557" s="3" t="n"/>
      <c r="T557" s="3" t="n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n"/>
      <c r="AB557" s="3" t="inlineStr">
        <is>
          <t>6박</t>
        </is>
      </c>
      <c r="AC557" s="3" t="inlineStr">
        <is>
          <t>1</t>
        </is>
      </c>
      <c r="AD557" s="3" t="n"/>
      <c r="AE557" s="3" t="n"/>
      <c r="AF557" s="3" t="n"/>
      <c r="AG557" s="3" t="inlineStr">
        <is>
          <t>1</t>
        </is>
      </c>
      <c r="AH557" s="3" t="n"/>
      <c r="AI557" s="3" t="n"/>
      <c r="AJ557" s="3" t="n"/>
      <c r="AK557" s="3" t="n"/>
      <c r="AL557" s="3" t="inlineStr">
        <is>
          <t>FINAL</t>
        </is>
      </c>
      <c r="AM557" s="3" t="n"/>
      <c r="AN557" s="3" t="n"/>
    </row>
    <row r="558">
      <c r="A558" s="3" t="inlineStr">
        <is>
          <t>P0557</t>
        </is>
      </c>
      <c r="B558" s="3" t="n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n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n"/>
      <c r="S558" s="3" t="n"/>
      <c r="T558" s="3" t="n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n"/>
      <c r="AB558" s="3" t="inlineStr">
        <is>
          <t>6박</t>
        </is>
      </c>
      <c r="AC558" s="3" t="inlineStr">
        <is>
          <t>1</t>
        </is>
      </c>
      <c r="AD558" s="3" t="n"/>
      <c r="AE558" s="3" t="n"/>
      <c r="AF558" s="3" t="n"/>
      <c r="AG558" s="3" t="inlineStr">
        <is>
          <t>1</t>
        </is>
      </c>
      <c r="AH558" s="3" t="n"/>
      <c r="AI558" s="3" t="n"/>
      <c r="AJ558" s="3" t="n"/>
      <c r="AK558" s="3" t="n"/>
      <c r="AL558" s="3" t="inlineStr">
        <is>
          <t>FINAL</t>
        </is>
      </c>
      <c r="AM558" s="3" t="n"/>
      <c r="AN558" s="3" t="n"/>
    </row>
    <row r="559">
      <c r="A559" s="3" t="inlineStr">
        <is>
          <t>P0558</t>
        </is>
      </c>
      <c r="B559" s="3" t="n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n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n"/>
      <c r="S559" s="3" t="n"/>
      <c r="T559" s="3" t="n"/>
      <c r="U559" s="3" t="n"/>
      <c r="V559" s="3" t="inlineStr">
        <is>
          <t>✓</t>
        </is>
      </c>
      <c r="W559" s="3" t="n"/>
      <c r="X559" s="3" t="n"/>
      <c r="Y559" s="3" t="n"/>
      <c r="Z559" s="3" t="inlineStr">
        <is>
          <t>✓</t>
        </is>
      </c>
      <c r="AA559" s="3" t="n"/>
      <c r="AB559" s="3" t="inlineStr">
        <is>
          <t>2박</t>
        </is>
      </c>
      <c r="AC559" s="3" t="inlineStr">
        <is>
          <t>1</t>
        </is>
      </c>
      <c r="AD559" s="3" t="n"/>
      <c r="AE559" s="3" t="n"/>
      <c r="AF559" s="3" t="n"/>
      <c r="AG559" s="3" t="inlineStr">
        <is>
          <t>1</t>
        </is>
      </c>
      <c r="AH559" s="3" t="n"/>
      <c r="AI559" s="3" t="n"/>
      <c r="AJ559" s="3" t="n"/>
      <c r="AK559" s="3" t="n"/>
      <c r="AL559" s="3" t="inlineStr">
        <is>
          <t>FINAL</t>
        </is>
      </c>
      <c r="AM559" s="3" t="n"/>
      <c r="AN559" s="3" t="n"/>
    </row>
    <row r="560">
      <c r="A560" s="3" t="inlineStr">
        <is>
          <t>P0559</t>
        </is>
      </c>
      <c r="B560" s="3" t="n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n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n"/>
      <c r="S560" s="3" t="n"/>
      <c r="T560" s="3" t="n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n"/>
      <c r="AA560" s="3" t="n"/>
      <c r="AB560" s="3" t="inlineStr">
        <is>
          <t>5박</t>
        </is>
      </c>
      <c r="AC560" s="3" t="inlineStr">
        <is>
          <t>1</t>
        </is>
      </c>
      <c r="AD560" s="3" t="n"/>
      <c r="AE560" s="3" t="n"/>
      <c r="AF560" s="3" t="n"/>
      <c r="AG560" s="3" t="inlineStr">
        <is>
          <t>1</t>
        </is>
      </c>
      <c r="AH560" s="3" t="n"/>
      <c r="AI560" s="3" t="n"/>
      <c r="AJ560" s="3" t="n"/>
      <c r="AK560" s="3" t="n"/>
      <c r="AL560" s="3" t="inlineStr">
        <is>
          <t>FINAL</t>
        </is>
      </c>
      <c r="AM560" s="3" t="n"/>
      <c r="AN560" s="3" t="n"/>
    </row>
    <row r="561">
      <c r="A561" s="3" t="inlineStr">
        <is>
          <t>P0560</t>
        </is>
      </c>
      <c r="B561" s="3" t="n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n"/>
      <c r="S561" s="3" t="n"/>
      <c r="T561" s="3" t="n"/>
      <c r="U561" s="3" t="n"/>
      <c r="V561" s="3" t="n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n"/>
      <c r="AB561" s="3" t="inlineStr">
        <is>
          <t>4박</t>
        </is>
      </c>
      <c r="AC561" s="3" t="inlineStr">
        <is>
          <t>1</t>
        </is>
      </c>
      <c r="AD561" s="3" t="n"/>
      <c r="AE561" s="3" t="n"/>
      <c r="AF561" s="3" t="n"/>
      <c r="AG561" s="3" t="inlineStr">
        <is>
          <t>1</t>
        </is>
      </c>
      <c r="AH561" s="3" t="n"/>
      <c r="AI561" s="3" t="n"/>
      <c r="AJ561" s="3" t="n"/>
      <c r="AK561" s="3" t="n"/>
      <c r="AL561" s="3" t="inlineStr">
        <is>
          <t>FINAL</t>
        </is>
      </c>
      <c r="AM561" s="3" t="n"/>
      <c r="AN561" s="3" t="n"/>
    </row>
    <row r="562">
      <c r="A562" s="3" t="inlineStr">
        <is>
          <t>P0561</t>
        </is>
      </c>
      <c r="B562" s="3" t="n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n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n"/>
      <c r="S562" s="3" t="n"/>
      <c r="T562" s="3" t="n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n"/>
      <c r="AB562" s="3" t="inlineStr">
        <is>
          <t>6박</t>
        </is>
      </c>
      <c r="AC562" s="3" t="inlineStr">
        <is>
          <t>1</t>
        </is>
      </c>
      <c r="AD562" s="3" t="n"/>
      <c r="AE562" s="3" t="n"/>
      <c r="AF562" s="3" t="n"/>
      <c r="AG562" s="3" t="inlineStr">
        <is>
          <t>1</t>
        </is>
      </c>
      <c r="AH562" s="3" t="n"/>
      <c r="AI562" s="3" t="n"/>
      <c r="AJ562" s="3" t="n"/>
      <c r="AK562" s="3" t="n"/>
      <c r="AL562" s="3" t="inlineStr">
        <is>
          <t>FINAL</t>
        </is>
      </c>
      <c r="AM562" s="3" t="n"/>
      <c r="AN562" s="3" t="n"/>
    </row>
    <row r="563">
      <c r="A563" s="3" t="inlineStr">
        <is>
          <t>P0562</t>
        </is>
      </c>
      <c r="B563" s="3" t="n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n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n"/>
      <c r="S563" s="3" t="n"/>
      <c r="T563" s="3" t="n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n"/>
      <c r="AB563" s="3" t="inlineStr">
        <is>
          <t>6박</t>
        </is>
      </c>
      <c r="AC563" s="3" t="inlineStr">
        <is>
          <t>1</t>
        </is>
      </c>
      <c r="AD563" s="3" t="n"/>
      <c r="AE563" s="3" t="n"/>
      <c r="AF563" s="3" t="n"/>
      <c r="AG563" s="3" t="inlineStr">
        <is>
          <t>1</t>
        </is>
      </c>
      <c r="AH563" s="3" t="n"/>
      <c r="AI563" s="3" t="n"/>
      <c r="AJ563" s="3" t="n"/>
      <c r="AK563" s="3" t="n"/>
      <c r="AL563" s="3" t="inlineStr">
        <is>
          <t>FINAL</t>
        </is>
      </c>
      <c r="AM563" s="3" t="n"/>
      <c r="AN563" s="3" t="n"/>
    </row>
    <row r="564">
      <c r="A564" s="3" t="inlineStr">
        <is>
          <t>P0563</t>
        </is>
      </c>
      <c r="B564" s="3" t="n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n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n"/>
      <c r="S564" s="3" t="n"/>
      <c r="T564" s="3" t="n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n"/>
      <c r="AB564" s="3" t="inlineStr">
        <is>
          <t>6박</t>
        </is>
      </c>
      <c r="AC564" s="3" t="inlineStr">
        <is>
          <t>1</t>
        </is>
      </c>
      <c r="AD564" s="3" t="n"/>
      <c r="AE564" s="3" t="n"/>
      <c r="AF564" s="3" t="n"/>
      <c r="AG564" s="3" t="inlineStr">
        <is>
          <t>1</t>
        </is>
      </c>
      <c r="AH564" s="3" t="n"/>
      <c r="AI564" s="3" t="n"/>
      <c r="AJ564" s="3" t="n"/>
      <c r="AK564" s="3" t="n"/>
      <c r="AL564" s="3" t="inlineStr">
        <is>
          <t>FINAL</t>
        </is>
      </c>
      <c r="AM564" s="3" t="n"/>
      <c r="AN564" s="3" t="n"/>
    </row>
    <row r="565">
      <c r="A565" s="3" t="inlineStr">
        <is>
          <t>P0564</t>
        </is>
      </c>
      <c r="B565" s="3" t="n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n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n"/>
      <c r="S565" s="3" t="n"/>
      <c r="T565" s="3" t="n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n"/>
      <c r="AB565" s="3" t="inlineStr">
        <is>
          <t>6박</t>
        </is>
      </c>
      <c r="AC565" s="3" t="inlineStr">
        <is>
          <t>1</t>
        </is>
      </c>
      <c r="AD565" s="3" t="n"/>
      <c r="AE565" s="3" t="n"/>
      <c r="AF565" s="3" t="n"/>
      <c r="AG565" s="3" t="inlineStr">
        <is>
          <t>1</t>
        </is>
      </c>
      <c r="AH565" s="3" t="n"/>
      <c r="AI565" s="3" t="n"/>
      <c r="AJ565" s="3" t="n"/>
      <c r="AK565" s="3" t="n"/>
      <c r="AL565" s="3" t="inlineStr">
        <is>
          <t>FINAL</t>
        </is>
      </c>
      <c r="AM565" s="3" t="n"/>
      <c r="AN565" s="3" t="n"/>
    </row>
    <row r="566">
      <c r="A566" s="3" t="inlineStr">
        <is>
          <t>P0565</t>
        </is>
      </c>
      <c r="B566" s="3" t="n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n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n"/>
      <c r="S566" s="3" t="n"/>
      <c r="T566" s="3" t="n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n"/>
      <c r="AB566" s="3" t="inlineStr">
        <is>
          <t>6박</t>
        </is>
      </c>
      <c r="AC566" s="3" t="inlineStr">
        <is>
          <t>1</t>
        </is>
      </c>
      <c r="AD566" s="3" t="n"/>
      <c r="AE566" s="3" t="n"/>
      <c r="AF566" s="3" t="n"/>
      <c r="AG566" s="3" t="inlineStr">
        <is>
          <t>1</t>
        </is>
      </c>
      <c r="AH566" s="3" t="n"/>
      <c r="AI566" s="3" t="n"/>
      <c r="AJ566" s="3" t="n"/>
      <c r="AK566" s="3" t="n"/>
      <c r="AL566" s="3" t="inlineStr">
        <is>
          <t>FINAL</t>
        </is>
      </c>
      <c r="AM566" s="3" t="n"/>
      <c r="AN566" s="3" t="n"/>
    </row>
    <row r="567">
      <c r="A567" s="3" t="inlineStr">
        <is>
          <t>P0566</t>
        </is>
      </c>
      <c r="B567" s="3" t="n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n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n"/>
      <c r="S567" s="3" t="n"/>
      <c r="T567" s="3" t="n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n"/>
      <c r="AB567" s="3" t="inlineStr">
        <is>
          <t>6박</t>
        </is>
      </c>
      <c r="AC567" s="3" t="inlineStr">
        <is>
          <t>1</t>
        </is>
      </c>
      <c r="AD567" s="3" t="n"/>
      <c r="AE567" s="3" t="n"/>
      <c r="AF567" s="3" t="n"/>
      <c r="AG567" s="3" t="inlineStr">
        <is>
          <t>1</t>
        </is>
      </c>
      <c r="AH567" s="3" t="n"/>
      <c r="AI567" s="3" t="n"/>
      <c r="AJ567" s="3" t="n"/>
      <c r="AK567" s="3" t="n"/>
      <c r="AL567" s="3" t="inlineStr">
        <is>
          <t>FINAL</t>
        </is>
      </c>
      <c r="AM567" s="3" t="n"/>
      <c r="AN567" s="3" t="n"/>
    </row>
    <row r="568">
      <c r="A568" s="3" t="inlineStr">
        <is>
          <t>P0567</t>
        </is>
      </c>
      <c r="B568" s="3" t="n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n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n"/>
      <c r="S568" s="3" t="n"/>
      <c r="T568" s="3" t="n"/>
      <c r="U568" s="3" t="n"/>
      <c r="V568" s="3" t="n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n"/>
      <c r="AB568" s="3" t="inlineStr">
        <is>
          <t>4박</t>
        </is>
      </c>
      <c r="AC568" s="3" t="inlineStr">
        <is>
          <t>1</t>
        </is>
      </c>
      <c r="AD568" s="3" t="n"/>
      <c r="AE568" s="3" t="n"/>
      <c r="AF568" s="3" t="n"/>
      <c r="AG568" s="3" t="inlineStr">
        <is>
          <t>1</t>
        </is>
      </c>
      <c r="AH568" s="3" t="n"/>
      <c r="AI568" s="3" t="n"/>
      <c r="AJ568" s="3" t="n"/>
      <c r="AK568" s="3" t="n"/>
      <c r="AL568" s="3" t="inlineStr">
        <is>
          <t>FINAL</t>
        </is>
      </c>
      <c r="AM568" s="3" t="n"/>
      <c r="AN568" s="3" t="n"/>
    </row>
    <row r="569">
      <c r="A569" s="3" t="inlineStr">
        <is>
          <t>P0568</t>
        </is>
      </c>
      <c r="B569" s="3" t="n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n"/>
      <c r="S569" s="3" t="n"/>
      <c r="T569" s="3" t="n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n"/>
      <c r="AB569" s="3" t="inlineStr">
        <is>
          <t>6박</t>
        </is>
      </c>
      <c r="AC569" s="3" t="inlineStr">
        <is>
          <t>1</t>
        </is>
      </c>
      <c r="AD569" s="3" t="n"/>
      <c r="AE569" s="3" t="n"/>
      <c r="AF569" s="3" t="n"/>
      <c r="AG569" s="3" t="inlineStr">
        <is>
          <t>1</t>
        </is>
      </c>
      <c r="AH569" s="3" t="n"/>
      <c r="AI569" s="3" t="n"/>
      <c r="AJ569" s="3" t="n"/>
      <c r="AK569" s="3" t="n"/>
      <c r="AL569" s="3" t="inlineStr">
        <is>
          <t>FINAL</t>
        </is>
      </c>
      <c r="AM569" s="3" t="n"/>
      <c r="AN569" s="3" t="n"/>
    </row>
    <row r="570">
      <c r="A570" s="3" t="inlineStr">
        <is>
          <t>P0569</t>
        </is>
      </c>
      <c r="B570" s="3" t="n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n"/>
      <c r="S570" s="3" t="n"/>
      <c r="T570" s="3" t="n"/>
      <c r="U570" s="3" t="n"/>
      <c r="V570" s="3" t="n"/>
      <c r="W570" s="3" t="n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n"/>
      <c r="AB570" s="3" t="inlineStr">
        <is>
          <t>3박</t>
        </is>
      </c>
      <c r="AC570" s="3" t="inlineStr">
        <is>
          <t>1</t>
        </is>
      </c>
      <c r="AD570" s="3" t="n"/>
      <c r="AE570" s="3" t="n"/>
      <c r="AF570" s="3" t="n"/>
      <c r="AG570" s="3" t="inlineStr">
        <is>
          <t>1</t>
        </is>
      </c>
      <c r="AH570" s="3" t="n"/>
      <c r="AI570" s="3" t="n"/>
      <c r="AJ570" s="3" t="n"/>
      <c r="AK570" s="3" t="n"/>
      <c r="AL570" s="3" t="inlineStr">
        <is>
          <t>FINAL</t>
        </is>
      </c>
      <c r="AM570" s="3" t="inlineStr">
        <is>
          <t>한글이름 확인</t>
        </is>
      </c>
      <c r="AN570" s="3" t="n"/>
    </row>
    <row r="571">
      <c r="A571" s="3" t="inlineStr">
        <is>
          <t>P0570</t>
        </is>
      </c>
      <c r="B571" s="3" t="n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n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n"/>
      <c r="S571" s="3" t="n"/>
      <c r="T571" s="3" t="n"/>
      <c r="U571" s="3" t="n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n"/>
      <c r="AB571" s="3" t="inlineStr">
        <is>
          <t>5박</t>
        </is>
      </c>
      <c r="AC571" s="3" t="inlineStr">
        <is>
          <t>1</t>
        </is>
      </c>
      <c r="AD571" s="3" t="n"/>
      <c r="AE571" s="3" t="n"/>
      <c r="AF571" s="3" t="n"/>
      <c r="AG571" s="3" t="inlineStr">
        <is>
          <t>1</t>
        </is>
      </c>
      <c r="AH571" s="3" t="n"/>
      <c r="AI571" s="3" t="n"/>
      <c r="AJ571" s="3" t="n"/>
      <c r="AK571" s="3" t="n"/>
      <c r="AL571" s="3" t="inlineStr">
        <is>
          <t>FINAL</t>
        </is>
      </c>
      <c r="AM571" s="3" t="n"/>
      <c r="AN571" s="3" t="n"/>
    </row>
    <row r="572">
      <c r="A572" s="3" t="inlineStr">
        <is>
          <t>P0571</t>
        </is>
      </c>
      <c r="B572" s="3" t="n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n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n"/>
      <c r="S572" s="3" t="n"/>
      <c r="T572" s="3" t="n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n"/>
      <c r="AB572" s="3" t="inlineStr">
        <is>
          <t>6박</t>
        </is>
      </c>
      <c r="AC572" s="3" t="inlineStr">
        <is>
          <t>1</t>
        </is>
      </c>
      <c r="AD572" s="3" t="n"/>
      <c r="AE572" s="3" t="n"/>
      <c r="AF572" s="3" t="n"/>
      <c r="AG572" s="3" t="inlineStr">
        <is>
          <t>1</t>
        </is>
      </c>
      <c r="AH572" s="3" t="n"/>
      <c r="AI572" s="3" t="n"/>
      <c r="AJ572" s="3" t="n"/>
      <c r="AK572" s="3" t="n"/>
      <c r="AL572" s="3" t="inlineStr">
        <is>
          <t>FINAL</t>
        </is>
      </c>
      <c r="AM572" s="3" t="n"/>
      <c r="AN572" s="3" t="n"/>
    </row>
    <row r="573">
      <c r="A573" s="3" t="inlineStr">
        <is>
          <t>P0572</t>
        </is>
      </c>
      <c r="B573" s="3" t="n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n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n"/>
      <c r="S573" s="3" t="n"/>
      <c r="T573" s="3" t="n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n"/>
      <c r="AB573" s="3" t="inlineStr">
        <is>
          <t>6박</t>
        </is>
      </c>
      <c r="AC573" s="3" t="inlineStr">
        <is>
          <t>1</t>
        </is>
      </c>
      <c r="AD573" s="3" t="n"/>
      <c r="AE573" s="3" t="n"/>
      <c r="AF573" s="3" t="n"/>
      <c r="AG573" s="3" t="inlineStr">
        <is>
          <t>1</t>
        </is>
      </c>
      <c r="AH573" s="3" t="n"/>
      <c r="AI573" s="3" t="n"/>
      <c r="AJ573" s="3" t="n"/>
      <c r="AK573" s="3" t="n"/>
      <c r="AL573" s="3" t="inlineStr">
        <is>
          <t>FINAL</t>
        </is>
      </c>
      <c r="AM573" s="3" t="n"/>
      <c r="AN573" s="3" t="n"/>
    </row>
    <row r="574">
      <c r="A574" s="3" t="inlineStr">
        <is>
          <t>P0573</t>
        </is>
      </c>
      <c r="B574" s="3" t="n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n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n"/>
      <c r="S574" s="3" t="n"/>
      <c r="T574" s="3" t="n"/>
      <c r="U574" s="3" t="n"/>
      <c r="V574" s="3" t="n"/>
      <c r="W574" s="3" t="n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n"/>
      <c r="AB574" s="3" t="inlineStr">
        <is>
          <t>3박</t>
        </is>
      </c>
      <c r="AC574" s="3" t="inlineStr">
        <is>
          <t>1</t>
        </is>
      </c>
      <c r="AD574" s="3" t="n"/>
      <c r="AE574" s="3" t="n"/>
      <c r="AF574" s="3" t="n"/>
      <c r="AG574" s="3" t="inlineStr">
        <is>
          <t>1</t>
        </is>
      </c>
      <c r="AH574" s="3" t="n"/>
      <c r="AI574" s="3" t="n"/>
      <c r="AJ574" s="3" t="n"/>
      <c r="AK574" s="3" t="n"/>
      <c r="AL574" s="3" t="inlineStr">
        <is>
          <t>FINAL</t>
        </is>
      </c>
      <c r="AM574" s="3" t="n"/>
      <c r="AN574" s="3" t="n"/>
    </row>
    <row r="575">
      <c r="A575" s="3" t="inlineStr">
        <is>
          <t>P0574</t>
        </is>
      </c>
      <c r="B575" s="3" t="n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n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n"/>
      <c r="S575" s="3" t="n"/>
      <c r="T575" s="3" t="n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n"/>
      <c r="AB575" s="3" t="inlineStr">
        <is>
          <t>6박</t>
        </is>
      </c>
      <c r="AC575" s="3" t="inlineStr">
        <is>
          <t>1</t>
        </is>
      </c>
      <c r="AD575" s="3" t="n"/>
      <c r="AE575" s="3" t="n"/>
      <c r="AF575" s="3" t="n"/>
      <c r="AG575" s="3" t="inlineStr">
        <is>
          <t>1</t>
        </is>
      </c>
      <c r="AH575" s="3" t="n"/>
      <c r="AI575" s="3" t="n"/>
      <c r="AJ575" s="3" t="n"/>
      <c r="AK575" s="3" t="n"/>
      <c r="AL575" s="3" t="inlineStr">
        <is>
          <t>FINAL</t>
        </is>
      </c>
      <c r="AM575" s="3" t="n"/>
      <c r="AN575" s="3" t="n"/>
    </row>
    <row r="576">
      <c r="A576" s="3" t="inlineStr">
        <is>
          <t>P0575</t>
        </is>
      </c>
      <c r="B576" s="3" t="n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n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n"/>
      <c r="S576" s="3" t="n"/>
      <c r="T576" s="3" t="n"/>
      <c r="U576" s="3" t="n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n"/>
      <c r="AB576" s="3" t="inlineStr">
        <is>
          <t>5박</t>
        </is>
      </c>
      <c r="AC576" s="3" t="inlineStr">
        <is>
          <t>1</t>
        </is>
      </c>
      <c r="AD576" s="3" t="n"/>
      <c r="AE576" s="3" t="n"/>
      <c r="AF576" s="3" t="n"/>
      <c r="AG576" s="3" t="inlineStr">
        <is>
          <t>1</t>
        </is>
      </c>
      <c r="AH576" s="3" t="n"/>
      <c r="AI576" s="3" t="n"/>
      <c r="AJ576" s="3" t="n"/>
      <c r="AK576" s="3" t="n"/>
      <c r="AL576" s="3" t="inlineStr">
        <is>
          <t>FINAL</t>
        </is>
      </c>
      <c r="AM576" s="3" t="n"/>
      <c r="AN576" s="3" t="n"/>
    </row>
    <row r="577">
      <c r="A577" s="3" t="inlineStr">
        <is>
          <t>P0576</t>
        </is>
      </c>
      <c r="B577" s="3" t="n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n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n"/>
      <c r="S577" s="3" t="n"/>
      <c r="T577" s="3" t="n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n"/>
      <c r="AB577" s="3" t="inlineStr">
        <is>
          <t>6박</t>
        </is>
      </c>
      <c r="AC577" s="3" t="inlineStr">
        <is>
          <t>1</t>
        </is>
      </c>
      <c r="AD577" s="3" t="n"/>
      <c r="AE577" s="3" t="n"/>
      <c r="AF577" s="3" t="n"/>
      <c r="AG577" s="3" t="inlineStr">
        <is>
          <t>1</t>
        </is>
      </c>
      <c r="AH577" s="3" t="n"/>
      <c r="AI577" s="3" t="n"/>
      <c r="AJ577" s="3" t="n"/>
      <c r="AK577" s="3" t="n"/>
      <c r="AL577" s="3" t="inlineStr">
        <is>
          <t>FINAL</t>
        </is>
      </c>
      <c r="AM577" s="3" t="n"/>
      <c r="AN577" s="3" t="n"/>
    </row>
    <row r="578">
      <c r="A578" s="4" t="inlineStr">
        <is>
          <t>P0577</t>
        </is>
      </c>
      <c r="B578" s="4" t="n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n"/>
      <c r="G578" s="4" t="inlineStr">
        <is>
          <t>M</t>
        </is>
      </c>
      <c r="H578" s="4" t="n"/>
      <c r="I578" s="4" t="n"/>
      <c r="J578" s="4" t="n"/>
      <c r="K578" s="4" t="n"/>
      <c r="L578" s="4" t="n"/>
      <c r="M578" s="4" t="n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✓*</t>
        </is>
      </c>
      <c r="S578" s="4" t="inlineStr">
        <is>
          <t>✓*</t>
        </is>
      </c>
      <c r="T578" s="4" t="inlineStr">
        <is>
          <t>✓*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n"/>
      <c r="AE578" s="4" t="n"/>
      <c r="AF578" s="4" t="n"/>
      <c r="AG578" s="4" t="inlineStr">
        <is>
          <t>1</t>
        </is>
      </c>
      <c r="AH578" s="4" t="n"/>
      <c r="AI578" s="4" t="inlineStr">
        <is>
          <t>부영호텔</t>
        </is>
      </c>
      <c r="AJ578" s="4" t="n"/>
      <c r="AK578" s="4" t="inlineStr">
        <is>
          <t>* 6/29 이전 숙박(공식 숙소지원 외)</t>
        </is>
      </c>
      <c r="AL578" s="4" t="inlineStr">
        <is>
          <t>FINAL</t>
        </is>
      </c>
      <c r="AM578" s="4" t="n"/>
      <c r="AN578" s="4" t="n"/>
    </row>
    <row r="579">
      <c r="A579" s="4" t="inlineStr">
        <is>
          <t>P0578</t>
        </is>
      </c>
      <c r="B579" s="4" t="n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n"/>
      <c r="G579" s="4" t="inlineStr">
        <is>
          <t>M</t>
        </is>
      </c>
      <c r="H579" s="4" t="n"/>
      <c r="I579" s="4" t="n"/>
      <c r="J579" s="4" t="n"/>
      <c r="K579" s="4" t="n"/>
      <c r="L579" s="4" t="n"/>
      <c r="M579" s="4" t="n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n"/>
      <c r="S579" s="4" t="n"/>
      <c r="T579" s="4" t="inlineStr">
        <is>
          <t>✓*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n"/>
      <c r="AE579" s="4" t="n"/>
      <c r="AF579" s="4" t="n"/>
      <c r="AG579" s="4" t="inlineStr">
        <is>
          <t>1</t>
        </is>
      </c>
      <c r="AH579" s="4" t="n"/>
      <c r="AI579" s="4" t="inlineStr">
        <is>
          <t>부영호텔</t>
        </is>
      </c>
      <c r="AJ579" s="4" t="n"/>
      <c r="AK579" s="4" t="inlineStr">
        <is>
          <t>1225호 / * 6/29 이전 숙박(공식 숙소지원 외)</t>
        </is>
      </c>
      <c r="AL579" s="4" t="inlineStr">
        <is>
          <t>FINAL</t>
        </is>
      </c>
      <c r="AM579" s="4" t="n"/>
      <c r="AN579" s="4" t="n"/>
    </row>
    <row r="580">
      <c r="A580" s="4" t="inlineStr">
        <is>
          <t>P0579</t>
        </is>
      </c>
      <c r="B580" s="4" t="n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n"/>
      <c r="G580" s="4" t="inlineStr">
        <is>
          <t>M</t>
        </is>
      </c>
      <c r="H580" s="4" t="n"/>
      <c r="I580" s="4" t="n"/>
      <c r="J580" s="4" t="n"/>
      <c r="K580" s="4" t="n"/>
      <c r="L580" s="4" t="n"/>
      <c r="M580" s="4" t="n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n"/>
      <c r="S580" s="4" t="n"/>
      <c r="T580" s="4" t="n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n"/>
      <c r="AE580" s="4" t="n"/>
      <c r="AF580" s="4" t="n"/>
      <c r="AG580" s="4" t="inlineStr">
        <is>
          <t>1</t>
        </is>
      </c>
      <c r="AH580" s="4" t="n"/>
      <c r="AI580" s="4" t="inlineStr">
        <is>
          <t>부영호텔</t>
        </is>
      </c>
      <c r="AJ580" s="4" t="n"/>
      <c r="AK580" s="4" t="inlineStr">
        <is>
          <t>배우자 동반(7/2-7/5)</t>
        </is>
      </c>
      <c r="AL580" s="4" t="inlineStr">
        <is>
          <t>FINAL</t>
        </is>
      </c>
      <c r="AM580" s="4" t="n"/>
      <c r="AN580" s="4" t="n"/>
    </row>
    <row r="581">
      <c r="A581" s="4" t="inlineStr">
        <is>
          <t>P0580</t>
        </is>
      </c>
      <c r="B581" s="4" t="n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n"/>
      <c r="G581" s="4" t="inlineStr">
        <is>
          <t>M</t>
        </is>
      </c>
      <c r="H581" s="4" t="n"/>
      <c r="I581" s="4" t="n"/>
      <c r="J581" s="4" t="n"/>
      <c r="K581" s="4" t="n"/>
      <c r="L581" s="4" t="n"/>
      <c r="M581" s="4" t="n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n"/>
      <c r="S581" s="4" t="n"/>
      <c r="T581" s="4" t="n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n"/>
      <c r="AE581" s="4" t="n"/>
      <c r="AF581" s="4" t="n"/>
      <c r="AG581" s="4" t="inlineStr">
        <is>
          <t>1</t>
        </is>
      </c>
      <c r="AH581" s="4" t="n"/>
      <c r="AI581" s="4" t="inlineStr">
        <is>
          <t>부영호텔</t>
        </is>
      </c>
      <c r="AJ581" s="4" t="n"/>
      <c r="AK581" s="4" t="inlineStr">
        <is>
          <t>배우자 동반</t>
        </is>
      </c>
      <c r="AL581" s="4" t="inlineStr">
        <is>
          <t>FINAL</t>
        </is>
      </c>
      <c r="AM581" s="4" t="n"/>
      <c r="AN581" s="4" t="n"/>
    </row>
    <row r="582">
      <c r="A582" s="4" t="inlineStr">
        <is>
          <t>P0581</t>
        </is>
      </c>
      <c r="B582" s="4" t="n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n"/>
      <c r="G582" s="4" t="inlineStr">
        <is>
          <t>M</t>
        </is>
      </c>
      <c r="H582" s="4" t="n"/>
      <c r="I582" s="4" t="n"/>
      <c r="J582" s="4" t="n"/>
      <c r="K582" s="4" t="n"/>
      <c r="L582" s="4" t="n"/>
      <c r="M582" s="4" t="n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n"/>
      <c r="S582" s="4" t="n"/>
      <c r="T582" s="4" t="n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n"/>
      <c r="AE582" s="4" t="n"/>
      <c r="AF582" s="4" t="n"/>
      <c r="AG582" s="4" t="inlineStr">
        <is>
          <t>1</t>
        </is>
      </c>
      <c r="AH582" s="4" t="n"/>
      <c r="AI582" s="4" t="inlineStr">
        <is>
          <t>부영호텔</t>
        </is>
      </c>
      <c r="AJ582" s="4" t="n"/>
      <c r="AK582" s="4" t="inlineStr">
        <is>
          <t>배우자 동반</t>
        </is>
      </c>
      <c r="AL582" s="4" t="inlineStr">
        <is>
          <t>FINAL</t>
        </is>
      </c>
      <c r="AM582" s="4" t="n"/>
      <c r="AN582" s="4" t="n"/>
    </row>
    <row r="583">
      <c r="A583" s="4" t="inlineStr">
        <is>
          <t>P0582</t>
        </is>
      </c>
      <c r="B583" s="4" t="n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n"/>
      <c r="G583" s="4" t="inlineStr">
        <is>
          <t>M</t>
        </is>
      </c>
      <c r="H583" s="4" t="n"/>
      <c r="I583" s="4" t="n"/>
      <c r="J583" s="4" t="n"/>
      <c r="K583" s="4" t="n"/>
      <c r="L583" s="4" t="n"/>
      <c r="M583" s="4" t="n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n"/>
      <c r="S583" s="4" t="n"/>
      <c r="T583" s="4" t="n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n"/>
      <c r="AE583" s="4" t="n"/>
      <c r="AF583" s="4" t="n"/>
      <c r="AG583" s="4" t="inlineStr">
        <is>
          <t>1</t>
        </is>
      </c>
      <c r="AH583" s="4" t="n"/>
      <c r="AI583" s="4" t="inlineStr">
        <is>
          <t>부영호텔</t>
        </is>
      </c>
      <c r="AJ583" s="4" t="n"/>
      <c r="AK583" s="4" t="inlineStr">
        <is>
          <t>가족 동반(최지은, 등록완료)</t>
        </is>
      </c>
      <c r="AL583" s="4" t="inlineStr">
        <is>
          <t>FINAL</t>
        </is>
      </c>
      <c r="AM583" s="4" t="n"/>
      <c r="AN583" s="4" t="n"/>
    </row>
    <row r="584">
      <c r="A584" s="4" t="inlineStr">
        <is>
          <t>P0583</t>
        </is>
      </c>
      <c r="B584" s="4" t="n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n"/>
      <c r="G584" s="4" t="inlineStr">
        <is>
          <t>M</t>
        </is>
      </c>
      <c r="H584" s="4" t="n"/>
      <c r="I584" s="4" t="n"/>
      <c r="J584" s="4" t="n"/>
      <c r="K584" s="4" t="n"/>
      <c r="L584" s="4" t="n"/>
      <c r="M584" s="4" t="n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n"/>
      <c r="S584" s="4" t="n"/>
      <c r="T584" s="4" t="n"/>
      <c r="U584" s="4" t="n"/>
      <c r="V584" s="4" t="n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n"/>
      <c r="AE584" s="4" t="n"/>
      <c r="AF584" s="4" t="n"/>
      <c r="AG584" s="4" t="inlineStr">
        <is>
          <t>1</t>
        </is>
      </c>
      <c r="AH584" s="4" t="n"/>
      <c r="AI584" s="4" t="inlineStr">
        <is>
          <t>부영호텔</t>
        </is>
      </c>
      <c r="AJ584" s="4" t="n"/>
      <c r="AK584" s="4" t="inlineStr">
        <is>
          <t>배우자 동반(장혜경)</t>
        </is>
      </c>
      <c r="AL584" s="4" t="inlineStr">
        <is>
          <t>FINAL</t>
        </is>
      </c>
      <c r="AM584" s="4" t="n"/>
      <c r="AN584" s="4" t="n"/>
    </row>
    <row r="585">
      <c r="A585" s="4" t="inlineStr">
        <is>
          <t>P0584</t>
        </is>
      </c>
      <c r="B585" s="4" t="n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n"/>
      <c r="G585" s="4" t="inlineStr">
        <is>
          <t>M</t>
        </is>
      </c>
      <c r="H585" s="4" t="n"/>
      <c r="I585" s="4" t="n"/>
      <c r="J585" s="4" t="n"/>
      <c r="K585" s="4" t="n"/>
      <c r="L585" s="4" t="n"/>
      <c r="M585" s="4" t="n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n"/>
      <c r="S585" s="4" t="n"/>
      <c r="T585" s="4" t="n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n"/>
      <c r="AE585" s="4" t="n"/>
      <c r="AF585" s="4" t="n"/>
      <c r="AG585" s="4" t="inlineStr">
        <is>
          <t>1</t>
        </is>
      </c>
      <c r="AH585" s="4" t="n"/>
      <c r="AI585" s="4" t="inlineStr">
        <is>
          <t>제주부영
청소년수련관</t>
        </is>
      </c>
      <c r="AJ585" s="4" t="n"/>
      <c r="AK585" s="4" t="inlineStr">
        <is>
          <t>우즈벡 학생들과 숙박 예정</t>
        </is>
      </c>
      <c r="AL585" s="4" t="inlineStr">
        <is>
          <t>FINAL</t>
        </is>
      </c>
      <c r="AM585" s="4" t="n"/>
      <c r="AN585" s="4" t="inlineStr">
        <is>
          <t>자원봉사팀</t>
        </is>
      </c>
    </row>
    <row r="586">
      <c r="A586" s="4" t="inlineStr">
        <is>
          <t>P0585</t>
        </is>
      </c>
      <c r="B586" s="4" t="n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n"/>
      <c r="G586" s="4" t="inlineStr">
        <is>
          <t>M</t>
        </is>
      </c>
      <c r="H586" s="4" t="n"/>
      <c r="I586" s="4" t="n"/>
      <c r="J586" s="4" t="n"/>
      <c r="K586" s="4" t="n"/>
      <c r="L586" s="4" t="n"/>
      <c r="M586" s="4" t="n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n"/>
      <c r="S586" s="4" t="n"/>
      <c r="T586" s="4" t="n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n"/>
      <c r="AE586" s="4" t="n"/>
      <c r="AF586" s="4" t="n"/>
      <c r="AG586" s="4" t="inlineStr">
        <is>
          <t>1</t>
        </is>
      </c>
      <c r="AH586" s="4" t="n"/>
      <c r="AI586" s="4" t="inlineStr">
        <is>
          <t>부영호텔</t>
        </is>
      </c>
      <c r="AJ586" s="4" t="n"/>
      <c r="AK586" s="4" t="inlineStr">
        <is>
          <t>자녀동반(김지애)</t>
        </is>
      </c>
      <c r="AL586" s="4" t="inlineStr">
        <is>
          <t>FINAL</t>
        </is>
      </c>
      <c r="AM586" s="4" t="n"/>
      <c r="AN586" s="4" t="n"/>
    </row>
    <row r="587">
      <c r="A587" s="4" t="inlineStr">
        <is>
          <t>P0586</t>
        </is>
      </c>
      <c r="B587" s="4" t="n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n"/>
      <c r="G587" s="4" t="inlineStr">
        <is>
          <t>M</t>
        </is>
      </c>
      <c r="H587" s="4" t="n"/>
      <c r="I587" s="4" t="n"/>
      <c r="J587" s="4" t="n"/>
      <c r="K587" s="4" t="n"/>
      <c r="L587" s="4" t="n"/>
      <c r="M587" s="4" t="n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n"/>
      <c r="S587" s="4" t="n"/>
      <c r="T587" s="4" t="n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n"/>
      <c r="Z587" s="4" t="n"/>
      <c r="AA587" s="4" t="n"/>
      <c r="AB587" s="4" t="inlineStr">
        <is>
          <t>4박</t>
        </is>
      </c>
      <c r="AC587" s="4" t="inlineStr">
        <is>
          <t>1</t>
        </is>
      </c>
      <c r="AD587" s="4" t="n"/>
      <c r="AE587" s="4" t="n"/>
      <c r="AF587" s="4" t="n"/>
      <c r="AG587" s="4" t="inlineStr">
        <is>
          <t>1</t>
        </is>
      </c>
      <c r="AH587" s="4" t="n"/>
      <c r="AI587" s="4" t="inlineStr">
        <is>
          <t>부영호텔</t>
        </is>
      </c>
      <c r="AJ587" s="4" t="n"/>
      <c r="AK587" s="4" t="n"/>
      <c r="AL587" s="4" t="inlineStr">
        <is>
          <t>FINAL</t>
        </is>
      </c>
      <c r="AM587" s="4" t="n"/>
      <c r="AN587" s="4" t="n"/>
    </row>
    <row r="588">
      <c r="A588" s="4" t="inlineStr">
        <is>
          <t>P0587</t>
        </is>
      </c>
      <c r="B588" s="4" t="n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n"/>
      <c r="G588" s="4" t="inlineStr">
        <is>
          <t>M</t>
        </is>
      </c>
      <c r="H588" s="4" t="n"/>
      <c r="I588" s="4" t="n"/>
      <c r="J588" s="4" t="n"/>
      <c r="K588" s="4" t="n"/>
      <c r="L588" s="4" t="n"/>
      <c r="M588" s="4" t="n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n"/>
      <c r="S588" s="4" t="n"/>
      <c r="T588" s="4" t="n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n"/>
      <c r="Z588" s="4" t="n"/>
      <c r="AA588" s="4" t="n"/>
      <c r="AB588" s="4" t="inlineStr">
        <is>
          <t>4박</t>
        </is>
      </c>
      <c r="AC588" s="4" t="inlineStr">
        <is>
          <t>1</t>
        </is>
      </c>
      <c r="AD588" s="4" t="n"/>
      <c r="AE588" s="4" t="n"/>
      <c r="AF588" s="4" t="n"/>
      <c r="AG588" s="4" t="inlineStr">
        <is>
          <t>1</t>
        </is>
      </c>
      <c r="AH588" s="4" t="n"/>
      <c r="AI588" s="4" t="inlineStr">
        <is>
          <t>부영호텔</t>
        </is>
      </c>
      <c r="AJ588" s="4" t="n"/>
      <c r="AK588" s="4" t="n"/>
      <c r="AL588" s="4" t="inlineStr">
        <is>
          <t>FINAL</t>
        </is>
      </c>
      <c r="AM588" s="4" t="n"/>
      <c r="AN588" s="4" t="n"/>
    </row>
    <row r="589">
      <c r="A589" s="4" t="inlineStr">
        <is>
          <t>P0588</t>
        </is>
      </c>
      <c r="B589" s="4" t="n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n"/>
      <c r="G589" s="4" t="inlineStr">
        <is>
          <t>M</t>
        </is>
      </c>
      <c r="H589" s="4" t="n"/>
      <c r="I589" s="4" t="n"/>
      <c r="J589" s="4" t="n"/>
      <c r="K589" s="4" t="n"/>
      <c r="L589" s="4" t="n"/>
      <c r="M589" s="4" t="n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n"/>
      <c r="S589" s="4" t="n"/>
      <c r="T589" s="4" t="n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n"/>
      <c r="AE589" s="4" t="n"/>
      <c r="AF589" s="4" t="n"/>
      <c r="AG589" s="4" t="inlineStr">
        <is>
          <t>1</t>
        </is>
      </c>
      <c r="AH589" s="4" t="n"/>
      <c r="AI589" s="4" t="inlineStr">
        <is>
          <t>부영호텔</t>
        </is>
      </c>
      <c r="AJ589" s="4" t="n"/>
      <c r="AK589" s="4" t="n"/>
      <c r="AL589" s="4" t="inlineStr">
        <is>
          <t>FINAL</t>
        </is>
      </c>
      <c r="AM589" s="4" t="n"/>
      <c r="AN589" s="4" t="n"/>
    </row>
    <row r="590">
      <c r="A590" s="4" t="inlineStr">
        <is>
          <t>P0589</t>
        </is>
      </c>
      <c r="B590" s="4" t="n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n"/>
      <c r="G590" s="4" t="inlineStr">
        <is>
          <t>M</t>
        </is>
      </c>
      <c r="H590" s="4" t="n"/>
      <c r="I590" s="4" t="n"/>
      <c r="J590" s="4" t="n"/>
      <c r="K590" s="4" t="n"/>
      <c r="L590" s="4" t="n"/>
      <c r="M590" s="4" t="n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n"/>
      <c r="S590" s="4" t="n"/>
      <c r="T590" s="4" t="n"/>
      <c r="U590" s="4" t="n"/>
      <c r="V590" s="4" t="n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n"/>
      <c r="AE590" s="4" t="n"/>
      <c r="AF590" s="4" t="n"/>
      <c r="AG590" s="4" t="inlineStr">
        <is>
          <t>1</t>
        </is>
      </c>
      <c r="AH590" s="4" t="n"/>
      <c r="AI590" s="4" t="inlineStr">
        <is>
          <t>부영호텔</t>
        </is>
      </c>
      <c r="AJ590" s="4" t="n"/>
      <c r="AK590" s="4" t="inlineStr">
        <is>
          <t>자녀 동반(자원봉사자 참여)</t>
        </is>
      </c>
      <c r="AL590" s="4" t="inlineStr">
        <is>
          <t>FINAL</t>
        </is>
      </c>
      <c r="AM590" s="4" t="n"/>
      <c r="AN590" s="4" t="n"/>
    </row>
    <row r="591">
      <c r="A591" s="4" t="inlineStr">
        <is>
          <t>P0590</t>
        </is>
      </c>
      <c r="B591" s="4" t="n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n"/>
      <c r="G591" s="4" t="inlineStr">
        <is>
          <t>M</t>
        </is>
      </c>
      <c r="H591" s="4" t="n"/>
      <c r="I591" s="4" t="n"/>
      <c r="J591" s="4" t="n"/>
      <c r="K591" s="4" t="n"/>
      <c r="L591" s="4" t="n"/>
      <c r="M591" s="4" t="n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n"/>
      <c r="S591" s="4" t="n"/>
      <c r="T591" s="4" t="n"/>
      <c r="U591" s="4" t="n"/>
      <c r="V591" s="4" t="n"/>
      <c r="W591" s="4" t="n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n"/>
      <c r="AE591" s="4" t="n"/>
      <c r="AF591" s="4" t="n"/>
      <c r="AG591" s="4" t="inlineStr">
        <is>
          <t>1</t>
        </is>
      </c>
      <c r="AH591" s="4" t="n"/>
      <c r="AI591" s="4" t="inlineStr">
        <is>
          <t>부영호텔</t>
        </is>
      </c>
      <c r="AJ591" s="4" t="n"/>
      <c r="AK591" s="4" t="n"/>
      <c r="AL591" s="4" t="inlineStr">
        <is>
          <t>FINAL</t>
        </is>
      </c>
      <c r="AM591" s="4" t="n"/>
      <c r="AN591" s="4" t="n"/>
    </row>
    <row r="592">
      <c r="A592" s="4" t="inlineStr">
        <is>
          <t>P0591</t>
        </is>
      </c>
      <c r="B592" s="4" t="n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n"/>
      <c r="G592" s="4" t="inlineStr">
        <is>
          <t>M</t>
        </is>
      </c>
      <c r="H592" s="4" t="n"/>
      <c r="I592" s="4" t="n"/>
      <c r="J592" s="4" t="n"/>
      <c r="K592" s="4" t="n"/>
      <c r="L592" s="4" t="n"/>
      <c r="M592" s="4" t="n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n"/>
      <c r="S592" s="4" t="n"/>
      <c r="T592" s="4" t="n"/>
      <c r="U592" s="4" t="n"/>
      <c r="V592" s="4" t="n"/>
      <c r="W592" s="4" t="n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n"/>
      <c r="AE592" s="4" t="n"/>
      <c r="AF592" s="4" t="n"/>
      <c r="AG592" s="4" t="inlineStr">
        <is>
          <t>1</t>
        </is>
      </c>
      <c r="AH592" s="4" t="n"/>
      <c r="AI592" s="4" t="inlineStr">
        <is>
          <t>부영호텔</t>
        </is>
      </c>
      <c r="AJ592" s="4" t="n"/>
      <c r="AK592" s="4" t="n"/>
      <c r="AL592" s="4" t="inlineStr">
        <is>
          <t>FINAL</t>
        </is>
      </c>
      <c r="AM592" s="4" t="n"/>
      <c r="AN592" s="4" t="n"/>
    </row>
    <row r="593">
      <c r="A593" s="4" t="inlineStr">
        <is>
          <t>P0592</t>
        </is>
      </c>
      <c r="B593" s="4" t="n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n"/>
      <c r="G593" s="4" t="inlineStr">
        <is>
          <t>M</t>
        </is>
      </c>
      <c r="H593" s="4" t="n"/>
      <c r="I593" s="4" t="n"/>
      <c r="J593" s="4" t="n"/>
      <c r="K593" s="4" t="n"/>
      <c r="L593" s="4" t="n"/>
      <c r="M593" s="4" t="n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n"/>
      <c r="S593" s="4" t="n"/>
      <c r="T593" s="4" t="n"/>
      <c r="U593" s="4" t="n"/>
      <c r="V593" s="4" t="n"/>
      <c r="W593" s="4" t="n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n"/>
      <c r="AE593" s="4" t="n"/>
      <c r="AF593" s="4" t="n"/>
      <c r="AG593" s="4" t="inlineStr">
        <is>
          <t>1</t>
        </is>
      </c>
      <c r="AH593" s="4" t="n"/>
      <c r="AI593" s="4" t="inlineStr">
        <is>
          <t>부영호텔</t>
        </is>
      </c>
      <c r="AJ593" s="4" t="n"/>
      <c r="AK593" s="4" t="n"/>
      <c r="AL593" s="4" t="inlineStr">
        <is>
          <t>FINAL</t>
        </is>
      </c>
      <c r="AM593" s="4" t="n"/>
      <c r="AN593" s="4" t="n"/>
    </row>
    <row r="594">
      <c r="A594" s="4" t="inlineStr">
        <is>
          <t>P0593</t>
        </is>
      </c>
      <c r="B594" s="4" t="n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n"/>
      <c r="G594" s="4" t="inlineStr">
        <is>
          <t>M</t>
        </is>
      </c>
      <c r="H594" s="4" t="n"/>
      <c r="I594" s="4" t="n"/>
      <c r="J594" s="4" t="n"/>
      <c r="K594" s="4" t="n"/>
      <c r="L594" s="4" t="n"/>
      <c r="M594" s="4" t="n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n"/>
      <c r="S594" s="4" t="n"/>
      <c r="T594" s="4" t="n"/>
      <c r="U594" s="4" t="n"/>
      <c r="V594" s="4" t="n"/>
      <c r="W594" s="4" t="n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n"/>
      <c r="AE594" s="4" t="n"/>
      <c r="AF594" s="4" t="n"/>
      <c r="AG594" s="4" t="inlineStr">
        <is>
          <t>1</t>
        </is>
      </c>
      <c r="AH594" s="4" t="n"/>
      <c r="AI594" s="4" t="inlineStr">
        <is>
          <t>부영호텔</t>
        </is>
      </c>
      <c r="AJ594" s="4" t="n"/>
      <c r="AK594" s="4" t="n"/>
      <c r="AL594" s="4" t="inlineStr">
        <is>
          <t>FINAL</t>
        </is>
      </c>
      <c r="AM594" s="4" t="n"/>
      <c r="AN594" s="4" t="n"/>
    </row>
    <row r="595">
      <c r="A595" s="4" t="inlineStr">
        <is>
          <t>P0594</t>
        </is>
      </c>
      <c r="B595" s="4" t="n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n"/>
      <c r="G595" s="4" t="inlineStr">
        <is>
          <t>M</t>
        </is>
      </c>
      <c r="H595" s="4" t="n"/>
      <c r="I595" s="4" t="n"/>
      <c r="J595" s="4" t="n"/>
      <c r="K595" s="4" t="n"/>
      <c r="L595" s="4" t="n"/>
      <c r="M595" s="4" t="n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n"/>
      <c r="S595" s="4" t="n"/>
      <c r="T595" s="4" t="n"/>
      <c r="U595" s="4" t="n"/>
      <c r="V595" s="4" t="n"/>
      <c r="W595" s="4" t="n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n"/>
      <c r="AE595" s="4" t="n"/>
      <c r="AF595" s="4" t="n"/>
      <c r="AG595" s="4" t="inlineStr">
        <is>
          <t>1</t>
        </is>
      </c>
      <c r="AH595" s="4" t="n"/>
      <c r="AI595" s="4" t="inlineStr">
        <is>
          <t>부영호텔</t>
        </is>
      </c>
      <c r="AJ595" s="4" t="n"/>
      <c r="AK595" s="4" t="n"/>
      <c r="AL595" s="4" t="inlineStr">
        <is>
          <t>FINAL</t>
        </is>
      </c>
      <c r="AM595" s="4" t="n"/>
      <c r="AN595" s="4" t="n"/>
    </row>
    <row r="596">
      <c r="A596" s="4" t="inlineStr">
        <is>
          <t>P0595</t>
        </is>
      </c>
      <c r="B596" s="4" t="n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n"/>
      <c r="G596" s="4" t="inlineStr">
        <is>
          <t>M</t>
        </is>
      </c>
      <c r="H596" s="4" t="n"/>
      <c r="I596" s="4" t="n"/>
      <c r="J596" s="4" t="n"/>
      <c r="K596" s="4" t="n"/>
      <c r="L596" s="4" t="n"/>
      <c r="M596" s="4" t="n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n"/>
      <c r="S596" s="4" t="n"/>
      <c r="T596" s="4" t="n"/>
      <c r="U596" s="4" t="n"/>
      <c r="V596" s="4" t="n"/>
      <c r="W596" s="4" t="n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n"/>
      <c r="AE596" s="4" t="n"/>
      <c r="AF596" s="4" t="n"/>
      <c r="AG596" s="4" t="inlineStr">
        <is>
          <t>1</t>
        </is>
      </c>
      <c r="AH596" s="4" t="n"/>
      <c r="AI596" s="4" t="inlineStr">
        <is>
          <t>부영호텔</t>
        </is>
      </c>
      <c r="AJ596" s="4" t="n"/>
      <c r="AK596" s="4" t="inlineStr">
        <is>
          <t>부영호텔 희망</t>
        </is>
      </c>
      <c r="AL596" s="4" t="inlineStr">
        <is>
          <t>FINAL</t>
        </is>
      </c>
      <c r="AM596" s="4" t="n"/>
      <c r="AN596" s="4" t="n"/>
    </row>
    <row r="597">
      <c r="A597" s="4" t="inlineStr">
        <is>
          <t>P0596</t>
        </is>
      </c>
      <c r="B597" s="4" t="n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n"/>
      <c r="G597" s="4" t="inlineStr">
        <is>
          <t>M</t>
        </is>
      </c>
      <c r="H597" s="4" t="n"/>
      <c r="I597" s="4" t="n"/>
      <c r="J597" s="4" t="n"/>
      <c r="K597" s="4" t="n"/>
      <c r="L597" s="4" t="n"/>
      <c r="M597" s="4" t="n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n"/>
      <c r="S597" s="4" t="n"/>
      <c r="T597" s="4" t="n"/>
      <c r="U597" s="4" t="n"/>
      <c r="V597" s="4" t="n"/>
      <c r="W597" s="4" t="n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n"/>
      <c r="AE597" s="4" t="n"/>
      <c r="AF597" s="4" t="n"/>
      <c r="AG597" s="4" t="inlineStr">
        <is>
          <t>1</t>
        </is>
      </c>
      <c r="AH597" s="4" t="n"/>
      <c r="AI597" s="4" t="inlineStr">
        <is>
          <t>부영호텔</t>
        </is>
      </c>
      <c r="AJ597" s="4" t="n"/>
      <c r="AK597" s="4" t="n"/>
      <c r="AL597" s="4" t="inlineStr">
        <is>
          <t>FINAL</t>
        </is>
      </c>
      <c r="AM597" s="4" t="n"/>
      <c r="AN597" s="4" t="n"/>
    </row>
    <row r="598">
      <c r="A598" s="4" t="inlineStr">
        <is>
          <t>P0597</t>
        </is>
      </c>
      <c r="B598" s="4" t="n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n"/>
      <c r="G598" s="4" t="inlineStr">
        <is>
          <t>M</t>
        </is>
      </c>
      <c r="H598" s="4" t="n"/>
      <c r="I598" s="4" t="n"/>
      <c r="J598" s="4" t="n"/>
      <c r="K598" s="4" t="n"/>
      <c r="L598" s="4" t="n"/>
      <c r="M598" s="4" t="n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n"/>
      <c r="S598" s="4" t="n"/>
      <c r="T598" s="4" t="n"/>
      <c r="U598" s="4" t="n"/>
      <c r="V598" s="4" t="n"/>
      <c r="W598" s="4" t="n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n"/>
      <c r="AE598" s="4" t="n"/>
      <c r="AF598" s="4" t="n"/>
      <c r="AG598" s="4" t="inlineStr">
        <is>
          <t>1</t>
        </is>
      </c>
      <c r="AH598" s="4" t="n"/>
      <c r="AI598" s="4" t="inlineStr">
        <is>
          <t>부영호텔</t>
        </is>
      </c>
      <c r="AJ598" s="4" t="n"/>
      <c r="AK598" s="4" t="n"/>
      <c r="AL598" s="4" t="inlineStr">
        <is>
          <t>FINAL</t>
        </is>
      </c>
      <c r="AM598" s="4" t="n"/>
      <c r="AN598" s="4" t="n"/>
    </row>
    <row r="599">
      <c r="A599" s="4" t="inlineStr">
        <is>
          <t>P0598</t>
        </is>
      </c>
      <c r="B599" s="4" t="n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n"/>
      <c r="G599" s="4" t="inlineStr">
        <is>
          <t>M</t>
        </is>
      </c>
      <c r="H599" s="4" t="n"/>
      <c r="I599" s="4" t="n"/>
      <c r="J599" s="4" t="n"/>
      <c r="K599" s="4" t="n"/>
      <c r="L599" s="4" t="n"/>
      <c r="M599" s="4" t="n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n"/>
      <c r="S599" s="4" t="n"/>
      <c r="T599" s="4" t="n"/>
      <c r="U599" s="4" t="n"/>
      <c r="V599" s="4" t="n"/>
      <c r="W599" s="4" t="n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n"/>
      <c r="AE599" s="4" t="n"/>
      <c r="AF599" s="4" t="n"/>
      <c r="AG599" s="4" t="inlineStr">
        <is>
          <t>1</t>
        </is>
      </c>
      <c r="AH599" s="4" t="n"/>
      <c r="AI599" s="4" t="inlineStr">
        <is>
          <t>부영호텔</t>
        </is>
      </c>
      <c r="AJ599" s="4" t="n"/>
      <c r="AK599" s="4" t="n"/>
      <c r="AL599" s="4" t="inlineStr">
        <is>
          <t>FINAL</t>
        </is>
      </c>
      <c r="AM599" s="4" t="n"/>
      <c r="AN599" s="4" t="n"/>
    </row>
    <row r="600">
      <c r="A600" s="4" t="inlineStr">
        <is>
          <t>P0599</t>
        </is>
      </c>
      <c r="B600" s="4" t="n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n"/>
      <c r="G600" s="4" t="inlineStr">
        <is>
          <t>M</t>
        </is>
      </c>
      <c r="H600" s="4" t="n"/>
      <c r="I600" s="4" t="n"/>
      <c r="J600" s="4" t="n"/>
      <c r="K600" s="4" t="n"/>
      <c r="L600" s="4" t="n"/>
      <c r="M600" s="4" t="n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n"/>
      <c r="S600" s="4" t="n"/>
      <c r="T600" s="4" t="n"/>
      <c r="U600" s="4" t="n"/>
      <c r="V600" s="4" t="n"/>
      <c r="W600" s="4" t="n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n"/>
      <c r="AE600" s="4" t="n"/>
      <c r="AF600" s="4" t="n"/>
      <c r="AG600" s="4" t="inlineStr">
        <is>
          <t>1</t>
        </is>
      </c>
      <c r="AH600" s="4" t="n"/>
      <c r="AI600" s="4" t="inlineStr">
        <is>
          <t>부영호텔</t>
        </is>
      </c>
      <c r="AJ600" s="4" t="n"/>
      <c r="AK600" s="4" t="n"/>
      <c r="AL600" s="4" t="inlineStr">
        <is>
          <t>FINAL</t>
        </is>
      </c>
      <c r="AM600" s="4" t="n"/>
      <c r="AN600" s="4" t="n"/>
    </row>
    <row r="601">
      <c r="A601" s="4" t="inlineStr">
        <is>
          <t>P0600</t>
        </is>
      </c>
      <c r="B601" s="4" t="n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n"/>
      <c r="G601" s="4" t="inlineStr">
        <is>
          <t>M</t>
        </is>
      </c>
      <c r="H601" s="4" t="n"/>
      <c r="I601" s="4" t="n"/>
      <c r="J601" s="4" t="n"/>
      <c r="K601" s="4" t="n"/>
      <c r="L601" s="4" t="n"/>
      <c r="M601" s="4" t="n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n"/>
      <c r="S601" s="4" t="n"/>
      <c r="T601" s="4" t="n"/>
      <c r="U601" s="4" t="n"/>
      <c r="V601" s="4" t="n"/>
      <c r="W601" s="4" t="n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n"/>
      <c r="AE601" s="4" t="n"/>
      <c r="AF601" s="4" t="n"/>
      <c r="AG601" s="4" t="inlineStr">
        <is>
          <t>1</t>
        </is>
      </c>
      <c r="AH601" s="4" t="n"/>
      <c r="AI601" s="4" t="inlineStr">
        <is>
          <t>부영호텔</t>
        </is>
      </c>
      <c r="AJ601" s="4" t="n"/>
      <c r="AK601" s="4" t="n"/>
      <c r="AL601" s="4" t="inlineStr">
        <is>
          <t>FINAL</t>
        </is>
      </c>
      <c r="AM601" s="4" t="n"/>
      <c r="AN601" s="4" t="n"/>
    </row>
    <row r="602">
      <c r="A602" s="4" t="inlineStr">
        <is>
          <t>P0601</t>
        </is>
      </c>
      <c r="B602" s="4" t="n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n"/>
      <c r="G602" s="4" t="inlineStr">
        <is>
          <t>F</t>
        </is>
      </c>
      <c r="H602" s="4" t="n"/>
      <c r="I602" s="4" t="n"/>
      <c r="J602" s="4" t="n"/>
      <c r="K602" s="4" t="n"/>
      <c r="L602" s="4" t="n"/>
      <c r="M602" s="4" t="n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n"/>
      <c r="S602" s="4" t="n"/>
      <c r="T602" s="4" t="inlineStr">
        <is>
          <t>✓*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n"/>
      <c r="AE602" s="4" t="n"/>
      <c r="AF602" s="4" t="n"/>
      <c r="AG602" s="4" t="inlineStr">
        <is>
          <t>1</t>
        </is>
      </c>
      <c r="AH602" s="4" t="n"/>
      <c r="AI602" s="4" t="inlineStr">
        <is>
          <t>부영호텔</t>
        </is>
      </c>
      <c r="AJ602" s="4" t="n"/>
      <c r="AK602" s="4" t="inlineStr">
        <is>
          <t>* 6/29 이전 숙박(공식 숙소지원 외)</t>
        </is>
      </c>
      <c r="AL602" s="4" t="inlineStr">
        <is>
          <t>FINAL</t>
        </is>
      </c>
      <c r="AM602" s="4" t="n"/>
      <c r="AN602" s="4" t="n"/>
    </row>
    <row r="603">
      <c r="A603" s="4" t="inlineStr">
        <is>
          <t>P0602</t>
        </is>
      </c>
      <c r="B603" s="4" t="n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n"/>
      <c r="G603" s="4" t="inlineStr">
        <is>
          <t>F</t>
        </is>
      </c>
      <c r="H603" s="4" t="n"/>
      <c r="I603" s="4" t="n"/>
      <c r="J603" s="4" t="n"/>
      <c r="K603" s="4" t="n"/>
      <c r="L603" s="4" t="n"/>
      <c r="M603" s="4" t="n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n"/>
      <c r="S603" s="4" t="n"/>
      <c r="T603" s="4" t="inlineStr">
        <is>
          <t>✓*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n"/>
      <c r="AE603" s="4" t="n"/>
      <c r="AF603" s="4" t="n"/>
      <c r="AG603" s="4" t="inlineStr">
        <is>
          <t>1</t>
        </is>
      </c>
      <c r="AH603" s="4" t="n"/>
      <c r="AI603" s="4" t="inlineStr">
        <is>
          <t>부영호텔</t>
        </is>
      </c>
      <c r="AJ603" s="4" t="n"/>
      <c r="AK603" s="4" t="inlineStr">
        <is>
          <t>* 6/29 이전 숙박(공식 숙소지원 외)</t>
        </is>
      </c>
      <c r="AL603" s="4" t="inlineStr">
        <is>
          <t>FINAL</t>
        </is>
      </c>
      <c r="AM603" s="4" t="n"/>
      <c r="AN603" s="4" t="n"/>
    </row>
    <row r="604">
      <c r="A604" s="4" t="inlineStr">
        <is>
          <t>P0603</t>
        </is>
      </c>
      <c r="B604" s="4" t="n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n"/>
      <c r="G604" s="4" t="inlineStr">
        <is>
          <t>F</t>
        </is>
      </c>
      <c r="H604" s="4" t="n"/>
      <c r="I604" s="4" t="n"/>
      <c r="J604" s="4" t="n"/>
      <c r="K604" s="4" t="n"/>
      <c r="L604" s="4" t="n"/>
      <c r="M604" s="4" t="n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n"/>
      <c r="S604" s="4" t="n"/>
      <c r="T604" s="4" t="n"/>
      <c r="U604" s="4" t="n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n"/>
      <c r="AE604" s="4" t="n"/>
      <c r="AF604" s="4" t="n"/>
      <c r="AG604" s="4" t="inlineStr">
        <is>
          <t>1</t>
        </is>
      </c>
      <c r="AH604" s="4" t="n"/>
      <c r="AI604" s="4" t="inlineStr">
        <is>
          <t>부영호텔</t>
        </is>
      </c>
      <c r="AJ604" s="4" t="n"/>
      <c r="AK604" s="4" t="n"/>
      <c r="AL604" s="4" t="inlineStr">
        <is>
          <t>FINAL</t>
        </is>
      </c>
      <c r="AM604" s="4" t="n"/>
      <c r="AN604" s="4" t="n"/>
    </row>
    <row r="605">
      <c r="A605" s="4" t="inlineStr">
        <is>
          <t>P0604</t>
        </is>
      </c>
      <c r="B605" s="4" t="n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n"/>
      <c r="G605" s="4" t="inlineStr">
        <is>
          <t>F</t>
        </is>
      </c>
      <c r="H605" s="4" t="n"/>
      <c r="I605" s="4" t="n"/>
      <c r="J605" s="4" t="n"/>
      <c r="K605" s="4" t="n"/>
      <c r="L605" s="4" t="n"/>
      <c r="M605" s="4" t="n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n"/>
      <c r="S605" s="4" t="n"/>
      <c r="T605" s="4" t="n"/>
      <c r="U605" s="4" t="n"/>
      <c r="V605" s="4" t="n"/>
      <c r="W605" s="4" t="n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n"/>
      <c r="AE605" s="4" t="n"/>
      <c r="AF605" s="4" t="n"/>
      <c r="AG605" s="4" t="inlineStr">
        <is>
          <t>1</t>
        </is>
      </c>
      <c r="AH605" s="4" t="n"/>
      <c r="AI605" s="4" t="inlineStr">
        <is>
          <t>부영호텔</t>
        </is>
      </c>
      <c r="AJ605" s="4" t="n"/>
      <c r="AK605" s="4" t="n"/>
      <c r="AL605" s="4" t="inlineStr">
        <is>
          <t>FINAL</t>
        </is>
      </c>
      <c r="AM605" s="4" t="n"/>
      <c r="AN605" s="4" t="n"/>
    </row>
    <row r="606">
      <c r="A606" s="4" t="inlineStr">
        <is>
          <t>P0605</t>
        </is>
      </c>
      <c r="B606" s="4" t="n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n"/>
      <c r="G606" s="4" t="inlineStr">
        <is>
          <t>F</t>
        </is>
      </c>
      <c r="H606" s="4" t="n"/>
      <c r="I606" s="4" t="n"/>
      <c r="J606" s="4" t="n"/>
      <c r="K606" s="4" t="n"/>
      <c r="L606" s="4" t="n"/>
      <c r="M606" s="4" t="n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n"/>
      <c r="S606" s="4" t="n"/>
      <c r="T606" s="4" t="n"/>
      <c r="U606" s="4" t="n"/>
      <c r="V606" s="4" t="n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n"/>
      <c r="AE606" s="4" t="n"/>
      <c r="AF606" s="4" t="n"/>
      <c r="AG606" s="4" t="inlineStr">
        <is>
          <t>1</t>
        </is>
      </c>
      <c r="AH606" s="4" t="n"/>
      <c r="AI606" s="4" t="inlineStr">
        <is>
          <t>부영호텔</t>
        </is>
      </c>
      <c r="AJ606" s="4" t="n"/>
      <c r="AK606" s="4" t="n"/>
      <c r="AL606" s="4" t="inlineStr">
        <is>
          <t>FINAL</t>
        </is>
      </c>
      <c r="AM606" s="4" t="n"/>
      <c r="AN606" s="4" t="n"/>
    </row>
    <row r="607">
      <c r="A607" s="4" t="inlineStr">
        <is>
          <t>P0606</t>
        </is>
      </c>
      <c r="B607" s="4" t="n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n"/>
      <c r="G607" s="4" t="inlineStr">
        <is>
          <t>F</t>
        </is>
      </c>
      <c r="H607" s="4" t="n"/>
      <c r="I607" s="4" t="n"/>
      <c r="J607" s="4" t="n"/>
      <c r="K607" s="4" t="n"/>
      <c r="L607" s="4" t="n"/>
      <c r="M607" s="4" t="n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n"/>
      <c r="S607" s="4" t="n"/>
      <c r="T607" s="4" t="n"/>
      <c r="U607" s="4" t="n"/>
      <c r="V607" s="4" t="n"/>
      <c r="W607" s="4" t="n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n"/>
      <c r="AE607" s="4" t="n"/>
      <c r="AF607" s="4" t="n"/>
      <c r="AG607" s="4" t="inlineStr">
        <is>
          <t>1</t>
        </is>
      </c>
      <c r="AH607" s="4" t="n"/>
      <c r="AI607" s="4" t="inlineStr">
        <is>
          <t>부영호텔</t>
        </is>
      </c>
      <c r="AJ607" s="4" t="n"/>
      <c r="AK607" s="4" t="n"/>
      <c r="AL607" s="4" t="inlineStr">
        <is>
          <t>FINAL</t>
        </is>
      </c>
      <c r="AM607" s="4" t="n"/>
      <c r="AN607" s="4" t="n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n"/>
      <c r="G608" s="4" t="inlineStr">
        <is>
          <t>F</t>
        </is>
      </c>
      <c r="H608" s="4" t="n"/>
      <c r="I608" s="4" t="n"/>
      <c r="J608" s="4" t="n"/>
      <c r="K608" s="4" t="n"/>
      <c r="L608" s="4" t="n"/>
      <c r="M608" s="4" t="n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n"/>
      <c r="S608" s="4" t="n"/>
      <c r="T608" s="4" t="n"/>
      <c r="U608" s="4" t="n"/>
      <c r="V608" s="4" t="n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n"/>
      <c r="AE608" s="4" t="n"/>
      <c r="AF608" s="4" t="n"/>
      <c r="AG608" s="4" t="inlineStr">
        <is>
          <t>1</t>
        </is>
      </c>
      <c r="AH608" s="4" t="n"/>
      <c r="AI608" s="4" t="n"/>
      <c r="AJ608" s="4" t="n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n"/>
      <c r="AN608" s="4" t="inlineStr">
        <is>
          <t>자원봉사팀</t>
        </is>
      </c>
    </row>
    <row r="609">
      <c r="A609" s="5" t="inlineStr">
        <is>
          <t>P0608</t>
        </is>
      </c>
      <c r="B609" s="5" t="n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n"/>
      <c r="G609" s="5" t="inlineStr">
        <is>
          <t>F</t>
        </is>
      </c>
      <c r="H609" s="5" t="n"/>
      <c r="I609" s="5" t="n"/>
      <c r="J609" s="5" t="n"/>
      <c r="K609" s="5" t="n"/>
      <c r="L609" s="5" t="n"/>
      <c r="M609" s="5" t="n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n"/>
      <c r="S609" s="5" t="n"/>
      <c r="T609" s="5" t="inlineStr">
        <is>
          <t>✓*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n"/>
      <c r="AE609" s="5" t="n"/>
      <c r="AF609" s="5" t="n"/>
      <c r="AG609" s="5" t="inlineStr">
        <is>
          <t>1</t>
        </is>
      </c>
      <c r="AH609" s="5" t="n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>
        <is>
          <t>* 6/29 이전 숙박(공식 숙소지원 외)</t>
        </is>
      </c>
      <c r="AL609" s="5" t="inlineStr">
        <is>
          <t>FINAL</t>
        </is>
      </c>
      <c r="AM609" s="5" t="n"/>
      <c r="AN609" s="5" t="n"/>
    </row>
    <row r="610">
      <c r="A610" s="5" t="inlineStr">
        <is>
          <t>P0609</t>
        </is>
      </c>
      <c r="B610" s="5" t="n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n"/>
      <c r="G610" s="5" t="inlineStr">
        <is>
          <t>F</t>
        </is>
      </c>
      <c r="H610" s="5" t="n"/>
      <c r="I610" s="5" t="n"/>
      <c r="J610" s="5" t="n"/>
      <c r="K610" s="5" t="n"/>
      <c r="L610" s="5" t="n"/>
      <c r="M610" s="5" t="n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n"/>
      <c r="S610" s="5" t="n"/>
      <c r="T610" s="5" t="inlineStr">
        <is>
          <t>✓*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n"/>
      <c r="AE610" s="5" t="n"/>
      <c r="AF610" s="5" t="n"/>
      <c r="AG610" s="5" t="inlineStr">
        <is>
          <t>1</t>
        </is>
      </c>
      <c r="AH610" s="5" t="n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>
        <is>
          <t>* 6/29 이전 숙박(공식 숙소지원 외)</t>
        </is>
      </c>
      <c r="AL610" s="5" t="inlineStr">
        <is>
          <t>FINAL</t>
        </is>
      </c>
      <c r="AM610" s="5" t="n"/>
      <c r="AN610" s="5" t="n"/>
    </row>
    <row r="611">
      <c r="A611" s="5" t="inlineStr">
        <is>
          <t>P0610</t>
        </is>
      </c>
      <c r="B611" s="5" t="n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n"/>
      <c r="G611" s="5" t="inlineStr">
        <is>
          <t>F</t>
        </is>
      </c>
      <c r="H611" s="5" t="n"/>
      <c r="I611" s="5" t="n"/>
      <c r="J611" s="5" t="n"/>
      <c r="K611" s="5" t="n"/>
      <c r="L611" s="5" t="n"/>
      <c r="M611" s="5" t="n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n"/>
      <c r="S611" s="5" t="n"/>
      <c r="T611" s="5" t="inlineStr">
        <is>
          <t>✓*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n"/>
      <c r="AE611" s="5" t="n"/>
      <c r="AF611" s="5" t="n"/>
      <c r="AG611" s="5" t="inlineStr">
        <is>
          <t>1</t>
        </is>
      </c>
      <c r="AH611" s="5" t="n"/>
      <c r="AI611" s="5" t="n"/>
      <c r="AJ611" s="5" t="n"/>
      <c r="AK611" s="5" t="inlineStr">
        <is>
          <t>* 6/29 이전 숙박(공식 숙소지원 외)</t>
        </is>
      </c>
      <c r="AL611" s="5" t="inlineStr">
        <is>
          <t>FINAL</t>
        </is>
      </c>
      <c r="AM611" s="5" t="n"/>
      <c r="AN611" s="5" t="n"/>
    </row>
    <row r="612">
      <c r="A612" s="5" t="inlineStr">
        <is>
          <t>P0611</t>
        </is>
      </c>
      <c r="B612" s="5" t="n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n"/>
      <c r="G612" s="5" t="inlineStr">
        <is>
          <t>F</t>
        </is>
      </c>
      <c r="H612" s="5" t="n"/>
      <c r="I612" s="5" t="n"/>
      <c r="J612" s="5" t="n"/>
      <c r="K612" s="5" t="n"/>
      <c r="L612" s="5" t="n"/>
      <c r="M612" s="5" t="n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n"/>
      <c r="S612" s="5" t="n"/>
      <c r="T612" s="5" t="inlineStr">
        <is>
          <t>✓*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n"/>
      <c r="AE612" s="5" t="n"/>
      <c r="AF612" s="5" t="n"/>
      <c r="AG612" s="5" t="inlineStr">
        <is>
          <t>1</t>
        </is>
      </c>
      <c r="AH612" s="5" t="n"/>
      <c r="AI612" s="5" t="n"/>
      <c r="AJ612" s="5" t="n"/>
      <c r="AK612" s="5" t="inlineStr">
        <is>
          <t>* 6/29 이전 숙박(공식 숙소지원 외)</t>
        </is>
      </c>
      <c r="AL612" s="5" t="inlineStr">
        <is>
          <t>FINAL</t>
        </is>
      </c>
      <c r="AM612" s="5" t="n"/>
      <c r="AN612" s="5" t="n"/>
    </row>
    <row r="613">
      <c r="A613" s="5" t="inlineStr">
        <is>
          <t>P0612</t>
        </is>
      </c>
      <c r="B613" s="5" t="n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n"/>
      <c r="G613" s="5" t="inlineStr">
        <is>
          <t>F</t>
        </is>
      </c>
      <c r="H613" s="5" t="n"/>
      <c r="I613" s="5" t="n"/>
      <c r="J613" s="5" t="n"/>
      <c r="K613" s="5" t="n"/>
      <c r="L613" s="5" t="n"/>
      <c r="M613" s="5" t="n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n"/>
      <c r="S613" s="5" t="n"/>
      <c r="T613" s="5" t="inlineStr">
        <is>
          <t>✓*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n"/>
      <c r="AE613" s="5" t="n"/>
      <c r="AF613" s="5" t="n"/>
      <c r="AG613" s="5" t="inlineStr">
        <is>
          <t>1</t>
        </is>
      </c>
      <c r="AH613" s="5" t="n"/>
      <c r="AI613" s="5" t="n"/>
      <c r="AJ613" s="5" t="n"/>
      <c r="AK613" s="5" t="inlineStr">
        <is>
          <t>* 6/29 이전 숙박(공식 숙소지원 외)</t>
        </is>
      </c>
      <c r="AL613" s="5" t="inlineStr">
        <is>
          <t>FINAL</t>
        </is>
      </c>
      <c r="AM613" s="5" t="n"/>
      <c r="AN613" s="5" t="n"/>
    </row>
    <row r="614">
      <c r="A614" s="5" t="inlineStr">
        <is>
          <t>P0613</t>
        </is>
      </c>
      <c r="B614" s="5" t="n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n"/>
      <c r="G614" s="5" t="inlineStr">
        <is>
          <t>F</t>
        </is>
      </c>
      <c r="H614" s="5" t="n"/>
      <c r="I614" s="5" t="n"/>
      <c r="J614" s="5" t="n"/>
      <c r="K614" s="5" t="n"/>
      <c r="L614" s="5" t="n"/>
      <c r="M614" s="5" t="n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n"/>
      <c r="S614" s="5" t="n"/>
      <c r="T614" s="5" t="inlineStr">
        <is>
          <t>✓*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n"/>
      <c r="AE614" s="5" t="n"/>
      <c r="AF614" s="5" t="n"/>
      <c r="AG614" s="5" t="inlineStr">
        <is>
          <t>1</t>
        </is>
      </c>
      <c r="AH614" s="5" t="n"/>
      <c r="AI614" s="5" t="n"/>
      <c r="AJ614" s="5" t="n"/>
      <c r="AK614" s="5" t="inlineStr">
        <is>
          <t>* 6/29 이전 숙박(공식 숙소지원 외)</t>
        </is>
      </c>
      <c r="AL614" s="5" t="inlineStr">
        <is>
          <t>FINAL</t>
        </is>
      </c>
      <c r="AM614" s="5" t="n"/>
      <c r="AN614" s="5" t="n"/>
    </row>
    <row r="615">
      <c r="A615" s="5" t="inlineStr">
        <is>
          <t>P0614</t>
        </is>
      </c>
      <c r="B615" s="5" t="n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n"/>
      <c r="G615" s="5" t="inlineStr">
        <is>
          <t>M</t>
        </is>
      </c>
      <c r="H615" s="5" t="n"/>
      <c r="I615" s="5" t="n"/>
      <c r="J615" s="5" t="n"/>
      <c r="K615" s="5" t="n"/>
      <c r="L615" s="5" t="n"/>
      <c r="M615" s="5" t="n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n"/>
      <c r="S615" s="5" t="n"/>
      <c r="T615" s="5" t="inlineStr">
        <is>
          <t>✓*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n"/>
      <c r="AE615" s="5" t="n"/>
      <c r="AF615" s="5" t="n"/>
      <c r="AG615" s="5" t="inlineStr">
        <is>
          <t>1</t>
        </is>
      </c>
      <c r="AH615" s="5" t="n"/>
      <c r="AI615" s="5" t="n"/>
      <c r="AJ615" s="5" t="n"/>
      <c r="AK615" s="5" t="inlineStr">
        <is>
          <t>* 6/29 이전 숙박(공식 숙소지원 외)</t>
        </is>
      </c>
      <c r="AL615" s="5" t="inlineStr">
        <is>
          <t>FINAL</t>
        </is>
      </c>
      <c r="AM615" s="5" t="n"/>
      <c r="AN615" s="5" t="inlineStr">
        <is>
          <t>자원봉사팀</t>
        </is>
      </c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n"/>
      <c r="G616" s="6" t="inlineStr">
        <is>
          <t>?</t>
        </is>
      </c>
      <c r="H616" s="6" t="n"/>
      <c r="I616" s="6" t="n"/>
      <c r="J616" s="6" t="n"/>
      <c r="K616" s="6" t="n"/>
      <c r="L616" s="6" t="n"/>
      <c r="M616" s="6" t="n"/>
      <c r="N616" s="6" t="inlineStr">
        <is>
          <t>NA</t>
        </is>
      </c>
      <c r="O616" s="6" t="inlineStr">
        <is>
          <t>Yes</t>
        </is>
      </c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inlineStr">
        <is>
          <t>1</t>
        </is>
      </c>
      <c r="AD616" s="6" t="n"/>
      <c r="AE616" s="6" t="n"/>
      <c r="AF616" s="6" t="n"/>
      <c r="AG616" s="6" t="inlineStr">
        <is>
          <t>1</t>
        </is>
      </c>
      <c r="AH616" s="6" t="n"/>
      <c r="AI616" s="6" t="n"/>
      <c r="AJ616" s="6" t="n"/>
      <c r="AK616" s="6" t="n"/>
      <c r="AL616" s="6" t="inlineStr">
        <is>
          <t>FINAL</t>
        </is>
      </c>
      <c r="AM616" s="6" t="n"/>
      <c r="AN616" s="6" t="n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n"/>
      <c r="G617" s="6" t="inlineStr">
        <is>
          <t>?</t>
        </is>
      </c>
      <c r="H617" s="6" t="n"/>
      <c r="I617" s="6" t="n"/>
      <c r="J617" s="6" t="n"/>
      <c r="K617" s="6" t="n"/>
      <c r="L617" s="6" t="n"/>
      <c r="M617" s="6" t="n"/>
      <c r="N617" s="6" t="inlineStr">
        <is>
          <t>NA</t>
        </is>
      </c>
      <c r="O617" s="6" t="inlineStr">
        <is>
          <t>Yes</t>
        </is>
      </c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inlineStr">
        <is>
          <t>1</t>
        </is>
      </c>
      <c r="AD617" s="6" t="n"/>
      <c r="AE617" s="6" t="n"/>
      <c r="AF617" s="6" t="n"/>
      <c r="AG617" s="6" t="inlineStr">
        <is>
          <t>1</t>
        </is>
      </c>
      <c r="AH617" s="6" t="n"/>
      <c r="AI617" s="6" t="n"/>
      <c r="AJ617" s="6" t="n"/>
      <c r="AK617" s="6" t="n"/>
      <c r="AL617" s="6" t="inlineStr">
        <is>
          <t>FINAL</t>
        </is>
      </c>
      <c r="AM617" s="6" t="n"/>
      <c r="AN617" s="6" t="n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n"/>
      <c r="G618" s="6" t="inlineStr">
        <is>
          <t>?</t>
        </is>
      </c>
      <c r="H618" s="6" t="n"/>
      <c r="I618" s="6" t="n"/>
      <c r="J618" s="6" t="n"/>
      <c r="K618" s="6" t="n"/>
      <c r="L618" s="6" t="n"/>
      <c r="M618" s="6" t="n"/>
      <c r="N618" s="6" t="inlineStr">
        <is>
          <t>NA</t>
        </is>
      </c>
      <c r="O618" s="6" t="inlineStr">
        <is>
          <t>Yes</t>
        </is>
      </c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inlineStr">
        <is>
          <t>1</t>
        </is>
      </c>
      <c r="AD618" s="6" t="n"/>
      <c r="AE618" s="6" t="n"/>
      <c r="AF618" s="6" t="n"/>
      <c r="AG618" s="6" t="inlineStr">
        <is>
          <t>1</t>
        </is>
      </c>
      <c r="AH618" s="6" t="n"/>
      <c r="AI618" s="6" t="n"/>
      <c r="AJ618" s="6" t="n"/>
      <c r="AK618" s="6" t="n"/>
      <c r="AL618" s="6" t="inlineStr">
        <is>
          <t>FINAL</t>
        </is>
      </c>
      <c r="AM618" s="6" t="n"/>
      <c r="AN618" s="6" t="n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n"/>
      <c r="G619" s="6" t="inlineStr">
        <is>
          <t>?</t>
        </is>
      </c>
      <c r="H619" s="6" t="n"/>
      <c r="I619" s="6" t="n"/>
      <c r="J619" s="6" t="n"/>
      <c r="K619" s="6" t="n"/>
      <c r="L619" s="6" t="n"/>
      <c r="M619" s="6" t="n"/>
      <c r="N619" s="6" t="inlineStr">
        <is>
          <t>NA</t>
        </is>
      </c>
      <c r="O619" s="6" t="inlineStr">
        <is>
          <t>Yes</t>
        </is>
      </c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inlineStr">
        <is>
          <t>1</t>
        </is>
      </c>
      <c r="AD619" s="6" t="n"/>
      <c r="AE619" s="6" t="n"/>
      <c r="AF619" s="6" t="n"/>
      <c r="AG619" s="6" t="inlineStr">
        <is>
          <t>1</t>
        </is>
      </c>
      <c r="AH619" s="6" t="n"/>
      <c r="AI619" s="6" t="n"/>
      <c r="AJ619" s="6" t="n"/>
      <c r="AK619" s="6" t="n"/>
      <c r="AL619" s="6" t="inlineStr">
        <is>
          <t>FINAL</t>
        </is>
      </c>
      <c r="AM619" s="6" t="n"/>
      <c r="AN619" s="6" t="n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n"/>
      <c r="G620" s="6" t="inlineStr">
        <is>
          <t>?</t>
        </is>
      </c>
      <c r="H620" s="6" t="n"/>
      <c r="I620" s="6" t="n"/>
      <c r="J620" s="6" t="n"/>
      <c r="K620" s="6" t="n"/>
      <c r="L620" s="6" t="n"/>
      <c r="M620" s="6" t="n"/>
      <c r="N620" s="6" t="inlineStr">
        <is>
          <t>NA</t>
        </is>
      </c>
      <c r="O620" s="6" t="inlineStr">
        <is>
          <t>Yes</t>
        </is>
      </c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inlineStr">
        <is>
          <t>1</t>
        </is>
      </c>
      <c r="AD620" s="6" t="n"/>
      <c r="AE620" s="6" t="n"/>
      <c r="AF620" s="6" t="n"/>
      <c r="AG620" s="6" t="inlineStr">
        <is>
          <t>1</t>
        </is>
      </c>
      <c r="AH620" s="6" t="n"/>
      <c r="AI620" s="6" t="n"/>
      <c r="AJ620" s="6" t="n"/>
      <c r="AK620" s="6" t="n"/>
      <c r="AL620" s="6" t="inlineStr">
        <is>
          <t>FINAL</t>
        </is>
      </c>
      <c r="AM620" s="6" t="n"/>
      <c r="AN620" s="6" t="n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n"/>
      <c r="G621" s="6" t="inlineStr">
        <is>
          <t>?</t>
        </is>
      </c>
      <c r="H621" s="6" t="n"/>
      <c r="I621" s="6" t="n"/>
      <c r="J621" s="6" t="n"/>
      <c r="K621" s="6" t="n"/>
      <c r="L621" s="6" t="n"/>
      <c r="M621" s="6" t="n"/>
      <c r="N621" s="6" t="inlineStr">
        <is>
          <t>NA</t>
        </is>
      </c>
      <c r="O621" s="6" t="inlineStr">
        <is>
          <t>Yes</t>
        </is>
      </c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inlineStr">
        <is>
          <t>1</t>
        </is>
      </c>
      <c r="AD621" s="6" t="n"/>
      <c r="AE621" s="6" t="n"/>
      <c r="AF621" s="6" t="n"/>
      <c r="AG621" s="6" t="inlineStr">
        <is>
          <t>1</t>
        </is>
      </c>
      <c r="AH621" s="6" t="n"/>
      <c r="AI621" s="6" t="n"/>
      <c r="AJ621" s="6" t="n"/>
      <c r="AK621" s="6" t="n"/>
      <c r="AL621" s="6" t="inlineStr">
        <is>
          <t>FINAL</t>
        </is>
      </c>
      <c r="AM621" s="6" t="n"/>
      <c r="AN621" s="6" t="n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n"/>
      <c r="G622" s="6" t="inlineStr">
        <is>
          <t>?</t>
        </is>
      </c>
      <c r="H622" s="6" t="n"/>
      <c r="I622" s="6" t="n"/>
      <c r="J622" s="6" t="n"/>
      <c r="K622" s="6" t="n"/>
      <c r="L622" s="6" t="n"/>
      <c r="M622" s="6" t="n"/>
      <c r="N622" s="6" t="inlineStr">
        <is>
          <t>NA</t>
        </is>
      </c>
      <c r="O622" s="6" t="inlineStr">
        <is>
          <t>Yes</t>
        </is>
      </c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inlineStr">
        <is>
          <t>1</t>
        </is>
      </c>
      <c r="AD622" s="6" t="n"/>
      <c r="AE622" s="6" t="n"/>
      <c r="AF622" s="6" t="n"/>
      <c r="AG622" s="6" t="inlineStr">
        <is>
          <t>1</t>
        </is>
      </c>
      <c r="AH622" s="6" t="n"/>
      <c r="AI622" s="6" t="n"/>
      <c r="AJ622" s="6" t="n"/>
      <c r="AK622" s="6" t="n"/>
      <c r="AL622" s="6" t="inlineStr">
        <is>
          <t>FINAL</t>
        </is>
      </c>
      <c r="AM622" s="6" t="n"/>
      <c r="AN622" s="6" t="n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n"/>
      <c r="G623" s="6" t="inlineStr">
        <is>
          <t>?</t>
        </is>
      </c>
      <c r="H623" s="6" t="n"/>
      <c r="I623" s="6" t="n"/>
      <c r="J623" s="6" t="n"/>
      <c r="K623" s="6" t="n"/>
      <c r="L623" s="6" t="n"/>
      <c r="M623" s="6" t="n"/>
      <c r="N623" s="6" t="inlineStr">
        <is>
          <t>NA</t>
        </is>
      </c>
      <c r="O623" s="6" t="inlineStr">
        <is>
          <t>Yes</t>
        </is>
      </c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inlineStr">
        <is>
          <t>1</t>
        </is>
      </c>
      <c r="AD623" s="6" t="n"/>
      <c r="AE623" s="6" t="n"/>
      <c r="AF623" s="6" t="n"/>
      <c r="AG623" s="6" t="inlineStr">
        <is>
          <t>1</t>
        </is>
      </c>
      <c r="AH623" s="6" t="n"/>
      <c r="AI623" s="6" t="n"/>
      <c r="AJ623" s="6" t="n"/>
      <c r="AK623" s="6" t="n"/>
      <c r="AL623" s="6" t="inlineStr">
        <is>
          <t>FINAL</t>
        </is>
      </c>
      <c r="AM623" s="6" t="n"/>
      <c r="AN623" s="6" t="n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n"/>
      <c r="G624" s="6" t="inlineStr">
        <is>
          <t>?</t>
        </is>
      </c>
      <c r="H624" s="6" t="n"/>
      <c r="I624" s="6" t="n"/>
      <c r="J624" s="6" t="n"/>
      <c r="K624" s="6" t="n"/>
      <c r="L624" s="6" t="n"/>
      <c r="M624" s="6" t="n"/>
      <c r="N624" s="6" t="inlineStr">
        <is>
          <t>NA</t>
        </is>
      </c>
      <c r="O624" s="6" t="inlineStr">
        <is>
          <t>Yes</t>
        </is>
      </c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inlineStr">
        <is>
          <t>1</t>
        </is>
      </c>
      <c r="AD624" s="6" t="n"/>
      <c r="AE624" s="6" t="n"/>
      <c r="AF624" s="6" t="n"/>
      <c r="AG624" s="6" t="inlineStr">
        <is>
          <t>1</t>
        </is>
      </c>
      <c r="AH624" s="6" t="n"/>
      <c r="AI624" s="6" t="n"/>
      <c r="AJ624" s="6" t="n"/>
      <c r="AK624" s="6" t="n"/>
      <c r="AL624" s="6" t="inlineStr">
        <is>
          <t>FINAL</t>
        </is>
      </c>
      <c r="AM624" s="6" t="n"/>
      <c r="AN624" s="6" t="n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n"/>
      <c r="G625" s="6" t="inlineStr">
        <is>
          <t>?</t>
        </is>
      </c>
      <c r="H625" s="6" t="n"/>
      <c r="I625" s="6" t="n"/>
      <c r="J625" s="6" t="n"/>
      <c r="K625" s="6" t="n"/>
      <c r="L625" s="6" t="n"/>
      <c r="M625" s="6" t="n"/>
      <c r="N625" s="6" t="inlineStr">
        <is>
          <t>NA</t>
        </is>
      </c>
      <c r="O625" s="6" t="inlineStr">
        <is>
          <t>Yes</t>
        </is>
      </c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inlineStr">
        <is>
          <t>1</t>
        </is>
      </c>
      <c r="AD625" s="6" t="n"/>
      <c r="AE625" s="6" t="n"/>
      <c r="AF625" s="6" t="n"/>
      <c r="AG625" s="6" t="inlineStr">
        <is>
          <t>1</t>
        </is>
      </c>
      <c r="AH625" s="6" t="n"/>
      <c r="AI625" s="6" t="n"/>
      <c r="AJ625" s="6" t="n"/>
      <c r="AK625" s="6" t="n"/>
      <c r="AL625" s="6" t="inlineStr">
        <is>
          <t>FINAL</t>
        </is>
      </c>
      <c r="AM625" s="6" t="n"/>
      <c r="AN625" s="6" t="n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n"/>
      <c r="G626" s="6" t="inlineStr">
        <is>
          <t>?</t>
        </is>
      </c>
      <c r="H626" s="6" t="n"/>
      <c r="I626" s="6" t="n"/>
      <c r="J626" s="6" t="n"/>
      <c r="K626" s="6" t="n"/>
      <c r="L626" s="6" t="n"/>
      <c r="M626" s="6" t="n"/>
      <c r="N626" s="6" t="inlineStr">
        <is>
          <t>NA</t>
        </is>
      </c>
      <c r="O626" s="6" t="inlineStr">
        <is>
          <t>Yes</t>
        </is>
      </c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inlineStr">
        <is>
          <t>1</t>
        </is>
      </c>
      <c r="AD626" s="6" t="n"/>
      <c r="AE626" s="6" t="n"/>
      <c r="AF626" s="6" t="n"/>
      <c r="AG626" s="6" t="inlineStr">
        <is>
          <t>1</t>
        </is>
      </c>
      <c r="AH626" s="6" t="n"/>
      <c r="AI626" s="6" t="n"/>
      <c r="AJ626" s="6" t="n"/>
      <c r="AK626" s="6" t="n"/>
      <c r="AL626" s="6" t="inlineStr">
        <is>
          <t>FINAL</t>
        </is>
      </c>
      <c r="AM626" s="6" t="n"/>
      <c r="AN626" s="6" t="n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n"/>
      <c r="G627" s="6" t="inlineStr">
        <is>
          <t>?</t>
        </is>
      </c>
      <c r="H627" s="6" t="n"/>
      <c r="I627" s="6" t="n"/>
      <c r="J627" s="6" t="n"/>
      <c r="K627" s="6" t="n"/>
      <c r="L627" s="6" t="n"/>
      <c r="M627" s="6" t="n"/>
      <c r="N627" s="6" t="inlineStr">
        <is>
          <t>NA</t>
        </is>
      </c>
      <c r="O627" s="6" t="inlineStr">
        <is>
          <t>Yes</t>
        </is>
      </c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inlineStr">
        <is>
          <t>1</t>
        </is>
      </c>
      <c r="AD627" s="6" t="n"/>
      <c r="AE627" s="6" t="n"/>
      <c r="AF627" s="6" t="n"/>
      <c r="AG627" s="6" t="inlineStr">
        <is>
          <t>1</t>
        </is>
      </c>
      <c r="AH627" s="6" t="n"/>
      <c r="AI627" s="6" t="n"/>
      <c r="AJ627" s="6" t="n"/>
      <c r="AK627" s="6" t="n"/>
      <c r="AL627" s="6" t="inlineStr">
        <is>
          <t>FINAL</t>
        </is>
      </c>
      <c r="AM627" s="6" t="n"/>
      <c r="AN627" s="6" t="n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n"/>
      <c r="G628" s="6" t="inlineStr">
        <is>
          <t>?</t>
        </is>
      </c>
      <c r="H628" s="6" t="n"/>
      <c r="I628" s="6" t="n"/>
      <c r="J628" s="6" t="n"/>
      <c r="K628" s="6" t="n"/>
      <c r="L628" s="6" t="n"/>
      <c r="M628" s="6" t="n"/>
      <c r="N628" s="6" t="inlineStr">
        <is>
          <t>NA</t>
        </is>
      </c>
      <c r="O628" s="6" t="inlineStr">
        <is>
          <t>Yes</t>
        </is>
      </c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inlineStr">
        <is>
          <t>1</t>
        </is>
      </c>
      <c r="AD628" s="6" t="n"/>
      <c r="AE628" s="6" t="n"/>
      <c r="AF628" s="6" t="n"/>
      <c r="AG628" s="6" t="inlineStr">
        <is>
          <t>1</t>
        </is>
      </c>
      <c r="AH628" s="6" t="n"/>
      <c r="AI628" s="6" t="n"/>
      <c r="AJ628" s="6" t="n"/>
      <c r="AK628" s="6" t="n"/>
      <c r="AL628" s="6" t="inlineStr">
        <is>
          <t>FINAL</t>
        </is>
      </c>
      <c r="AM628" s="6" t="n"/>
      <c r="AN628" s="6" t="n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n"/>
      <c r="G629" s="6" t="inlineStr">
        <is>
          <t>?</t>
        </is>
      </c>
      <c r="H629" s="6" t="n"/>
      <c r="I629" s="6" t="n"/>
      <c r="J629" s="6" t="n"/>
      <c r="K629" s="6" t="n"/>
      <c r="L629" s="6" t="n"/>
      <c r="M629" s="6" t="n"/>
      <c r="N629" s="6" t="inlineStr">
        <is>
          <t>NA</t>
        </is>
      </c>
      <c r="O629" s="6" t="inlineStr">
        <is>
          <t>Yes</t>
        </is>
      </c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inlineStr">
        <is>
          <t>1</t>
        </is>
      </c>
      <c r="AD629" s="6" t="n"/>
      <c r="AE629" s="6" t="n"/>
      <c r="AF629" s="6" t="n"/>
      <c r="AG629" s="6" t="inlineStr">
        <is>
          <t>1</t>
        </is>
      </c>
      <c r="AH629" s="6" t="n"/>
      <c r="AI629" s="6" t="n"/>
      <c r="AJ629" s="6" t="n"/>
      <c r="AK629" s="6" t="n"/>
      <c r="AL629" s="6" t="inlineStr">
        <is>
          <t>FINAL</t>
        </is>
      </c>
      <c r="AM629" s="6" t="n"/>
      <c r="AN629" s="6" t="n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n"/>
      <c r="G630" s="6" t="inlineStr">
        <is>
          <t>?</t>
        </is>
      </c>
      <c r="H630" s="6" t="n"/>
      <c r="I630" s="6" t="n"/>
      <c r="J630" s="6" t="n"/>
      <c r="K630" s="6" t="n"/>
      <c r="L630" s="6" t="n"/>
      <c r="M630" s="6" t="n"/>
      <c r="N630" s="6" t="inlineStr">
        <is>
          <t>NA</t>
        </is>
      </c>
      <c r="O630" s="6" t="inlineStr">
        <is>
          <t>Yes</t>
        </is>
      </c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inlineStr">
        <is>
          <t>1</t>
        </is>
      </c>
      <c r="AD630" s="6" t="n"/>
      <c r="AE630" s="6" t="n"/>
      <c r="AF630" s="6" t="n"/>
      <c r="AG630" s="6" t="inlineStr">
        <is>
          <t>1</t>
        </is>
      </c>
      <c r="AH630" s="6" t="n"/>
      <c r="AI630" s="6" t="n"/>
      <c r="AJ630" s="6" t="n"/>
      <c r="AK630" s="6" t="n"/>
      <c r="AL630" s="6" t="inlineStr">
        <is>
          <t>FINAL</t>
        </is>
      </c>
      <c r="AM630" s="6" t="n"/>
      <c r="AN630" s="6" t="n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n"/>
      <c r="G631" s="6" t="inlineStr">
        <is>
          <t>?</t>
        </is>
      </c>
      <c r="H631" s="6" t="n"/>
      <c r="I631" s="6" t="n"/>
      <c r="J631" s="6" t="n"/>
      <c r="K631" s="6" t="n"/>
      <c r="L631" s="6" t="n"/>
      <c r="M631" s="6" t="n"/>
      <c r="N631" s="6" t="inlineStr">
        <is>
          <t>NA</t>
        </is>
      </c>
      <c r="O631" s="6" t="inlineStr">
        <is>
          <t>Yes</t>
        </is>
      </c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inlineStr">
        <is>
          <t>1</t>
        </is>
      </c>
      <c r="AD631" s="6" t="n"/>
      <c r="AE631" s="6" t="n"/>
      <c r="AF631" s="6" t="n"/>
      <c r="AG631" s="6" t="inlineStr">
        <is>
          <t>1</t>
        </is>
      </c>
      <c r="AH631" s="6" t="n"/>
      <c r="AI631" s="6" t="n"/>
      <c r="AJ631" s="6" t="n"/>
      <c r="AK631" s="6" t="n"/>
      <c r="AL631" s="6" t="inlineStr">
        <is>
          <t>FINAL</t>
        </is>
      </c>
      <c r="AM631" s="6" t="n"/>
      <c r="AN631" s="6" t="n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n"/>
      <c r="G632" s="6" t="inlineStr">
        <is>
          <t>?</t>
        </is>
      </c>
      <c r="H632" s="6" t="n"/>
      <c r="I632" s="6" t="n"/>
      <c r="J632" s="6" t="n"/>
      <c r="K632" s="6" t="n"/>
      <c r="L632" s="6" t="n"/>
      <c r="M632" s="6" t="n"/>
      <c r="N632" s="6" t="inlineStr">
        <is>
          <t>NA</t>
        </is>
      </c>
      <c r="O632" s="6" t="inlineStr">
        <is>
          <t>Yes</t>
        </is>
      </c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inlineStr">
        <is>
          <t>1</t>
        </is>
      </c>
      <c r="AD632" s="6" t="n"/>
      <c r="AE632" s="6" t="n"/>
      <c r="AF632" s="6" t="n"/>
      <c r="AG632" s="6" t="inlineStr">
        <is>
          <t>1</t>
        </is>
      </c>
      <c r="AH632" s="6" t="n"/>
      <c r="AI632" s="6" t="n"/>
      <c r="AJ632" s="6" t="n"/>
      <c r="AK632" s="6" t="n"/>
      <c r="AL632" s="6" t="inlineStr">
        <is>
          <t>FINAL</t>
        </is>
      </c>
      <c r="AM632" s="6" t="n"/>
      <c r="AN632" s="6" t="n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n"/>
      <c r="G633" s="6" t="inlineStr">
        <is>
          <t>?</t>
        </is>
      </c>
      <c r="H633" s="6" t="n"/>
      <c r="I633" s="6" t="n"/>
      <c r="J633" s="6" t="n"/>
      <c r="K633" s="6" t="n"/>
      <c r="L633" s="6" t="n"/>
      <c r="M633" s="6" t="n"/>
      <c r="N633" s="6" t="inlineStr">
        <is>
          <t>NA</t>
        </is>
      </c>
      <c r="O633" s="6" t="inlineStr">
        <is>
          <t>Yes</t>
        </is>
      </c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inlineStr">
        <is>
          <t>1</t>
        </is>
      </c>
      <c r="AD633" s="6" t="n"/>
      <c r="AE633" s="6" t="n"/>
      <c r="AF633" s="6" t="n"/>
      <c r="AG633" s="6" t="inlineStr">
        <is>
          <t>1</t>
        </is>
      </c>
      <c r="AH633" s="6" t="n"/>
      <c r="AI633" s="6" t="n"/>
      <c r="AJ633" s="6" t="n"/>
      <c r="AK633" s="6" t="n"/>
      <c r="AL633" s="6" t="inlineStr">
        <is>
          <t>FINAL</t>
        </is>
      </c>
      <c r="AM633" s="6" t="n"/>
      <c r="AN633" s="6" t="n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n"/>
      <c r="G634" s="6" t="inlineStr">
        <is>
          <t>?</t>
        </is>
      </c>
      <c r="H634" s="6" t="n"/>
      <c r="I634" s="6" t="n"/>
      <c r="J634" s="6" t="n"/>
      <c r="K634" s="6" t="n"/>
      <c r="L634" s="6" t="n"/>
      <c r="M634" s="6" t="n"/>
      <c r="N634" s="6" t="inlineStr">
        <is>
          <t>NA</t>
        </is>
      </c>
      <c r="O634" s="6" t="inlineStr">
        <is>
          <t>Yes</t>
        </is>
      </c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inlineStr">
        <is>
          <t>1</t>
        </is>
      </c>
      <c r="AD634" s="6" t="n"/>
      <c r="AE634" s="6" t="n"/>
      <c r="AF634" s="6" t="n"/>
      <c r="AG634" s="6" t="inlineStr">
        <is>
          <t>1</t>
        </is>
      </c>
      <c r="AH634" s="6" t="n"/>
      <c r="AI634" s="6" t="n"/>
      <c r="AJ634" s="6" t="n"/>
      <c r="AK634" s="6" t="n"/>
      <c r="AL634" s="6" t="inlineStr">
        <is>
          <t>FINAL</t>
        </is>
      </c>
      <c r="AM634" s="6" t="n"/>
      <c r="AN634" s="6" t="n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n"/>
      <c r="G635" s="6" t="inlineStr">
        <is>
          <t>?</t>
        </is>
      </c>
      <c r="H635" s="6" t="n"/>
      <c r="I635" s="6" t="n"/>
      <c r="J635" s="6" t="n"/>
      <c r="K635" s="6" t="n"/>
      <c r="L635" s="6" t="n"/>
      <c r="M635" s="6" t="n"/>
      <c r="N635" s="6" t="inlineStr">
        <is>
          <t>NA</t>
        </is>
      </c>
      <c r="O635" s="6" t="inlineStr">
        <is>
          <t>Yes</t>
        </is>
      </c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inlineStr">
        <is>
          <t>1</t>
        </is>
      </c>
      <c r="AD635" s="6" t="n"/>
      <c r="AE635" s="6" t="n"/>
      <c r="AF635" s="6" t="n"/>
      <c r="AG635" s="6" t="inlineStr">
        <is>
          <t>1</t>
        </is>
      </c>
      <c r="AH635" s="6" t="n"/>
      <c r="AI635" s="6" t="n"/>
      <c r="AJ635" s="6" t="n"/>
      <c r="AK635" s="6" t="n"/>
      <c r="AL635" s="6" t="inlineStr">
        <is>
          <t>FINAL</t>
        </is>
      </c>
      <c r="AM635" s="6" t="n"/>
      <c r="AN635" s="6" t="n"/>
    </row>
    <row r="636">
      <c r="A636" s="17" t="inlineStr">
        <is>
          <t>P0635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n"/>
      <c r="E636" s="17" t="inlineStr">
        <is>
          <t>임선웅(일반)</t>
        </is>
      </c>
      <c r="F636" s="17" t="n"/>
      <c r="G636" s="17" t="inlineStr">
        <is>
          <t>M</t>
        </is>
      </c>
      <c r="H636" s="17" t="n"/>
      <c r="I636" s="17" t="n"/>
      <c r="J636" s="17" t="n"/>
      <c r="K636" s="17" t="n"/>
      <c r="L636" s="17" t="n"/>
      <c r="M636" s="17" t="n"/>
      <c r="N636" s="17" t="n"/>
      <c r="O636" s="17" t="inlineStr">
        <is>
          <t>확인필요</t>
        </is>
      </c>
      <c r="P636" s="17" t="n"/>
      <c r="Q636" s="17" t="n"/>
      <c r="R636" s="17" t="n"/>
      <c r="S636" s="17" t="n"/>
      <c r="T636" s="17" t="n"/>
      <c r="U636" s="17" t="inlineStr">
        <is>
          <t>✓</t>
        </is>
      </c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n"/>
      <c r="AB636" s="17" t="inlineStr">
        <is>
          <t>6박</t>
        </is>
      </c>
      <c r="AC636" s="17" t="n"/>
      <c r="AD636" s="17" t="n"/>
      <c r="AE636" s="17" t="n"/>
      <c r="AF636" s="17" t="n"/>
      <c r="AG636" s="17" t="inlineStr">
        <is>
          <t>1</t>
        </is>
      </c>
      <c r="AH636" s="17" t="n"/>
      <c r="AI636" s="17" t="inlineStr">
        <is>
          <t>부영청소년수련원</t>
        </is>
      </c>
      <c r="AJ636" s="17" t="n"/>
      <c r="AK636" s="17" t="inlineStr">
        <is>
          <t>Final Allocation 키즈카페 명단</t>
        </is>
      </c>
      <c r="AL636" s="17" t="inlineStr">
        <is>
          <t>Final Allocation/추가</t>
        </is>
      </c>
      <c r="AM636" s="17" t="n"/>
      <c r="AN636" s="17" t="inlineStr">
        <is>
          <t>자원봉사팀</t>
        </is>
      </c>
    </row>
    <row r="637">
      <c r="A637" s="17" t="inlineStr">
        <is>
          <t>P0636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n"/>
      <c r="E637" s="17" t="inlineStr">
        <is>
          <t>목지영(일반)</t>
        </is>
      </c>
      <c r="F637" s="17" t="n"/>
      <c r="G637" s="17" t="inlineStr">
        <is>
          <t>F</t>
        </is>
      </c>
      <c r="H637" s="17" t="n"/>
      <c r="I637" s="17" t="n"/>
      <c r="J637" s="17" t="n"/>
      <c r="K637" s="17" t="n"/>
      <c r="L637" s="17" t="n"/>
      <c r="M637" s="17" t="n"/>
      <c r="N637" s="17" t="n"/>
      <c r="O637" s="17" t="inlineStr">
        <is>
          <t>확인필요</t>
        </is>
      </c>
      <c r="P637" s="17" t="n"/>
      <c r="Q637" s="17" t="n"/>
      <c r="R637" s="17" t="n"/>
      <c r="S637" s="17" t="n"/>
      <c r="T637" s="17" t="n"/>
      <c r="U637" s="17" t="inlineStr">
        <is>
          <t>✓</t>
        </is>
      </c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n"/>
      <c r="AB637" s="17" t="inlineStr">
        <is>
          <t>6박</t>
        </is>
      </c>
      <c r="AC637" s="17" t="n"/>
      <c r="AD637" s="17" t="n"/>
      <c r="AE637" s="17" t="n"/>
      <c r="AF637" s="17" t="n"/>
      <c r="AG637" s="17" t="inlineStr">
        <is>
          <t>1</t>
        </is>
      </c>
      <c r="AH637" s="17" t="n"/>
      <c r="AI637" s="17" t="inlineStr">
        <is>
          <t>부영청소년수련원</t>
        </is>
      </c>
      <c r="AJ637" s="17" t="n"/>
      <c r="AK637" s="17" t="inlineStr">
        <is>
          <t>Final Allocation 키즈카페 명단</t>
        </is>
      </c>
      <c r="AL637" s="17" t="inlineStr">
        <is>
          <t>Final Allocation/추가</t>
        </is>
      </c>
      <c r="AM637" s="17" t="n"/>
      <c r="AN637" s="17" t="inlineStr">
        <is>
          <t>자원봉사팀</t>
        </is>
      </c>
    </row>
    <row r="638">
      <c r="A638" s="17" t="inlineStr">
        <is>
          <t>P0637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n"/>
      <c r="E638" s="17" t="inlineStr">
        <is>
          <t>박형민(일반)</t>
        </is>
      </c>
      <c r="F638" s="17" t="n"/>
      <c r="G638" s="17" t="inlineStr">
        <is>
          <t>M</t>
        </is>
      </c>
      <c r="H638" s="17" t="n"/>
      <c r="I638" s="17" t="n"/>
      <c r="J638" s="17" t="n"/>
      <c r="K638" s="17" t="n"/>
      <c r="L638" s="17" t="n"/>
      <c r="M638" s="17" t="n"/>
      <c r="N638" s="17" t="n"/>
      <c r="O638" s="17" t="inlineStr">
        <is>
          <t>확인필요</t>
        </is>
      </c>
      <c r="P638" s="17" t="n"/>
      <c r="Q638" s="17" t="n"/>
      <c r="R638" s="17" t="n"/>
      <c r="S638" s="17" t="n"/>
      <c r="T638" s="17" t="n"/>
      <c r="U638" s="17" t="inlineStr">
        <is>
          <t>✓</t>
        </is>
      </c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n"/>
      <c r="AB638" s="17" t="inlineStr">
        <is>
          <t>6박</t>
        </is>
      </c>
      <c r="AC638" s="17" t="n"/>
      <c r="AD638" s="17" t="n"/>
      <c r="AE638" s="17" t="n"/>
      <c r="AF638" s="17" t="n"/>
      <c r="AG638" s="17" t="inlineStr">
        <is>
          <t>1</t>
        </is>
      </c>
      <c r="AH638" s="17" t="n"/>
      <c r="AI638" s="17" t="inlineStr">
        <is>
          <t>부영청소년수련원</t>
        </is>
      </c>
      <c r="AJ638" s="17" t="n"/>
      <c r="AK638" s="17" t="inlineStr">
        <is>
          <t>Final Allocation 키즈카페 명단</t>
        </is>
      </c>
      <c r="AL638" s="17" t="inlineStr">
        <is>
          <t>Final Allocation/추가</t>
        </is>
      </c>
      <c r="AM638" s="17" t="n"/>
      <c r="AN638" s="17" t="inlineStr">
        <is>
          <t>자원봉사팀</t>
        </is>
      </c>
    </row>
    <row r="639">
      <c r="A639" s="17" t="inlineStr">
        <is>
          <t>P0638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n"/>
      <c r="E639" s="17" t="inlineStr">
        <is>
          <t>윤예영(일반)</t>
        </is>
      </c>
      <c r="F639" s="17" t="n"/>
      <c r="G639" s="17" t="inlineStr">
        <is>
          <t>F</t>
        </is>
      </c>
      <c r="H639" s="17" t="n"/>
      <c r="I639" s="17" t="n"/>
      <c r="J639" s="17" t="n"/>
      <c r="K639" s="17" t="n"/>
      <c r="L639" s="17" t="n"/>
      <c r="M639" s="17" t="n"/>
      <c r="N639" s="17" t="n"/>
      <c r="O639" s="17" t="inlineStr">
        <is>
          <t>확인필요</t>
        </is>
      </c>
      <c r="P639" s="17" t="n"/>
      <c r="Q639" s="17" t="n"/>
      <c r="R639" s="17" t="n"/>
      <c r="S639" s="17" t="n"/>
      <c r="T639" s="17" t="n"/>
      <c r="U639" s="17" t="inlineStr">
        <is>
          <t>✓</t>
        </is>
      </c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n"/>
      <c r="AB639" s="17" t="inlineStr">
        <is>
          <t>6박</t>
        </is>
      </c>
      <c r="AC639" s="17" t="n"/>
      <c r="AD639" s="17" t="n"/>
      <c r="AE639" s="17" t="n"/>
      <c r="AF639" s="17" t="n"/>
      <c r="AG639" s="17" t="inlineStr">
        <is>
          <t>1</t>
        </is>
      </c>
      <c r="AH639" s="17" t="n"/>
      <c r="AI639" s="17" t="inlineStr">
        <is>
          <t>부영청소년수련원</t>
        </is>
      </c>
      <c r="AJ639" s="17" t="n"/>
      <c r="AK639" s="17" t="inlineStr">
        <is>
          <t>Final Allocation 키즈카페 명단</t>
        </is>
      </c>
      <c r="AL639" s="17" t="inlineStr">
        <is>
          <t>Final Allocation/추가</t>
        </is>
      </c>
      <c r="AM639" s="17" t="n"/>
      <c r="AN639" s="17" t="inlineStr">
        <is>
          <t>자원봉사팀</t>
        </is>
      </c>
    </row>
    <row r="640">
      <c r="A640" s="17" t="inlineStr">
        <is>
          <t>P0639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n"/>
      <c r="E640" s="17" t="inlineStr">
        <is>
          <t>안주하(일반)</t>
        </is>
      </c>
      <c r="F640" s="17" t="n"/>
      <c r="G640" s="17" t="inlineStr">
        <is>
          <t>F</t>
        </is>
      </c>
      <c r="H640" s="17" t="n"/>
      <c r="I640" s="17" t="n"/>
      <c r="J640" s="17" t="n"/>
      <c r="K640" s="17" t="n"/>
      <c r="L640" s="17" t="n"/>
      <c r="M640" s="17" t="n"/>
      <c r="N640" s="17" t="n"/>
      <c r="O640" s="17" t="inlineStr">
        <is>
          <t>확인필요</t>
        </is>
      </c>
      <c r="P640" s="17" t="n"/>
      <c r="Q640" s="17" t="n"/>
      <c r="R640" s="17" t="n"/>
      <c r="S640" s="17" t="n"/>
      <c r="T640" s="17" t="n"/>
      <c r="U640" s="17" t="inlineStr">
        <is>
          <t>✓</t>
        </is>
      </c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n"/>
      <c r="AB640" s="17" t="inlineStr">
        <is>
          <t>6박</t>
        </is>
      </c>
      <c r="AC640" s="17" t="n"/>
      <c r="AD640" s="17" t="n"/>
      <c r="AE640" s="17" t="n"/>
      <c r="AF640" s="17" t="n"/>
      <c r="AG640" s="17" t="inlineStr">
        <is>
          <t>1</t>
        </is>
      </c>
      <c r="AH640" s="17" t="n"/>
      <c r="AI640" s="17" t="inlineStr">
        <is>
          <t>부영청소년수련원</t>
        </is>
      </c>
      <c r="AJ640" s="17" t="n"/>
      <c r="AK640" s="17" t="inlineStr">
        <is>
          <t>Final Allocation 키즈카페 명단</t>
        </is>
      </c>
      <c r="AL640" s="17" t="inlineStr">
        <is>
          <t>Final Allocation/추가</t>
        </is>
      </c>
      <c r="AM640" s="17" t="n"/>
      <c r="AN640" s="17" t="inlineStr">
        <is>
          <t>자원봉사팀</t>
        </is>
      </c>
    </row>
    <row r="641">
      <c r="A641" s="17" t="inlineStr">
        <is>
          <t>P0640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n"/>
      <c r="E641" s="17" t="inlineStr">
        <is>
          <t>이양원(일반)</t>
        </is>
      </c>
      <c r="F641" s="17" t="n"/>
      <c r="G641" s="17" t="inlineStr">
        <is>
          <t>F</t>
        </is>
      </c>
      <c r="H641" s="17" t="n"/>
      <c r="I641" s="17" t="n"/>
      <c r="J641" s="17" t="n"/>
      <c r="K641" s="17" t="n"/>
      <c r="L641" s="17" t="n"/>
      <c r="M641" s="17" t="n"/>
      <c r="N641" s="17" t="n"/>
      <c r="O641" s="17" t="inlineStr">
        <is>
          <t>확인필요</t>
        </is>
      </c>
      <c r="P641" s="17" t="n"/>
      <c r="Q641" s="17" t="n"/>
      <c r="R641" s="17" t="n"/>
      <c r="S641" s="17" t="n"/>
      <c r="T641" s="17" t="n"/>
      <c r="U641" s="17" t="inlineStr">
        <is>
          <t>✓</t>
        </is>
      </c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n"/>
      <c r="AB641" s="17" t="inlineStr">
        <is>
          <t>6박</t>
        </is>
      </c>
      <c r="AC641" s="17" t="n"/>
      <c r="AD641" s="17" t="n"/>
      <c r="AE641" s="17" t="n"/>
      <c r="AF641" s="17" t="n"/>
      <c r="AG641" s="17" t="inlineStr">
        <is>
          <t>1</t>
        </is>
      </c>
      <c r="AH641" s="17" t="n"/>
      <c r="AI641" s="17" t="inlineStr">
        <is>
          <t>부영청소년수련원</t>
        </is>
      </c>
      <c r="AJ641" s="17" t="n"/>
      <c r="AK641" s="17" t="inlineStr">
        <is>
          <t>Final Allocation 키즈카페 명단</t>
        </is>
      </c>
      <c r="AL641" s="17" t="inlineStr">
        <is>
          <t>Final Allocation/추가</t>
        </is>
      </c>
      <c r="AM641" s="17" t="n"/>
      <c r="AN641" s="17" t="inlineStr">
        <is>
          <t>자원봉사팀</t>
        </is>
      </c>
    </row>
    <row r="642">
      <c r="A642" s="17" t="inlineStr">
        <is>
          <t>P0641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n"/>
      <c r="E642" s="17" t="inlineStr">
        <is>
          <t>진수정(대학생_04년생)</t>
        </is>
      </c>
      <c r="F642" s="17" t="n"/>
      <c r="G642" s="17" t="inlineStr">
        <is>
          <t>F</t>
        </is>
      </c>
      <c r="H642" s="17" t="n"/>
      <c r="I642" s="17" t="n"/>
      <c r="J642" s="17" t="n"/>
      <c r="K642" s="17" t="n"/>
      <c r="L642" s="17" t="n"/>
      <c r="M642" s="17" t="n"/>
      <c r="N642" s="17" t="n"/>
      <c r="O642" s="17" t="inlineStr">
        <is>
          <t>Yes</t>
        </is>
      </c>
      <c r="P642" s="17" t="n"/>
      <c r="Q642" s="17" t="n"/>
      <c r="R642" s="17" t="n"/>
      <c r="S642" s="17" t="n"/>
      <c r="T642" s="17" t="n"/>
      <c r="U642" s="17" t="inlineStr">
        <is>
          <t>✓</t>
        </is>
      </c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n"/>
      <c r="AB642" s="17" t="inlineStr">
        <is>
          <t>6박</t>
        </is>
      </c>
      <c r="AC642" s="17" t="n"/>
      <c r="AD642" s="17" t="n"/>
      <c r="AE642" s="17" t="n"/>
      <c r="AF642" s="17" t="n"/>
      <c r="AG642" s="17" t="inlineStr">
        <is>
          <t>1</t>
        </is>
      </c>
      <c r="AH642" s="17" t="n"/>
      <c r="AI642" s="17" t="inlineStr">
        <is>
          <t>부영청소년수련원</t>
        </is>
      </c>
      <c r="AJ642" s="17" t="n"/>
      <c r="AK642" s="17" t="inlineStr">
        <is>
          <t>Final Allocation 키즈카페 명단 / 자원봉사·비제주</t>
        </is>
      </c>
      <c r="AL642" s="17" t="inlineStr">
        <is>
          <t>Final Allocation/추가</t>
        </is>
      </c>
      <c r="AM642" s="17" t="n"/>
      <c r="AN642" s="17" t="inlineStr">
        <is>
          <t>자원봉사팀</t>
        </is>
      </c>
    </row>
    <row r="643">
      <c r="A643" s="17" t="inlineStr">
        <is>
          <t>P0642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n"/>
      <c r="E643" s="17" t="inlineStr">
        <is>
          <t>이수빈(대학생_06년생)</t>
        </is>
      </c>
      <c r="F643" s="17" t="n"/>
      <c r="G643" s="17" t="inlineStr">
        <is>
          <t>M</t>
        </is>
      </c>
      <c r="H643" s="17" t="n"/>
      <c r="I643" s="17" t="n"/>
      <c r="J643" s="17" t="n"/>
      <c r="K643" s="17" t="n"/>
      <c r="L643" s="17" t="n"/>
      <c r="M643" s="17" t="n"/>
      <c r="N643" s="17" t="n"/>
      <c r="O643" s="17" t="inlineStr">
        <is>
          <t>Yes</t>
        </is>
      </c>
      <c r="P643" s="17" t="n"/>
      <c r="Q643" s="17" t="n"/>
      <c r="R643" s="17" t="n"/>
      <c r="S643" s="17" t="n"/>
      <c r="T643" s="17" t="n"/>
      <c r="U643" s="17" t="inlineStr">
        <is>
          <t>✓</t>
        </is>
      </c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n"/>
      <c r="AB643" s="17" t="inlineStr">
        <is>
          <t>6박</t>
        </is>
      </c>
      <c r="AC643" s="17" t="n"/>
      <c r="AD643" s="17" t="n"/>
      <c r="AE643" s="17" t="n"/>
      <c r="AF643" s="17" t="n"/>
      <c r="AG643" s="17" t="inlineStr">
        <is>
          <t>1</t>
        </is>
      </c>
      <c r="AH643" s="17" t="n"/>
      <c r="AI643" s="17" t="inlineStr">
        <is>
          <t>부영청소년수련원</t>
        </is>
      </c>
      <c r="AJ643" s="17" t="n"/>
      <c r="AK643" s="17" t="inlineStr">
        <is>
          <t>Final Allocation 키즈카페 명단 / 자원봉사·비제주</t>
        </is>
      </c>
      <c r="AL643" s="17" t="inlineStr">
        <is>
          <t>Final Allocation/추가</t>
        </is>
      </c>
      <c r="AM643" s="17" t="n"/>
      <c r="AN643" s="17" t="inlineStr">
        <is>
          <t>자원봉사팀</t>
        </is>
      </c>
    </row>
    <row r="644">
      <c r="A644" s="17" t="inlineStr">
        <is>
          <t>P0643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n"/>
      <c r="E644" s="17" t="inlineStr">
        <is>
          <t>나서현(고등학생_09년생)</t>
        </is>
      </c>
      <c r="F644" s="17" t="n"/>
      <c r="G644" s="17" t="inlineStr">
        <is>
          <t>F</t>
        </is>
      </c>
      <c r="H644" s="17" t="n"/>
      <c r="I644" s="17" t="n"/>
      <c r="J644" s="17" t="n"/>
      <c r="K644" s="17" t="n"/>
      <c r="L644" s="17" t="n"/>
      <c r="M644" s="17" t="n"/>
      <c r="N644" s="17" t="n"/>
      <c r="O644" s="17" t="inlineStr">
        <is>
          <t>No</t>
        </is>
      </c>
      <c r="P644" s="17" t="n"/>
      <c r="Q644" s="17" t="n"/>
      <c r="R644" s="17" t="n"/>
      <c r="S644" s="17" t="n"/>
      <c r="T644" s="17" t="n"/>
      <c r="U644" s="17" t="inlineStr">
        <is>
          <t>✓</t>
        </is>
      </c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n"/>
      <c r="AB644" s="17" t="inlineStr">
        <is>
          <t>6박</t>
        </is>
      </c>
      <c r="AC644" s="17" t="n"/>
      <c r="AD644" s="17" t="n"/>
      <c r="AE644" s="17" t="n"/>
      <c r="AF644" s="17" t="n"/>
      <c r="AG644" s="17" t="inlineStr">
        <is>
          <t>1</t>
        </is>
      </c>
      <c r="AH644" s="17" t="n"/>
      <c r="AI644" s="17" t="inlineStr">
        <is>
          <t>부영청소년수련원</t>
        </is>
      </c>
      <c r="AJ644" s="17" t="n"/>
      <c r="AK644" s="17" t="inlineStr">
        <is>
          <t>Final Allocation 키즈카페 명단 / 자원봉사·제주도민</t>
        </is>
      </c>
      <c r="AL644" s="17" t="inlineStr">
        <is>
          <t>Final Allocation/추가</t>
        </is>
      </c>
      <c r="AM644" s="17" t="n"/>
      <c r="AN644" s="17" t="inlineStr">
        <is>
          <t>자원봉사팀</t>
        </is>
      </c>
    </row>
    <row r="645">
      <c r="A645" s="17" t="inlineStr">
        <is>
          <t>P0644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n"/>
      <c r="E645" s="17" t="inlineStr">
        <is>
          <t>SOPHIA SOOHEE KIM</t>
        </is>
      </c>
      <c r="F645" s="17" t="n"/>
      <c r="G645" s="17" t="inlineStr">
        <is>
          <t>F</t>
        </is>
      </c>
      <c r="H645" s="17" t="n"/>
      <c r="I645" s="17" t="n"/>
      <c r="J645" s="17" t="n"/>
      <c r="K645" s="17" t="n"/>
      <c r="L645" s="17" t="n"/>
      <c r="M645" s="17" t="n"/>
      <c r="N645" s="17" t="n"/>
      <c r="O645" s="17" t="inlineStr">
        <is>
          <t>Yes</t>
        </is>
      </c>
      <c r="P645" s="17" t="n"/>
      <c r="Q645" s="17" t="n"/>
      <c r="R645" s="17" t="n"/>
      <c r="S645" s="17" t="n"/>
      <c r="T645" s="17" t="n"/>
      <c r="U645" s="17" t="inlineStr">
        <is>
          <t>✓</t>
        </is>
      </c>
      <c r="V645" s="17" t="inlineStr">
        <is>
          <t>✓</t>
        </is>
      </c>
      <c r="W645" s="17" t="inlineStr">
        <is>
          <t>✓</t>
        </is>
      </c>
      <c r="X645" s="17" t="inlineStr">
        <is>
          <t>✓</t>
        </is>
      </c>
      <c r="Y645" s="17" t="inlineStr">
        <is>
          <t>✓</t>
        </is>
      </c>
      <c r="Z645" s="17" t="inlineStr">
        <is>
          <t>✓</t>
        </is>
      </c>
      <c r="AA645" s="17" t="n"/>
      <c r="AB645" s="17" t="inlineStr">
        <is>
          <t>6박</t>
        </is>
      </c>
      <c r="AC645" s="17" t="n"/>
      <c r="AD645" s="17" t="n"/>
      <c r="AE645" s="17" t="n"/>
      <c r="AF645" s="17" t="n"/>
      <c r="AG645" s="17" t="inlineStr">
        <is>
          <t>1</t>
        </is>
      </c>
      <c r="AH645" s="17" t="n"/>
      <c r="AI645" s="17" t="inlineStr">
        <is>
          <t>부영청소년수련원</t>
        </is>
      </c>
      <c r="AJ645" s="17" t="n"/>
      <c r="AK645" s="17" t="inlineStr">
        <is>
          <t>Final Allocation 키즈카페 명단 / 자원봉사·비제주</t>
        </is>
      </c>
      <c r="AL645" s="17" t="inlineStr">
        <is>
          <t>Final Allocation/추가</t>
        </is>
      </c>
      <c r="AM645" s="17" t="n"/>
      <c r="AN645" s="17" t="inlineStr">
        <is>
          <t>자원봉사팀</t>
        </is>
      </c>
    </row>
    <row r="646">
      <c r="A646" s="17" t="inlineStr">
        <is>
          <t>P0645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n"/>
      <c r="E646" s="17" t="inlineStr">
        <is>
          <t>EVELYN YOONHEE KIM</t>
        </is>
      </c>
      <c r="F646" s="17" t="n"/>
      <c r="G646" s="17" t="inlineStr">
        <is>
          <t>F</t>
        </is>
      </c>
      <c r="H646" s="17" t="n"/>
      <c r="I646" s="17" t="n"/>
      <c r="J646" s="17" t="n"/>
      <c r="K646" s="17" t="n"/>
      <c r="L646" s="17" t="n"/>
      <c r="M646" s="17" t="n"/>
      <c r="N646" s="17" t="n"/>
      <c r="O646" s="17" t="inlineStr">
        <is>
          <t>Yes</t>
        </is>
      </c>
      <c r="P646" s="17" t="n"/>
      <c r="Q646" s="17" t="n"/>
      <c r="R646" s="17" t="n"/>
      <c r="S646" s="17" t="n"/>
      <c r="T646" s="17" t="n"/>
      <c r="U646" s="17" t="inlineStr">
        <is>
          <t>✓</t>
        </is>
      </c>
      <c r="V646" s="17" t="inlineStr">
        <is>
          <t>✓</t>
        </is>
      </c>
      <c r="W646" s="17" t="inlineStr">
        <is>
          <t>✓</t>
        </is>
      </c>
      <c r="X646" s="17" t="inlineStr">
        <is>
          <t>✓</t>
        </is>
      </c>
      <c r="Y646" s="17" t="inlineStr">
        <is>
          <t>✓</t>
        </is>
      </c>
      <c r="Z646" s="17" t="inlineStr">
        <is>
          <t>✓</t>
        </is>
      </c>
      <c r="AA646" s="17" t="n"/>
      <c r="AB646" s="17" t="inlineStr">
        <is>
          <t>6박</t>
        </is>
      </c>
      <c r="AC646" s="17" t="n"/>
      <c r="AD646" s="17" t="n"/>
      <c r="AE646" s="17" t="n"/>
      <c r="AF646" s="17" t="n"/>
      <c r="AG646" s="17" t="inlineStr">
        <is>
          <t>1</t>
        </is>
      </c>
      <c r="AH646" s="17" t="n"/>
      <c r="AI646" s="17" t="inlineStr">
        <is>
          <t>부영청소년수련원</t>
        </is>
      </c>
      <c r="AJ646" s="17" t="n"/>
      <c r="AK646" s="17" t="inlineStr">
        <is>
          <t>Final Allocation 키즈카페 명단 / 자원봉사·비제주</t>
        </is>
      </c>
      <c r="AL646" s="17" t="inlineStr">
        <is>
          <t>Final Allocation/추가</t>
        </is>
      </c>
      <c r="AM646" s="17" t="n"/>
      <c r="AN646" s="17" t="inlineStr">
        <is>
          <t>자원봉사팀</t>
        </is>
      </c>
    </row>
    <row r="647">
      <c r="A647" s="17" t="inlineStr">
        <is>
          <t>P0646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n"/>
      <c r="E647" s="17" t="inlineStr">
        <is>
          <t>김신혜</t>
        </is>
      </c>
      <c r="F647" s="17" t="n"/>
      <c r="G647" s="17" t="inlineStr">
        <is>
          <t>F</t>
        </is>
      </c>
      <c r="H647" s="17" t="n"/>
      <c r="I647" s="17" t="n"/>
      <c r="J647" s="17" t="n"/>
      <c r="K647" s="17" t="n"/>
      <c r="L647" s="17" t="n"/>
      <c r="M647" s="17" t="n"/>
      <c r="N647" s="17" t="n"/>
      <c r="O647" s="17" t="inlineStr">
        <is>
          <t>Yes</t>
        </is>
      </c>
      <c r="P647" s="17" t="n"/>
      <c r="Q647" s="17" t="n"/>
      <c r="R647" s="17" t="n"/>
      <c r="S647" s="17" t="n"/>
      <c r="T647" s="17" t="n"/>
      <c r="U647" s="17" t="inlineStr">
        <is>
          <t>✓</t>
        </is>
      </c>
      <c r="V647" s="17" t="inlineStr">
        <is>
          <t>✓</t>
        </is>
      </c>
      <c r="W647" s="17" t="inlineStr">
        <is>
          <t>✓</t>
        </is>
      </c>
      <c r="X647" s="17" t="inlineStr">
        <is>
          <t>✓</t>
        </is>
      </c>
      <c r="Y647" s="17" t="inlineStr">
        <is>
          <t>✓</t>
        </is>
      </c>
      <c r="Z647" s="17" t="inlineStr">
        <is>
          <t>✓</t>
        </is>
      </c>
      <c r="AA647" s="17" t="n"/>
      <c r="AB647" s="17" t="inlineStr">
        <is>
          <t>6박</t>
        </is>
      </c>
      <c r="AC647" s="17" t="n"/>
      <c r="AD647" s="17" t="n"/>
      <c r="AE647" s="17" t="n"/>
      <c r="AF647" s="17" t="n"/>
      <c r="AG647" s="17" t="inlineStr">
        <is>
          <t>1</t>
        </is>
      </c>
      <c r="AH647" s="17" t="n"/>
      <c r="AI647" s="17" t="inlineStr">
        <is>
          <t>부영청소년수련원</t>
        </is>
      </c>
      <c r="AJ647" s="17" t="n"/>
      <c r="AK647" s="17" t="inlineStr">
        <is>
          <t>Final Allocation 차량운전 명단 / 자원봉사·비제주</t>
        </is>
      </c>
      <c r="AL647" s="17" t="inlineStr">
        <is>
          <t>Final Allocation/추가</t>
        </is>
      </c>
      <c r="AM647" s="17" t="n"/>
      <c r="AN647" s="17" t="inlineStr">
        <is>
          <t>자원봉사팀</t>
        </is>
      </c>
    </row>
    <row r="648">
      <c r="A648" s="17" t="inlineStr">
        <is>
          <t>P0647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n"/>
      <c r="E648" s="17" t="inlineStr">
        <is>
          <t>김동언</t>
        </is>
      </c>
      <c r="F648" s="17" t="n"/>
      <c r="G648" s="17" t="inlineStr">
        <is>
          <t>M</t>
        </is>
      </c>
      <c r="H648" s="17" t="n"/>
      <c r="I648" s="17" t="n"/>
      <c r="J648" s="17" t="n"/>
      <c r="K648" s="17" t="n"/>
      <c r="L648" s="17" t="n"/>
      <c r="M648" s="17" t="n"/>
      <c r="N648" s="17" t="n"/>
      <c r="O648" s="17" t="inlineStr">
        <is>
          <t>No</t>
        </is>
      </c>
      <c r="P648" s="17" t="n"/>
      <c r="Q648" s="17" t="n"/>
      <c r="R648" s="17" t="n"/>
      <c r="S648" s="17" t="n"/>
      <c r="T648" s="17" t="n"/>
      <c r="U648" s="17" t="inlineStr">
        <is>
          <t>✓</t>
        </is>
      </c>
      <c r="V648" s="17" t="inlineStr">
        <is>
          <t>✓</t>
        </is>
      </c>
      <c r="W648" s="17" t="inlineStr">
        <is>
          <t>✓</t>
        </is>
      </c>
      <c r="X648" s="17" t="inlineStr">
        <is>
          <t>✓</t>
        </is>
      </c>
      <c r="Y648" s="17" t="inlineStr">
        <is>
          <t>✓</t>
        </is>
      </c>
      <c r="Z648" s="17" t="inlineStr">
        <is>
          <t>✓</t>
        </is>
      </c>
      <c r="AA648" s="17" t="n"/>
      <c r="AB648" s="17" t="inlineStr">
        <is>
          <t>6박</t>
        </is>
      </c>
      <c r="AC648" s="17" t="n"/>
      <c r="AD648" s="17" t="n"/>
      <c r="AE648" s="17" t="n"/>
      <c r="AF648" s="17" t="n"/>
      <c r="AG648" s="17" t="inlineStr">
        <is>
          <t>1</t>
        </is>
      </c>
      <c r="AH648" s="17" t="n"/>
      <c r="AI648" s="17" t="inlineStr">
        <is>
          <t>부영청소년수련원</t>
        </is>
      </c>
      <c r="AJ648" s="17" t="n"/>
      <c r="AK648" s="17" t="inlineStr">
        <is>
          <t>Final Allocation 차량운전 명단 / 자원봉사·제주도민</t>
        </is>
      </c>
      <c r="AL648" s="17" t="inlineStr">
        <is>
          <t>Final Allocation/추가</t>
        </is>
      </c>
      <c r="AM648" s="17" t="n"/>
      <c r="AN648" s="17" t="inlineStr">
        <is>
          <t>자원봉사팀</t>
        </is>
      </c>
    </row>
    <row r="649">
      <c r="A649" s="17" t="inlineStr">
        <is>
          <t>P0648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n"/>
      <c r="E649" s="17" t="inlineStr">
        <is>
          <t>황평강</t>
        </is>
      </c>
      <c r="F649" s="17" t="n"/>
      <c r="G649" s="17" t="inlineStr">
        <is>
          <t>M</t>
        </is>
      </c>
      <c r="H649" s="17" t="n"/>
      <c r="I649" s="17" t="n"/>
      <c r="J649" s="17" t="n"/>
      <c r="K649" s="17" t="n"/>
      <c r="L649" s="17" t="n"/>
      <c r="M649" s="17" t="n"/>
      <c r="N649" s="17" t="n"/>
      <c r="O649" s="17" t="inlineStr">
        <is>
          <t>확인필요</t>
        </is>
      </c>
      <c r="P649" s="17" t="n"/>
      <c r="Q649" s="17" t="n"/>
      <c r="R649" s="17" t="n"/>
      <c r="S649" s="17" t="n"/>
      <c r="T649" s="17" t="n"/>
      <c r="U649" s="17" t="inlineStr">
        <is>
          <t>✓</t>
        </is>
      </c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n"/>
      <c r="AB649" s="17" t="inlineStr">
        <is>
          <t>6박</t>
        </is>
      </c>
      <c r="AC649" s="17" t="n"/>
      <c r="AD649" s="17" t="n"/>
      <c r="AE649" s="17" t="n"/>
      <c r="AF649" s="17" t="n"/>
      <c r="AG649" s="17" t="inlineStr">
        <is>
          <t>1</t>
        </is>
      </c>
      <c r="AH649" s="17" t="n"/>
      <c r="AI649" s="17" t="inlineStr">
        <is>
          <t>부영청소년수련원</t>
        </is>
      </c>
      <c r="AJ649" s="17" t="n"/>
      <c r="AK649" s="17" t="inlineStr">
        <is>
          <t>Final Allocation 차량운전 명단</t>
        </is>
      </c>
      <c r="AL649" s="17" t="inlineStr">
        <is>
          <t>Final Allocation/추가</t>
        </is>
      </c>
      <c r="AM649" s="17" t="n"/>
      <c r="AN649" s="17" t="inlineStr">
        <is>
          <t>자원봉사팀</t>
        </is>
      </c>
    </row>
    <row r="650">
      <c r="A650" s="17" t="inlineStr">
        <is>
          <t>P0649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n"/>
      <c r="E650" s="17" t="inlineStr">
        <is>
          <t>백보람</t>
        </is>
      </c>
      <c r="F650" s="17" t="n"/>
      <c r="G650" s="17" t="inlineStr">
        <is>
          <t>F</t>
        </is>
      </c>
      <c r="H650" s="17" t="n"/>
      <c r="I650" s="17" t="n"/>
      <c r="J650" s="17" t="n"/>
      <c r="K650" s="17" t="n"/>
      <c r="L650" s="17" t="n"/>
      <c r="M650" s="17" t="n"/>
      <c r="N650" s="17" t="n"/>
      <c r="O650" s="17" t="inlineStr">
        <is>
          <t>확인필요</t>
        </is>
      </c>
      <c r="P650" s="17" t="n"/>
      <c r="Q650" s="17" t="n"/>
      <c r="R650" s="17" t="n"/>
      <c r="S650" s="17" t="n"/>
      <c r="T650" s="17" t="n"/>
      <c r="U650" s="17" t="inlineStr">
        <is>
          <t>✓</t>
        </is>
      </c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n"/>
      <c r="AB650" s="17" t="inlineStr">
        <is>
          <t>6박</t>
        </is>
      </c>
      <c r="AC650" s="17" t="n"/>
      <c r="AD650" s="17" t="n"/>
      <c r="AE650" s="17" t="n"/>
      <c r="AF650" s="17" t="n"/>
      <c r="AG650" s="17" t="inlineStr">
        <is>
          <t>1</t>
        </is>
      </c>
      <c r="AH650" s="17" t="n"/>
      <c r="AI650" s="17" t="inlineStr">
        <is>
          <t>부영청소년수련원</t>
        </is>
      </c>
      <c r="AJ650" s="17" t="n"/>
      <c r="AK650" s="17" t="inlineStr">
        <is>
          <t>Final Allocation 차량운전 명단</t>
        </is>
      </c>
      <c r="AL650" s="17" t="inlineStr">
        <is>
          <t>Final Allocation/추가</t>
        </is>
      </c>
      <c r="AM650" s="17" t="n"/>
      <c r="AN650" s="17" t="inlineStr">
        <is>
          <t>자원봉사팀</t>
        </is>
      </c>
    </row>
    <row r="651">
      <c r="A651" s="17" t="inlineStr">
        <is>
          <t>P0650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n"/>
      <c r="E651" s="17" t="inlineStr">
        <is>
          <t>성경진</t>
        </is>
      </c>
      <c r="F651" s="17" t="n"/>
      <c r="G651" s="17" t="inlineStr">
        <is>
          <t>F</t>
        </is>
      </c>
      <c r="H651" s="17" t="n"/>
      <c r="I651" s="17" t="n"/>
      <c r="J651" s="17" t="n"/>
      <c r="K651" s="17" t="n"/>
      <c r="L651" s="17" t="n"/>
      <c r="M651" s="17" t="n"/>
      <c r="N651" s="17" t="n"/>
      <c r="O651" s="17" t="inlineStr">
        <is>
          <t>확인필요</t>
        </is>
      </c>
      <c r="P651" s="17" t="n"/>
      <c r="Q651" s="17" t="n"/>
      <c r="R651" s="17" t="n"/>
      <c r="S651" s="17" t="n"/>
      <c r="T651" s="17" t="n"/>
      <c r="U651" s="17" t="inlineStr">
        <is>
          <t>✓</t>
        </is>
      </c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n"/>
      <c r="AB651" s="17" t="inlineStr">
        <is>
          <t>6박</t>
        </is>
      </c>
      <c r="AC651" s="17" t="n"/>
      <c r="AD651" s="17" t="n"/>
      <c r="AE651" s="17" t="n"/>
      <c r="AF651" s="17" t="n"/>
      <c r="AG651" s="17" t="inlineStr">
        <is>
          <t>1</t>
        </is>
      </c>
      <c r="AH651" s="17" t="n"/>
      <c r="AI651" s="17" t="inlineStr">
        <is>
          <t>부영청소년수련원</t>
        </is>
      </c>
      <c r="AJ651" s="17" t="n"/>
      <c r="AK651" s="17" t="inlineStr">
        <is>
          <t>Final Allocation 차량운전 명단</t>
        </is>
      </c>
      <c r="AL651" s="17" t="inlineStr">
        <is>
          <t>Final Allocation/추가</t>
        </is>
      </c>
      <c r="AM651" s="17" t="n"/>
      <c r="AN651" s="17" t="inlineStr">
        <is>
          <t>자원봉사팀</t>
        </is>
      </c>
    </row>
    <row r="652">
      <c r="A652" s="18" t="inlineStr">
        <is>
          <t>PH001</t>
        </is>
      </c>
      <c r="B652" s="18" t="inlineStr">
        <is>
          <t>찬양팀</t>
        </is>
      </c>
      <c r="C652" s="18" t="inlineStr">
        <is>
          <t>찬양팀</t>
        </is>
      </c>
      <c r="D652" s="18" t="n"/>
      <c r="E652" s="18" t="inlineStr">
        <is>
          <t>[찬양팀 01]</t>
        </is>
      </c>
      <c r="F652" s="18" t="n"/>
      <c r="G652" s="18" t="inlineStr">
        <is>
          <t>?</t>
        </is>
      </c>
      <c r="H652" s="18" t="n"/>
      <c r="I652" s="18" t="n"/>
      <c r="J652" s="18" t="n"/>
      <c r="K652" s="18" t="n"/>
      <c r="L652" s="18" t="n"/>
      <c r="M652" s="18" t="n"/>
      <c r="N652" s="18" t="n"/>
      <c r="O652" s="18" t="inlineStr">
        <is>
          <t>Yes</t>
        </is>
      </c>
      <c r="P652" s="18" t="n"/>
      <c r="Q652" s="18" t="n"/>
      <c r="R652" s="18" t="n"/>
      <c r="S652" s="18" t="n"/>
      <c r="T652" s="18" t="n"/>
      <c r="U652" s="18" t="inlineStr">
        <is>
          <t>✓</t>
        </is>
      </c>
      <c r="V652" s="18" t="inlineStr">
        <is>
          <t>✓</t>
        </is>
      </c>
      <c r="W652" s="18" t="inlineStr">
        <is>
          <t>✓</t>
        </is>
      </c>
      <c r="X652" s="18" t="inlineStr">
        <is>
          <t>✓</t>
        </is>
      </c>
      <c r="Y652" s="18" t="inlineStr">
        <is>
          <t>✓</t>
        </is>
      </c>
      <c r="Z652" s="18" t="inlineStr">
        <is>
          <t>✓</t>
        </is>
      </c>
      <c r="AA652" s="18" t="n"/>
      <c r="AB652" s="18" t="inlineStr">
        <is>
          <t>6박</t>
        </is>
      </c>
      <c r="AC652" s="18" t="n"/>
      <c r="AD652" s="18" t="n"/>
      <c r="AE652" s="18" t="n"/>
      <c r="AF652" s="18" t="n"/>
      <c r="AG652" s="18" t="inlineStr">
        <is>
          <t>1</t>
        </is>
      </c>
      <c r="AH652" s="18" t="n"/>
      <c r="AI652" s="18" t="inlineStr">
        <is>
          <t>부영청소년수련원</t>
        </is>
      </c>
      <c r="AJ652" s="18" t="n"/>
      <c r="AK652" s="18" t="inlineStr">
        <is>
          <t>실제 명단 입력 필요(플레이스홀더)</t>
        </is>
      </c>
      <c r="AL652" s="18" t="inlineStr">
        <is>
          <t>Final Allocation/추가</t>
        </is>
      </c>
      <c r="AM652" s="18" t="inlineStr">
        <is>
          <t>플레이스홀더</t>
        </is>
      </c>
      <c r="AN652" s="18" t="inlineStr">
        <is>
          <t>찬양팀</t>
        </is>
      </c>
    </row>
    <row r="653">
      <c r="A653" s="18" t="inlineStr">
        <is>
          <t>PH002</t>
        </is>
      </c>
      <c r="B653" s="18" t="inlineStr">
        <is>
          <t>찬양팀</t>
        </is>
      </c>
      <c r="C653" s="18" t="inlineStr">
        <is>
          <t>찬양팀</t>
        </is>
      </c>
      <c r="D653" s="18" t="n"/>
      <c r="E653" s="18" t="inlineStr">
        <is>
          <t>[찬양팀 02]</t>
        </is>
      </c>
      <c r="F653" s="18" t="n"/>
      <c r="G653" s="18" t="inlineStr">
        <is>
          <t>?</t>
        </is>
      </c>
      <c r="H653" s="18" t="n"/>
      <c r="I653" s="18" t="n"/>
      <c r="J653" s="18" t="n"/>
      <c r="K653" s="18" t="n"/>
      <c r="L653" s="18" t="n"/>
      <c r="M653" s="18" t="n"/>
      <c r="N653" s="18" t="n"/>
      <c r="O653" s="18" t="inlineStr">
        <is>
          <t>Yes</t>
        </is>
      </c>
      <c r="P653" s="18" t="n"/>
      <c r="Q653" s="18" t="n"/>
      <c r="R653" s="18" t="n"/>
      <c r="S653" s="18" t="n"/>
      <c r="T653" s="18" t="n"/>
      <c r="U653" s="18" t="inlineStr">
        <is>
          <t>✓</t>
        </is>
      </c>
      <c r="V653" s="18" t="inlineStr">
        <is>
          <t>✓</t>
        </is>
      </c>
      <c r="W653" s="18" t="inlineStr">
        <is>
          <t>✓</t>
        </is>
      </c>
      <c r="X653" s="18" t="inlineStr">
        <is>
          <t>✓</t>
        </is>
      </c>
      <c r="Y653" s="18" t="inlineStr">
        <is>
          <t>✓</t>
        </is>
      </c>
      <c r="Z653" s="18" t="inlineStr">
        <is>
          <t>✓</t>
        </is>
      </c>
      <c r="AA653" s="18" t="n"/>
      <c r="AB653" s="18" t="inlineStr">
        <is>
          <t>6박</t>
        </is>
      </c>
      <c r="AC653" s="18" t="n"/>
      <c r="AD653" s="18" t="n"/>
      <c r="AE653" s="18" t="n"/>
      <c r="AF653" s="18" t="n"/>
      <c r="AG653" s="18" t="inlineStr">
        <is>
          <t>1</t>
        </is>
      </c>
      <c r="AH653" s="18" t="n"/>
      <c r="AI653" s="18" t="inlineStr">
        <is>
          <t>부영청소년수련원</t>
        </is>
      </c>
      <c r="AJ653" s="18" t="n"/>
      <c r="AK653" s="18" t="inlineStr">
        <is>
          <t>실제 명단 입력 필요(플레이스홀더)</t>
        </is>
      </c>
      <c r="AL653" s="18" t="inlineStr">
        <is>
          <t>Final Allocation/추가</t>
        </is>
      </c>
      <c r="AM653" s="18" t="inlineStr">
        <is>
          <t>플레이스홀더</t>
        </is>
      </c>
      <c r="AN653" s="18" t="inlineStr">
        <is>
          <t>찬양팀</t>
        </is>
      </c>
    </row>
    <row r="654">
      <c r="A654" s="18" t="inlineStr">
        <is>
          <t>PH003</t>
        </is>
      </c>
      <c r="B654" s="18" t="inlineStr">
        <is>
          <t>찬양팀</t>
        </is>
      </c>
      <c r="C654" s="18" t="inlineStr">
        <is>
          <t>찬양팀</t>
        </is>
      </c>
      <c r="D654" s="18" t="n"/>
      <c r="E654" s="18" t="inlineStr">
        <is>
          <t>[찬양팀 03]</t>
        </is>
      </c>
      <c r="F654" s="18" t="n"/>
      <c r="G654" s="18" t="inlineStr">
        <is>
          <t>?</t>
        </is>
      </c>
      <c r="H654" s="18" t="n"/>
      <c r="I654" s="18" t="n"/>
      <c r="J654" s="18" t="n"/>
      <c r="K654" s="18" t="n"/>
      <c r="L654" s="18" t="n"/>
      <c r="M654" s="18" t="n"/>
      <c r="N654" s="18" t="n"/>
      <c r="O654" s="18" t="inlineStr">
        <is>
          <t>Yes</t>
        </is>
      </c>
      <c r="P654" s="18" t="n"/>
      <c r="Q654" s="18" t="n"/>
      <c r="R654" s="18" t="n"/>
      <c r="S654" s="18" t="n"/>
      <c r="T654" s="18" t="n"/>
      <c r="U654" s="18" t="inlineStr">
        <is>
          <t>✓</t>
        </is>
      </c>
      <c r="V654" s="18" t="inlineStr">
        <is>
          <t>✓</t>
        </is>
      </c>
      <c r="W654" s="18" t="inlineStr">
        <is>
          <t>✓</t>
        </is>
      </c>
      <c r="X654" s="18" t="inlineStr">
        <is>
          <t>✓</t>
        </is>
      </c>
      <c r="Y654" s="18" t="inlineStr">
        <is>
          <t>✓</t>
        </is>
      </c>
      <c r="Z654" s="18" t="inlineStr">
        <is>
          <t>✓</t>
        </is>
      </c>
      <c r="AA654" s="18" t="n"/>
      <c r="AB654" s="18" t="inlineStr">
        <is>
          <t>6박</t>
        </is>
      </c>
      <c r="AC654" s="18" t="n"/>
      <c r="AD654" s="18" t="n"/>
      <c r="AE654" s="18" t="n"/>
      <c r="AF654" s="18" t="n"/>
      <c r="AG654" s="18" t="inlineStr">
        <is>
          <t>1</t>
        </is>
      </c>
      <c r="AH654" s="18" t="n"/>
      <c r="AI654" s="18" t="inlineStr">
        <is>
          <t>부영청소년수련원</t>
        </is>
      </c>
      <c r="AJ654" s="18" t="n"/>
      <c r="AK654" s="18" t="inlineStr">
        <is>
          <t>실제 명단 입력 필요(플레이스홀더)</t>
        </is>
      </c>
      <c r="AL654" s="18" t="inlineStr">
        <is>
          <t>Final Allocation/추가</t>
        </is>
      </c>
      <c r="AM654" s="18" t="inlineStr">
        <is>
          <t>플레이스홀더</t>
        </is>
      </c>
      <c r="AN654" s="18" t="inlineStr">
        <is>
          <t>찬양팀</t>
        </is>
      </c>
    </row>
    <row r="655">
      <c r="A655" s="18" t="inlineStr">
        <is>
          <t>PH004</t>
        </is>
      </c>
      <c r="B655" s="18" t="inlineStr">
        <is>
          <t>찬양팀</t>
        </is>
      </c>
      <c r="C655" s="18" t="inlineStr">
        <is>
          <t>찬양팀</t>
        </is>
      </c>
      <c r="D655" s="18" t="n"/>
      <c r="E655" s="18" t="inlineStr">
        <is>
          <t>[찬양팀 04]</t>
        </is>
      </c>
      <c r="F655" s="18" t="n"/>
      <c r="G655" s="18" t="inlineStr">
        <is>
          <t>?</t>
        </is>
      </c>
      <c r="H655" s="18" t="n"/>
      <c r="I655" s="18" t="n"/>
      <c r="J655" s="18" t="n"/>
      <c r="K655" s="18" t="n"/>
      <c r="L655" s="18" t="n"/>
      <c r="M655" s="18" t="n"/>
      <c r="N655" s="18" t="n"/>
      <c r="O655" s="18" t="inlineStr">
        <is>
          <t>Yes</t>
        </is>
      </c>
      <c r="P655" s="18" t="n"/>
      <c r="Q655" s="18" t="n"/>
      <c r="R655" s="18" t="n"/>
      <c r="S655" s="18" t="n"/>
      <c r="T655" s="18" t="n"/>
      <c r="U655" s="18" t="inlineStr">
        <is>
          <t>✓</t>
        </is>
      </c>
      <c r="V655" s="18" t="inlineStr">
        <is>
          <t>✓</t>
        </is>
      </c>
      <c r="W655" s="18" t="inlineStr">
        <is>
          <t>✓</t>
        </is>
      </c>
      <c r="X655" s="18" t="inlineStr">
        <is>
          <t>✓</t>
        </is>
      </c>
      <c r="Y655" s="18" t="inlineStr">
        <is>
          <t>✓</t>
        </is>
      </c>
      <c r="Z655" s="18" t="inlineStr">
        <is>
          <t>✓</t>
        </is>
      </c>
      <c r="AA655" s="18" t="n"/>
      <c r="AB655" s="18" t="inlineStr">
        <is>
          <t>6박</t>
        </is>
      </c>
      <c r="AC655" s="18" t="n"/>
      <c r="AD655" s="18" t="n"/>
      <c r="AE655" s="18" t="n"/>
      <c r="AF655" s="18" t="n"/>
      <c r="AG655" s="18" t="inlineStr">
        <is>
          <t>1</t>
        </is>
      </c>
      <c r="AH655" s="18" t="n"/>
      <c r="AI655" s="18" t="inlineStr">
        <is>
          <t>부영청소년수련원</t>
        </is>
      </c>
      <c r="AJ655" s="18" t="n"/>
      <c r="AK655" s="18" t="inlineStr">
        <is>
          <t>실제 명단 입력 필요(플레이스홀더)</t>
        </is>
      </c>
      <c r="AL655" s="18" t="inlineStr">
        <is>
          <t>Final Allocation/추가</t>
        </is>
      </c>
      <c r="AM655" s="18" t="inlineStr">
        <is>
          <t>플레이스홀더</t>
        </is>
      </c>
      <c r="AN655" s="18" t="inlineStr">
        <is>
          <t>찬양팀</t>
        </is>
      </c>
    </row>
    <row r="656">
      <c r="A656" s="18" t="inlineStr">
        <is>
          <t>PH005</t>
        </is>
      </c>
      <c r="B656" s="18" t="inlineStr">
        <is>
          <t>찬양팀</t>
        </is>
      </c>
      <c r="C656" s="18" t="inlineStr">
        <is>
          <t>찬양팀</t>
        </is>
      </c>
      <c r="D656" s="18" t="n"/>
      <c r="E656" s="18" t="inlineStr">
        <is>
          <t>[찬양팀 05]</t>
        </is>
      </c>
      <c r="F656" s="18" t="n"/>
      <c r="G656" s="18" t="inlineStr">
        <is>
          <t>?</t>
        </is>
      </c>
      <c r="H656" s="18" t="n"/>
      <c r="I656" s="18" t="n"/>
      <c r="J656" s="18" t="n"/>
      <c r="K656" s="18" t="n"/>
      <c r="L656" s="18" t="n"/>
      <c r="M656" s="18" t="n"/>
      <c r="N656" s="18" t="n"/>
      <c r="O656" s="18" t="inlineStr">
        <is>
          <t>Yes</t>
        </is>
      </c>
      <c r="P656" s="18" t="n"/>
      <c r="Q656" s="18" t="n"/>
      <c r="R656" s="18" t="n"/>
      <c r="S656" s="18" t="n"/>
      <c r="T656" s="18" t="n"/>
      <c r="U656" s="18" t="inlineStr">
        <is>
          <t>✓</t>
        </is>
      </c>
      <c r="V656" s="18" t="inlineStr">
        <is>
          <t>✓</t>
        </is>
      </c>
      <c r="W656" s="18" t="inlineStr">
        <is>
          <t>✓</t>
        </is>
      </c>
      <c r="X656" s="18" t="inlineStr">
        <is>
          <t>✓</t>
        </is>
      </c>
      <c r="Y656" s="18" t="inlineStr">
        <is>
          <t>✓</t>
        </is>
      </c>
      <c r="Z656" s="18" t="inlineStr">
        <is>
          <t>✓</t>
        </is>
      </c>
      <c r="AA656" s="18" t="n"/>
      <c r="AB656" s="18" t="inlineStr">
        <is>
          <t>6박</t>
        </is>
      </c>
      <c r="AC656" s="18" t="n"/>
      <c r="AD656" s="18" t="n"/>
      <c r="AE656" s="18" t="n"/>
      <c r="AF656" s="18" t="n"/>
      <c r="AG656" s="18" t="inlineStr">
        <is>
          <t>1</t>
        </is>
      </c>
      <c r="AH656" s="18" t="n"/>
      <c r="AI656" s="18" t="inlineStr">
        <is>
          <t>부영청소년수련원</t>
        </is>
      </c>
      <c r="AJ656" s="18" t="n"/>
      <c r="AK656" s="18" t="inlineStr">
        <is>
          <t>실제 명단 입력 필요(플레이스홀더)</t>
        </is>
      </c>
      <c r="AL656" s="18" t="inlineStr">
        <is>
          <t>Final Allocation/추가</t>
        </is>
      </c>
      <c r="AM656" s="18" t="inlineStr">
        <is>
          <t>플레이스홀더</t>
        </is>
      </c>
      <c r="AN656" s="18" t="inlineStr">
        <is>
          <t>찬양팀</t>
        </is>
      </c>
    </row>
    <row r="657">
      <c r="A657" s="18" t="inlineStr">
        <is>
          <t>PH006</t>
        </is>
      </c>
      <c r="B657" s="18" t="inlineStr">
        <is>
          <t>찬양팀</t>
        </is>
      </c>
      <c r="C657" s="18" t="inlineStr">
        <is>
          <t>찬양팀</t>
        </is>
      </c>
      <c r="D657" s="18" t="n"/>
      <c r="E657" s="18" t="inlineStr">
        <is>
          <t>[찬양팀 06]</t>
        </is>
      </c>
      <c r="F657" s="18" t="n"/>
      <c r="G657" s="18" t="inlineStr">
        <is>
          <t>?</t>
        </is>
      </c>
      <c r="H657" s="18" t="n"/>
      <c r="I657" s="18" t="n"/>
      <c r="J657" s="18" t="n"/>
      <c r="K657" s="18" t="n"/>
      <c r="L657" s="18" t="n"/>
      <c r="M657" s="18" t="n"/>
      <c r="N657" s="18" t="n"/>
      <c r="O657" s="18" t="inlineStr">
        <is>
          <t>Yes</t>
        </is>
      </c>
      <c r="P657" s="18" t="n"/>
      <c r="Q657" s="18" t="n"/>
      <c r="R657" s="18" t="n"/>
      <c r="S657" s="18" t="n"/>
      <c r="T657" s="18" t="n"/>
      <c r="U657" s="18" t="inlineStr">
        <is>
          <t>✓</t>
        </is>
      </c>
      <c r="V657" s="18" t="inlineStr">
        <is>
          <t>✓</t>
        </is>
      </c>
      <c r="W657" s="18" t="inlineStr">
        <is>
          <t>✓</t>
        </is>
      </c>
      <c r="X657" s="18" t="inlineStr">
        <is>
          <t>✓</t>
        </is>
      </c>
      <c r="Y657" s="18" t="inlineStr">
        <is>
          <t>✓</t>
        </is>
      </c>
      <c r="Z657" s="18" t="inlineStr">
        <is>
          <t>✓</t>
        </is>
      </c>
      <c r="AA657" s="18" t="n"/>
      <c r="AB657" s="18" t="inlineStr">
        <is>
          <t>6박</t>
        </is>
      </c>
      <c r="AC657" s="18" t="n"/>
      <c r="AD657" s="18" t="n"/>
      <c r="AE657" s="18" t="n"/>
      <c r="AF657" s="18" t="n"/>
      <c r="AG657" s="18" t="inlineStr">
        <is>
          <t>1</t>
        </is>
      </c>
      <c r="AH657" s="18" t="n"/>
      <c r="AI657" s="18" t="inlineStr">
        <is>
          <t>부영청소년수련원</t>
        </is>
      </c>
      <c r="AJ657" s="18" t="n"/>
      <c r="AK657" s="18" t="inlineStr">
        <is>
          <t>실제 명단 입력 필요(플레이스홀더)</t>
        </is>
      </c>
      <c r="AL657" s="18" t="inlineStr">
        <is>
          <t>Final Allocation/추가</t>
        </is>
      </c>
      <c r="AM657" s="18" t="inlineStr">
        <is>
          <t>플레이스홀더</t>
        </is>
      </c>
      <c r="AN657" s="18" t="inlineStr">
        <is>
          <t>찬양팀</t>
        </is>
      </c>
    </row>
    <row r="658">
      <c r="A658" s="18" t="inlineStr">
        <is>
          <t>PH007</t>
        </is>
      </c>
      <c r="B658" s="18" t="inlineStr">
        <is>
          <t>찬양팀</t>
        </is>
      </c>
      <c r="C658" s="18" t="inlineStr">
        <is>
          <t>찬양팀</t>
        </is>
      </c>
      <c r="D658" s="18" t="n"/>
      <c r="E658" s="18" t="inlineStr">
        <is>
          <t>[찬양팀 07]</t>
        </is>
      </c>
      <c r="F658" s="18" t="n"/>
      <c r="G658" s="18" t="inlineStr">
        <is>
          <t>?</t>
        </is>
      </c>
      <c r="H658" s="18" t="n"/>
      <c r="I658" s="18" t="n"/>
      <c r="J658" s="18" t="n"/>
      <c r="K658" s="18" t="n"/>
      <c r="L658" s="18" t="n"/>
      <c r="M658" s="18" t="n"/>
      <c r="N658" s="18" t="n"/>
      <c r="O658" s="18" t="inlineStr">
        <is>
          <t>Yes</t>
        </is>
      </c>
      <c r="P658" s="18" t="n"/>
      <c r="Q658" s="18" t="n"/>
      <c r="R658" s="18" t="n"/>
      <c r="S658" s="18" t="n"/>
      <c r="T658" s="18" t="n"/>
      <c r="U658" s="18" t="inlineStr">
        <is>
          <t>✓</t>
        </is>
      </c>
      <c r="V658" s="18" t="inlineStr">
        <is>
          <t>✓</t>
        </is>
      </c>
      <c r="W658" s="18" t="inlineStr">
        <is>
          <t>✓</t>
        </is>
      </c>
      <c r="X658" s="18" t="inlineStr">
        <is>
          <t>✓</t>
        </is>
      </c>
      <c r="Y658" s="18" t="inlineStr">
        <is>
          <t>✓</t>
        </is>
      </c>
      <c r="Z658" s="18" t="inlineStr">
        <is>
          <t>✓</t>
        </is>
      </c>
      <c r="AA658" s="18" t="n"/>
      <c r="AB658" s="18" t="inlineStr">
        <is>
          <t>6박</t>
        </is>
      </c>
      <c r="AC658" s="18" t="n"/>
      <c r="AD658" s="18" t="n"/>
      <c r="AE658" s="18" t="n"/>
      <c r="AF658" s="18" t="n"/>
      <c r="AG658" s="18" t="inlineStr">
        <is>
          <t>1</t>
        </is>
      </c>
      <c r="AH658" s="18" t="n"/>
      <c r="AI658" s="18" t="inlineStr">
        <is>
          <t>부영청소년수련원</t>
        </is>
      </c>
      <c r="AJ658" s="18" t="n"/>
      <c r="AK658" s="18" t="inlineStr">
        <is>
          <t>실제 명단 입력 필요(플레이스홀더)</t>
        </is>
      </c>
      <c r="AL658" s="18" t="inlineStr">
        <is>
          <t>Final Allocation/추가</t>
        </is>
      </c>
      <c r="AM658" s="18" t="inlineStr">
        <is>
          <t>플레이스홀더</t>
        </is>
      </c>
      <c r="AN658" s="18" t="inlineStr">
        <is>
          <t>찬양팀</t>
        </is>
      </c>
    </row>
    <row r="659">
      <c r="A659" s="18" t="inlineStr">
        <is>
          <t>PH008</t>
        </is>
      </c>
      <c r="B659" s="18" t="inlineStr">
        <is>
          <t>찬양팀</t>
        </is>
      </c>
      <c r="C659" s="18" t="inlineStr">
        <is>
          <t>찬양팀</t>
        </is>
      </c>
      <c r="D659" s="18" t="n"/>
      <c r="E659" s="18" t="inlineStr">
        <is>
          <t>[찬양팀 08]</t>
        </is>
      </c>
      <c r="F659" s="18" t="n"/>
      <c r="G659" s="18" t="inlineStr">
        <is>
          <t>?</t>
        </is>
      </c>
      <c r="H659" s="18" t="n"/>
      <c r="I659" s="18" t="n"/>
      <c r="J659" s="18" t="n"/>
      <c r="K659" s="18" t="n"/>
      <c r="L659" s="18" t="n"/>
      <c r="M659" s="18" t="n"/>
      <c r="N659" s="18" t="n"/>
      <c r="O659" s="18" t="inlineStr">
        <is>
          <t>Yes</t>
        </is>
      </c>
      <c r="P659" s="18" t="n"/>
      <c r="Q659" s="18" t="n"/>
      <c r="R659" s="18" t="n"/>
      <c r="S659" s="18" t="n"/>
      <c r="T659" s="18" t="n"/>
      <c r="U659" s="18" t="inlineStr">
        <is>
          <t>✓</t>
        </is>
      </c>
      <c r="V659" s="18" t="inlineStr">
        <is>
          <t>✓</t>
        </is>
      </c>
      <c r="W659" s="18" t="inlineStr">
        <is>
          <t>✓</t>
        </is>
      </c>
      <c r="X659" s="18" t="inlineStr">
        <is>
          <t>✓</t>
        </is>
      </c>
      <c r="Y659" s="18" t="inlineStr">
        <is>
          <t>✓</t>
        </is>
      </c>
      <c r="Z659" s="18" t="inlineStr">
        <is>
          <t>✓</t>
        </is>
      </c>
      <c r="AA659" s="18" t="n"/>
      <c r="AB659" s="18" t="inlineStr">
        <is>
          <t>6박</t>
        </is>
      </c>
      <c r="AC659" s="18" t="n"/>
      <c r="AD659" s="18" t="n"/>
      <c r="AE659" s="18" t="n"/>
      <c r="AF659" s="18" t="n"/>
      <c r="AG659" s="18" t="inlineStr">
        <is>
          <t>1</t>
        </is>
      </c>
      <c r="AH659" s="18" t="n"/>
      <c r="AI659" s="18" t="inlineStr">
        <is>
          <t>부영청소년수련원</t>
        </is>
      </c>
      <c r="AJ659" s="18" t="n"/>
      <c r="AK659" s="18" t="inlineStr">
        <is>
          <t>실제 명단 입력 필요(플레이스홀더)</t>
        </is>
      </c>
      <c r="AL659" s="18" t="inlineStr">
        <is>
          <t>Final Allocation/추가</t>
        </is>
      </c>
      <c r="AM659" s="18" t="inlineStr">
        <is>
          <t>플레이스홀더</t>
        </is>
      </c>
      <c r="AN659" s="18" t="inlineStr">
        <is>
          <t>찬양팀</t>
        </is>
      </c>
    </row>
    <row r="660">
      <c r="A660" s="18" t="inlineStr">
        <is>
          <t>PH009</t>
        </is>
      </c>
      <c r="B660" s="18" t="inlineStr">
        <is>
          <t>찬양팀</t>
        </is>
      </c>
      <c r="C660" s="18" t="inlineStr">
        <is>
          <t>찬양팀</t>
        </is>
      </c>
      <c r="D660" s="18" t="n"/>
      <c r="E660" s="18" t="inlineStr">
        <is>
          <t>[찬양팀 09]</t>
        </is>
      </c>
      <c r="F660" s="18" t="n"/>
      <c r="G660" s="18" t="inlineStr">
        <is>
          <t>?</t>
        </is>
      </c>
      <c r="H660" s="18" t="n"/>
      <c r="I660" s="18" t="n"/>
      <c r="J660" s="18" t="n"/>
      <c r="K660" s="18" t="n"/>
      <c r="L660" s="18" t="n"/>
      <c r="M660" s="18" t="n"/>
      <c r="N660" s="18" t="n"/>
      <c r="O660" s="18" t="inlineStr">
        <is>
          <t>Yes</t>
        </is>
      </c>
      <c r="P660" s="18" t="n"/>
      <c r="Q660" s="18" t="n"/>
      <c r="R660" s="18" t="n"/>
      <c r="S660" s="18" t="n"/>
      <c r="T660" s="18" t="n"/>
      <c r="U660" s="18" t="inlineStr">
        <is>
          <t>✓</t>
        </is>
      </c>
      <c r="V660" s="18" t="inlineStr">
        <is>
          <t>✓</t>
        </is>
      </c>
      <c r="W660" s="18" t="inlineStr">
        <is>
          <t>✓</t>
        </is>
      </c>
      <c r="X660" s="18" t="inlineStr">
        <is>
          <t>✓</t>
        </is>
      </c>
      <c r="Y660" s="18" t="inlineStr">
        <is>
          <t>✓</t>
        </is>
      </c>
      <c r="Z660" s="18" t="inlineStr">
        <is>
          <t>✓</t>
        </is>
      </c>
      <c r="AA660" s="18" t="n"/>
      <c r="AB660" s="18" t="inlineStr">
        <is>
          <t>6박</t>
        </is>
      </c>
      <c r="AC660" s="18" t="n"/>
      <c r="AD660" s="18" t="n"/>
      <c r="AE660" s="18" t="n"/>
      <c r="AF660" s="18" t="n"/>
      <c r="AG660" s="18" t="inlineStr">
        <is>
          <t>1</t>
        </is>
      </c>
      <c r="AH660" s="18" t="n"/>
      <c r="AI660" s="18" t="inlineStr">
        <is>
          <t>부영청소년수련원</t>
        </is>
      </c>
      <c r="AJ660" s="18" t="n"/>
      <c r="AK660" s="18" t="inlineStr">
        <is>
          <t>실제 명단 입력 필요(플레이스홀더)</t>
        </is>
      </c>
      <c r="AL660" s="18" t="inlineStr">
        <is>
          <t>Final Allocation/추가</t>
        </is>
      </c>
      <c r="AM660" s="18" t="inlineStr">
        <is>
          <t>플레이스홀더</t>
        </is>
      </c>
      <c r="AN660" s="18" t="inlineStr">
        <is>
          <t>찬양팀</t>
        </is>
      </c>
    </row>
    <row r="661">
      <c r="A661" s="18" t="inlineStr">
        <is>
          <t>PH010</t>
        </is>
      </c>
      <c r="B661" s="18" t="inlineStr">
        <is>
          <t>찬양팀</t>
        </is>
      </c>
      <c r="C661" s="18" t="inlineStr">
        <is>
          <t>찬양팀</t>
        </is>
      </c>
      <c r="D661" s="18" t="n"/>
      <c r="E661" s="18" t="inlineStr">
        <is>
          <t>[찬양팀 10]</t>
        </is>
      </c>
      <c r="F661" s="18" t="n"/>
      <c r="G661" s="18" t="inlineStr">
        <is>
          <t>?</t>
        </is>
      </c>
      <c r="H661" s="18" t="n"/>
      <c r="I661" s="18" t="n"/>
      <c r="J661" s="18" t="n"/>
      <c r="K661" s="18" t="n"/>
      <c r="L661" s="18" t="n"/>
      <c r="M661" s="18" t="n"/>
      <c r="N661" s="18" t="n"/>
      <c r="O661" s="18" t="inlineStr">
        <is>
          <t>Yes</t>
        </is>
      </c>
      <c r="P661" s="18" t="n"/>
      <c r="Q661" s="18" t="n"/>
      <c r="R661" s="18" t="n"/>
      <c r="S661" s="18" t="n"/>
      <c r="T661" s="18" t="n"/>
      <c r="U661" s="18" t="inlineStr">
        <is>
          <t>✓</t>
        </is>
      </c>
      <c r="V661" s="18" t="inlineStr">
        <is>
          <t>✓</t>
        </is>
      </c>
      <c r="W661" s="18" t="inlineStr">
        <is>
          <t>✓</t>
        </is>
      </c>
      <c r="X661" s="18" t="inlineStr">
        <is>
          <t>✓</t>
        </is>
      </c>
      <c r="Y661" s="18" t="inlineStr">
        <is>
          <t>✓</t>
        </is>
      </c>
      <c r="Z661" s="18" t="inlineStr">
        <is>
          <t>✓</t>
        </is>
      </c>
      <c r="AA661" s="18" t="n"/>
      <c r="AB661" s="18" t="inlineStr">
        <is>
          <t>6박</t>
        </is>
      </c>
      <c r="AC661" s="18" t="n"/>
      <c r="AD661" s="18" t="n"/>
      <c r="AE661" s="18" t="n"/>
      <c r="AF661" s="18" t="n"/>
      <c r="AG661" s="18" t="inlineStr">
        <is>
          <t>1</t>
        </is>
      </c>
      <c r="AH661" s="18" t="n"/>
      <c r="AI661" s="18" t="inlineStr">
        <is>
          <t>부영청소년수련원</t>
        </is>
      </c>
      <c r="AJ661" s="18" t="n"/>
      <c r="AK661" s="18" t="inlineStr">
        <is>
          <t>실제 명단 입력 필요(플레이스홀더)</t>
        </is>
      </c>
      <c r="AL661" s="18" t="inlineStr">
        <is>
          <t>Final Allocation/추가</t>
        </is>
      </c>
      <c r="AM661" s="18" t="inlineStr">
        <is>
          <t>플레이스홀더</t>
        </is>
      </c>
      <c r="AN661" s="18" t="inlineStr">
        <is>
          <t>찬양팀</t>
        </is>
      </c>
    </row>
    <row r="662">
      <c r="A662" s="18" t="inlineStr">
        <is>
          <t>PH011</t>
        </is>
      </c>
      <c r="B662" s="18" t="inlineStr">
        <is>
          <t>찬양팀</t>
        </is>
      </c>
      <c r="C662" s="18" t="inlineStr">
        <is>
          <t>찬양팀</t>
        </is>
      </c>
      <c r="D662" s="18" t="n"/>
      <c r="E662" s="18" t="inlineStr">
        <is>
          <t>[찬양팀 11]</t>
        </is>
      </c>
      <c r="F662" s="18" t="n"/>
      <c r="G662" s="18" t="inlineStr">
        <is>
          <t>?</t>
        </is>
      </c>
      <c r="H662" s="18" t="n"/>
      <c r="I662" s="18" t="n"/>
      <c r="J662" s="18" t="n"/>
      <c r="K662" s="18" t="n"/>
      <c r="L662" s="18" t="n"/>
      <c r="M662" s="18" t="n"/>
      <c r="N662" s="18" t="n"/>
      <c r="O662" s="18" t="inlineStr">
        <is>
          <t>Yes</t>
        </is>
      </c>
      <c r="P662" s="18" t="n"/>
      <c r="Q662" s="18" t="n"/>
      <c r="R662" s="18" t="n"/>
      <c r="S662" s="18" t="n"/>
      <c r="T662" s="18" t="n"/>
      <c r="U662" s="18" t="inlineStr">
        <is>
          <t>✓</t>
        </is>
      </c>
      <c r="V662" s="18" t="inlineStr">
        <is>
          <t>✓</t>
        </is>
      </c>
      <c r="W662" s="18" t="inlineStr">
        <is>
          <t>✓</t>
        </is>
      </c>
      <c r="X662" s="18" t="inlineStr">
        <is>
          <t>✓</t>
        </is>
      </c>
      <c r="Y662" s="18" t="inlineStr">
        <is>
          <t>✓</t>
        </is>
      </c>
      <c r="Z662" s="18" t="inlineStr">
        <is>
          <t>✓</t>
        </is>
      </c>
      <c r="AA662" s="18" t="n"/>
      <c r="AB662" s="18" t="inlineStr">
        <is>
          <t>6박</t>
        </is>
      </c>
      <c r="AC662" s="18" t="n"/>
      <c r="AD662" s="18" t="n"/>
      <c r="AE662" s="18" t="n"/>
      <c r="AF662" s="18" t="n"/>
      <c r="AG662" s="18" t="inlineStr">
        <is>
          <t>1</t>
        </is>
      </c>
      <c r="AH662" s="18" t="n"/>
      <c r="AI662" s="18" t="inlineStr">
        <is>
          <t>부영청소년수련원</t>
        </is>
      </c>
      <c r="AJ662" s="18" t="n"/>
      <c r="AK662" s="18" t="inlineStr">
        <is>
          <t>실제 명단 입력 필요(플레이스홀더)</t>
        </is>
      </c>
      <c r="AL662" s="18" t="inlineStr">
        <is>
          <t>Final Allocation/추가</t>
        </is>
      </c>
      <c r="AM662" s="18" t="inlineStr">
        <is>
          <t>플레이스홀더</t>
        </is>
      </c>
      <c r="AN662" s="18" t="inlineStr">
        <is>
          <t>찬양팀</t>
        </is>
      </c>
    </row>
    <row r="663">
      <c r="A663" s="18" t="inlineStr">
        <is>
          <t>PH012</t>
        </is>
      </c>
      <c r="B663" s="18" t="inlineStr">
        <is>
          <t>찬양팀</t>
        </is>
      </c>
      <c r="C663" s="18" t="inlineStr">
        <is>
          <t>찬양팀</t>
        </is>
      </c>
      <c r="D663" s="18" t="n"/>
      <c r="E663" s="18" t="inlineStr">
        <is>
          <t>[찬양팀 12]</t>
        </is>
      </c>
      <c r="F663" s="18" t="n"/>
      <c r="G663" s="18" t="inlineStr">
        <is>
          <t>?</t>
        </is>
      </c>
      <c r="H663" s="18" t="n"/>
      <c r="I663" s="18" t="n"/>
      <c r="J663" s="18" t="n"/>
      <c r="K663" s="18" t="n"/>
      <c r="L663" s="18" t="n"/>
      <c r="M663" s="18" t="n"/>
      <c r="N663" s="18" t="n"/>
      <c r="O663" s="18" t="inlineStr">
        <is>
          <t>Yes</t>
        </is>
      </c>
      <c r="P663" s="18" t="n"/>
      <c r="Q663" s="18" t="n"/>
      <c r="R663" s="18" t="n"/>
      <c r="S663" s="18" t="n"/>
      <c r="T663" s="18" t="n"/>
      <c r="U663" s="18" t="inlineStr">
        <is>
          <t>✓</t>
        </is>
      </c>
      <c r="V663" s="18" t="inlineStr">
        <is>
          <t>✓</t>
        </is>
      </c>
      <c r="W663" s="18" t="inlineStr">
        <is>
          <t>✓</t>
        </is>
      </c>
      <c r="X663" s="18" t="inlineStr">
        <is>
          <t>✓</t>
        </is>
      </c>
      <c r="Y663" s="18" t="inlineStr">
        <is>
          <t>✓</t>
        </is>
      </c>
      <c r="Z663" s="18" t="inlineStr">
        <is>
          <t>✓</t>
        </is>
      </c>
      <c r="AA663" s="18" t="n"/>
      <c r="AB663" s="18" t="inlineStr">
        <is>
          <t>6박</t>
        </is>
      </c>
      <c r="AC663" s="18" t="n"/>
      <c r="AD663" s="18" t="n"/>
      <c r="AE663" s="18" t="n"/>
      <c r="AF663" s="18" t="n"/>
      <c r="AG663" s="18" t="inlineStr">
        <is>
          <t>1</t>
        </is>
      </c>
      <c r="AH663" s="18" t="n"/>
      <c r="AI663" s="18" t="inlineStr">
        <is>
          <t>부영청소년수련원</t>
        </is>
      </c>
      <c r="AJ663" s="18" t="n"/>
      <c r="AK663" s="18" t="inlineStr">
        <is>
          <t>실제 명단 입력 필요(플레이스홀더)</t>
        </is>
      </c>
      <c r="AL663" s="18" t="inlineStr">
        <is>
          <t>Final Allocation/추가</t>
        </is>
      </c>
      <c r="AM663" s="18" t="inlineStr">
        <is>
          <t>플레이스홀더</t>
        </is>
      </c>
      <c r="AN663" s="18" t="inlineStr">
        <is>
          <t>찬양팀</t>
        </is>
      </c>
    </row>
    <row r="664">
      <c r="A664" s="18" t="inlineStr">
        <is>
          <t>PH013</t>
        </is>
      </c>
      <c r="B664" s="18" t="inlineStr">
        <is>
          <t>찬양팀</t>
        </is>
      </c>
      <c r="C664" s="18" t="inlineStr">
        <is>
          <t>찬양팀</t>
        </is>
      </c>
      <c r="D664" s="18" t="n"/>
      <c r="E664" s="18" t="inlineStr">
        <is>
          <t>[찬양팀 13]</t>
        </is>
      </c>
      <c r="F664" s="18" t="n"/>
      <c r="G664" s="18" t="inlineStr">
        <is>
          <t>?</t>
        </is>
      </c>
      <c r="H664" s="18" t="n"/>
      <c r="I664" s="18" t="n"/>
      <c r="J664" s="18" t="n"/>
      <c r="K664" s="18" t="n"/>
      <c r="L664" s="18" t="n"/>
      <c r="M664" s="18" t="n"/>
      <c r="N664" s="18" t="n"/>
      <c r="O664" s="18" t="inlineStr">
        <is>
          <t>Yes</t>
        </is>
      </c>
      <c r="P664" s="18" t="n"/>
      <c r="Q664" s="18" t="n"/>
      <c r="R664" s="18" t="n"/>
      <c r="S664" s="18" t="n"/>
      <c r="T664" s="18" t="n"/>
      <c r="U664" s="18" t="inlineStr">
        <is>
          <t>✓</t>
        </is>
      </c>
      <c r="V664" s="18" t="inlineStr">
        <is>
          <t>✓</t>
        </is>
      </c>
      <c r="W664" s="18" t="inlineStr">
        <is>
          <t>✓</t>
        </is>
      </c>
      <c r="X664" s="18" t="inlineStr">
        <is>
          <t>✓</t>
        </is>
      </c>
      <c r="Y664" s="18" t="inlineStr">
        <is>
          <t>✓</t>
        </is>
      </c>
      <c r="Z664" s="18" t="inlineStr">
        <is>
          <t>✓</t>
        </is>
      </c>
      <c r="AA664" s="18" t="n"/>
      <c r="AB664" s="18" t="inlineStr">
        <is>
          <t>6박</t>
        </is>
      </c>
      <c r="AC664" s="18" t="n"/>
      <c r="AD664" s="18" t="n"/>
      <c r="AE664" s="18" t="n"/>
      <c r="AF664" s="18" t="n"/>
      <c r="AG664" s="18" t="inlineStr">
        <is>
          <t>1</t>
        </is>
      </c>
      <c r="AH664" s="18" t="n"/>
      <c r="AI664" s="18" t="inlineStr">
        <is>
          <t>부영청소년수련원</t>
        </is>
      </c>
      <c r="AJ664" s="18" t="n"/>
      <c r="AK664" s="18" t="inlineStr">
        <is>
          <t>실제 명단 입력 필요(플레이스홀더)</t>
        </is>
      </c>
      <c r="AL664" s="18" t="inlineStr">
        <is>
          <t>Final Allocation/추가</t>
        </is>
      </c>
      <c r="AM664" s="18" t="inlineStr">
        <is>
          <t>플레이스홀더</t>
        </is>
      </c>
      <c r="AN664" s="18" t="inlineStr">
        <is>
          <t>찬양팀</t>
        </is>
      </c>
    </row>
    <row r="665">
      <c r="A665" s="18" t="inlineStr">
        <is>
          <t>PH014</t>
        </is>
      </c>
      <c r="B665" s="18" t="inlineStr">
        <is>
          <t>찬양팀</t>
        </is>
      </c>
      <c r="C665" s="18" t="inlineStr">
        <is>
          <t>찬양팀</t>
        </is>
      </c>
      <c r="D665" s="18" t="n"/>
      <c r="E665" s="18" t="inlineStr">
        <is>
          <t>[찬양팀 14]</t>
        </is>
      </c>
      <c r="F665" s="18" t="n"/>
      <c r="G665" s="18" t="inlineStr">
        <is>
          <t>?</t>
        </is>
      </c>
      <c r="H665" s="18" t="n"/>
      <c r="I665" s="18" t="n"/>
      <c r="J665" s="18" t="n"/>
      <c r="K665" s="18" t="n"/>
      <c r="L665" s="18" t="n"/>
      <c r="M665" s="18" t="n"/>
      <c r="N665" s="18" t="n"/>
      <c r="O665" s="18" t="inlineStr">
        <is>
          <t>Yes</t>
        </is>
      </c>
      <c r="P665" s="18" t="n"/>
      <c r="Q665" s="18" t="n"/>
      <c r="R665" s="18" t="n"/>
      <c r="S665" s="18" t="n"/>
      <c r="T665" s="18" t="n"/>
      <c r="U665" s="18" t="inlineStr">
        <is>
          <t>✓</t>
        </is>
      </c>
      <c r="V665" s="18" t="inlineStr">
        <is>
          <t>✓</t>
        </is>
      </c>
      <c r="W665" s="18" t="inlineStr">
        <is>
          <t>✓</t>
        </is>
      </c>
      <c r="X665" s="18" t="inlineStr">
        <is>
          <t>✓</t>
        </is>
      </c>
      <c r="Y665" s="18" t="inlineStr">
        <is>
          <t>✓</t>
        </is>
      </c>
      <c r="Z665" s="18" t="inlineStr">
        <is>
          <t>✓</t>
        </is>
      </c>
      <c r="AA665" s="18" t="n"/>
      <c r="AB665" s="18" t="inlineStr">
        <is>
          <t>6박</t>
        </is>
      </c>
      <c r="AC665" s="18" t="n"/>
      <c r="AD665" s="18" t="n"/>
      <c r="AE665" s="18" t="n"/>
      <c r="AF665" s="18" t="n"/>
      <c r="AG665" s="18" t="inlineStr">
        <is>
          <t>1</t>
        </is>
      </c>
      <c r="AH665" s="18" t="n"/>
      <c r="AI665" s="18" t="inlineStr">
        <is>
          <t>부영청소년수련원</t>
        </is>
      </c>
      <c r="AJ665" s="18" t="n"/>
      <c r="AK665" s="18" t="inlineStr">
        <is>
          <t>실제 명단 입력 필요(플레이스홀더)</t>
        </is>
      </c>
      <c r="AL665" s="18" t="inlineStr">
        <is>
          <t>Final Allocation/추가</t>
        </is>
      </c>
      <c r="AM665" s="18" t="inlineStr">
        <is>
          <t>플레이스홀더</t>
        </is>
      </c>
      <c r="AN665" s="18" t="inlineStr">
        <is>
          <t>찬양팀</t>
        </is>
      </c>
    </row>
    <row r="666">
      <c r="A666" s="19" t="inlineStr">
        <is>
          <t>PH015</t>
        </is>
      </c>
      <c r="B666" s="19" t="inlineStr">
        <is>
          <t>미디어팀</t>
        </is>
      </c>
      <c r="C666" s="19" t="inlineStr">
        <is>
          <t>미디어팀</t>
        </is>
      </c>
      <c r="D666" s="19" t="n"/>
      <c r="E666" s="19" t="inlineStr">
        <is>
          <t>[미디어팀 01]</t>
        </is>
      </c>
      <c r="F666" s="19" t="n"/>
      <c r="G666" s="19" t="inlineStr">
        <is>
          <t>?</t>
        </is>
      </c>
      <c r="H666" s="19" t="n"/>
      <c r="I666" s="19" t="n"/>
      <c r="J666" s="19" t="n"/>
      <c r="K666" s="19" t="n"/>
      <c r="L666" s="19" t="n"/>
      <c r="M666" s="19" t="n"/>
      <c r="N666" s="19" t="n"/>
      <c r="O666" s="19" t="inlineStr">
        <is>
          <t>Yes</t>
        </is>
      </c>
      <c r="P666" s="19" t="n"/>
      <c r="Q666" s="19" t="n"/>
      <c r="R666" s="19" t="n"/>
      <c r="S666" s="19" t="n"/>
      <c r="T666" s="19" t="n"/>
      <c r="U666" s="19" t="inlineStr">
        <is>
          <t>✓</t>
        </is>
      </c>
      <c r="V666" s="19" t="inlineStr">
        <is>
          <t>✓</t>
        </is>
      </c>
      <c r="W666" s="19" t="inlineStr">
        <is>
          <t>✓</t>
        </is>
      </c>
      <c r="X666" s="19" t="inlineStr">
        <is>
          <t>✓</t>
        </is>
      </c>
      <c r="Y666" s="19" t="inlineStr">
        <is>
          <t>✓</t>
        </is>
      </c>
      <c r="Z666" s="19" t="inlineStr">
        <is>
          <t>✓</t>
        </is>
      </c>
      <c r="AA666" s="19" t="n"/>
      <c r="AB666" s="19" t="inlineStr">
        <is>
          <t>6박</t>
        </is>
      </c>
      <c r="AC666" s="19" t="n"/>
      <c r="AD666" s="19" t="n"/>
      <c r="AE666" s="19" t="n"/>
      <c r="AF666" s="19" t="n"/>
      <c r="AG666" s="19" t="inlineStr">
        <is>
          <t>1</t>
        </is>
      </c>
      <c r="AH666" s="19" t="n"/>
      <c r="AI666" s="19" t="inlineStr">
        <is>
          <t>부영청소년수련원</t>
        </is>
      </c>
      <c r="AJ666" s="19" t="n"/>
      <c r="AK666" s="19" t="inlineStr">
        <is>
          <t>실제 명단 입력 필요(플레이스홀더)</t>
        </is>
      </c>
      <c r="AL666" s="19" t="inlineStr">
        <is>
          <t>Final Allocation/추가</t>
        </is>
      </c>
      <c r="AM666" s="19" t="inlineStr">
        <is>
          <t>플레이스홀더</t>
        </is>
      </c>
      <c r="AN666" s="19" t="inlineStr">
        <is>
          <t>미디어팀</t>
        </is>
      </c>
    </row>
    <row r="667">
      <c r="A667" s="19" t="inlineStr">
        <is>
          <t>PH016</t>
        </is>
      </c>
      <c r="B667" s="19" t="inlineStr">
        <is>
          <t>미디어팀</t>
        </is>
      </c>
      <c r="C667" s="19" t="inlineStr">
        <is>
          <t>미디어팀</t>
        </is>
      </c>
      <c r="D667" s="19" t="n"/>
      <c r="E667" s="19" t="inlineStr">
        <is>
          <t>[미디어팀 02]</t>
        </is>
      </c>
      <c r="F667" s="19" t="n"/>
      <c r="G667" s="19" t="inlineStr">
        <is>
          <t>?</t>
        </is>
      </c>
      <c r="H667" s="19" t="n"/>
      <c r="I667" s="19" t="n"/>
      <c r="J667" s="19" t="n"/>
      <c r="K667" s="19" t="n"/>
      <c r="L667" s="19" t="n"/>
      <c r="M667" s="19" t="n"/>
      <c r="N667" s="19" t="n"/>
      <c r="O667" s="19" t="inlineStr">
        <is>
          <t>Yes</t>
        </is>
      </c>
      <c r="P667" s="19" t="n"/>
      <c r="Q667" s="19" t="n"/>
      <c r="R667" s="19" t="n"/>
      <c r="S667" s="19" t="n"/>
      <c r="T667" s="19" t="n"/>
      <c r="U667" s="19" t="inlineStr">
        <is>
          <t>✓</t>
        </is>
      </c>
      <c r="V667" s="19" t="inlineStr">
        <is>
          <t>✓</t>
        </is>
      </c>
      <c r="W667" s="19" t="inlineStr">
        <is>
          <t>✓</t>
        </is>
      </c>
      <c r="X667" s="19" t="inlineStr">
        <is>
          <t>✓</t>
        </is>
      </c>
      <c r="Y667" s="19" t="inlineStr">
        <is>
          <t>✓</t>
        </is>
      </c>
      <c r="Z667" s="19" t="inlineStr">
        <is>
          <t>✓</t>
        </is>
      </c>
      <c r="AA667" s="19" t="n"/>
      <c r="AB667" s="19" t="inlineStr">
        <is>
          <t>6박</t>
        </is>
      </c>
      <c r="AC667" s="19" t="n"/>
      <c r="AD667" s="19" t="n"/>
      <c r="AE667" s="19" t="n"/>
      <c r="AF667" s="19" t="n"/>
      <c r="AG667" s="19" t="inlineStr">
        <is>
          <t>1</t>
        </is>
      </c>
      <c r="AH667" s="19" t="n"/>
      <c r="AI667" s="19" t="inlineStr">
        <is>
          <t>부영청소년수련원</t>
        </is>
      </c>
      <c r="AJ667" s="19" t="n"/>
      <c r="AK667" s="19" t="inlineStr">
        <is>
          <t>실제 명단 입력 필요(플레이스홀더)</t>
        </is>
      </c>
      <c r="AL667" s="19" t="inlineStr">
        <is>
          <t>Final Allocation/추가</t>
        </is>
      </c>
      <c r="AM667" s="19" t="inlineStr">
        <is>
          <t>플레이스홀더</t>
        </is>
      </c>
      <c r="AN667" s="19" t="inlineStr">
        <is>
          <t>미디어팀</t>
        </is>
      </c>
    </row>
    <row r="668">
      <c r="A668" s="19" t="inlineStr">
        <is>
          <t>PH017</t>
        </is>
      </c>
      <c r="B668" s="19" t="inlineStr">
        <is>
          <t>미디어팀</t>
        </is>
      </c>
      <c r="C668" s="19" t="inlineStr">
        <is>
          <t>미디어팀</t>
        </is>
      </c>
      <c r="D668" s="19" t="n"/>
      <c r="E668" s="19" t="inlineStr">
        <is>
          <t>[미디어팀 03]</t>
        </is>
      </c>
      <c r="F668" s="19" t="n"/>
      <c r="G668" s="19" t="inlineStr">
        <is>
          <t>?</t>
        </is>
      </c>
      <c r="H668" s="19" t="n"/>
      <c r="I668" s="19" t="n"/>
      <c r="J668" s="19" t="n"/>
      <c r="K668" s="19" t="n"/>
      <c r="L668" s="19" t="n"/>
      <c r="M668" s="19" t="n"/>
      <c r="N668" s="19" t="n"/>
      <c r="O668" s="19" t="inlineStr">
        <is>
          <t>Yes</t>
        </is>
      </c>
      <c r="P668" s="19" t="n"/>
      <c r="Q668" s="19" t="n"/>
      <c r="R668" s="19" t="n"/>
      <c r="S668" s="19" t="n"/>
      <c r="T668" s="19" t="n"/>
      <c r="U668" s="19" t="inlineStr">
        <is>
          <t>✓</t>
        </is>
      </c>
      <c r="V668" s="19" t="inlineStr">
        <is>
          <t>✓</t>
        </is>
      </c>
      <c r="W668" s="19" t="inlineStr">
        <is>
          <t>✓</t>
        </is>
      </c>
      <c r="X668" s="19" t="inlineStr">
        <is>
          <t>✓</t>
        </is>
      </c>
      <c r="Y668" s="19" t="inlineStr">
        <is>
          <t>✓</t>
        </is>
      </c>
      <c r="Z668" s="19" t="inlineStr">
        <is>
          <t>✓</t>
        </is>
      </c>
      <c r="AA668" s="19" t="n"/>
      <c r="AB668" s="19" t="inlineStr">
        <is>
          <t>6박</t>
        </is>
      </c>
      <c r="AC668" s="19" t="n"/>
      <c r="AD668" s="19" t="n"/>
      <c r="AE668" s="19" t="n"/>
      <c r="AF668" s="19" t="n"/>
      <c r="AG668" s="19" t="inlineStr">
        <is>
          <t>1</t>
        </is>
      </c>
      <c r="AH668" s="19" t="n"/>
      <c r="AI668" s="19" t="inlineStr">
        <is>
          <t>부영청소년수련원</t>
        </is>
      </c>
      <c r="AJ668" s="19" t="n"/>
      <c r="AK668" s="19" t="inlineStr">
        <is>
          <t>실제 명단 입력 필요(플레이스홀더)</t>
        </is>
      </c>
      <c r="AL668" s="19" t="inlineStr">
        <is>
          <t>Final Allocation/추가</t>
        </is>
      </c>
      <c r="AM668" s="19" t="inlineStr">
        <is>
          <t>플레이스홀더</t>
        </is>
      </c>
      <c r="AN668" s="19" t="inlineStr">
        <is>
          <t>미디어팀</t>
        </is>
      </c>
    </row>
    <row r="669">
      <c r="A669" s="19" t="inlineStr">
        <is>
          <t>PH018</t>
        </is>
      </c>
      <c r="B669" s="19" t="inlineStr">
        <is>
          <t>미디어팀</t>
        </is>
      </c>
      <c r="C669" s="19" t="inlineStr">
        <is>
          <t>미디어팀</t>
        </is>
      </c>
      <c r="D669" s="19" t="n"/>
      <c r="E669" s="19" t="inlineStr">
        <is>
          <t>[미디어팀 04]</t>
        </is>
      </c>
      <c r="F669" s="19" t="n"/>
      <c r="G669" s="19" t="inlineStr">
        <is>
          <t>?</t>
        </is>
      </c>
      <c r="H669" s="19" t="n"/>
      <c r="I669" s="19" t="n"/>
      <c r="J669" s="19" t="n"/>
      <c r="K669" s="19" t="n"/>
      <c r="L669" s="19" t="n"/>
      <c r="M669" s="19" t="n"/>
      <c r="N669" s="19" t="n"/>
      <c r="O669" s="19" t="inlineStr">
        <is>
          <t>Yes</t>
        </is>
      </c>
      <c r="P669" s="19" t="n"/>
      <c r="Q669" s="19" t="n"/>
      <c r="R669" s="19" t="n"/>
      <c r="S669" s="19" t="n"/>
      <c r="T669" s="19" t="n"/>
      <c r="U669" s="19" t="inlineStr">
        <is>
          <t>✓</t>
        </is>
      </c>
      <c r="V669" s="19" t="inlineStr">
        <is>
          <t>✓</t>
        </is>
      </c>
      <c r="W669" s="19" t="inlineStr">
        <is>
          <t>✓</t>
        </is>
      </c>
      <c r="X669" s="19" t="inlineStr">
        <is>
          <t>✓</t>
        </is>
      </c>
      <c r="Y669" s="19" t="inlineStr">
        <is>
          <t>✓</t>
        </is>
      </c>
      <c r="Z669" s="19" t="inlineStr">
        <is>
          <t>✓</t>
        </is>
      </c>
      <c r="AA669" s="19" t="n"/>
      <c r="AB669" s="19" t="inlineStr">
        <is>
          <t>6박</t>
        </is>
      </c>
      <c r="AC669" s="19" t="n"/>
      <c r="AD669" s="19" t="n"/>
      <c r="AE669" s="19" t="n"/>
      <c r="AF669" s="19" t="n"/>
      <c r="AG669" s="19" t="inlineStr">
        <is>
          <t>1</t>
        </is>
      </c>
      <c r="AH669" s="19" t="n"/>
      <c r="AI669" s="19" t="inlineStr">
        <is>
          <t>부영청소년수련원</t>
        </is>
      </c>
      <c r="AJ669" s="19" t="n"/>
      <c r="AK669" s="19" t="inlineStr">
        <is>
          <t>실제 명단 입력 필요(플레이스홀더)</t>
        </is>
      </c>
      <c r="AL669" s="19" t="inlineStr">
        <is>
          <t>Final Allocation/추가</t>
        </is>
      </c>
      <c r="AM669" s="19" t="inlineStr">
        <is>
          <t>플레이스홀더</t>
        </is>
      </c>
      <c r="AN669" s="19" t="inlineStr">
        <is>
          <t>미디어팀</t>
        </is>
      </c>
    </row>
    <row r="670">
      <c r="A670" s="19" t="inlineStr">
        <is>
          <t>PH019</t>
        </is>
      </c>
      <c r="B670" s="19" t="inlineStr">
        <is>
          <t>미디어팀</t>
        </is>
      </c>
      <c r="C670" s="19" t="inlineStr">
        <is>
          <t>미디어팀</t>
        </is>
      </c>
      <c r="D670" s="19" t="n"/>
      <c r="E670" s="19" t="inlineStr">
        <is>
          <t>[미디어팀 05]</t>
        </is>
      </c>
      <c r="F670" s="19" t="n"/>
      <c r="G670" s="19" t="inlineStr">
        <is>
          <t>?</t>
        </is>
      </c>
      <c r="H670" s="19" t="n"/>
      <c r="I670" s="19" t="n"/>
      <c r="J670" s="19" t="n"/>
      <c r="K670" s="19" t="n"/>
      <c r="L670" s="19" t="n"/>
      <c r="M670" s="19" t="n"/>
      <c r="N670" s="19" t="n"/>
      <c r="O670" s="19" t="inlineStr">
        <is>
          <t>Yes</t>
        </is>
      </c>
      <c r="P670" s="19" t="n"/>
      <c r="Q670" s="19" t="n"/>
      <c r="R670" s="19" t="n"/>
      <c r="S670" s="19" t="n"/>
      <c r="T670" s="19" t="n"/>
      <c r="U670" s="19" t="inlineStr">
        <is>
          <t>✓</t>
        </is>
      </c>
      <c r="V670" s="19" t="inlineStr">
        <is>
          <t>✓</t>
        </is>
      </c>
      <c r="W670" s="19" t="inlineStr">
        <is>
          <t>✓</t>
        </is>
      </c>
      <c r="X670" s="19" t="inlineStr">
        <is>
          <t>✓</t>
        </is>
      </c>
      <c r="Y670" s="19" t="inlineStr">
        <is>
          <t>✓</t>
        </is>
      </c>
      <c r="Z670" s="19" t="inlineStr">
        <is>
          <t>✓</t>
        </is>
      </c>
      <c r="AA670" s="19" t="n"/>
      <c r="AB670" s="19" t="inlineStr">
        <is>
          <t>6박</t>
        </is>
      </c>
      <c r="AC670" s="19" t="n"/>
      <c r="AD670" s="19" t="n"/>
      <c r="AE670" s="19" t="n"/>
      <c r="AF670" s="19" t="n"/>
      <c r="AG670" s="19" t="inlineStr">
        <is>
          <t>1</t>
        </is>
      </c>
      <c r="AH670" s="19" t="n"/>
      <c r="AI670" s="19" t="inlineStr">
        <is>
          <t>부영청소년수련원</t>
        </is>
      </c>
      <c r="AJ670" s="19" t="n"/>
      <c r="AK670" s="19" t="inlineStr">
        <is>
          <t>실제 명단 입력 필요(플레이스홀더)</t>
        </is>
      </c>
      <c r="AL670" s="19" t="inlineStr">
        <is>
          <t>Final Allocation/추가</t>
        </is>
      </c>
      <c r="AM670" s="19" t="inlineStr">
        <is>
          <t>플레이스홀더</t>
        </is>
      </c>
      <c r="AN670" s="19" t="inlineStr">
        <is>
          <t>미디어팀</t>
        </is>
      </c>
    </row>
    <row r="671">
      <c r="A671" s="19" t="inlineStr">
        <is>
          <t>PH020</t>
        </is>
      </c>
      <c r="B671" s="19" t="inlineStr">
        <is>
          <t>미디어팀</t>
        </is>
      </c>
      <c r="C671" s="19" t="inlineStr">
        <is>
          <t>미디어팀</t>
        </is>
      </c>
      <c r="D671" s="19" t="n"/>
      <c r="E671" s="19" t="inlineStr">
        <is>
          <t>[미디어팀 06]</t>
        </is>
      </c>
      <c r="F671" s="19" t="n"/>
      <c r="G671" s="19" t="inlineStr">
        <is>
          <t>?</t>
        </is>
      </c>
      <c r="H671" s="19" t="n"/>
      <c r="I671" s="19" t="n"/>
      <c r="J671" s="19" t="n"/>
      <c r="K671" s="19" t="n"/>
      <c r="L671" s="19" t="n"/>
      <c r="M671" s="19" t="n"/>
      <c r="N671" s="19" t="n"/>
      <c r="O671" s="19" t="inlineStr">
        <is>
          <t>Yes</t>
        </is>
      </c>
      <c r="P671" s="19" t="n"/>
      <c r="Q671" s="19" t="n"/>
      <c r="R671" s="19" t="n"/>
      <c r="S671" s="19" t="n"/>
      <c r="T671" s="19" t="n"/>
      <c r="U671" s="19" t="inlineStr">
        <is>
          <t>✓</t>
        </is>
      </c>
      <c r="V671" s="19" t="inlineStr">
        <is>
          <t>✓</t>
        </is>
      </c>
      <c r="W671" s="19" t="inlineStr">
        <is>
          <t>✓</t>
        </is>
      </c>
      <c r="X671" s="19" t="inlineStr">
        <is>
          <t>✓</t>
        </is>
      </c>
      <c r="Y671" s="19" t="inlineStr">
        <is>
          <t>✓</t>
        </is>
      </c>
      <c r="Z671" s="19" t="inlineStr">
        <is>
          <t>✓</t>
        </is>
      </c>
      <c r="AA671" s="19" t="n"/>
      <c r="AB671" s="19" t="inlineStr">
        <is>
          <t>6박</t>
        </is>
      </c>
      <c r="AC671" s="19" t="n"/>
      <c r="AD671" s="19" t="n"/>
      <c r="AE671" s="19" t="n"/>
      <c r="AF671" s="19" t="n"/>
      <c r="AG671" s="19" t="inlineStr">
        <is>
          <t>1</t>
        </is>
      </c>
      <c r="AH671" s="19" t="n"/>
      <c r="AI671" s="19" t="inlineStr">
        <is>
          <t>부영청소년수련원</t>
        </is>
      </c>
      <c r="AJ671" s="19" t="n"/>
      <c r="AK671" s="19" t="inlineStr">
        <is>
          <t>실제 명단 입력 필요(플레이스홀더)</t>
        </is>
      </c>
      <c r="AL671" s="19" t="inlineStr">
        <is>
          <t>Final Allocation/추가</t>
        </is>
      </c>
      <c r="AM671" s="19" t="inlineStr">
        <is>
          <t>플레이스홀더</t>
        </is>
      </c>
      <c r="AN671" s="19" t="inlineStr">
        <is>
          <t>미디어팀</t>
        </is>
      </c>
    </row>
    <row r="672">
      <c r="A672" s="19" t="inlineStr">
        <is>
          <t>PH021</t>
        </is>
      </c>
      <c r="B672" s="19" t="inlineStr">
        <is>
          <t>미디어팀</t>
        </is>
      </c>
      <c r="C672" s="19" t="inlineStr">
        <is>
          <t>미디어팀</t>
        </is>
      </c>
      <c r="D672" s="19" t="n"/>
      <c r="E672" s="19" t="inlineStr">
        <is>
          <t>[미디어팀 07]</t>
        </is>
      </c>
      <c r="F672" s="19" t="n"/>
      <c r="G672" s="19" t="inlineStr">
        <is>
          <t>?</t>
        </is>
      </c>
      <c r="H672" s="19" t="n"/>
      <c r="I672" s="19" t="n"/>
      <c r="J672" s="19" t="n"/>
      <c r="K672" s="19" t="n"/>
      <c r="L672" s="19" t="n"/>
      <c r="M672" s="19" t="n"/>
      <c r="N672" s="19" t="n"/>
      <c r="O672" s="19" t="inlineStr">
        <is>
          <t>Yes</t>
        </is>
      </c>
      <c r="P672" s="19" t="n"/>
      <c r="Q672" s="19" t="n"/>
      <c r="R672" s="19" t="n"/>
      <c r="S672" s="19" t="n"/>
      <c r="T672" s="19" t="n"/>
      <c r="U672" s="19" t="inlineStr">
        <is>
          <t>✓</t>
        </is>
      </c>
      <c r="V672" s="19" t="inlineStr">
        <is>
          <t>✓</t>
        </is>
      </c>
      <c r="W672" s="19" t="inlineStr">
        <is>
          <t>✓</t>
        </is>
      </c>
      <c r="X672" s="19" t="inlineStr">
        <is>
          <t>✓</t>
        </is>
      </c>
      <c r="Y672" s="19" t="inlineStr">
        <is>
          <t>✓</t>
        </is>
      </c>
      <c r="Z672" s="19" t="inlineStr">
        <is>
          <t>✓</t>
        </is>
      </c>
      <c r="AA672" s="19" t="n"/>
      <c r="AB672" s="19" t="inlineStr">
        <is>
          <t>6박</t>
        </is>
      </c>
      <c r="AC672" s="19" t="n"/>
      <c r="AD672" s="19" t="n"/>
      <c r="AE672" s="19" t="n"/>
      <c r="AF672" s="19" t="n"/>
      <c r="AG672" s="19" t="inlineStr">
        <is>
          <t>1</t>
        </is>
      </c>
      <c r="AH672" s="19" t="n"/>
      <c r="AI672" s="19" t="inlineStr">
        <is>
          <t>부영청소년수련원</t>
        </is>
      </c>
      <c r="AJ672" s="19" t="n"/>
      <c r="AK672" s="19" t="inlineStr">
        <is>
          <t>실제 명단 입력 필요(플레이스홀더)</t>
        </is>
      </c>
      <c r="AL672" s="19" t="inlineStr">
        <is>
          <t>Final Allocation/추가</t>
        </is>
      </c>
      <c r="AM672" s="19" t="inlineStr">
        <is>
          <t>플레이스홀더</t>
        </is>
      </c>
      <c r="AN672" s="19" t="inlineStr">
        <is>
          <t>미디어팀</t>
        </is>
      </c>
    </row>
    <row r="673">
      <c r="A673" s="19" t="inlineStr">
        <is>
          <t>PH022</t>
        </is>
      </c>
      <c r="B673" s="19" t="inlineStr">
        <is>
          <t>미디어팀</t>
        </is>
      </c>
      <c r="C673" s="19" t="inlineStr">
        <is>
          <t>미디어팀</t>
        </is>
      </c>
      <c r="D673" s="19" t="n"/>
      <c r="E673" s="19" t="inlineStr">
        <is>
          <t>[미디어팀 08]</t>
        </is>
      </c>
      <c r="F673" s="19" t="n"/>
      <c r="G673" s="19" t="inlineStr">
        <is>
          <t>?</t>
        </is>
      </c>
      <c r="H673" s="19" t="n"/>
      <c r="I673" s="19" t="n"/>
      <c r="J673" s="19" t="n"/>
      <c r="K673" s="19" t="n"/>
      <c r="L673" s="19" t="n"/>
      <c r="M673" s="19" t="n"/>
      <c r="N673" s="19" t="n"/>
      <c r="O673" s="19" t="inlineStr">
        <is>
          <t>Yes</t>
        </is>
      </c>
      <c r="P673" s="19" t="n"/>
      <c r="Q673" s="19" t="n"/>
      <c r="R673" s="19" t="n"/>
      <c r="S673" s="19" t="n"/>
      <c r="T673" s="19" t="n"/>
      <c r="U673" s="19" t="inlineStr">
        <is>
          <t>✓</t>
        </is>
      </c>
      <c r="V673" s="19" t="inlineStr">
        <is>
          <t>✓</t>
        </is>
      </c>
      <c r="W673" s="19" t="inlineStr">
        <is>
          <t>✓</t>
        </is>
      </c>
      <c r="X673" s="19" t="inlineStr">
        <is>
          <t>✓</t>
        </is>
      </c>
      <c r="Y673" s="19" t="inlineStr">
        <is>
          <t>✓</t>
        </is>
      </c>
      <c r="Z673" s="19" t="inlineStr">
        <is>
          <t>✓</t>
        </is>
      </c>
      <c r="AA673" s="19" t="n"/>
      <c r="AB673" s="19" t="inlineStr">
        <is>
          <t>6박</t>
        </is>
      </c>
      <c r="AC673" s="19" t="n"/>
      <c r="AD673" s="19" t="n"/>
      <c r="AE673" s="19" t="n"/>
      <c r="AF673" s="19" t="n"/>
      <c r="AG673" s="19" t="inlineStr">
        <is>
          <t>1</t>
        </is>
      </c>
      <c r="AH673" s="19" t="n"/>
      <c r="AI673" s="19" t="inlineStr">
        <is>
          <t>부영청소년수련원</t>
        </is>
      </c>
      <c r="AJ673" s="19" t="n"/>
      <c r="AK673" s="19" t="inlineStr">
        <is>
          <t>실제 명단 입력 필요(플레이스홀더)</t>
        </is>
      </c>
      <c r="AL673" s="19" t="inlineStr">
        <is>
          <t>Final Allocation/추가</t>
        </is>
      </c>
      <c r="AM673" s="19" t="inlineStr">
        <is>
          <t>플레이스홀더</t>
        </is>
      </c>
      <c r="AN673" s="19" t="inlineStr">
        <is>
          <t>미디어팀</t>
        </is>
      </c>
    </row>
    <row r="674">
      <c r="A674" s="19" t="inlineStr">
        <is>
          <t>PH023</t>
        </is>
      </c>
      <c r="B674" s="19" t="inlineStr">
        <is>
          <t>미디어팀</t>
        </is>
      </c>
      <c r="C674" s="19" t="inlineStr">
        <is>
          <t>미디어팀</t>
        </is>
      </c>
      <c r="D674" s="19" t="n"/>
      <c r="E674" s="19" t="inlineStr">
        <is>
          <t>[미디어팀 09]</t>
        </is>
      </c>
      <c r="F674" s="19" t="n"/>
      <c r="G674" s="19" t="inlineStr">
        <is>
          <t>?</t>
        </is>
      </c>
      <c r="H674" s="19" t="n"/>
      <c r="I674" s="19" t="n"/>
      <c r="J674" s="19" t="n"/>
      <c r="K674" s="19" t="n"/>
      <c r="L674" s="19" t="n"/>
      <c r="M674" s="19" t="n"/>
      <c r="N674" s="19" t="n"/>
      <c r="O674" s="19" t="inlineStr">
        <is>
          <t>Yes</t>
        </is>
      </c>
      <c r="P674" s="19" t="n"/>
      <c r="Q674" s="19" t="n"/>
      <c r="R674" s="19" t="n"/>
      <c r="S674" s="19" t="n"/>
      <c r="T674" s="19" t="n"/>
      <c r="U674" s="19" t="inlineStr">
        <is>
          <t>✓</t>
        </is>
      </c>
      <c r="V674" s="19" t="inlineStr">
        <is>
          <t>✓</t>
        </is>
      </c>
      <c r="W674" s="19" t="inlineStr">
        <is>
          <t>✓</t>
        </is>
      </c>
      <c r="X674" s="19" t="inlineStr">
        <is>
          <t>✓</t>
        </is>
      </c>
      <c r="Y674" s="19" t="inlineStr">
        <is>
          <t>✓</t>
        </is>
      </c>
      <c r="Z674" s="19" t="inlineStr">
        <is>
          <t>✓</t>
        </is>
      </c>
      <c r="AA674" s="19" t="n"/>
      <c r="AB674" s="19" t="inlineStr">
        <is>
          <t>6박</t>
        </is>
      </c>
      <c r="AC674" s="19" t="n"/>
      <c r="AD674" s="19" t="n"/>
      <c r="AE674" s="19" t="n"/>
      <c r="AF674" s="19" t="n"/>
      <c r="AG674" s="19" t="inlineStr">
        <is>
          <t>1</t>
        </is>
      </c>
      <c r="AH674" s="19" t="n"/>
      <c r="AI674" s="19" t="inlineStr">
        <is>
          <t>부영청소년수련원</t>
        </is>
      </c>
      <c r="AJ674" s="19" t="n"/>
      <c r="AK674" s="19" t="inlineStr">
        <is>
          <t>실제 명단 입력 필요(플레이스홀더)</t>
        </is>
      </c>
      <c r="AL674" s="19" t="inlineStr">
        <is>
          <t>Final Allocation/추가</t>
        </is>
      </c>
      <c r="AM674" s="19" t="inlineStr">
        <is>
          <t>플레이스홀더</t>
        </is>
      </c>
      <c r="AN674" s="19" t="inlineStr">
        <is>
          <t>미디어팀</t>
        </is>
      </c>
    </row>
    <row r="675">
      <c r="A675" s="19" t="inlineStr">
        <is>
          <t>PH024</t>
        </is>
      </c>
      <c r="B675" s="19" t="inlineStr">
        <is>
          <t>미디어팀</t>
        </is>
      </c>
      <c r="C675" s="19" t="inlineStr">
        <is>
          <t>미디어팀</t>
        </is>
      </c>
      <c r="D675" s="19" t="n"/>
      <c r="E675" s="19" t="inlineStr">
        <is>
          <t>[미디어팀 10]</t>
        </is>
      </c>
      <c r="F675" s="19" t="n"/>
      <c r="G675" s="19" t="inlineStr">
        <is>
          <t>?</t>
        </is>
      </c>
      <c r="H675" s="19" t="n"/>
      <c r="I675" s="19" t="n"/>
      <c r="J675" s="19" t="n"/>
      <c r="K675" s="19" t="n"/>
      <c r="L675" s="19" t="n"/>
      <c r="M675" s="19" t="n"/>
      <c r="N675" s="19" t="n"/>
      <c r="O675" s="19" t="inlineStr">
        <is>
          <t>Yes</t>
        </is>
      </c>
      <c r="P675" s="19" t="n"/>
      <c r="Q675" s="19" t="n"/>
      <c r="R675" s="19" t="n"/>
      <c r="S675" s="19" t="n"/>
      <c r="T675" s="19" t="n"/>
      <c r="U675" s="19" t="inlineStr">
        <is>
          <t>✓</t>
        </is>
      </c>
      <c r="V675" s="19" t="inlineStr">
        <is>
          <t>✓</t>
        </is>
      </c>
      <c r="W675" s="19" t="inlineStr">
        <is>
          <t>✓</t>
        </is>
      </c>
      <c r="X675" s="19" t="inlineStr">
        <is>
          <t>✓</t>
        </is>
      </c>
      <c r="Y675" s="19" t="inlineStr">
        <is>
          <t>✓</t>
        </is>
      </c>
      <c r="Z675" s="19" t="inlineStr">
        <is>
          <t>✓</t>
        </is>
      </c>
      <c r="AA675" s="19" t="n"/>
      <c r="AB675" s="19" t="inlineStr">
        <is>
          <t>6박</t>
        </is>
      </c>
      <c r="AC675" s="19" t="n"/>
      <c r="AD675" s="19" t="n"/>
      <c r="AE675" s="19" t="n"/>
      <c r="AF675" s="19" t="n"/>
      <c r="AG675" s="19" t="inlineStr">
        <is>
          <t>1</t>
        </is>
      </c>
      <c r="AH675" s="19" t="n"/>
      <c r="AI675" s="19" t="inlineStr">
        <is>
          <t>부영청소년수련원</t>
        </is>
      </c>
      <c r="AJ675" s="19" t="n"/>
      <c r="AK675" s="19" t="inlineStr">
        <is>
          <t>실제 명단 입력 필요(플레이스홀더)</t>
        </is>
      </c>
      <c r="AL675" s="19" t="inlineStr">
        <is>
          <t>Final Allocation/추가</t>
        </is>
      </c>
      <c r="AM675" s="19" t="inlineStr">
        <is>
          <t>플레이스홀더</t>
        </is>
      </c>
      <c r="AN675" s="19" t="inlineStr">
        <is>
          <t>미디어팀</t>
        </is>
      </c>
    </row>
    <row r="676">
      <c r="A676" s="19" t="inlineStr">
        <is>
          <t>PH025</t>
        </is>
      </c>
      <c r="B676" s="19" t="inlineStr">
        <is>
          <t>미디어팀</t>
        </is>
      </c>
      <c r="C676" s="19" t="inlineStr">
        <is>
          <t>미디어팀</t>
        </is>
      </c>
      <c r="D676" s="19" t="n"/>
      <c r="E676" s="19" t="inlineStr">
        <is>
          <t>[미디어팀 11]</t>
        </is>
      </c>
      <c r="F676" s="19" t="n"/>
      <c r="G676" s="19" t="inlineStr">
        <is>
          <t>?</t>
        </is>
      </c>
      <c r="H676" s="19" t="n"/>
      <c r="I676" s="19" t="n"/>
      <c r="J676" s="19" t="n"/>
      <c r="K676" s="19" t="n"/>
      <c r="L676" s="19" t="n"/>
      <c r="M676" s="19" t="n"/>
      <c r="N676" s="19" t="n"/>
      <c r="O676" s="19" t="inlineStr">
        <is>
          <t>Yes</t>
        </is>
      </c>
      <c r="P676" s="19" t="n"/>
      <c r="Q676" s="19" t="n"/>
      <c r="R676" s="19" t="n"/>
      <c r="S676" s="19" t="n"/>
      <c r="T676" s="19" t="n"/>
      <c r="U676" s="19" t="inlineStr">
        <is>
          <t>✓</t>
        </is>
      </c>
      <c r="V676" s="19" t="inlineStr">
        <is>
          <t>✓</t>
        </is>
      </c>
      <c r="W676" s="19" t="inlineStr">
        <is>
          <t>✓</t>
        </is>
      </c>
      <c r="X676" s="19" t="inlineStr">
        <is>
          <t>✓</t>
        </is>
      </c>
      <c r="Y676" s="19" t="inlineStr">
        <is>
          <t>✓</t>
        </is>
      </c>
      <c r="Z676" s="19" t="inlineStr">
        <is>
          <t>✓</t>
        </is>
      </c>
      <c r="AA676" s="19" t="n"/>
      <c r="AB676" s="19" t="inlineStr">
        <is>
          <t>6박</t>
        </is>
      </c>
      <c r="AC676" s="19" t="n"/>
      <c r="AD676" s="19" t="n"/>
      <c r="AE676" s="19" t="n"/>
      <c r="AF676" s="19" t="n"/>
      <c r="AG676" s="19" t="inlineStr">
        <is>
          <t>1</t>
        </is>
      </c>
      <c r="AH676" s="19" t="n"/>
      <c r="AI676" s="19" t="inlineStr">
        <is>
          <t>부영청소년수련원</t>
        </is>
      </c>
      <c r="AJ676" s="19" t="n"/>
      <c r="AK676" s="19" t="inlineStr">
        <is>
          <t>실제 명단 입력 필요(플레이스홀더)</t>
        </is>
      </c>
      <c r="AL676" s="19" t="inlineStr">
        <is>
          <t>Final Allocation/추가</t>
        </is>
      </c>
      <c r="AM676" s="19" t="inlineStr">
        <is>
          <t>플레이스홀더</t>
        </is>
      </c>
      <c r="AN676" s="19" t="inlineStr">
        <is>
          <t>미디어팀</t>
        </is>
      </c>
    </row>
    <row r="677">
      <c r="A677" s="19" t="inlineStr">
        <is>
          <t>PH026</t>
        </is>
      </c>
      <c r="B677" s="19" t="inlineStr">
        <is>
          <t>미디어팀</t>
        </is>
      </c>
      <c r="C677" s="19" t="inlineStr">
        <is>
          <t>미디어팀</t>
        </is>
      </c>
      <c r="D677" s="19" t="n"/>
      <c r="E677" s="19" t="inlineStr">
        <is>
          <t>[미디어팀 12]</t>
        </is>
      </c>
      <c r="F677" s="19" t="n"/>
      <c r="G677" s="19" t="inlineStr">
        <is>
          <t>?</t>
        </is>
      </c>
      <c r="H677" s="19" t="n"/>
      <c r="I677" s="19" t="n"/>
      <c r="J677" s="19" t="n"/>
      <c r="K677" s="19" t="n"/>
      <c r="L677" s="19" t="n"/>
      <c r="M677" s="19" t="n"/>
      <c r="N677" s="19" t="n"/>
      <c r="O677" s="19" t="inlineStr">
        <is>
          <t>Yes</t>
        </is>
      </c>
      <c r="P677" s="19" t="n"/>
      <c r="Q677" s="19" t="n"/>
      <c r="R677" s="19" t="n"/>
      <c r="S677" s="19" t="n"/>
      <c r="T677" s="19" t="n"/>
      <c r="U677" s="19" t="inlineStr">
        <is>
          <t>✓</t>
        </is>
      </c>
      <c r="V677" s="19" t="inlineStr">
        <is>
          <t>✓</t>
        </is>
      </c>
      <c r="W677" s="19" t="inlineStr">
        <is>
          <t>✓</t>
        </is>
      </c>
      <c r="X677" s="19" t="inlineStr">
        <is>
          <t>✓</t>
        </is>
      </c>
      <c r="Y677" s="19" t="inlineStr">
        <is>
          <t>✓</t>
        </is>
      </c>
      <c r="Z677" s="19" t="inlineStr">
        <is>
          <t>✓</t>
        </is>
      </c>
      <c r="AA677" s="19" t="n"/>
      <c r="AB677" s="19" t="inlineStr">
        <is>
          <t>6박</t>
        </is>
      </c>
      <c r="AC677" s="19" t="n"/>
      <c r="AD677" s="19" t="n"/>
      <c r="AE677" s="19" t="n"/>
      <c r="AF677" s="19" t="n"/>
      <c r="AG677" s="19" t="inlineStr">
        <is>
          <t>1</t>
        </is>
      </c>
      <c r="AH677" s="19" t="n"/>
      <c r="AI677" s="19" t="inlineStr">
        <is>
          <t>부영청소년수련원</t>
        </is>
      </c>
      <c r="AJ677" s="19" t="n"/>
      <c r="AK677" s="19" t="inlineStr">
        <is>
          <t>실제 명단 입력 필요(플레이스홀더)</t>
        </is>
      </c>
      <c r="AL677" s="19" t="inlineStr">
        <is>
          <t>Final Allocation/추가</t>
        </is>
      </c>
      <c r="AM677" s="19" t="inlineStr">
        <is>
          <t>플레이스홀더</t>
        </is>
      </c>
      <c r="AN677" s="19" t="inlineStr">
        <is>
          <t>미디어팀</t>
        </is>
      </c>
    </row>
    <row r="678">
      <c r="A678" s="17" t="inlineStr">
        <is>
          <t>P0651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n"/>
      <c r="E678" s="17" t="inlineStr">
        <is>
          <t>조연재</t>
        </is>
      </c>
      <c r="F678" s="17" t="n"/>
      <c r="G678" s="17" t="inlineStr">
        <is>
          <t>F</t>
        </is>
      </c>
      <c r="H678" s="17" t="n"/>
      <c r="I678" s="17" t="n"/>
      <c r="J678" s="17" t="n"/>
      <c r="K678" s="17" t="n"/>
      <c r="L678" s="17" t="n"/>
      <c r="M678" s="17" t="n"/>
      <c r="N678" s="17" t="n"/>
      <c r="O678" s="17" t="inlineStr">
        <is>
          <t>No</t>
        </is>
      </c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inlineStr">
        <is>
          <t>1</t>
        </is>
      </c>
      <c r="AH678" s="17" t="n"/>
      <c r="AI678" s="17" t="n"/>
      <c r="AJ678" s="17" t="n"/>
      <c r="AK678" s="17" t="inlineStr">
        <is>
          <t>자원봉사·제주도민</t>
        </is>
      </c>
      <c r="AL678" s="17" t="inlineStr">
        <is>
          <t>자원봉사자최종명단</t>
        </is>
      </c>
      <c r="AM678" s="17" t="n"/>
      <c r="AN678" s="17" t="inlineStr">
        <is>
          <t>자원봉사팀</t>
        </is>
      </c>
    </row>
    <row r="679">
      <c r="A679" s="17" t="inlineStr">
        <is>
          <t>P0652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n"/>
      <c r="E679" s="17" t="inlineStr">
        <is>
          <t>신진우</t>
        </is>
      </c>
      <c r="F679" s="17" t="n"/>
      <c r="G679" s="17" t="inlineStr">
        <is>
          <t>M</t>
        </is>
      </c>
      <c r="H679" s="17" t="n"/>
      <c r="I679" s="17" t="n"/>
      <c r="J679" s="17" t="n"/>
      <c r="K679" s="17" t="n"/>
      <c r="L679" s="17" t="n"/>
      <c r="M679" s="17" t="n"/>
      <c r="N679" s="17" t="n"/>
      <c r="O679" s="17" t="inlineStr">
        <is>
          <t>No</t>
        </is>
      </c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inlineStr">
        <is>
          <t>1</t>
        </is>
      </c>
      <c r="AH679" s="17" t="n"/>
      <c r="AI679" s="17" t="n"/>
      <c r="AJ679" s="17" t="n"/>
      <c r="AK679" s="17" t="inlineStr">
        <is>
          <t>자원봉사·제주도민</t>
        </is>
      </c>
      <c r="AL679" s="17" t="inlineStr">
        <is>
          <t>자원봉사자최종명단</t>
        </is>
      </c>
      <c r="AM679" s="17" t="n"/>
      <c r="AN679" s="17" t="inlineStr">
        <is>
          <t>자원봉사팀</t>
        </is>
      </c>
    </row>
    <row r="680">
      <c r="A680" s="17" t="inlineStr">
        <is>
          <t>P0653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n"/>
      <c r="E680" s="17" t="inlineStr">
        <is>
          <t>이희승</t>
        </is>
      </c>
      <c r="F680" s="17" t="n"/>
      <c r="G680" s="17" t="inlineStr">
        <is>
          <t>F</t>
        </is>
      </c>
      <c r="H680" s="17" t="n"/>
      <c r="I680" s="17" t="n"/>
      <c r="J680" s="17" t="n"/>
      <c r="K680" s="17" t="n"/>
      <c r="L680" s="17" t="n"/>
      <c r="M680" s="17" t="n"/>
      <c r="N680" s="17" t="n"/>
      <c r="O680" s="17" t="inlineStr">
        <is>
          <t>No</t>
        </is>
      </c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inlineStr">
        <is>
          <t>1</t>
        </is>
      </c>
      <c r="AH680" s="17" t="n"/>
      <c r="AI680" s="17" t="n"/>
      <c r="AJ680" s="17" t="n"/>
      <c r="AK680" s="17" t="inlineStr">
        <is>
          <t>자원봉사·제주도민</t>
        </is>
      </c>
      <c r="AL680" s="17" t="inlineStr">
        <is>
          <t>자원봉사자최종명단</t>
        </is>
      </c>
      <c r="AM680" s="17" t="n"/>
      <c r="AN680" s="17" t="inlineStr">
        <is>
          <t>자원봉사팀</t>
        </is>
      </c>
    </row>
    <row r="681">
      <c r="A681" s="17" t="inlineStr">
        <is>
          <t>P0654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n"/>
      <c r="E681" s="17" t="inlineStr">
        <is>
          <t>박승신</t>
        </is>
      </c>
      <c r="F681" s="17" t="n"/>
      <c r="G681" s="17" t="inlineStr">
        <is>
          <t>M</t>
        </is>
      </c>
      <c r="H681" s="17" t="n"/>
      <c r="I681" s="17" t="n"/>
      <c r="J681" s="17" t="n"/>
      <c r="K681" s="17" t="n"/>
      <c r="L681" s="17" t="n"/>
      <c r="M681" s="17" t="n"/>
      <c r="N681" s="17" t="n"/>
      <c r="O681" s="17" t="inlineStr">
        <is>
          <t>No</t>
        </is>
      </c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inlineStr">
        <is>
          <t>1</t>
        </is>
      </c>
      <c r="AH681" s="17" t="n"/>
      <c r="AI681" s="17" t="n"/>
      <c r="AJ681" s="17" t="n"/>
      <c r="AK681" s="17" t="inlineStr">
        <is>
          <t>자원봉사·제주도민</t>
        </is>
      </c>
      <c r="AL681" s="17" t="inlineStr">
        <is>
          <t>자원봉사자최종명단</t>
        </is>
      </c>
      <c r="AM681" s="17" t="n"/>
      <c r="AN681" s="17" t="inlineStr">
        <is>
          <t>자원봉사팀</t>
        </is>
      </c>
    </row>
    <row r="682">
      <c r="A682" s="17" t="inlineStr">
        <is>
          <t>P0655</t>
        </is>
      </c>
      <c r="B682" s="17" t="inlineStr">
        <is>
          <t>자원봉사팀</t>
        </is>
      </c>
      <c r="C682" s="17" t="inlineStr">
        <is>
          <t>자원봉사팀</t>
        </is>
      </c>
      <c r="D682" s="17" t="n"/>
      <c r="E682" s="17" t="inlineStr">
        <is>
          <t>임현진</t>
        </is>
      </c>
      <c r="F682" s="17" t="n"/>
      <c r="G682" s="17" t="inlineStr">
        <is>
          <t>F</t>
        </is>
      </c>
      <c r="H682" s="17" t="n"/>
      <c r="I682" s="17" t="n"/>
      <c r="J682" s="17" t="n"/>
      <c r="K682" s="17" t="n"/>
      <c r="L682" s="17" t="n"/>
      <c r="M682" s="17" t="n"/>
      <c r="N682" s="17" t="n"/>
      <c r="O682" s="17" t="inlineStr">
        <is>
          <t>Yes</t>
        </is>
      </c>
      <c r="P682" s="17" t="n"/>
      <c r="Q682" s="17" t="n"/>
      <c r="R682" s="17" t="n"/>
      <c r="S682" s="17" t="n"/>
      <c r="T682" s="17" t="n"/>
      <c r="U682" s="17" t="inlineStr">
        <is>
          <t>✓</t>
        </is>
      </c>
      <c r="V682" s="17" t="inlineStr">
        <is>
          <t>✓</t>
        </is>
      </c>
      <c r="W682" s="17" t="inlineStr">
        <is>
          <t>✓</t>
        </is>
      </c>
      <c r="X682" s="17" t="inlineStr">
        <is>
          <t>✓</t>
        </is>
      </c>
      <c r="Y682" s="17" t="inlineStr">
        <is>
          <t>✓</t>
        </is>
      </c>
      <c r="Z682" s="17" t="inlineStr">
        <is>
          <t>✓</t>
        </is>
      </c>
      <c r="AA682" s="17" t="n"/>
      <c r="AB682" s="17" t="inlineStr">
        <is>
          <t>6박</t>
        </is>
      </c>
      <c r="AC682" s="17" t="n"/>
      <c r="AD682" s="17" t="n"/>
      <c r="AE682" s="17" t="n"/>
      <c r="AF682" s="17" t="n"/>
      <c r="AG682" s="17" t="inlineStr">
        <is>
          <t>1</t>
        </is>
      </c>
      <c r="AH682" s="17" t="n"/>
      <c r="AI682" s="17" t="inlineStr">
        <is>
          <t>부영청소년수련원</t>
        </is>
      </c>
      <c r="AJ682" s="17" t="n"/>
      <c r="AK682" s="17" t="inlineStr">
        <is>
          <t>자원봉사·비제주</t>
        </is>
      </c>
      <c r="AL682" s="17" t="inlineStr">
        <is>
          <t>자원봉사자최종명단</t>
        </is>
      </c>
      <c r="AM682" s="17" t="n"/>
      <c r="AN682" s="17" t="inlineStr">
        <is>
          <t>자원봉사팀</t>
        </is>
      </c>
    </row>
    <row r="683">
      <c r="A683" s="17" t="inlineStr">
        <is>
          <t>P0656</t>
        </is>
      </c>
      <c r="B683" s="17" t="inlineStr">
        <is>
          <t>자원봉사팀</t>
        </is>
      </c>
      <c r="C683" s="17" t="inlineStr">
        <is>
          <t>자원봉사팀</t>
        </is>
      </c>
      <c r="D683" s="17" t="n"/>
      <c r="E683" s="17" t="inlineStr">
        <is>
          <t>위지인</t>
        </is>
      </c>
      <c r="F683" s="17" t="n"/>
      <c r="G683" s="17" t="inlineStr">
        <is>
          <t>F</t>
        </is>
      </c>
      <c r="H683" s="17" t="n"/>
      <c r="I683" s="17" t="n"/>
      <c r="J683" s="17" t="n"/>
      <c r="K683" s="17" t="n"/>
      <c r="L683" s="17" t="n"/>
      <c r="M683" s="17" t="n"/>
      <c r="N683" s="17" t="n"/>
      <c r="O683" s="17" t="inlineStr">
        <is>
          <t>Yes</t>
        </is>
      </c>
      <c r="P683" s="17" t="n"/>
      <c r="Q683" s="17" t="n"/>
      <c r="R683" s="17" t="n"/>
      <c r="S683" s="17" t="n"/>
      <c r="T683" s="17" t="n"/>
      <c r="U683" s="17" t="inlineStr">
        <is>
          <t>✓</t>
        </is>
      </c>
      <c r="V683" s="17" t="inlineStr">
        <is>
          <t>✓</t>
        </is>
      </c>
      <c r="W683" s="17" t="inlineStr">
        <is>
          <t>✓</t>
        </is>
      </c>
      <c r="X683" s="17" t="inlineStr">
        <is>
          <t>✓</t>
        </is>
      </c>
      <c r="Y683" s="17" t="inlineStr">
        <is>
          <t>✓</t>
        </is>
      </c>
      <c r="Z683" s="17" t="inlineStr">
        <is>
          <t>✓</t>
        </is>
      </c>
      <c r="AA683" s="17" t="n"/>
      <c r="AB683" s="17" t="inlineStr">
        <is>
          <t>6박</t>
        </is>
      </c>
      <c r="AC683" s="17" t="n"/>
      <c r="AD683" s="17" t="n"/>
      <c r="AE683" s="17" t="n"/>
      <c r="AF683" s="17" t="n"/>
      <c r="AG683" s="17" t="inlineStr">
        <is>
          <t>1</t>
        </is>
      </c>
      <c r="AH683" s="17" t="n"/>
      <c r="AI683" s="17" t="inlineStr">
        <is>
          <t>부영청소년수련원</t>
        </is>
      </c>
      <c r="AJ683" s="17" t="n"/>
      <c r="AK683" s="17" t="inlineStr">
        <is>
          <t>자원봉사·비제주</t>
        </is>
      </c>
      <c r="AL683" s="17" t="inlineStr">
        <is>
          <t>자원봉사자최종명단</t>
        </is>
      </c>
      <c r="AM683" s="17" t="n"/>
      <c r="AN683" s="17" t="inlineStr">
        <is>
          <t>자원봉사팀</t>
        </is>
      </c>
    </row>
    <row r="684">
      <c r="A684" s="17" t="inlineStr">
        <is>
          <t>P0657</t>
        </is>
      </c>
      <c r="B684" s="17" t="inlineStr">
        <is>
          <t>자원봉사팀</t>
        </is>
      </c>
      <c r="C684" s="17" t="inlineStr">
        <is>
          <t>자원봉사팀</t>
        </is>
      </c>
      <c r="D684" s="17" t="n"/>
      <c r="E684" s="17" t="inlineStr">
        <is>
          <t>정정은</t>
        </is>
      </c>
      <c r="F684" s="17" t="n"/>
      <c r="G684" s="17" t="inlineStr">
        <is>
          <t>F</t>
        </is>
      </c>
      <c r="H684" s="17" t="n"/>
      <c r="I684" s="17" t="n"/>
      <c r="J684" s="17" t="n"/>
      <c r="K684" s="17" t="n"/>
      <c r="L684" s="17" t="n"/>
      <c r="M684" s="17" t="n"/>
      <c r="N684" s="17" t="n"/>
      <c r="O684" s="17" t="inlineStr">
        <is>
          <t>Yes</t>
        </is>
      </c>
      <c r="P684" s="17" t="n"/>
      <c r="Q684" s="17" t="n"/>
      <c r="R684" s="17" t="n"/>
      <c r="S684" s="17" t="n"/>
      <c r="T684" s="17" t="n"/>
      <c r="U684" s="17" t="inlineStr">
        <is>
          <t>✓</t>
        </is>
      </c>
      <c r="V684" s="17" t="inlineStr">
        <is>
          <t>✓</t>
        </is>
      </c>
      <c r="W684" s="17" t="inlineStr">
        <is>
          <t>✓</t>
        </is>
      </c>
      <c r="X684" s="17" t="inlineStr">
        <is>
          <t>✓</t>
        </is>
      </c>
      <c r="Y684" s="17" t="inlineStr">
        <is>
          <t>✓</t>
        </is>
      </c>
      <c r="Z684" s="17" t="inlineStr">
        <is>
          <t>✓</t>
        </is>
      </c>
      <c r="AA684" s="17" t="n"/>
      <c r="AB684" s="17" t="inlineStr">
        <is>
          <t>6박</t>
        </is>
      </c>
      <c r="AC684" s="17" t="n"/>
      <c r="AD684" s="17" t="n"/>
      <c r="AE684" s="17" t="n"/>
      <c r="AF684" s="17" t="n"/>
      <c r="AG684" s="17" t="inlineStr">
        <is>
          <t>1</t>
        </is>
      </c>
      <c r="AH684" s="17" t="n"/>
      <c r="AI684" s="17" t="inlineStr">
        <is>
          <t>부영청소년수련원</t>
        </is>
      </c>
      <c r="AJ684" s="17" t="n"/>
      <c r="AK684" s="17" t="inlineStr">
        <is>
          <t>자원봉사·비제주</t>
        </is>
      </c>
      <c r="AL684" s="17" t="inlineStr">
        <is>
          <t>자원봉사자최종명단</t>
        </is>
      </c>
      <c r="AM684" s="17" t="n"/>
      <c r="AN684" s="17" t="inlineStr">
        <is>
          <t>자원봉사팀</t>
        </is>
      </c>
    </row>
    <row r="685">
      <c r="A685" s="17" t="inlineStr">
        <is>
          <t>P0658</t>
        </is>
      </c>
      <c r="B685" s="17" t="inlineStr">
        <is>
          <t>자원봉사팀</t>
        </is>
      </c>
      <c r="C685" s="17" t="inlineStr">
        <is>
          <t>자원봉사팀</t>
        </is>
      </c>
      <c r="D685" s="17" t="n"/>
      <c r="E685" s="17" t="inlineStr">
        <is>
          <t>한지민</t>
        </is>
      </c>
      <c r="F685" s="17" t="n"/>
      <c r="G685" s="17" t="inlineStr">
        <is>
          <t>M</t>
        </is>
      </c>
      <c r="H685" s="17" t="n"/>
      <c r="I685" s="17" t="n"/>
      <c r="J685" s="17" t="n"/>
      <c r="K685" s="17" t="n"/>
      <c r="L685" s="17" t="n"/>
      <c r="M685" s="17" t="n"/>
      <c r="N685" s="17" t="n"/>
      <c r="O685" s="17" t="inlineStr">
        <is>
          <t>Yes</t>
        </is>
      </c>
      <c r="P685" s="17" t="n"/>
      <c r="Q685" s="17" t="n"/>
      <c r="R685" s="17" t="n"/>
      <c r="S685" s="17" t="n"/>
      <c r="T685" s="17" t="n"/>
      <c r="U685" s="17" t="inlineStr">
        <is>
          <t>✓</t>
        </is>
      </c>
      <c r="V685" s="17" t="inlineStr">
        <is>
          <t>✓</t>
        </is>
      </c>
      <c r="W685" s="17" t="inlineStr">
        <is>
          <t>✓</t>
        </is>
      </c>
      <c r="X685" s="17" t="inlineStr">
        <is>
          <t>✓</t>
        </is>
      </c>
      <c r="Y685" s="17" t="inlineStr">
        <is>
          <t>✓</t>
        </is>
      </c>
      <c r="Z685" s="17" t="inlineStr">
        <is>
          <t>✓</t>
        </is>
      </c>
      <c r="AA685" s="17" t="n"/>
      <c r="AB685" s="17" t="inlineStr">
        <is>
          <t>6박</t>
        </is>
      </c>
      <c r="AC685" s="17" t="n"/>
      <c r="AD685" s="17" t="n"/>
      <c r="AE685" s="17" t="n"/>
      <c r="AF685" s="17" t="n"/>
      <c r="AG685" s="17" t="inlineStr">
        <is>
          <t>1</t>
        </is>
      </c>
      <c r="AH685" s="17" t="n"/>
      <c r="AI685" s="17" t="inlineStr">
        <is>
          <t>부영청소년수련원</t>
        </is>
      </c>
      <c r="AJ685" s="17" t="n"/>
      <c r="AK685" s="17" t="inlineStr">
        <is>
          <t>자원봉사·비제주</t>
        </is>
      </c>
      <c r="AL685" s="17" t="inlineStr">
        <is>
          <t>자원봉사자최종명단</t>
        </is>
      </c>
      <c r="AM685" s="17" t="n"/>
      <c r="AN685" s="17" t="inlineStr">
        <is>
          <t>자원봉사팀</t>
        </is>
      </c>
    </row>
    <row r="686">
      <c r="A686" s="17" t="inlineStr">
        <is>
          <t>P0659</t>
        </is>
      </c>
      <c r="B686" s="17" t="inlineStr">
        <is>
          <t>자원봉사팀</t>
        </is>
      </c>
      <c r="C686" s="17" t="inlineStr">
        <is>
          <t>자원봉사팀</t>
        </is>
      </c>
      <c r="D686" s="17" t="n"/>
      <c r="E686" s="17" t="inlineStr">
        <is>
          <t>양서진</t>
        </is>
      </c>
      <c r="F686" s="17" t="n"/>
      <c r="G686" s="17" t="inlineStr">
        <is>
          <t>F</t>
        </is>
      </c>
      <c r="H686" s="17" t="n"/>
      <c r="I686" s="17" t="n"/>
      <c r="J686" s="17" t="n"/>
      <c r="K686" s="17" t="n"/>
      <c r="L686" s="17" t="n"/>
      <c r="M686" s="17" t="n"/>
      <c r="N686" s="17" t="n"/>
      <c r="O686" s="17" t="inlineStr">
        <is>
          <t>Yes</t>
        </is>
      </c>
      <c r="P686" s="17" t="n"/>
      <c r="Q686" s="17" t="n"/>
      <c r="R686" s="17" t="n"/>
      <c r="S686" s="17" t="n"/>
      <c r="T686" s="17" t="n"/>
      <c r="U686" s="17" t="inlineStr">
        <is>
          <t>✓</t>
        </is>
      </c>
      <c r="V686" s="17" t="inlineStr">
        <is>
          <t>✓</t>
        </is>
      </c>
      <c r="W686" s="17" t="inlineStr">
        <is>
          <t>✓</t>
        </is>
      </c>
      <c r="X686" s="17" t="inlineStr">
        <is>
          <t>✓</t>
        </is>
      </c>
      <c r="Y686" s="17" t="inlineStr">
        <is>
          <t>✓</t>
        </is>
      </c>
      <c r="Z686" s="17" t="inlineStr">
        <is>
          <t>✓</t>
        </is>
      </c>
      <c r="AA686" s="17" t="n"/>
      <c r="AB686" s="17" t="inlineStr">
        <is>
          <t>6박</t>
        </is>
      </c>
      <c r="AC686" s="17" t="n"/>
      <c r="AD686" s="17" t="n"/>
      <c r="AE686" s="17" t="n"/>
      <c r="AF686" s="17" t="n"/>
      <c r="AG686" s="17" t="inlineStr">
        <is>
          <t>1</t>
        </is>
      </c>
      <c r="AH686" s="17" t="n"/>
      <c r="AI686" s="17" t="inlineStr">
        <is>
          <t>부영청소년수련원</t>
        </is>
      </c>
      <c r="AJ686" s="17" t="n"/>
      <c r="AK686" s="17" t="inlineStr">
        <is>
          <t>자원봉사·비제주</t>
        </is>
      </c>
      <c r="AL686" s="17" t="inlineStr">
        <is>
          <t>자원봉사자최종명단</t>
        </is>
      </c>
      <c r="AM686" s="17" t="n"/>
      <c r="AN686" s="17" t="inlineStr">
        <is>
          <t>자원봉사팀</t>
        </is>
      </c>
    </row>
    <row r="687">
      <c r="A687" s="17" t="inlineStr">
        <is>
          <t>P0660</t>
        </is>
      </c>
      <c r="B687" s="17" t="inlineStr">
        <is>
          <t>자원봉사팀</t>
        </is>
      </c>
      <c r="C687" s="17" t="inlineStr">
        <is>
          <t>자원봉사팀</t>
        </is>
      </c>
      <c r="D687" s="17" t="n"/>
      <c r="E687" s="17" t="inlineStr">
        <is>
          <t>이예준</t>
        </is>
      </c>
      <c r="F687" s="17" t="n"/>
      <c r="G687" s="17" t="inlineStr">
        <is>
          <t>M</t>
        </is>
      </c>
      <c r="H687" s="17" t="n"/>
      <c r="I687" s="17" t="n"/>
      <c r="J687" s="17" t="n"/>
      <c r="K687" s="17" t="n"/>
      <c r="L687" s="17" t="n"/>
      <c r="M687" s="17" t="n"/>
      <c r="N687" s="17" t="n"/>
      <c r="O687" s="17" t="inlineStr">
        <is>
          <t>Yes</t>
        </is>
      </c>
      <c r="P687" s="17" t="n"/>
      <c r="Q687" s="17" t="n"/>
      <c r="R687" s="17" t="n"/>
      <c r="S687" s="17" t="n"/>
      <c r="T687" s="17" t="n"/>
      <c r="U687" s="17" t="inlineStr">
        <is>
          <t>✓</t>
        </is>
      </c>
      <c r="V687" s="17" t="inlineStr">
        <is>
          <t>✓</t>
        </is>
      </c>
      <c r="W687" s="17" t="inlineStr">
        <is>
          <t>✓</t>
        </is>
      </c>
      <c r="X687" s="17" t="inlineStr">
        <is>
          <t>✓</t>
        </is>
      </c>
      <c r="Y687" s="17" t="inlineStr">
        <is>
          <t>✓</t>
        </is>
      </c>
      <c r="Z687" s="17" t="inlineStr">
        <is>
          <t>✓</t>
        </is>
      </c>
      <c r="AA687" s="17" t="n"/>
      <c r="AB687" s="17" t="inlineStr">
        <is>
          <t>6박</t>
        </is>
      </c>
      <c r="AC687" s="17" t="n"/>
      <c r="AD687" s="17" t="n"/>
      <c r="AE687" s="17" t="n"/>
      <c r="AF687" s="17" t="n"/>
      <c r="AG687" s="17" t="inlineStr">
        <is>
          <t>1</t>
        </is>
      </c>
      <c r="AH687" s="17" t="n"/>
      <c r="AI687" s="17" t="inlineStr">
        <is>
          <t>부영청소년수련원</t>
        </is>
      </c>
      <c r="AJ687" s="17" t="n"/>
      <c r="AK687" s="17" t="inlineStr">
        <is>
          <t>자원봉사·비제주</t>
        </is>
      </c>
      <c r="AL687" s="17" t="inlineStr">
        <is>
          <t>자원봉사자최종명단</t>
        </is>
      </c>
      <c r="AM687" s="17" t="n"/>
      <c r="AN687" s="17" t="inlineStr">
        <is>
          <t>자원봉사팀</t>
        </is>
      </c>
    </row>
    <row r="688">
      <c r="A688" s="17" t="inlineStr">
        <is>
          <t>P0661</t>
        </is>
      </c>
      <c r="B688" s="17" t="inlineStr">
        <is>
          <t>자원봉사팀</t>
        </is>
      </c>
      <c r="C688" s="17" t="inlineStr">
        <is>
          <t>자원봉사팀</t>
        </is>
      </c>
      <c r="D688" s="17" t="n"/>
      <c r="E688" s="17" t="inlineStr">
        <is>
          <t>박진호</t>
        </is>
      </c>
      <c r="F688" s="17" t="n"/>
      <c r="G688" s="17" t="inlineStr">
        <is>
          <t>M</t>
        </is>
      </c>
      <c r="H688" s="17" t="n"/>
      <c r="I688" s="17" t="n"/>
      <c r="J688" s="17" t="n"/>
      <c r="K688" s="17" t="n"/>
      <c r="L688" s="17" t="n"/>
      <c r="M688" s="17" t="n"/>
      <c r="N688" s="17" t="n"/>
      <c r="O688" s="17" t="inlineStr">
        <is>
          <t>Yes</t>
        </is>
      </c>
      <c r="P688" s="17" t="n"/>
      <c r="Q688" s="17" t="n"/>
      <c r="R688" s="17" t="n"/>
      <c r="S688" s="17" t="n"/>
      <c r="T688" s="17" t="n"/>
      <c r="U688" s="17" t="inlineStr">
        <is>
          <t>✓</t>
        </is>
      </c>
      <c r="V688" s="17" t="inlineStr">
        <is>
          <t>✓</t>
        </is>
      </c>
      <c r="W688" s="17" t="inlineStr">
        <is>
          <t>✓</t>
        </is>
      </c>
      <c r="X688" s="17" t="inlineStr">
        <is>
          <t>✓</t>
        </is>
      </c>
      <c r="Y688" s="17" t="inlineStr">
        <is>
          <t>✓</t>
        </is>
      </c>
      <c r="Z688" s="17" t="inlineStr">
        <is>
          <t>✓</t>
        </is>
      </c>
      <c r="AA688" s="17" t="n"/>
      <c r="AB688" s="17" t="inlineStr">
        <is>
          <t>6박</t>
        </is>
      </c>
      <c r="AC688" s="17" t="n"/>
      <c r="AD688" s="17" t="n"/>
      <c r="AE688" s="17" t="n"/>
      <c r="AF688" s="17" t="n"/>
      <c r="AG688" s="17" t="inlineStr">
        <is>
          <t>1</t>
        </is>
      </c>
      <c r="AH688" s="17" t="n"/>
      <c r="AI688" s="17" t="inlineStr">
        <is>
          <t>부영청소년수련원</t>
        </is>
      </c>
      <c r="AJ688" s="17" t="n"/>
      <c r="AK688" s="17" t="inlineStr">
        <is>
          <t>자원봉사·비제주</t>
        </is>
      </c>
      <c r="AL688" s="17" t="inlineStr">
        <is>
          <t>자원봉사자최종명단</t>
        </is>
      </c>
      <c r="AM688" s="17" t="n"/>
      <c r="AN688" s="17" t="inlineStr">
        <is>
          <t>자원봉사팀</t>
        </is>
      </c>
    </row>
    <row r="689">
      <c r="A689" s="17" t="inlineStr">
        <is>
          <t>P0662</t>
        </is>
      </c>
      <c r="B689" s="17" t="inlineStr">
        <is>
          <t>자원봉사팀</t>
        </is>
      </c>
      <c r="C689" s="17" t="inlineStr">
        <is>
          <t>자원봉사팀</t>
        </is>
      </c>
      <c r="D689" s="17" t="n"/>
      <c r="E689" s="17" t="inlineStr">
        <is>
          <t>김채린</t>
        </is>
      </c>
      <c r="F689" s="17" t="n"/>
      <c r="G689" s="17" t="inlineStr">
        <is>
          <t>F</t>
        </is>
      </c>
      <c r="H689" s="17" t="n"/>
      <c r="I689" s="17" t="n"/>
      <c r="J689" s="17" t="n"/>
      <c r="K689" s="17" t="n"/>
      <c r="L689" s="17" t="n"/>
      <c r="M689" s="17" t="n"/>
      <c r="N689" s="17" t="n"/>
      <c r="O689" s="17" t="inlineStr">
        <is>
          <t>No</t>
        </is>
      </c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inlineStr">
        <is>
          <t>1</t>
        </is>
      </c>
      <c r="AH689" s="17" t="n"/>
      <c r="AI689" s="17" t="n"/>
      <c r="AJ689" s="17" t="n"/>
      <c r="AK689" s="17" t="inlineStr">
        <is>
          <t>자원봉사·제주도민</t>
        </is>
      </c>
      <c r="AL689" s="17" t="inlineStr">
        <is>
          <t>자원봉사자최종명단</t>
        </is>
      </c>
      <c r="AM689" s="17" t="n"/>
      <c r="AN689" s="17" t="inlineStr">
        <is>
          <t>자원봉사팀</t>
        </is>
      </c>
    </row>
    <row r="690">
      <c r="A690" s="17" t="inlineStr">
        <is>
          <t>P0663</t>
        </is>
      </c>
      <c r="B690" s="17" t="inlineStr">
        <is>
          <t>자원봉사팀</t>
        </is>
      </c>
      <c r="C690" s="17" t="inlineStr">
        <is>
          <t>자원봉사팀</t>
        </is>
      </c>
      <c r="D690" s="17" t="n"/>
      <c r="E690" s="17" t="inlineStr">
        <is>
          <t>신예원</t>
        </is>
      </c>
      <c r="F690" s="17" t="n"/>
      <c r="G690" s="17" t="inlineStr">
        <is>
          <t>F</t>
        </is>
      </c>
      <c r="H690" s="17" t="n"/>
      <c r="I690" s="17" t="n"/>
      <c r="J690" s="17" t="n"/>
      <c r="K690" s="17" t="n"/>
      <c r="L690" s="17" t="n"/>
      <c r="M690" s="17" t="n"/>
      <c r="N690" s="17" t="n"/>
      <c r="O690" s="17" t="inlineStr">
        <is>
          <t>Yes</t>
        </is>
      </c>
      <c r="P690" s="17" t="n"/>
      <c r="Q690" s="17" t="n"/>
      <c r="R690" s="17" t="n"/>
      <c r="S690" s="17" t="n"/>
      <c r="T690" s="17" t="n"/>
      <c r="U690" s="17" t="inlineStr">
        <is>
          <t>✓</t>
        </is>
      </c>
      <c r="V690" s="17" t="inlineStr">
        <is>
          <t>✓</t>
        </is>
      </c>
      <c r="W690" s="17" t="inlineStr">
        <is>
          <t>✓</t>
        </is>
      </c>
      <c r="X690" s="17" t="inlineStr">
        <is>
          <t>✓</t>
        </is>
      </c>
      <c r="Y690" s="17" t="inlineStr">
        <is>
          <t>✓</t>
        </is>
      </c>
      <c r="Z690" s="17" t="inlineStr">
        <is>
          <t>✓</t>
        </is>
      </c>
      <c r="AA690" s="17" t="n"/>
      <c r="AB690" s="17" t="inlineStr">
        <is>
          <t>6박</t>
        </is>
      </c>
      <c r="AC690" s="17" t="n"/>
      <c r="AD690" s="17" t="n"/>
      <c r="AE690" s="17" t="n"/>
      <c r="AF690" s="17" t="n"/>
      <c r="AG690" s="17" t="inlineStr">
        <is>
          <t>1</t>
        </is>
      </c>
      <c r="AH690" s="17" t="n"/>
      <c r="AI690" s="17" t="inlineStr">
        <is>
          <t>부영청소년수련원</t>
        </is>
      </c>
      <c r="AJ690" s="17" t="n"/>
      <c r="AK690" s="17" t="inlineStr">
        <is>
          <t>자원봉사·비제주</t>
        </is>
      </c>
      <c r="AL690" s="17" t="inlineStr">
        <is>
          <t>자원봉사자최종명단</t>
        </is>
      </c>
      <c r="AM690" s="17" t="n"/>
      <c r="AN690" s="17" t="inlineStr">
        <is>
          <t>자원봉사팀</t>
        </is>
      </c>
    </row>
    <row r="691">
      <c r="A691" s="17" t="inlineStr">
        <is>
          <t>P0664</t>
        </is>
      </c>
      <c r="B691" s="17" t="inlineStr">
        <is>
          <t>자원봉사팀</t>
        </is>
      </c>
      <c r="C691" s="17" t="inlineStr">
        <is>
          <t>자원봉사팀</t>
        </is>
      </c>
      <c r="D691" s="17" t="n"/>
      <c r="E691" s="17" t="inlineStr">
        <is>
          <t>성정한</t>
        </is>
      </c>
      <c r="F691" s="17" t="n"/>
      <c r="G691" s="17" t="inlineStr">
        <is>
          <t>M</t>
        </is>
      </c>
      <c r="H691" s="17" t="n"/>
      <c r="I691" s="17" t="n"/>
      <c r="J691" s="17" t="n"/>
      <c r="K691" s="17" t="n"/>
      <c r="L691" s="17" t="n"/>
      <c r="M691" s="17" t="n"/>
      <c r="N691" s="17" t="n"/>
      <c r="O691" s="17" t="inlineStr">
        <is>
          <t>No</t>
        </is>
      </c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inlineStr">
        <is>
          <t>1</t>
        </is>
      </c>
      <c r="AH691" s="17" t="n"/>
      <c r="AI691" s="17" t="n"/>
      <c r="AJ691" s="17" t="n"/>
      <c r="AK691" s="17" t="inlineStr">
        <is>
          <t>자원봉사·제주도민</t>
        </is>
      </c>
      <c r="AL691" s="17" t="inlineStr">
        <is>
          <t>자원봉사자최종명단</t>
        </is>
      </c>
      <c r="AM691" s="17" t="n"/>
      <c r="AN691" s="17" t="inlineStr">
        <is>
          <t>자원봉사팀</t>
        </is>
      </c>
    </row>
    <row r="692">
      <c r="A692" s="17" t="inlineStr">
        <is>
          <t>P0665</t>
        </is>
      </c>
      <c r="B692" s="17" t="inlineStr">
        <is>
          <t>자원봉사팀</t>
        </is>
      </c>
      <c r="C692" s="17" t="inlineStr">
        <is>
          <t>자원봉사팀</t>
        </is>
      </c>
      <c r="D692" s="17" t="n"/>
      <c r="E692" s="17" t="inlineStr">
        <is>
          <t>강동희</t>
        </is>
      </c>
      <c r="F692" s="17" t="n"/>
      <c r="G692" s="17" t="inlineStr">
        <is>
          <t>F</t>
        </is>
      </c>
      <c r="H692" s="17" t="n"/>
      <c r="I692" s="17" t="n"/>
      <c r="J692" s="17" t="n"/>
      <c r="K692" s="17" t="n"/>
      <c r="L692" s="17" t="n"/>
      <c r="M692" s="17" t="n"/>
      <c r="N692" s="17" t="n"/>
      <c r="O692" s="17" t="inlineStr">
        <is>
          <t>No</t>
        </is>
      </c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inlineStr">
        <is>
          <t>1</t>
        </is>
      </c>
      <c r="AH692" s="17" t="n"/>
      <c r="AI692" s="17" t="n"/>
      <c r="AJ692" s="17" t="n"/>
      <c r="AK692" s="17" t="inlineStr">
        <is>
          <t>자원봉사·제주도민</t>
        </is>
      </c>
      <c r="AL692" s="17" t="inlineStr">
        <is>
          <t>자원봉사자최종명단</t>
        </is>
      </c>
      <c r="AM692" s="17" t="n"/>
      <c r="AN692" s="17" t="inlineStr">
        <is>
          <t>자원봉사팀</t>
        </is>
      </c>
    </row>
    <row r="693">
      <c r="A693" s="17" t="inlineStr">
        <is>
          <t>P0666</t>
        </is>
      </c>
      <c r="B693" s="17" t="inlineStr">
        <is>
          <t>자원봉사팀</t>
        </is>
      </c>
      <c r="C693" s="17" t="inlineStr">
        <is>
          <t>자원봉사팀</t>
        </is>
      </c>
      <c r="D693" s="17" t="n"/>
      <c r="E693" s="17" t="inlineStr">
        <is>
          <t>이승건</t>
        </is>
      </c>
      <c r="F693" s="17" t="n"/>
      <c r="G693" s="17" t="inlineStr">
        <is>
          <t>M</t>
        </is>
      </c>
      <c r="H693" s="17" t="n"/>
      <c r="I693" s="17" t="n"/>
      <c r="J693" s="17" t="n"/>
      <c r="K693" s="17" t="n"/>
      <c r="L693" s="17" t="n"/>
      <c r="M693" s="17" t="n"/>
      <c r="N693" s="17" t="n"/>
      <c r="O693" s="17" t="inlineStr">
        <is>
          <t>No</t>
        </is>
      </c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inlineStr">
        <is>
          <t>1</t>
        </is>
      </c>
      <c r="AH693" s="17" t="n"/>
      <c r="AI693" s="17" t="n"/>
      <c r="AJ693" s="17" t="n"/>
      <c r="AK693" s="17" t="inlineStr">
        <is>
          <t>자원봉사·제주도민</t>
        </is>
      </c>
      <c r="AL693" s="17" t="inlineStr">
        <is>
          <t>자원봉사자최종명단</t>
        </is>
      </c>
      <c r="AM693" s="17" t="n"/>
      <c r="AN693" s="17" t="inlineStr">
        <is>
          <t>자원봉사팀</t>
        </is>
      </c>
    </row>
    <row r="694">
      <c r="A694" s="17" t="inlineStr">
        <is>
          <t>P0667</t>
        </is>
      </c>
      <c r="B694" s="17" t="inlineStr">
        <is>
          <t>자원봉사팀</t>
        </is>
      </c>
      <c r="C694" s="17" t="inlineStr">
        <is>
          <t>자원봉사팀</t>
        </is>
      </c>
      <c r="D694" s="17" t="n"/>
      <c r="E694" s="17" t="inlineStr">
        <is>
          <t>이윤건</t>
        </is>
      </c>
      <c r="F694" s="17" t="n"/>
      <c r="G694" s="17" t="inlineStr">
        <is>
          <t>M</t>
        </is>
      </c>
      <c r="H694" s="17" t="n"/>
      <c r="I694" s="17" t="n"/>
      <c r="J694" s="17" t="n"/>
      <c r="K694" s="17" t="n"/>
      <c r="L694" s="17" t="n"/>
      <c r="M694" s="17" t="n"/>
      <c r="N694" s="17" t="n"/>
      <c r="O694" s="17" t="inlineStr">
        <is>
          <t>No</t>
        </is>
      </c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inlineStr">
        <is>
          <t>1</t>
        </is>
      </c>
      <c r="AH694" s="17" t="n"/>
      <c r="AI694" s="17" t="n"/>
      <c r="AJ694" s="17" t="n"/>
      <c r="AK694" s="17" t="inlineStr">
        <is>
          <t>자원봉사·제주도민</t>
        </is>
      </c>
      <c r="AL694" s="17" t="inlineStr">
        <is>
          <t>자원봉사자최종명단</t>
        </is>
      </c>
      <c r="AM694" s="17" t="n"/>
      <c r="AN694" s="17" t="inlineStr">
        <is>
          <t>자원봉사팀</t>
        </is>
      </c>
    </row>
    <row r="695">
      <c r="A695" s="17" t="inlineStr">
        <is>
          <t>P0668</t>
        </is>
      </c>
      <c r="B695" s="17" t="inlineStr">
        <is>
          <t>자원봉사팀</t>
        </is>
      </c>
      <c r="C695" s="17" t="inlineStr">
        <is>
          <t>자원봉사팀</t>
        </is>
      </c>
      <c r="D695" s="17" t="n"/>
      <c r="E695" s="17" t="inlineStr">
        <is>
          <t>김하민</t>
        </is>
      </c>
      <c r="F695" s="17" t="n"/>
      <c r="G695" s="17" t="inlineStr">
        <is>
          <t>M</t>
        </is>
      </c>
      <c r="H695" s="17" t="n"/>
      <c r="I695" s="17" t="n"/>
      <c r="J695" s="17" t="n"/>
      <c r="K695" s="17" t="n"/>
      <c r="L695" s="17" t="n"/>
      <c r="M695" s="17" t="n"/>
      <c r="N695" s="17" t="n"/>
      <c r="O695" s="17" t="inlineStr">
        <is>
          <t>No</t>
        </is>
      </c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inlineStr">
        <is>
          <t>1</t>
        </is>
      </c>
      <c r="AH695" s="17" t="n"/>
      <c r="AI695" s="17" t="n"/>
      <c r="AJ695" s="17" t="n"/>
      <c r="AK695" s="17" t="inlineStr">
        <is>
          <t>자원봉사·제주도민</t>
        </is>
      </c>
      <c r="AL695" s="17" t="inlineStr">
        <is>
          <t>자원봉사자최종명단</t>
        </is>
      </c>
      <c r="AM695" s="17" t="n"/>
      <c r="AN695" s="17" t="inlineStr">
        <is>
          <t>자원봉사팀</t>
        </is>
      </c>
    </row>
    <row r="696">
      <c r="A696" s="17" t="inlineStr">
        <is>
          <t>P0669</t>
        </is>
      </c>
      <c r="B696" s="17" t="inlineStr">
        <is>
          <t>자원봉사팀</t>
        </is>
      </c>
      <c r="C696" s="17" t="inlineStr">
        <is>
          <t>자원봉사팀</t>
        </is>
      </c>
      <c r="D696" s="17" t="n"/>
      <c r="E696" s="17" t="inlineStr">
        <is>
          <t>김도혁</t>
        </is>
      </c>
      <c r="F696" s="17" t="n"/>
      <c r="G696" s="17" t="inlineStr">
        <is>
          <t>M</t>
        </is>
      </c>
      <c r="H696" s="17" t="n"/>
      <c r="I696" s="17" t="n"/>
      <c r="J696" s="17" t="n"/>
      <c r="K696" s="17" t="n"/>
      <c r="L696" s="17" t="n"/>
      <c r="M696" s="17" t="n"/>
      <c r="N696" s="17" t="n"/>
      <c r="O696" s="17" t="inlineStr">
        <is>
          <t>No</t>
        </is>
      </c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inlineStr">
        <is>
          <t>1</t>
        </is>
      </c>
      <c r="AH696" s="17" t="n"/>
      <c r="AI696" s="17" t="n"/>
      <c r="AJ696" s="17" t="n"/>
      <c r="AK696" s="17" t="inlineStr">
        <is>
          <t>자원봉사·제주도민</t>
        </is>
      </c>
      <c r="AL696" s="17" t="inlineStr">
        <is>
          <t>자원봉사자최종명단</t>
        </is>
      </c>
      <c r="AM696" s="17" t="n"/>
      <c r="AN696" s="17" t="inlineStr">
        <is>
          <t>자원봉사팀</t>
        </is>
      </c>
    </row>
    <row r="697">
      <c r="A697" s="17" t="inlineStr">
        <is>
          <t>P0670</t>
        </is>
      </c>
      <c r="B697" s="17" t="inlineStr">
        <is>
          <t>자원봉사팀</t>
        </is>
      </c>
      <c r="C697" s="17" t="inlineStr">
        <is>
          <t>자원봉사팀</t>
        </is>
      </c>
      <c r="D697" s="17" t="n"/>
      <c r="E697" s="17" t="inlineStr">
        <is>
          <t>김승우</t>
        </is>
      </c>
      <c r="F697" s="17" t="n"/>
      <c r="G697" s="17" t="inlineStr">
        <is>
          <t>M</t>
        </is>
      </c>
      <c r="H697" s="17" t="n"/>
      <c r="I697" s="17" t="n"/>
      <c r="J697" s="17" t="n"/>
      <c r="K697" s="17" t="n"/>
      <c r="L697" s="17" t="n"/>
      <c r="M697" s="17" t="n"/>
      <c r="N697" s="17" t="n"/>
      <c r="O697" s="17" t="inlineStr">
        <is>
          <t>No</t>
        </is>
      </c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inlineStr">
        <is>
          <t>1</t>
        </is>
      </c>
      <c r="AH697" s="17" t="n"/>
      <c r="AI697" s="17" t="n"/>
      <c r="AJ697" s="17" t="n"/>
      <c r="AK697" s="17" t="inlineStr">
        <is>
          <t>자원봉사·제주도민</t>
        </is>
      </c>
      <c r="AL697" s="17" t="inlineStr">
        <is>
          <t>자원봉사자최종명단</t>
        </is>
      </c>
      <c r="AM697" s="17" t="n"/>
      <c r="AN697" s="17" t="inlineStr">
        <is>
          <t>자원봉사팀</t>
        </is>
      </c>
    </row>
    <row r="698">
      <c r="A698" s="17" t="inlineStr">
        <is>
          <t>P0671</t>
        </is>
      </c>
      <c r="B698" s="17" t="inlineStr">
        <is>
          <t>자원봉사팀</t>
        </is>
      </c>
      <c r="C698" s="17" t="inlineStr">
        <is>
          <t>자원봉사팀</t>
        </is>
      </c>
      <c r="D698" s="17" t="n"/>
      <c r="E698" s="17" t="inlineStr">
        <is>
          <t>오수현</t>
        </is>
      </c>
      <c r="F698" s="17" t="n"/>
      <c r="G698" s="17" t="inlineStr">
        <is>
          <t>M</t>
        </is>
      </c>
      <c r="H698" s="17" t="n"/>
      <c r="I698" s="17" t="n"/>
      <c r="J698" s="17" t="n"/>
      <c r="K698" s="17" t="n"/>
      <c r="L698" s="17" t="n"/>
      <c r="M698" s="17" t="n"/>
      <c r="N698" s="17" t="n"/>
      <c r="O698" s="17" t="inlineStr">
        <is>
          <t>No</t>
        </is>
      </c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inlineStr">
        <is>
          <t>1</t>
        </is>
      </c>
      <c r="AH698" s="17" t="n"/>
      <c r="AI698" s="17" t="n"/>
      <c r="AJ698" s="17" t="n"/>
      <c r="AK698" s="17" t="inlineStr">
        <is>
          <t>자원봉사·제주도민</t>
        </is>
      </c>
      <c r="AL698" s="17" t="inlineStr">
        <is>
          <t>자원봉사자최종명단</t>
        </is>
      </c>
      <c r="AM698" s="17" t="n"/>
      <c r="AN698" s="17" t="inlineStr">
        <is>
          <t>자원봉사팀</t>
        </is>
      </c>
    </row>
    <row r="699">
      <c r="A699" s="17" t="inlineStr">
        <is>
          <t>P0672</t>
        </is>
      </c>
      <c r="B699" s="17" t="inlineStr">
        <is>
          <t>자원봉사팀</t>
        </is>
      </c>
      <c r="C699" s="17" t="inlineStr">
        <is>
          <t>자원봉사팀</t>
        </is>
      </c>
      <c r="D699" s="17" t="n"/>
      <c r="E699" s="17" t="inlineStr">
        <is>
          <t>박기현</t>
        </is>
      </c>
      <c r="F699" s="17" t="n"/>
      <c r="G699" s="17" t="inlineStr">
        <is>
          <t>M</t>
        </is>
      </c>
      <c r="H699" s="17" t="n"/>
      <c r="I699" s="17" t="n"/>
      <c r="J699" s="17" t="n"/>
      <c r="K699" s="17" t="n"/>
      <c r="L699" s="17" t="n"/>
      <c r="M699" s="17" t="n"/>
      <c r="N699" s="17" t="n"/>
      <c r="O699" s="17" t="inlineStr">
        <is>
          <t>Yes</t>
        </is>
      </c>
      <c r="P699" s="17" t="n"/>
      <c r="Q699" s="17" t="n"/>
      <c r="R699" s="17" t="n"/>
      <c r="S699" s="17" t="n"/>
      <c r="T699" s="17" t="n"/>
      <c r="U699" s="17" t="inlineStr">
        <is>
          <t>✓</t>
        </is>
      </c>
      <c r="V699" s="17" t="inlineStr">
        <is>
          <t>✓</t>
        </is>
      </c>
      <c r="W699" s="17" t="inlineStr">
        <is>
          <t>✓</t>
        </is>
      </c>
      <c r="X699" s="17" t="inlineStr">
        <is>
          <t>✓</t>
        </is>
      </c>
      <c r="Y699" s="17" t="inlineStr">
        <is>
          <t>✓</t>
        </is>
      </c>
      <c r="Z699" s="17" t="inlineStr">
        <is>
          <t>✓</t>
        </is>
      </c>
      <c r="AA699" s="17" t="n"/>
      <c r="AB699" s="17" t="inlineStr">
        <is>
          <t>6박</t>
        </is>
      </c>
      <c r="AC699" s="17" t="n"/>
      <c r="AD699" s="17" t="n"/>
      <c r="AE699" s="17" t="n"/>
      <c r="AF699" s="17" t="n"/>
      <c r="AG699" s="17" t="inlineStr">
        <is>
          <t>1</t>
        </is>
      </c>
      <c r="AH699" s="17" t="n"/>
      <c r="AI699" s="17" t="inlineStr">
        <is>
          <t>부영청소년수련원</t>
        </is>
      </c>
      <c r="AJ699" s="17" t="n"/>
      <c r="AK699" s="17" t="inlineStr">
        <is>
          <t>자원봉사·비제주</t>
        </is>
      </c>
      <c r="AL699" s="17" t="inlineStr">
        <is>
          <t>자원봉사자최종명단</t>
        </is>
      </c>
      <c r="AM699" s="17" t="n"/>
      <c r="AN699" s="17" t="inlineStr">
        <is>
          <t>자원봉사팀</t>
        </is>
      </c>
    </row>
    <row r="700">
      <c r="A700" s="17" t="inlineStr">
        <is>
          <t>P0673</t>
        </is>
      </c>
      <c r="B700" s="17" t="inlineStr">
        <is>
          <t>자원봉사팀</t>
        </is>
      </c>
      <c r="C700" s="17" t="inlineStr">
        <is>
          <t>자원봉사팀</t>
        </is>
      </c>
      <c r="D700" s="17" t="n"/>
      <c r="E700" s="17" t="inlineStr">
        <is>
          <t>장하윤</t>
        </is>
      </c>
      <c r="F700" s="17" t="n"/>
      <c r="G700" s="17" t="inlineStr">
        <is>
          <t>F</t>
        </is>
      </c>
      <c r="H700" s="17" t="n"/>
      <c r="I700" s="17" t="n"/>
      <c r="J700" s="17" t="n"/>
      <c r="K700" s="17" t="n"/>
      <c r="L700" s="17" t="n"/>
      <c r="M700" s="17" t="n"/>
      <c r="N700" s="17" t="n"/>
      <c r="O700" s="17" t="inlineStr">
        <is>
          <t>Yes</t>
        </is>
      </c>
      <c r="P700" s="17" t="n"/>
      <c r="Q700" s="17" t="n"/>
      <c r="R700" s="17" t="n"/>
      <c r="S700" s="17" t="n"/>
      <c r="T700" s="17" t="n"/>
      <c r="U700" s="17" t="inlineStr">
        <is>
          <t>✓</t>
        </is>
      </c>
      <c r="V700" s="17" t="inlineStr">
        <is>
          <t>✓</t>
        </is>
      </c>
      <c r="W700" s="17" t="inlineStr">
        <is>
          <t>✓</t>
        </is>
      </c>
      <c r="X700" s="17" t="inlineStr">
        <is>
          <t>✓</t>
        </is>
      </c>
      <c r="Y700" s="17" t="inlineStr">
        <is>
          <t>✓</t>
        </is>
      </c>
      <c r="Z700" s="17" t="inlineStr">
        <is>
          <t>✓</t>
        </is>
      </c>
      <c r="AA700" s="17" t="n"/>
      <c r="AB700" s="17" t="inlineStr">
        <is>
          <t>6박</t>
        </is>
      </c>
      <c r="AC700" s="17" t="n"/>
      <c r="AD700" s="17" t="n"/>
      <c r="AE700" s="17" t="n"/>
      <c r="AF700" s="17" t="n"/>
      <c r="AG700" s="17" t="inlineStr">
        <is>
          <t>1</t>
        </is>
      </c>
      <c r="AH700" s="17" t="n"/>
      <c r="AI700" s="17" t="inlineStr">
        <is>
          <t>부영청소년수련원</t>
        </is>
      </c>
      <c r="AJ700" s="17" t="n"/>
      <c r="AK700" s="17" t="inlineStr">
        <is>
          <t>자원봉사·비제주</t>
        </is>
      </c>
      <c r="AL700" s="17" t="inlineStr">
        <is>
          <t>자원봉사자최종명단</t>
        </is>
      </c>
      <c r="AM700" s="17" t="n"/>
      <c r="AN700" s="17" t="inlineStr">
        <is>
          <t>자원봉사팀</t>
        </is>
      </c>
    </row>
    <row r="701">
      <c r="A701" s="17" t="inlineStr">
        <is>
          <t>P0674</t>
        </is>
      </c>
      <c r="B701" s="17" t="inlineStr">
        <is>
          <t>자원봉사팀</t>
        </is>
      </c>
      <c r="C701" s="17" t="inlineStr">
        <is>
          <t>자원봉사팀</t>
        </is>
      </c>
      <c r="D701" s="17" t="n"/>
      <c r="E701" s="17" t="inlineStr">
        <is>
          <t>유은찬</t>
        </is>
      </c>
      <c r="F701" s="17" t="n"/>
      <c r="G701" s="17" t="inlineStr">
        <is>
          <t>M</t>
        </is>
      </c>
      <c r="H701" s="17" t="n"/>
      <c r="I701" s="17" t="n"/>
      <c r="J701" s="17" t="n"/>
      <c r="K701" s="17" t="n"/>
      <c r="L701" s="17" t="n"/>
      <c r="M701" s="17" t="n"/>
      <c r="N701" s="17" t="n"/>
      <c r="O701" s="17" t="inlineStr">
        <is>
          <t>No</t>
        </is>
      </c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inlineStr">
        <is>
          <t>1</t>
        </is>
      </c>
      <c r="AH701" s="17" t="n"/>
      <c r="AI701" s="17" t="n"/>
      <c r="AJ701" s="17" t="n"/>
      <c r="AK701" s="17" t="inlineStr">
        <is>
          <t>자원봉사·제주도민</t>
        </is>
      </c>
      <c r="AL701" s="17" t="inlineStr">
        <is>
          <t>자원봉사자최종명단</t>
        </is>
      </c>
      <c r="AM701" s="17" t="n"/>
      <c r="AN701" s="17" t="inlineStr">
        <is>
          <t>자원봉사팀</t>
        </is>
      </c>
    </row>
    <row r="702">
      <c r="A702" s="17" t="inlineStr">
        <is>
          <t>P0675</t>
        </is>
      </c>
      <c r="B702" s="17" t="inlineStr">
        <is>
          <t>자원봉사팀</t>
        </is>
      </c>
      <c r="C702" s="17" t="inlineStr">
        <is>
          <t>자원봉사팀</t>
        </is>
      </c>
      <c r="D702" s="17" t="n"/>
      <c r="E702" s="17" t="inlineStr">
        <is>
          <t>김정현</t>
        </is>
      </c>
      <c r="F702" s="17" t="n"/>
      <c r="G702" s="17" t="inlineStr">
        <is>
          <t>M</t>
        </is>
      </c>
      <c r="H702" s="17" t="n"/>
      <c r="I702" s="17" t="n"/>
      <c r="J702" s="17" t="n"/>
      <c r="K702" s="17" t="n"/>
      <c r="L702" s="17" t="n"/>
      <c r="M702" s="17" t="n"/>
      <c r="N702" s="17" t="n"/>
      <c r="O702" s="17" t="inlineStr">
        <is>
          <t>Yes</t>
        </is>
      </c>
      <c r="P702" s="17" t="n"/>
      <c r="Q702" s="17" t="n"/>
      <c r="R702" s="17" t="n"/>
      <c r="S702" s="17" t="n"/>
      <c r="T702" s="17" t="n"/>
      <c r="U702" s="17" t="inlineStr">
        <is>
          <t>✓</t>
        </is>
      </c>
      <c r="V702" s="17" t="inlineStr">
        <is>
          <t>✓</t>
        </is>
      </c>
      <c r="W702" s="17" t="inlineStr">
        <is>
          <t>✓</t>
        </is>
      </c>
      <c r="X702" s="17" t="inlineStr">
        <is>
          <t>✓</t>
        </is>
      </c>
      <c r="Y702" s="17" t="inlineStr">
        <is>
          <t>✓</t>
        </is>
      </c>
      <c r="Z702" s="17" t="inlineStr">
        <is>
          <t>✓</t>
        </is>
      </c>
      <c r="AA702" s="17" t="n"/>
      <c r="AB702" s="17" t="inlineStr">
        <is>
          <t>6박</t>
        </is>
      </c>
      <c r="AC702" s="17" t="n"/>
      <c r="AD702" s="17" t="n"/>
      <c r="AE702" s="17" t="n"/>
      <c r="AF702" s="17" t="n"/>
      <c r="AG702" s="17" t="inlineStr">
        <is>
          <t>1</t>
        </is>
      </c>
      <c r="AH702" s="17" t="n"/>
      <c r="AI702" s="17" t="inlineStr">
        <is>
          <t>부영청소년수련원</t>
        </is>
      </c>
      <c r="AJ702" s="17" t="n"/>
      <c r="AK702" s="17" t="inlineStr">
        <is>
          <t>자원봉사·비제주</t>
        </is>
      </c>
      <c r="AL702" s="17" t="inlineStr">
        <is>
          <t>자원봉사자최종명단</t>
        </is>
      </c>
      <c r="AM702" s="17" t="n"/>
      <c r="AN702" s="17" t="inlineStr">
        <is>
          <t>자원봉사팀</t>
        </is>
      </c>
    </row>
    <row r="703">
      <c r="A703" s="17" t="inlineStr">
        <is>
          <t>P0676</t>
        </is>
      </c>
      <c r="B703" s="17" t="inlineStr">
        <is>
          <t>자원봉사팀</t>
        </is>
      </c>
      <c r="C703" s="17" t="inlineStr">
        <is>
          <t>자원봉사팀</t>
        </is>
      </c>
      <c r="D703" s="17" t="n"/>
      <c r="E703" s="17" t="inlineStr">
        <is>
          <t>이성모</t>
        </is>
      </c>
      <c r="F703" s="17" t="n"/>
      <c r="G703" s="17" t="inlineStr">
        <is>
          <t>M</t>
        </is>
      </c>
      <c r="H703" s="17" t="n"/>
      <c r="I703" s="17" t="n"/>
      <c r="J703" s="17" t="n"/>
      <c r="K703" s="17" t="n"/>
      <c r="L703" s="17" t="n"/>
      <c r="M703" s="17" t="n"/>
      <c r="N703" s="17" t="n"/>
      <c r="O703" s="17" t="inlineStr">
        <is>
          <t>Yes</t>
        </is>
      </c>
      <c r="P703" s="17" t="n"/>
      <c r="Q703" s="17" t="n"/>
      <c r="R703" s="17" t="n"/>
      <c r="S703" s="17" t="n"/>
      <c r="T703" s="17" t="n"/>
      <c r="U703" s="17" t="inlineStr">
        <is>
          <t>✓</t>
        </is>
      </c>
      <c r="V703" s="17" t="inlineStr">
        <is>
          <t>✓</t>
        </is>
      </c>
      <c r="W703" s="17" t="inlineStr">
        <is>
          <t>✓</t>
        </is>
      </c>
      <c r="X703" s="17" t="inlineStr">
        <is>
          <t>✓</t>
        </is>
      </c>
      <c r="Y703" s="17" t="inlineStr">
        <is>
          <t>✓</t>
        </is>
      </c>
      <c r="Z703" s="17" t="inlineStr">
        <is>
          <t>✓</t>
        </is>
      </c>
      <c r="AA703" s="17" t="n"/>
      <c r="AB703" s="17" t="inlineStr">
        <is>
          <t>6박</t>
        </is>
      </c>
      <c r="AC703" s="17" t="n"/>
      <c r="AD703" s="17" t="n"/>
      <c r="AE703" s="17" t="n"/>
      <c r="AF703" s="17" t="n"/>
      <c r="AG703" s="17" t="inlineStr">
        <is>
          <t>1</t>
        </is>
      </c>
      <c r="AH703" s="17" t="n"/>
      <c r="AI703" s="17" t="inlineStr">
        <is>
          <t>부영청소년수련원</t>
        </is>
      </c>
      <c r="AJ703" s="17" t="n"/>
      <c r="AK703" s="17" t="inlineStr">
        <is>
          <t>자원봉사·비제주</t>
        </is>
      </c>
      <c r="AL703" s="17" t="inlineStr">
        <is>
          <t>자원봉사자최종명단</t>
        </is>
      </c>
      <c r="AM703" s="17" t="n"/>
      <c r="AN703" s="17" t="inlineStr">
        <is>
          <t>자원봉사팀</t>
        </is>
      </c>
    </row>
    <row r="704">
      <c r="A704" s="17" t="inlineStr">
        <is>
          <t>P0677</t>
        </is>
      </c>
      <c r="B704" s="17" t="inlineStr">
        <is>
          <t>자원봉사팀</t>
        </is>
      </c>
      <c r="C704" s="17" t="inlineStr">
        <is>
          <t>자원봉사팀</t>
        </is>
      </c>
      <c r="D704" s="17" t="n"/>
      <c r="E704" s="17" t="inlineStr">
        <is>
          <t>김유안</t>
        </is>
      </c>
      <c r="F704" s="17" t="n"/>
      <c r="G704" s="17" t="inlineStr">
        <is>
          <t>F</t>
        </is>
      </c>
      <c r="H704" s="17" t="n"/>
      <c r="I704" s="17" t="n"/>
      <c r="J704" s="17" t="n"/>
      <c r="K704" s="17" t="n"/>
      <c r="L704" s="17" t="n"/>
      <c r="M704" s="17" t="n"/>
      <c r="N704" s="17" t="n"/>
      <c r="O704" s="17" t="inlineStr">
        <is>
          <t>Yes</t>
        </is>
      </c>
      <c r="P704" s="17" t="n"/>
      <c r="Q704" s="17" t="n"/>
      <c r="R704" s="17" t="n"/>
      <c r="S704" s="17" t="n"/>
      <c r="T704" s="17" t="n"/>
      <c r="U704" s="17" t="inlineStr">
        <is>
          <t>✓</t>
        </is>
      </c>
      <c r="V704" s="17" t="inlineStr">
        <is>
          <t>✓</t>
        </is>
      </c>
      <c r="W704" s="17" t="inlineStr">
        <is>
          <t>✓</t>
        </is>
      </c>
      <c r="X704" s="17" t="inlineStr">
        <is>
          <t>✓</t>
        </is>
      </c>
      <c r="Y704" s="17" t="inlineStr">
        <is>
          <t>✓</t>
        </is>
      </c>
      <c r="Z704" s="17" t="inlineStr">
        <is>
          <t>✓</t>
        </is>
      </c>
      <c r="AA704" s="17" t="n"/>
      <c r="AB704" s="17" t="inlineStr">
        <is>
          <t>6박</t>
        </is>
      </c>
      <c r="AC704" s="17" t="n"/>
      <c r="AD704" s="17" t="n"/>
      <c r="AE704" s="17" t="n"/>
      <c r="AF704" s="17" t="n"/>
      <c r="AG704" s="17" t="inlineStr">
        <is>
          <t>1</t>
        </is>
      </c>
      <c r="AH704" s="17" t="n"/>
      <c r="AI704" s="17" t="inlineStr">
        <is>
          <t>부영청소년수련원</t>
        </is>
      </c>
      <c r="AJ704" s="17" t="n"/>
      <c r="AK704" s="17" t="inlineStr">
        <is>
          <t>자원봉사·비제주</t>
        </is>
      </c>
      <c r="AL704" s="17" t="inlineStr">
        <is>
          <t>자원봉사자최종명단</t>
        </is>
      </c>
      <c r="AM704" s="17" t="n"/>
      <c r="AN704" s="17" t="inlineStr">
        <is>
          <t>자원봉사팀</t>
        </is>
      </c>
    </row>
    <row r="705">
      <c r="A705" s="17" t="inlineStr">
        <is>
          <t>P0678</t>
        </is>
      </c>
      <c r="B705" s="17" t="inlineStr">
        <is>
          <t>자원봉사팀</t>
        </is>
      </c>
      <c r="C705" s="17" t="inlineStr">
        <is>
          <t>자원봉사팀</t>
        </is>
      </c>
      <c r="D705" s="17" t="n"/>
      <c r="E705" s="17" t="inlineStr">
        <is>
          <t>김준희</t>
        </is>
      </c>
      <c r="F705" s="17" t="n"/>
      <c r="G705" s="17" t="inlineStr">
        <is>
          <t>F</t>
        </is>
      </c>
      <c r="H705" s="17" t="n"/>
      <c r="I705" s="17" t="n"/>
      <c r="J705" s="17" t="n"/>
      <c r="K705" s="17" t="n"/>
      <c r="L705" s="17" t="n"/>
      <c r="M705" s="17" t="n"/>
      <c r="N705" s="17" t="n"/>
      <c r="O705" s="17" t="inlineStr">
        <is>
          <t>No</t>
        </is>
      </c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inlineStr">
        <is>
          <t>1</t>
        </is>
      </c>
      <c r="AH705" s="17" t="n"/>
      <c r="AI705" s="17" t="n"/>
      <c r="AJ705" s="17" t="n"/>
      <c r="AK705" s="17" t="inlineStr">
        <is>
          <t>자원봉사·제주도민</t>
        </is>
      </c>
      <c r="AL705" s="17" t="inlineStr">
        <is>
          <t>자원봉사자최종명단</t>
        </is>
      </c>
      <c r="AM705" s="17" t="n"/>
      <c r="AN705" s="17" t="inlineStr">
        <is>
          <t>자원봉사팀</t>
        </is>
      </c>
    </row>
    <row r="706">
      <c r="A706" s="17" t="inlineStr">
        <is>
          <t>P0679</t>
        </is>
      </c>
      <c r="B706" s="17" t="inlineStr">
        <is>
          <t>자원봉사팀</t>
        </is>
      </c>
      <c r="C706" s="17" t="inlineStr">
        <is>
          <t>자원봉사팀</t>
        </is>
      </c>
      <c r="D706" s="17" t="n"/>
      <c r="E706" s="17" t="inlineStr">
        <is>
          <t>정가영</t>
        </is>
      </c>
      <c r="F706" s="17" t="n"/>
      <c r="G706" s="17" t="inlineStr">
        <is>
          <t>F</t>
        </is>
      </c>
      <c r="H706" s="17" t="n"/>
      <c r="I706" s="17" t="n"/>
      <c r="J706" s="17" t="n"/>
      <c r="K706" s="17" t="n"/>
      <c r="L706" s="17" t="n"/>
      <c r="M706" s="17" t="n"/>
      <c r="N706" s="17" t="n"/>
      <c r="O706" s="17" t="inlineStr">
        <is>
          <t>Yes</t>
        </is>
      </c>
      <c r="P706" s="17" t="n"/>
      <c r="Q706" s="17" t="n"/>
      <c r="R706" s="17" t="n"/>
      <c r="S706" s="17" t="n"/>
      <c r="T706" s="17" t="n"/>
      <c r="U706" s="17" t="inlineStr">
        <is>
          <t>✓</t>
        </is>
      </c>
      <c r="V706" s="17" t="inlineStr">
        <is>
          <t>✓</t>
        </is>
      </c>
      <c r="W706" s="17" t="inlineStr">
        <is>
          <t>✓</t>
        </is>
      </c>
      <c r="X706" s="17" t="inlineStr">
        <is>
          <t>✓</t>
        </is>
      </c>
      <c r="Y706" s="17" t="inlineStr">
        <is>
          <t>✓</t>
        </is>
      </c>
      <c r="Z706" s="17" t="inlineStr">
        <is>
          <t>✓</t>
        </is>
      </c>
      <c r="AA706" s="17" t="n"/>
      <c r="AB706" s="17" t="inlineStr">
        <is>
          <t>6박</t>
        </is>
      </c>
      <c r="AC706" s="17" t="n"/>
      <c r="AD706" s="17" t="n"/>
      <c r="AE706" s="17" t="n"/>
      <c r="AF706" s="17" t="n"/>
      <c r="AG706" s="17" t="inlineStr">
        <is>
          <t>1</t>
        </is>
      </c>
      <c r="AH706" s="17" t="n"/>
      <c r="AI706" s="17" t="inlineStr">
        <is>
          <t>부영청소년수련원</t>
        </is>
      </c>
      <c r="AJ706" s="17" t="n"/>
      <c r="AK706" s="17" t="inlineStr">
        <is>
          <t>자원봉사·비제주</t>
        </is>
      </c>
      <c r="AL706" s="17" t="inlineStr">
        <is>
          <t>자원봉사자최종명단</t>
        </is>
      </c>
      <c r="AM706" s="17" t="n"/>
      <c r="AN706" s="17" t="inlineStr">
        <is>
          <t>자원봉사팀</t>
        </is>
      </c>
    </row>
    <row r="707">
      <c r="A707" s="17" t="inlineStr">
        <is>
          <t>P0680</t>
        </is>
      </c>
      <c r="B707" s="17" t="inlineStr">
        <is>
          <t>자원봉사팀</t>
        </is>
      </c>
      <c r="C707" s="17" t="inlineStr">
        <is>
          <t>자원봉사팀</t>
        </is>
      </c>
      <c r="D707" s="17" t="n"/>
      <c r="E707" s="17" t="inlineStr">
        <is>
          <t>손유채</t>
        </is>
      </c>
      <c r="F707" s="17" t="n"/>
      <c r="G707" s="17" t="inlineStr">
        <is>
          <t>F</t>
        </is>
      </c>
      <c r="H707" s="17" t="n"/>
      <c r="I707" s="17" t="n"/>
      <c r="J707" s="17" t="n"/>
      <c r="K707" s="17" t="n"/>
      <c r="L707" s="17" t="n"/>
      <c r="M707" s="17" t="n"/>
      <c r="N707" s="17" t="n"/>
      <c r="O707" s="17" t="inlineStr">
        <is>
          <t>Yes</t>
        </is>
      </c>
      <c r="P707" s="17" t="n"/>
      <c r="Q707" s="17" t="n"/>
      <c r="R707" s="17" t="n"/>
      <c r="S707" s="17" t="n"/>
      <c r="T707" s="17" t="n"/>
      <c r="U707" s="17" t="inlineStr">
        <is>
          <t>✓</t>
        </is>
      </c>
      <c r="V707" s="17" t="inlineStr">
        <is>
          <t>✓</t>
        </is>
      </c>
      <c r="W707" s="17" t="inlineStr">
        <is>
          <t>✓</t>
        </is>
      </c>
      <c r="X707" s="17" t="inlineStr">
        <is>
          <t>✓</t>
        </is>
      </c>
      <c r="Y707" s="17" t="inlineStr">
        <is>
          <t>✓</t>
        </is>
      </c>
      <c r="Z707" s="17" t="inlineStr">
        <is>
          <t>✓</t>
        </is>
      </c>
      <c r="AA707" s="17" t="n"/>
      <c r="AB707" s="17" t="inlineStr">
        <is>
          <t>6박</t>
        </is>
      </c>
      <c r="AC707" s="17" t="n"/>
      <c r="AD707" s="17" t="n"/>
      <c r="AE707" s="17" t="n"/>
      <c r="AF707" s="17" t="n"/>
      <c r="AG707" s="17" t="inlineStr">
        <is>
          <t>1</t>
        </is>
      </c>
      <c r="AH707" s="17" t="n"/>
      <c r="AI707" s="17" t="inlineStr">
        <is>
          <t>부영청소년수련원</t>
        </is>
      </c>
      <c r="AJ707" s="17" t="n"/>
      <c r="AK707" s="17" t="inlineStr">
        <is>
          <t>자원봉사·비제주</t>
        </is>
      </c>
      <c r="AL707" s="17" t="inlineStr">
        <is>
          <t>자원봉사자최종명단</t>
        </is>
      </c>
      <c r="AM707" s="17" t="n"/>
      <c r="AN707" s="17" t="inlineStr">
        <is>
          <t>자원봉사팀</t>
        </is>
      </c>
    </row>
    <row r="708">
      <c r="A708" s="17" t="inlineStr">
        <is>
          <t>P0681</t>
        </is>
      </c>
      <c r="B708" s="17" t="inlineStr">
        <is>
          <t>자원봉사팀</t>
        </is>
      </c>
      <c r="C708" s="17" t="inlineStr">
        <is>
          <t>자원봉사팀</t>
        </is>
      </c>
      <c r="D708" s="17" t="n"/>
      <c r="E708" s="17" t="inlineStr">
        <is>
          <t>최솔</t>
        </is>
      </c>
      <c r="F708" s="17" t="n"/>
      <c r="G708" s="17" t="inlineStr">
        <is>
          <t>F</t>
        </is>
      </c>
      <c r="H708" s="17" t="n"/>
      <c r="I708" s="17" t="n"/>
      <c r="J708" s="17" t="n"/>
      <c r="K708" s="17" t="n"/>
      <c r="L708" s="17" t="n"/>
      <c r="M708" s="17" t="n"/>
      <c r="N708" s="17" t="n"/>
      <c r="O708" s="17" t="inlineStr">
        <is>
          <t>Yes</t>
        </is>
      </c>
      <c r="P708" s="17" t="n"/>
      <c r="Q708" s="17" t="n"/>
      <c r="R708" s="17" t="n"/>
      <c r="S708" s="17" t="n"/>
      <c r="T708" s="17" t="n"/>
      <c r="U708" s="17" t="inlineStr">
        <is>
          <t>✓</t>
        </is>
      </c>
      <c r="V708" s="17" t="inlineStr">
        <is>
          <t>✓</t>
        </is>
      </c>
      <c r="W708" s="17" t="inlineStr">
        <is>
          <t>✓</t>
        </is>
      </c>
      <c r="X708" s="17" t="inlineStr">
        <is>
          <t>✓</t>
        </is>
      </c>
      <c r="Y708" s="17" t="inlineStr">
        <is>
          <t>✓</t>
        </is>
      </c>
      <c r="Z708" s="17" t="inlineStr">
        <is>
          <t>✓</t>
        </is>
      </c>
      <c r="AA708" s="17" t="n"/>
      <c r="AB708" s="17" t="inlineStr">
        <is>
          <t>6박</t>
        </is>
      </c>
      <c r="AC708" s="17" t="n"/>
      <c r="AD708" s="17" t="n"/>
      <c r="AE708" s="17" t="n"/>
      <c r="AF708" s="17" t="n"/>
      <c r="AG708" s="17" t="inlineStr">
        <is>
          <t>1</t>
        </is>
      </c>
      <c r="AH708" s="17" t="n"/>
      <c r="AI708" s="17" t="inlineStr">
        <is>
          <t>부영청소년수련원</t>
        </is>
      </c>
      <c r="AJ708" s="17" t="n"/>
      <c r="AK708" s="17" t="inlineStr">
        <is>
          <t>자원봉사·비제주</t>
        </is>
      </c>
      <c r="AL708" s="17" t="inlineStr">
        <is>
          <t>자원봉사자최종명단</t>
        </is>
      </c>
      <c r="AM708" s="17" t="n"/>
      <c r="AN708" s="17" t="inlineStr">
        <is>
          <t>자원봉사팀</t>
        </is>
      </c>
    </row>
    <row r="709">
      <c r="A709" s="17" t="inlineStr">
        <is>
          <t>P0682</t>
        </is>
      </c>
      <c r="B709" s="17" t="inlineStr">
        <is>
          <t>자원봉사팀</t>
        </is>
      </c>
      <c r="C709" s="17" t="inlineStr">
        <is>
          <t>자원봉사팀</t>
        </is>
      </c>
      <c r="D709" s="17" t="n"/>
      <c r="E709" s="17" t="inlineStr">
        <is>
          <t>이강희</t>
        </is>
      </c>
      <c r="F709" s="17" t="n"/>
      <c r="G709" s="17" t="inlineStr">
        <is>
          <t>M</t>
        </is>
      </c>
      <c r="H709" s="17" t="n"/>
      <c r="I709" s="17" t="n"/>
      <c r="J709" s="17" t="n"/>
      <c r="K709" s="17" t="n"/>
      <c r="L709" s="17" t="n"/>
      <c r="M709" s="17" t="n"/>
      <c r="N709" s="17" t="n"/>
      <c r="O709" s="17" t="inlineStr">
        <is>
          <t>Yes</t>
        </is>
      </c>
      <c r="P709" s="17" t="n"/>
      <c r="Q709" s="17" t="n"/>
      <c r="R709" s="17" t="n"/>
      <c r="S709" s="17" t="n"/>
      <c r="T709" s="17" t="n"/>
      <c r="U709" s="17" t="inlineStr">
        <is>
          <t>✓</t>
        </is>
      </c>
      <c r="V709" s="17" t="inlineStr">
        <is>
          <t>✓</t>
        </is>
      </c>
      <c r="W709" s="17" t="inlineStr">
        <is>
          <t>✓</t>
        </is>
      </c>
      <c r="X709" s="17" t="inlineStr">
        <is>
          <t>✓</t>
        </is>
      </c>
      <c r="Y709" s="17" t="inlineStr">
        <is>
          <t>✓</t>
        </is>
      </c>
      <c r="Z709" s="17" t="inlineStr">
        <is>
          <t>✓</t>
        </is>
      </c>
      <c r="AA709" s="17" t="n"/>
      <c r="AB709" s="17" t="inlineStr">
        <is>
          <t>6박</t>
        </is>
      </c>
      <c r="AC709" s="17" t="n"/>
      <c r="AD709" s="17" t="n"/>
      <c r="AE709" s="17" t="n"/>
      <c r="AF709" s="17" t="n"/>
      <c r="AG709" s="17" t="inlineStr">
        <is>
          <t>1</t>
        </is>
      </c>
      <c r="AH709" s="17" t="n"/>
      <c r="AI709" s="17" t="inlineStr">
        <is>
          <t>부영청소년수련원</t>
        </is>
      </c>
      <c r="AJ709" s="17" t="n"/>
      <c r="AK709" s="17" t="inlineStr">
        <is>
          <t>자원봉사·비제주</t>
        </is>
      </c>
      <c r="AL709" s="17" t="inlineStr">
        <is>
          <t>자원봉사자최종명단</t>
        </is>
      </c>
      <c r="AM709" s="17" t="n"/>
      <c r="AN709" s="17" t="inlineStr">
        <is>
          <t>자원봉사팀</t>
        </is>
      </c>
    </row>
    <row r="710">
      <c r="A710" s="17" t="inlineStr">
        <is>
          <t>P0683</t>
        </is>
      </c>
      <c r="B710" s="17" t="inlineStr">
        <is>
          <t>자원봉사팀</t>
        </is>
      </c>
      <c r="C710" s="17" t="inlineStr">
        <is>
          <t>자원봉사팀</t>
        </is>
      </c>
      <c r="D710" s="17" t="n"/>
      <c r="E710" s="17" t="inlineStr">
        <is>
          <t>두예찬</t>
        </is>
      </c>
      <c r="F710" s="17" t="n"/>
      <c r="G710" s="17" t="inlineStr">
        <is>
          <t>M</t>
        </is>
      </c>
      <c r="H710" s="17" t="n"/>
      <c r="I710" s="17" t="n"/>
      <c r="J710" s="17" t="n"/>
      <c r="K710" s="17" t="n"/>
      <c r="L710" s="17" t="n"/>
      <c r="M710" s="17" t="n"/>
      <c r="N710" s="17" t="n"/>
      <c r="O710" s="17" t="inlineStr">
        <is>
          <t>Yes</t>
        </is>
      </c>
      <c r="P710" s="17" t="n"/>
      <c r="Q710" s="17" t="n"/>
      <c r="R710" s="17" t="n"/>
      <c r="S710" s="17" t="n"/>
      <c r="T710" s="17" t="n"/>
      <c r="U710" s="17" t="inlineStr">
        <is>
          <t>✓</t>
        </is>
      </c>
      <c r="V710" s="17" t="inlineStr">
        <is>
          <t>✓</t>
        </is>
      </c>
      <c r="W710" s="17" t="inlineStr">
        <is>
          <t>✓</t>
        </is>
      </c>
      <c r="X710" s="17" t="inlineStr">
        <is>
          <t>✓</t>
        </is>
      </c>
      <c r="Y710" s="17" t="inlineStr">
        <is>
          <t>✓</t>
        </is>
      </c>
      <c r="Z710" s="17" t="inlineStr">
        <is>
          <t>✓</t>
        </is>
      </c>
      <c r="AA710" s="17" t="n"/>
      <c r="AB710" s="17" t="inlineStr">
        <is>
          <t>6박</t>
        </is>
      </c>
      <c r="AC710" s="17" t="n"/>
      <c r="AD710" s="17" t="n"/>
      <c r="AE710" s="17" t="n"/>
      <c r="AF710" s="17" t="n"/>
      <c r="AG710" s="17" t="inlineStr">
        <is>
          <t>1</t>
        </is>
      </c>
      <c r="AH710" s="17" t="n"/>
      <c r="AI710" s="17" t="inlineStr">
        <is>
          <t>부영청소년수련원</t>
        </is>
      </c>
      <c r="AJ710" s="17" t="n"/>
      <c r="AK710" s="17" t="inlineStr">
        <is>
          <t>자원봉사·비제주</t>
        </is>
      </c>
      <c r="AL710" s="17" t="inlineStr">
        <is>
          <t>자원봉사자최종명단</t>
        </is>
      </c>
      <c r="AM710" s="17" t="n"/>
      <c r="AN710" s="17" t="inlineStr">
        <is>
          <t>자원봉사팀</t>
        </is>
      </c>
    </row>
    <row r="711">
      <c r="A711" s="17" t="inlineStr">
        <is>
          <t>P0684</t>
        </is>
      </c>
      <c r="B711" s="17" t="inlineStr">
        <is>
          <t>자원봉사팀</t>
        </is>
      </c>
      <c r="C711" s="17" t="inlineStr">
        <is>
          <t>자원봉사팀</t>
        </is>
      </c>
      <c r="D711" s="17" t="n"/>
      <c r="E711" s="17" t="inlineStr">
        <is>
          <t>김영서</t>
        </is>
      </c>
      <c r="F711" s="17" t="n"/>
      <c r="G711" s="17" t="inlineStr">
        <is>
          <t>F</t>
        </is>
      </c>
      <c r="H711" s="17" t="n"/>
      <c r="I711" s="17" t="n"/>
      <c r="J711" s="17" t="n"/>
      <c r="K711" s="17" t="n"/>
      <c r="L711" s="17" t="n"/>
      <c r="M711" s="17" t="n"/>
      <c r="N711" s="17" t="n"/>
      <c r="O711" s="17" t="inlineStr">
        <is>
          <t>Yes</t>
        </is>
      </c>
      <c r="P711" s="17" t="n"/>
      <c r="Q711" s="17" t="n"/>
      <c r="R711" s="17" t="n"/>
      <c r="S711" s="17" t="n"/>
      <c r="T711" s="17" t="n"/>
      <c r="U711" s="17" t="inlineStr">
        <is>
          <t>✓</t>
        </is>
      </c>
      <c r="V711" s="17" t="inlineStr">
        <is>
          <t>✓</t>
        </is>
      </c>
      <c r="W711" s="17" t="inlineStr">
        <is>
          <t>✓</t>
        </is>
      </c>
      <c r="X711" s="17" t="inlineStr">
        <is>
          <t>✓</t>
        </is>
      </c>
      <c r="Y711" s="17" t="inlineStr">
        <is>
          <t>✓</t>
        </is>
      </c>
      <c r="Z711" s="17" t="inlineStr">
        <is>
          <t>✓</t>
        </is>
      </c>
      <c r="AA711" s="17" t="n"/>
      <c r="AB711" s="17" t="inlineStr">
        <is>
          <t>6박</t>
        </is>
      </c>
      <c r="AC711" s="17" t="n"/>
      <c r="AD711" s="17" t="n"/>
      <c r="AE711" s="17" t="n"/>
      <c r="AF711" s="17" t="n"/>
      <c r="AG711" s="17" t="inlineStr">
        <is>
          <t>1</t>
        </is>
      </c>
      <c r="AH711" s="17" t="n"/>
      <c r="AI711" s="17" t="inlineStr">
        <is>
          <t>부영청소년수련원</t>
        </is>
      </c>
      <c r="AJ711" s="17" t="n"/>
      <c r="AK711" s="17" t="inlineStr">
        <is>
          <t>자원봉사·비제주</t>
        </is>
      </c>
      <c r="AL711" s="17" t="inlineStr">
        <is>
          <t>자원봉사자최종명단</t>
        </is>
      </c>
      <c r="AM711" s="17" t="n"/>
      <c r="AN711" s="17" t="inlineStr">
        <is>
          <t>자원봉사팀</t>
        </is>
      </c>
    </row>
    <row r="712">
      <c r="A712" s="17" t="inlineStr">
        <is>
          <t>P0685</t>
        </is>
      </c>
      <c r="B712" s="17" t="inlineStr">
        <is>
          <t>자원봉사팀</t>
        </is>
      </c>
      <c r="C712" s="17" t="inlineStr">
        <is>
          <t>자원봉사팀</t>
        </is>
      </c>
      <c r="D712" s="17" t="n"/>
      <c r="E712" s="17" t="inlineStr">
        <is>
          <t>정진성</t>
        </is>
      </c>
      <c r="F712" s="17" t="n"/>
      <c r="G712" s="17" t="inlineStr">
        <is>
          <t>M</t>
        </is>
      </c>
      <c r="H712" s="17" t="n"/>
      <c r="I712" s="17" t="n"/>
      <c r="J712" s="17" t="n"/>
      <c r="K712" s="17" t="n"/>
      <c r="L712" s="17" t="n"/>
      <c r="M712" s="17" t="n"/>
      <c r="N712" s="17" t="n"/>
      <c r="O712" s="17" t="inlineStr">
        <is>
          <t>Yes</t>
        </is>
      </c>
      <c r="P712" s="17" t="n"/>
      <c r="Q712" s="17" t="n"/>
      <c r="R712" s="17" t="n"/>
      <c r="S712" s="17" t="n"/>
      <c r="T712" s="17" t="n"/>
      <c r="U712" s="17" t="inlineStr">
        <is>
          <t>✓</t>
        </is>
      </c>
      <c r="V712" s="17" t="inlineStr">
        <is>
          <t>✓</t>
        </is>
      </c>
      <c r="W712" s="17" t="inlineStr">
        <is>
          <t>✓</t>
        </is>
      </c>
      <c r="X712" s="17" t="inlineStr">
        <is>
          <t>✓</t>
        </is>
      </c>
      <c r="Y712" s="17" t="inlineStr">
        <is>
          <t>✓</t>
        </is>
      </c>
      <c r="Z712" s="17" t="inlineStr">
        <is>
          <t>✓</t>
        </is>
      </c>
      <c r="AA712" s="17" t="n"/>
      <c r="AB712" s="17" t="inlineStr">
        <is>
          <t>6박</t>
        </is>
      </c>
      <c r="AC712" s="17" t="n"/>
      <c r="AD712" s="17" t="n"/>
      <c r="AE712" s="17" t="n"/>
      <c r="AF712" s="17" t="n"/>
      <c r="AG712" s="17" t="inlineStr">
        <is>
          <t>1</t>
        </is>
      </c>
      <c r="AH712" s="17" t="n"/>
      <c r="AI712" s="17" t="inlineStr">
        <is>
          <t>부영청소년수련원</t>
        </is>
      </c>
      <c r="AJ712" s="17" t="n"/>
      <c r="AK712" s="17" t="inlineStr">
        <is>
          <t>자원봉사·비제주</t>
        </is>
      </c>
      <c r="AL712" s="17" t="inlineStr">
        <is>
          <t>자원봉사자최종명단</t>
        </is>
      </c>
      <c r="AM712" s="17" t="n"/>
      <c r="AN712" s="17" t="inlineStr">
        <is>
          <t>자원봉사팀</t>
        </is>
      </c>
    </row>
    <row r="713">
      <c r="A713" s="17" t="inlineStr">
        <is>
          <t>P0686</t>
        </is>
      </c>
      <c r="B713" s="17" t="inlineStr">
        <is>
          <t>자원봉사팀</t>
        </is>
      </c>
      <c r="C713" s="17" t="inlineStr">
        <is>
          <t>자원봉사팀</t>
        </is>
      </c>
      <c r="D713" s="17" t="n"/>
      <c r="E713" s="17" t="inlineStr">
        <is>
          <t>박세현</t>
        </is>
      </c>
      <c r="F713" s="17" t="n"/>
      <c r="G713" s="17" t="inlineStr">
        <is>
          <t>F</t>
        </is>
      </c>
      <c r="H713" s="17" t="n"/>
      <c r="I713" s="17" t="n"/>
      <c r="J713" s="17" t="n"/>
      <c r="K713" s="17" t="n"/>
      <c r="L713" s="17" t="n"/>
      <c r="M713" s="17" t="n"/>
      <c r="N713" s="17" t="n"/>
      <c r="O713" s="17" t="inlineStr">
        <is>
          <t>No</t>
        </is>
      </c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inlineStr">
        <is>
          <t>1</t>
        </is>
      </c>
      <c r="AH713" s="17" t="n"/>
      <c r="AI713" s="17" t="n"/>
      <c r="AJ713" s="17" t="n"/>
      <c r="AK713" s="17" t="inlineStr">
        <is>
          <t>자원봉사·제주도민</t>
        </is>
      </c>
      <c r="AL713" s="17" t="inlineStr">
        <is>
          <t>자원봉사자최종명단</t>
        </is>
      </c>
      <c r="AM713" s="17" t="n"/>
      <c r="AN713" s="17" t="inlineStr">
        <is>
          <t>자원봉사팀</t>
        </is>
      </c>
    </row>
    <row r="714">
      <c r="A714" s="17" t="inlineStr">
        <is>
          <t>P0687</t>
        </is>
      </c>
      <c r="B714" s="17" t="inlineStr">
        <is>
          <t>자원봉사팀</t>
        </is>
      </c>
      <c r="C714" s="17" t="inlineStr">
        <is>
          <t>자원봉사팀</t>
        </is>
      </c>
      <c r="D714" s="17" t="n"/>
      <c r="E714" s="17" t="inlineStr">
        <is>
          <t>노태유</t>
        </is>
      </c>
      <c r="F714" s="17" t="n"/>
      <c r="G714" s="17" t="inlineStr">
        <is>
          <t>M</t>
        </is>
      </c>
      <c r="H714" s="17" t="n"/>
      <c r="I714" s="17" t="n"/>
      <c r="J714" s="17" t="n"/>
      <c r="K714" s="17" t="n"/>
      <c r="L714" s="17" t="n"/>
      <c r="M714" s="17" t="n"/>
      <c r="N714" s="17" t="n"/>
      <c r="O714" s="17" t="inlineStr">
        <is>
          <t>Yes</t>
        </is>
      </c>
      <c r="P714" s="17" t="n"/>
      <c r="Q714" s="17" t="n"/>
      <c r="R714" s="17" t="n"/>
      <c r="S714" s="17" t="n"/>
      <c r="T714" s="17" t="n"/>
      <c r="U714" s="17" t="inlineStr">
        <is>
          <t>✓</t>
        </is>
      </c>
      <c r="V714" s="17" t="inlineStr">
        <is>
          <t>✓</t>
        </is>
      </c>
      <c r="W714" s="17" t="inlineStr">
        <is>
          <t>✓</t>
        </is>
      </c>
      <c r="X714" s="17" t="inlineStr">
        <is>
          <t>✓</t>
        </is>
      </c>
      <c r="Y714" s="17" t="inlineStr">
        <is>
          <t>✓</t>
        </is>
      </c>
      <c r="Z714" s="17" t="inlineStr">
        <is>
          <t>✓</t>
        </is>
      </c>
      <c r="AA714" s="17" t="n"/>
      <c r="AB714" s="17" t="inlineStr">
        <is>
          <t>6박</t>
        </is>
      </c>
      <c r="AC714" s="17" t="n"/>
      <c r="AD714" s="17" t="n"/>
      <c r="AE714" s="17" t="n"/>
      <c r="AF714" s="17" t="n"/>
      <c r="AG714" s="17" t="inlineStr">
        <is>
          <t>1</t>
        </is>
      </c>
      <c r="AH714" s="17" t="n"/>
      <c r="AI714" s="17" t="inlineStr">
        <is>
          <t>부영청소년수련원</t>
        </is>
      </c>
      <c r="AJ714" s="17" t="n"/>
      <c r="AK714" s="17" t="inlineStr">
        <is>
          <t>자원봉사·비제주</t>
        </is>
      </c>
      <c r="AL714" s="17" t="inlineStr">
        <is>
          <t>자원봉사자최종명단</t>
        </is>
      </c>
      <c r="AM714" s="17" t="n"/>
      <c r="AN714" s="17" t="inlineStr">
        <is>
          <t>자원봉사팀</t>
        </is>
      </c>
    </row>
  </sheetData>
  <autoFilter ref="A1:AN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10" customWidth="1" style="21" min="2" max="2"/>
    <col width="6" customWidth="1" style="21" min="3" max="5"/>
    <col width="20" customWidth="1" style="21" min="6" max="6"/>
    <col width="8" customWidth="1" style="21" min="7" max="7"/>
    <col width="6" customWidth="1" style="21" min="8" max="8"/>
    <col width="10" customWidth="1" style="21" min="9" max="9"/>
    <col width="6" customWidth="1" style="21" min="10" max="11"/>
  </cols>
  <sheetData>
    <row r="1" ht="25.5" customHeight="1" s="21">
      <c r="A1" s="1" t="inlineStr">
        <is>
          <t>객실ID</t>
        </is>
      </c>
      <c r="B1" s="1" t="inlineStr">
        <is>
          <t>숙소</t>
        </is>
      </c>
      <c r="C1" s="1" t="inlineStr">
        <is>
          <t>동</t>
        </is>
      </c>
      <c r="D1" s="1" t="inlineStr">
        <is>
          <t>층</t>
        </is>
      </c>
      <c r="E1" s="1" t="inlineStr">
        <is>
          <t>호실</t>
        </is>
      </c>
      <c r="F1" s="1" t="inlineStr">
        <is>
          <t>객실유형</t>
        </is>
      </c>
      <c r="G1" s="1" t="inlineStr">
        <is>
          <t>성별구분</t>
        </is>
      </c>
      <c r="H1" s="1" t="inlineStr">
        <is>
          <t>정원</t>
        </is>
      </c>
      <c r="I1" s="1" t="inlineStr">
        <is>
          <t>이용가능기간</t>
        </is>
      </c>
      <c r="J1" s="1" t="inlineStr">
        <is>
          <t>필수온돌</t>
        </is>
      </c>
      <c r="K1" s="1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I2" t="inlineStr">
        <is>
          <t>6/29~7/5</t>
        </is>
      </c>
      <c r="J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I3" t="inlineStr">
        <is>
          <t>6/29~7/5</t>
        </is>
      </c>
      <c r="J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I4" t="inlineStr">
        <is>
          <t>6/29~7/5</t>
        </is>
      </c>
      <c r="J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I5" t="inlineStr">
        <is>
          <t>6/29~7/5</t>
        </is>
      </c>
      <c r="J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I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I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I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I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I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I11" t="inlineStr">
        <is>
          <t>6/29~7/5</t>
        </is>
      </c>
      <c r="J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I12" t="inlineStr">
        <is>
          <t>6/29~7/5</t>
        </is>
      </c>
      <c r="J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I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I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I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I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I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I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I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I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I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I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I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I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I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I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I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I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I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I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I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I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I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I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I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I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I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I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I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I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I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I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I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I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I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I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I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I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I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I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I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I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I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I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I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I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I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I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I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I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I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I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I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I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I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I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I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I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I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I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I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I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I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I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I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I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I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I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I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I80" t="inlineStr">
        <is>
          <t>6/29~7/5</t>
        </is>
      </c>
    </row>
    <row r="81">
      <c r="A81" t="inlineStr">
        <is>
          <t>R080</t>
        </is>
      </c>
      <c r="B81" t="inlineStr">
        <is>
          <t>유어스호텔</t>
        </is>
      </c>
      <c r="F81" t="inlineStr">
        <is>
          <t>Deluxe Twin</t>
        </is>
      </c>
      <c r="H81" t="n">
        <v>2</v>
      </c>
      <c r="I81" t="inlineStr">
        <is>
          <t>6/29~7/6</t>
        </is>
      </c>
    </row>
    <row r="82">
      <c r="A82" t="inlineStr">
        <is>
          <t>R081</t>
        </is>
      </c>
      <c r="B82" t="inlineStr">
        <is>
          <t>유어스호텔</t>
        </is>
      </c>
      <c r="F82" t="inlineStr">
        <is>
          <t>Deluxe Twin</t>
        </is>
      </c>
      <c r="H82" t="n">
        <v>2</v>
      </c>
      <c r="I82" t="inlineStr">
        <is>
          <t>6/29~7/6</t>
        </is>
      </c>
    </row>
    <row r="83">
      <c r="A83" t="inlineStr">
        <is>
          <t>R082</t>
        </is>
      </c>
      <c r="B83" t="inlineStr">
        <is>
          <t>유어스호텔</t>
        </is>
      </c>
      <c r="F83" t="inlineStr">
        <is>
          <t>Deluxe Twin</t>
        </is>
      </c>
      <c r="H83" t="n">
        <v>2</v>
      </c>
      <c r="I83" t="inlineStr">
        <is>
          <t>6/29~7/6</t>
        </is>
      </c>
    </row>
    <row r="84">
      <c r="A84" t="inlineStr">
        <is>
          <t>R083</t>
        </is>
      </c>
      <c r="B84" t="inlineStr">
        <is>
          <t>유어스호텔</t>
        </is>
      </c>
      <c r="F84" t="inlineStr">
        <is>
          <t>Deluxe Twin</t>
        </is>
      </c>
      <c r="H84" t="n">
        <v>2</v>
      </c>
      <c r="I84" t="inlineStr">
        <is>
          <t>6/29~7/6</t>
        </is>
      </c>
    </row>
    <row r="85">
      <c r="A85" t="inlineStr">
        <is>
          <t>R084</t>
        </is>
      </c>
      <c r="B85" t="inlineStr">
        <is>
          <t>유어스호텔</t>
        </is>
      </c>
      <c r="F85" t="inlineStr">
        <is>
          <t>Deluxe Twin</t>
        </is>
      </c>
      <c r="H85" t="n">
        <v>2</v>
      </c>
      <c r="I85" t="inlineStr">
        <is>
          <t>6/29~7/6</t>
        </is>
      </c>
    </row>
    <row r="86">
      <c r="A86" t="inlineStr">
        <is>
          <t>R085</t>
        </is>
      </c>
      <c r="B86" t="inlineStr">
        <is>
          <t>유어스호텔</t>
        </is>
      </c>
      <c r="F86" t="inlineStr">
        <is>
          <t>Deluxe Twin</t>
        </is>
      </c>
      <c r="H86" t="n">
        <v>2</v>
      </c>
      <c r="I86" t="inlineStr">
        <is>
          <t>6/29~7/6</t>
        </is>
      </c>
    </row>
    <row r="87">
      <c r="A87" t="inlineStr">
        <is>
          <t>R086</t>
        </is>
      </c>
      <c r="B87" t="inlineStr">
        <is>
          <t>유어스호텔</t>
        </is>
      </c>
      <c r="F87" t="inlineStr">
        <is>
          <t>Deluxe Twin</t>
        </is>
      </c>
      <c r="H87" t="n">
        <v>2</v>
      </c>
      <c r="I87" t="inlineStr">
        <is>
          <t>6/29~7/6</t>
        </is>
      </c>
    </row>
    <row r="88">
      <c r="A88" t="inlineStr">
        <is>
          <t>R087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I88" t="inlineStr">
        <is>
          <t>6/29~7/6</t>
        </is>
      </c>
    </row>
    <row r="89">
      <c r="A89" t="inlineStr">
        <is>
          <t>R088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I89" t="inlineStr">
        <is>
          <t>6/29~7/6</t>
        </is>
      </c>
    </row>
    <row r="90">
      <c r="A90" t="inlineStr">
        <is>
          <t>R089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I90" t="inlineStr">
        <is>
          <t>6/29~7/6</t>
        </is>
      </c>
    </row>
    <row r="91">
      <c r="A91" t="inlineStr">
        <is>
          <t>R090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I91" t="inlineStr">
        <is>
          <t>6/29~7/6</t>
        </is>
      </c>
    </row>
    <row r="92">
      <c r="A92" t="inlineStr">
        <is>
          <t>R091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I92" t="inlineStr">
        <is>
          <t>6/29~7/6</t>
        </is>
      </c>
    </row>
    <row r="93">
      <c r="A93" t="inlineStr">
        <is>
          <t>R092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I93" t="inlineStr">
        <is>
          <t>6/29~7/6</t>
        </is>
      </c>
    </row>
    <row r="94">
      <c r="A94" t="inlineStr">
        <is>
          <t>R093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I94" t="inlineStr">
        <is>
          <t>6/29~7/6</t>
        </is>
      </c>
    </row>
    <row r="95">
      <c r="A95" t="inlineStr">
        <is>
          <t>R094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I95" t="inlineStr">
        <is>
          <t>6/29~7/6</t>
        </is>
      </c>
    </row>
    <row r="96">
      <c r="A96" t="inlineStr">
        <is>
          <t>R095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I96" t="inlineStr">
        <is>
          <t>6/29~7/6</t>
        </is>
      </c>
    </row>
    <row r="97">
      <c r="A97" t="inlineStr">
        <is>
          <t>R096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I97" t="inlineStr">
        <is>
          <t>6/29~7/6</t>
        </is>
      </c>
    </row>
    <row r="98">
      <c r="A98" t="inlineStr">
        <is>
          <t>R097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I98" t="inlineStr">
        <is>
          <t>6/29~7/6</t>
        </is>
      </c>
    </row>
    <row r="99">
      <c r="A99" t="inlineStr">
        <is>
          <t>R098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I99" t="inlineStr">
        <is>
          <t>6/29~7/6</t>
        </is>
      </c>
    </row>
    <row r="100">
      <c r="A100" t="inlineStr">
        <is>
          <t>R099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I100" t="inlineStr">
        <is>
          <t>6/29~7/6</t>
        </is>
      </c>
    </row>
    <row r="101">
      <c r="A101" t="inlineStr">
        <is>
          <t>R100</t>
        </is>
      </c>
      <c r="B101" t="inlineStr">
        <is>
          <t>유어스호텔</t>
        </is>
      </c>
      <c r="F101" t="inlineStr">
        <is>
          <t>Deluxe Twin</t>
        </is>
      </c>
      <c r="H101" t="n">
        <v>3</v>
      </c>
      <c r="I101" t="inlineStr">
        <is>
          <t>6/29~7/6</t>
        </is>
      </c>
    </row>
    <row r="102">
      <c r="A102" t="inlineStr">
        <is>
          <t>R101</t>
        </is>
      </c>
      <c r="B102" t="inlineStr">
        <is>
          <t>유어스호텔</t>
        </is>
      </c>
      <c r="F102" t="inlineStr">
        <is>
          <t>Deluxe Twin</t>
        </is>
      </c>
      <c r="H102" t="n">
        <v>3</v>
      </c>
      <c r="I102" t="inlineStr">
        <is>
          <t>6/29~7/6</t>
        </is>
      </c>
    </row>
    <row r="103">
      <c r="A103" t="inlineStr">
        <is>
          <t>R102</t>
        </is>
      </c>
      <c r="B103" t="inlineStr">
        <is>
          <t>유어스호텔</t>
        </is>
      </c>
      <c r="F103" t="inlineStr">
        <is>
          <t>Deluxe Twin</t>
        </is>
      </c>
      <c r="H103" t="n">
        <v>3</v>
      </c>
      <c r="I103" t="inlineStr">
        <is>
          <t>6/29~7/6</t>
        </is>
      </c>
    </row>
    <row r="104">
      <c r="A104" t="inlineStr">
        <is>
          <t>R103</t>
        </is>
      </c>
      <c r="B104" t="inlineStr">
        <is>
          <t>유어스호텔</t>
        </is>
      </c>
      <c r="F104" t="inlineStr">
        <is>
          <t>Deluxe Twin</t>
        </is>
      </c>
      <c r="H104" t="n">
        <v>3</v>
      </c>
      <c r="I104" t="inlineStr">
        <is>
          <t>6/29~7/6</t>
        </is>
      </c>
    </row>
    <row r="105">
      <c r="A105" t="inlineStr">
        <is>
          <t>R104</t>
        </is>
      </c>
      <c r="B105" t="inlineStr">
        <is>
          <t>유어스호텔</t>
        </is>
      </c>
      <c r="F105" t="inlineStr">
        <is>
          <t>Deluxe Twin</t>
        </is>
      </c>
      <c r="H105" t="n">
        <v>3</v>
      </c>
      <c r="I105" t="inlineStr">
        <is>
          <t>6/29~7/6</t>
        </is>
      </c>
    </row>
    <row r="106">
      <c r="A106" t="inlineStr">
        <is>
          <t>R105</t>
        </is>
      </c>
      <c r="B106" t="inlineStr">
        <is>
          <t>유어스호텔</t>
        </is>
      </c>
      <c r="F106" t="inlineStr">
        <is>
          <t>Deluxe Twin</t>
        </is>
      </c>
      <c r="H106" t="n">
        <v>3</v>
      </c>
      <c r="I106" t="inlineStr">
        <is>
          <t>6/29~7/6</t>
        </is>
      </c>
    </row>
    <row r="107">
      <c r="A107" t="inlineStr">
        <is>
          <t>R106</t>
        </is>
      </c>
      <c r="B107" t="inlineStr">
        <is>
          <t>유어스호텔</t>
        </is>
      </c>
      <c r="F107" t="inlineStr">
        <is>
          <t>Deluxe Twin</t>
        </is>
      </c>
      <c r="H107" t="n">
        <v>3</v>
      </c>
      <c r="I107" t="inlineStr">
        <is>
          <t>6/29~7/6</t>
        </is>
      </c>
    </row>
    <row r="108">
      <c r="A108" t="inlineStr">
        <is>
          <t>R107</t>
        </is>
      </c>
      <c r="B108" t="inlineStr">
        <is>
          <t>유어스호텔</t>
        </is>
      </c>
      <c r="F108" t="inlineStr">
        <is>
          <t>Deluxe Family Twin</t>
        </is>
      </c>
      <c r="H108" t="n">
        <v>3</v>
      </c>
      <c r="I108" t="inlineStr">
        <is>
          <t>6/29~7/6</t>
        </is>
      </c>
    </row>
    <row r="109">
      <c r="A109" t="inlineStr">
        <is>
          <t>R108</t>
        </is>
      </c>
      <c r="B109" t="inlineStr">
        <is>
          <t>유어스호텔</t>
        </is>
      </c>
      <c r="F109" t="inlineStr">
        <is>
          <t>Deluxe Family Twin</t>
        </is>
      </c>
      <c r="H109" t="n">
        <v>3</v>
      </c>
      <c r="I109" t="inlineStr">
        <is>
          <t>6/29~7/6</t>
        </is>
      </c>
    </row>
    <row r="110">
      <c r="A110" t="inlineStr">
        <is>
          <t>R109</t>
        </is>
      </c>
      <c r="B110" t="inlineStr">
        <is>
          <t>유어스호텔</t>
        </is>
      </c>
      <c r="F110" t="inlineStr">
        <is>
          <t>Deluxe Family Twin</t>
        </is>
      </c>
      <c r="H110" t="n">
        <v>3</v>
      </c>
      <c r="I110" t="inlineStr">
        <is>
          <t>6/29~7/6</t>
        </is>
      </c>
    </row>
    <row r="111">
      <c r="A111" t="inlineStr">
        <is>
          <t>R110</t>
        </is>
      </c>
      <c r="B111" t="inlineStr">
        <is>
          <t>유어스호텔</t>
        </is>
      </c>
      <c r="F111" t="inlineStr">
        <is>
          <t>Deluxe Family Twin</t>
        </is>
      </c>
      <c r="H111" t="n">
        <v>3</v>
      </c>
      <c r="I111" t="inlineStr">
        <is>
          <t>6/29~7/6</t>
        </is>
      </c>
    </row>
    <row r="112">
      <c r="A112" t="inlineStr">
        <is>
          <t>R111</t>
        </is>
      </c>
      <c r="B112" t="inlineStr">
        <is>
          <t>유어스호텔</t>
        </is>
      </c>
      <c r="F112" t="inlineStr">
        <is>
          <t>Deluxe Family Twin</t>
        </is>
      </c>
      <c r="H112" t="n">
        <v>3</v>
      </c>
      <c r="I112" t="inlineStr">
        <is>
          <t>6/29~7/6</t>
        </is>
      </c>
    </row>
    <row r="113">
      <c r="A113" t="inlineStr">
        <is>
          <t>R112</t>
        </is>
      </c>
      <c r="B113" t="inlineStr">
        <is>
          <t>유어스호텔</t>
        </is>
      </c>
      <c r="F113" t="inlineStr">
        <is>
          <t>Deluxe Family Twin</t>
        </is>
      </c>
      <c r="H113" t="n">
        <v>3</v>
      </c>
      <c r="I113" t="inlineStr">
        <is>
          <t>6/29~7/6</t>
        </is>
      </c>
    </row>
    <row r="114">
      <c r="A114" t="inlineStr">
        <is>
          <t>R113</t>
        </is>
      </c>
      <c r="B114" t="inlineStr">
        <is>
          <t>유어스호텔</t>
        </is>
      </c>
      <c r="F114" t="inlineStr">
        <is>
          <t>Triple Room</t>
        </is>
      </c>
      <c r="H114" t="n">
        <v>3</v>
      </c>
      <c r="I114" t="inlineStr">
        <is>
          <t>6/29~7/6</t>
        </is>
      </c>
    </row>
    <row r="115">
      <c r="A115" t="inlineStr">
        <is>
          <t>R114</t>
        </is>
      </c>
      <c r="B115" t="inlineStr">
        <is>
          <t>유어스호텔</t>
        </is>
      </c>
      <c r="F115" t="inlineStr">
        <is>
          <t>Triple Room</t>
        </is>
      </c>
      <c r="H115" t="n">
        <v>3</v>
      </c>
      <c r="I115" t="inlineStr">
        <is>
          <t>6/29~7/6</t>
        </is>
      </c>
    </row>
    <row r="116">
      <c r="A116" t="inlineStr">
        <is>
          <t>R115</t>
        </is>
      </c>
      <c r="B116" t="inlineStr">
        <is>
          <t>유어스호텔</t>
        </is>
      </c>
      <c r="F116" t="inlineStr">
        <is>
          <t>Triple Room</t>
        </is>
      </c>
      <c r="H116" t="n">
        <v>3</v>
      </c>
      <c r="I116" t="inlineStr">
        <is>
          <t>6/29~7/6</t>
        </is>
      </c>
    </row>
    <row r="117">
      <c r="A117" t="inlineStr">
        <is>
          <t>R116</t>
        </is>
      </c>
      <c r="B117" t="inlineStr">
        <is>
          <t>유어스호텔</t>
        </is>
      </c>
      <c r="F117" t="inlineStr">
        <is>
          <t>Korean Traditional</t>
        </is>
      </c>
      <c r="H117" t="n">
        <v>4</v>
      </c>
      <c r="I117" t="inlineStr">
        <is>
          <t>6/29~7/6</t>
        </is>
      </c>
    </row>
    <row r="118">
      <c r="A118" t="inlineStr">
        <is>
          <t>R117</t>
        </is>
      </c>
      <c r="B118" t="inlineStr">
        <is>
          <t>유어스호텔</t>
        </is>
      </c>
      <c r="F118" t="inlineStr">
        <is>
          <t>Korean Traditional</t>
        </is>
      </c>
      <c r="H118" t="n">
        <v>4</v>
      </c>
      <c r="I118" t="inlineStr">
        <is>
          <t>6/29~7/6</t>
        </is>
      </c>
    </row>
    <row r="119">
      <c r="A119" t="inlineStr">
        <is>
          <t>R118</t>
        </is>
      </c>
      <c r="B119" t="inlineStr">
        <is>
          <t>유어스호텔</t>
        </is>
      </c>
      <c r="F119" t="inlineStr">
        <is>
          <t>Korean Traditional</t>
        </is>
      </c>
      <c r="H119" t="n">
        <v>4</v>
      </c>
      <c r="I119" t="inlineStr">
        <is>
          <t>6/29~7/6</t>
        </is>
      </c>
    </row>
    <row r="120">
      <c r="A120" t="inlineStr">
        <is>
          <t>R119</t>
        </is>
      </c>
      <c r="B120" t="inlineStr">
        <is>
          <t>유어스호텔</t>
        </is>
      </c>
      <c r="F120" t="inlineStr">
        <is>
          <t>Korean Traditional</t>
        </is>
      </c>
      <c r="H120" t="n">
        <v>4</v>
      </c>
      <c r="I120" t="inlineStr">
        <is>
          <t>6/29~7/6</t>
        </is>
      </c>
    </row>
    <row r="121">
      <c r="A121" t="inlineStr">
        <is>
          <t>R120</t>
        </is>
      </c>
      <c r="B121" t="inlineStr">
        <is>
          <t>유어스호텔</t>
        </is>
      </c>
      <c r="F121" t="inlineStr">
        <is>
          <t>Korean Traditional</t>
        </is>
      </c>
      <c r="H121" t="n">
        <v>4</v>
      </c>
      <c r="I121" t="inlineStr">
        <is>
          <t>6/29~7/6</t>
        </is>
      </c>
    </row>
    <row r="122">
      <c r="A122" t="inlineStr">
        <is>
          <t>R121</t>
        </is>
      </c>
      <c r="B122" t="inlineStr">
        <is>
          <t>유어스호텔</t>
        </is>
      </c>
      <c r="F122" t="inlineStr">
        <is>
          <t>Korean Traditional</t>
        </is>
      </c>
      <c r="H122" t="n">
        <v>4</v>
      </c>
      <c r="I122" t="inlineStr">
        <is>
          <t>6/29~7/6</t>
        </is>
      </c>
    </row>
    <row r="123">
      <c r="A123" t="inlineStr">
        <is>
          <t>R122</t>
        </is>
      </c>
      <c r="B123" t="inlineStr">
        <is>
          <t>유어스호텔</t>
        </is>
      </c>
      <c r="F123" t="inlineStr">
        <is>
          <t>Korean Traditional</t>
        </is>
      </c>
      <c r="H123" t="n">
        <v>4</v>
      </c>
      <c r="I123" t="inlineStr">
        <is>
          <t>6/29~7/6</t>
        </is>
      </c>
    </row>
    <row r="124">
      <c r="A124" t="inlineStr">
        <is>
          <t>R123</t>
        </is>
      </c>
      <c r="B124" t="inlineStr">
        <is>
          <t>유어스호텔</t>
        </is>
      </c>
      <c r="F124" t="inlineStr">
        <is>
          <t>Korean Traditional</t>
        </is>
      </c>
      <c r="H124" t="n">
        <v>4</v>
      </c>
      <c r="I124" t="inlineStr">
        <is>
          <t>6/29~7/6</t>
        </is>
      </c>
    </row>
    <row r="125">
      <c r="A125" t="inlineStr">
        <is>
          <t>R124</t>
        </is>
      </c>
      <c r="B125" t="inlineStr">
        <is>
          <t>유어스호텔</t>
        </is>
      </c>
      <c r="F125" t="inlineStr">
        <is>
          <t>Suite Corner</t>
        </is>
      </c>
      <c r="H125" t="n">
        <v>4</v>
      </c>
      <c r="I125" t="inlineStr">
        <is>
          <t>6/29~7/6</t>
        </is>
      </c>
    </row>
    <row r="126">
      <c r="A126" t="inlineStr">
        <is>
          <t>R125</t>
        </is>
      </c>
      <c r="B126" t="inlineStr">
        <is>
          <t>유어스호텔</t>
        </is>
      </c>
      <c r="F126" t="inlineStr">
        <is>
          <t>Suite Corner</t>
        </is>
      </c>
      <c r="H126" t="n">
        <v>4</v>
      </c>
      <c r="I126" t="inlineStr">
        <is>
          <t>6/29~7/6</t>
        </is>
      </c>
    </row>
    <row r="127">
      <c r="A127" t="inlineStr">
        <is>
          <t>R126</t>
        </is>
      </c>
      <c r="B127" t="inlineStr">
        <is>
          <t>유어스호텔</t>
        </is>
      </c>
      <c r="F127" t="inlineStr">
        <is>
          <t>Suite Corner</t>
        </is>
      </c>
      <c r="H127" t="n">
        <v>4</v>
      </c>
      <c r="I127" t="inlineStr">
        <is>
          <t>6/29~7/6</t>
        </is>
      </c>
    </row>
    <row r="128">
      <c r="A128" t="inlineStr">
        <is>
          <t>R127</t>
        </is>
      </c>
      <c r="B128" t="inlineStr">
        <is>
          <t>유어스호텔</t>
        </is>
      </c>
      <c r="F128" t="inlineStr">
        <is>
          <t>Suite Corner</t>
        </is>
      </c>
      <c r="H128" t="n">
        <v>4</v>
      </c>
      <c r="I128" t="inlineStr">
        <is>
          <t>6/29~7/6</t>
        </is>
      </c>
    </row>
    <row r="129">
      <c r="A129" t="inlineStr">
        <is>
          <t>R128</t>
        </is>
      </c>
      <c r="B129" t="inlineStr">
        <is>
          <t>유어스호텔</t>
        </is>
      </c>
      <c r="F129" t="inlineStr">
        <is>
          <t>YOUUS Suite</t>
        </is>
      </c>
      <c r="H129" t="n">
        <v>4</v>
      </c>
      <c r="I129" t="inlineStr">
        <is>
          <t>6/29~7/6</t>
        </is>
      </c>
    </row>
    <row r="130">
      <c r="A130" t="inlineStr">
        <is>
          <t>R129</t>
        </is>
      </c>
      <c r="B130" t="inlineStr">
        <is>
          <t>유어스호텔</t>
        </is>
      </c>
      <c r="F130" t="inlineStr">
        <is>
          <t>YOUUS Suite</t>
        </is>
      </c>
      <c r="H130" t="n">
        <v>4</v>
      </c>
      <c r="I130" t="inlineStr">
        <is>
          <t>6/29~7/6</t>
        </is>
      </c>
    </row>
  </sheetData>
  <autoFilter ref="A1: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v8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2026-06-01T18:43:04Z</dcterms:modified>
  <cp:lastModifiedBy>Sunjeung Kim</cp:lastModifiedBy>
  <cp:version>8</cp:version>
</cp:coreProperties>
</file>